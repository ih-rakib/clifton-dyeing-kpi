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lifton Resources\Report\main\Finishing\"/>
    </mc:Choice>
  </mc:AlternateContent>
  <bookViews>
    <workbookView xWindow="0" yWindow="0" windowWidth="20490" windowHeight="7755" activeTab="1"/>
  </bookViews>
  <sheets>
    <sheet name="Database" sheetId="1" r:id="rId1"/>
    <sheet name="Pivot Table" sheetId="2" r:id="rId2"/>
    <sheet name="Remarks" sheetId="3" r:id="rId3"/>
    <sheet name="Summary" sheetId="4" r:id="rId4"/>
  </sheets>
  <definedNames>
    <definedName name="NativeTimeline_Date">#N/A</definedName>
    <definedName name="NativeTimeline_Date1">#N/A</definedName>
    <definedName name="NativeTimeline_Date10">#N/A</definedName>
    <definedName name="NativeTimeline_Date11">#N/A</definedName>
    <definedName name="NativeTimeline_Date12">#N/A</definedName>
    <definedName name="NativeTimeline_Date13">#N/A</definedName>
    <definedName name="NativeTimeline_Date14">#N/A</definedName>
    <definedName name="NativeTimeline_Date15">#N/A</definedName>
    <definedName name="NativeTimeline_Date16">#N/A</definedName>
    <definedName name="NativeTimeline_Date17">#N/A</definedName>
    <definedName name="NativeTimeline_Date18">#N/A</definedName>
    <definedName name="NativeTimeline_Date19">#N/A</definedName>
    <definedName name="NativeTimeline_Date2">#N/A</definedName>
    <definedName name="NativeTimeline_Date20">#N/A</definedName>
    <definedName name="NativeTimeline_Date21">#N/A</definedName>
    <definedName name="NativeTimeline_Date22">#N/A</definedName>
    <definedName name="NativeTimeline_Date23">#N/A</definedName>
    <definedName name="NativeTimeline_Date24">#N/A</definedName>
    <definedName name="NativeTimeline_Date3">#N/A</definedName>
    <definedName name="NativeTimeline_Date4">#N/A</definedName>
    <definedName name="NativeTimeline_Date5">#N/A</definedName>
    <definedName name="NativeTimeline_Date6">#N/A</definedName>
    <definedName name="NativeTimeline_Date7">#N/A</definedName>
    <definedName name="NativeTimeline_Date8">#N/A</definedName>
    <definedName name="NativeTimeline_Date9">#N/A</definedName>
    <definedName name="Table2">#REF!</definedName>
  </definedNames>
  <calcPr calcId="152511"/>
  <pivotCaches>
    <pivotCache cacheId="4" r:id="rId5"/>
    <pivotCache cacheId="1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</extLst>
</workbook>
</file>

<file path=xl/calcChain.xml><?xml version="1.0" encoding="utf-8"?>
<calcChain xmlns="http://schemas.openxmlformats.org/spreadsheetml/2006/main">
  <c r="A197" i="4" l="1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O2150" i="1"/>
  <c r="M2150" i="1"/>
  <c r="L2150" i="1"/>
  <c r="N2150" i="1" s="1"/>
  <c r="I2150" i="1"/>
  <c r="P2150" i="1" s="1"/>
  <c r="H2150" i="1"/>
  <c r="P2149" i="1"/>
  <c r="O2149" i="1"/>
  <c r="M2149" i="1"/>
  <c r="L2149" i="1"/>
  <c r="N2149" i="1" s="1"/>
  <c r="Q2149" i="1" s="1"/>
  <c r="I2149" i="1"/>
  <c r="H2149" i="1"/>
  <c r="O2148" i="1"/>
  <c r="N2148" i="1"/>
  <c r="M2148" i="1"/>
  <c r="L2148" i="1"/>
  <c r="I2148" i="1"/>
  <c r="P2148" i="1" s="1"/>
  <c r="H2148" i="1"/>
  <c r="P2147" i="1"/>
  <c r="O2147" i="1"/>
  <c r="N2147" i="1"/>
  <c r="Q2147" i="1" s="1"/>
  <c r="M2147" i="1"/>
  <c r="L2147" i="1"/>
  <c r="I2147" i="1"/>
  <c r="H2147" i="1"/>
  <c r="O2146" i="1"/>
  <c r="M2146" i="1"/>
  <c r="L2146" i="1"/>
  <c r="N2146" i="1" s="1"/>
  <c r="I2146" i="1"/>
  <c r="P2146" i="1" s="1"/>
  <c r="H2146" i="1"/>
  <c r="P2145" i="1"/>
  <c r="O2145" i="1"/>
  <c r="M2145" i="1"/>
  <c r="L2145" i="1"/>
  <c r="N2145" i="1" s="1"/>
  <c r="Q2145" i="1" s="1"/>
  <c r="I2145" i="1"/>
  <c r="H2145" i="1"/>
  <c r="O2144" i="1"/>
  <c r="N2144" i="1"/>
  <c r="M2144" i="1"/>
  <c r="L2144" i="1"/>
  <c r="I2144" i="1"/>
  <c r="P2144" i="1" s="1"/>
  <c r="H2144" i="1"/>
  <c r="P2143" i="1"/>
  <c r="O2143" i="1"/>
  <c r="N2143" i="1"/>
  <c r="Q2143" i="1" s="1"/>
  <c r="M2143" i="1"/>
  <c r="L2143" i="1"/>
  <c r="I2143" i="1"/>
  <c r="H2143" i="1"/>
  <c r="O2142" i="1"/>
  <c r="M2142" i="1"/>
  <c r="L2142" i="1"/>
  <c r="N2142" i="1" s="1"/>
  <c r="I2142" i="1"/>
  <c r="P2142" i="1" s="1"/>
  <c r="H2142" i="1"/>
  <c r="P2141" i="1"/>
  <c r="O2141" i="1"/>
  <c r="M2141" i="1"/>
  <c r="L2141" i="1"/>
  <c r="N2141" i="1" s="1"/>
  <c r="Q2141" i="1" s="1"/>
  <c r="I2141" i="1"/>
  <c r="H2141" i="1"/>
  <c r="O2140" i="1"/>
  <c r="N2140" i="1"/>
  <c r="M2140" i="1"/>
  <c r="L2140" i="1"/>
  <c r="I2140" i="1"/>
  <c r="P2140" i="1" s="1"/>
  <c r="H2140" i="1"/>
  <c r="P2139" i="1"/>
  <c r="O2139" i="1"/>
  <c r="N2139" i="1"/>
  <c r="Q2139" i="1" s="1"/>
  <c r="M2139" i="1"/>
  <c r="L2139" i="1"/>
  <c r="I2139" i="1"/>
  <c r="H2139" i="1"/>
  <c r="O2138" i="1"/>
  <c r="M2138" i="1"/>
  <c r="L2138" i="1"/>
  <c r="N2138" i="1" s="1"/>
  <c r="I2138" i="1"/>
  <c r="P2138" i="1" s="1"/>
  <c r="H2138" i="1"/>
  <c r="P2137" i="1"/>
  <c r="O2137" i="1"/>
  <c r="N2137" i="1"/>
  <c r="Q2137" i="1" s="1"/>
  <c r="M2137" i="1"/>
  <c r="L2137" i="1"/>
  <c r="I2137" i="1"/>
  <c r="H2137" i="1"/>
  <c r="P2136" i="1"/>
  <c r="O2136" i="1"/>
  <c r="N2136" i="1"/>
  <c r="Q2136" i="1" s="1"/>
  <c r="M2136" i="1"/>
  <c r="L2136" i="1"/>
  <c r="I2136" i="1"/>
  <c r="H2136" i="1"/>
  <c r="P2135" i="1"/>
  <c r="O2135" i="1"/>
  <c r="N2135" i="1"/>
  <c r="Q2135" i="1" s="1"/>
  <c r="M2135" i="1"/>
  <c r="L2135" i="1"/>
  <c r="I2135" i="1"/>
  <c r="H2135" i="1"/>
  <c r="P2134" i="1"/>
  <c r="O2134" i="1"/>
  <c r="N2134" i="1"/>
  <c r="Q2134" i="1" s="1"/>
  <c r="M2134" i="1"/>
  <c r="L2134" i="1"/>
  <c r="I2134" i="1"/>
  <c r="H2134" i="1"/>
  <c r="P2133" i="1"/>
  <c r="O2133" i="1"/>
  <c r="N2133" i="1"/>
  <c r="Q2133" i="1" s="1"/>
  <c r="M2133" i="1"/>
  <c r="L2133" i="1"/>
  <c r="I2133" i="1"/>
  <c r="H2133" i="1"/>
  <c r="P2132" i="1"/>
  <c r="O2132" i="1"/>
  <c r="N2132" i="1"/>
  <c r="Q2132" i="1" s="1"/>
  <c r="M2132" i="1"/>
  <c r="L2132" i="1"/>
  <c r="I2132" i="1"/>
  <c r="H2132" i="1"/>
  <c r="P2131" i="1"/>
  <c r="O2131" i="1"/>
  <c r="N2131" i="1"/>
  <c r="Q2131" i="1" s="1"/>
  <c r="M2131" i="1"/>
  <c r="L2131" i="1"/>
  <c r="I2131" i="1"/>
  <c r="H2131" i="1"/>
  <c r="P2130" i="1"/>
  <c r="O2130" i="1"/>
  <c r="N2130" i="1"/>
  <c r="Q2130" i="1" s="1"/>
  <c r="M2130" i="1"/>
  <c r="L2130" i="1"/>
  <c r="I2130" i="1"/>
  <c r="H2130" i="1"/>
  <c r="P2129" i="1"/>
  <c r="O2129" i="1"/>
  <c r="N2129" i="1"/>
  <c r="Q2129" i="1" s="1"/>
  <c r="M2129" i="1"/>
  <c r="L2129" i="1"/>
  <c r="I2129" i="1"/>
  <c r="H2129" i="1"/>
  <c r="P2128" i="1"/>
  <c r="O2128" i="1"/>
  <c r="N2128" i="1"/>
  <c r="Q2128" i="1" s="1"/>
  <c r="M2128" i="1"/>
  <c r="L2128" i="1"/>
  <c r="I2128" i="1"/>
  <c r="H2128" i="1"/>
  <c r="P2127" i="1"/>
  <c r="O2127" i="1"/>
  <c r="N2127" i="1"/>
  <c r="Q2127" i="1" s="1"/>
  <c r="M2127" i="1"/>
  <c r="L2127" i="1"/>
  <c r="I2127" i="1"/>
  <c r="H2127" i="1"/>
  <c r="P2126" i="1"/>
  <c r="O2126" i="1"/>
  <c r="N2126" i="1"/>
  <c r="Q2126" i="1" s="1"/>
  <c r="M2126" i="1"/>
  <c r="L2126" i="1"/>
  <c r="I2126" i="1"/>
  <c r="H2126" i="1"/>
  <c r="P2125" i="1"/>
  <c r="O2125" i="1"/>
  <c r="N2125" i="1"/>
  <c r="Q2125" i="1" s="1"/>
  <c r="M2125" i="1"/>
  <c r="L2125" i="1"/>
  <c r="I2125" i="1"/>
  <c r="H2125" i="1"/>
  <c r="P2124" i="1"/>
  <c r="O2124" i="1"/>
  <c r="N2124" i="1"/>
  <c r="Q2124" i="1" s="1"/>
  <c r="M2124" i="1"/>
  <c r="L2124" i="1"/>
  <c r="I2124" i="1"/>
  <c r="H2124" i="1"/>
  <c r="P2123" i="1"/>
  <c r="O2123" i="1"/>
  <c r="N2123" i="1"/>
  <c r="Q2123" i="1" s="1"/>
  <c r="M2123" i="1"/>
  <c r="L2123" i="1"/>
  <c r="I2123" i="1"/>
  <c r="H2123" i="1"/>
  <c r="P2122" i="1"/>
  <c r="O2122" i="1"/>
  <c r="N2122" i="1"/>
  <c r="Q2122" i="1" s="1"/>
  <c r="M2122" i="1"/>
  <c r="L2122" i="1"/>
  <c r="I2122" i="1"/>
  <c r="H2122" i="1"/>
  <c r="P2121" i="1"/>
  <c r="O2121" i="1"/>
  <c r="N2121" i="1"/>
  <c r="Q2121" i="1" s="1"/>
  <c r="M2121" i="1"/>
  <c r="L2121" i="1"/>
  <c r="I2121" i="1"/>
  <c r="H2121" i="1"/>
  <c r="P2120" i="1"/>
  <c r="O2120" i="1"/>
  <c r="N2120" i="1"/>
  <c r="Q2120" i="1" s="1"/>
  <c r="M2120" i="1"/>
  <c r="L2120" i="1"/>
  <c r="I2120" i="1"/>
  <c r="H2120" i="1"/>
  <c r="P2119" i="1"/>
  <c r="O2119" i="1"/>
  <c r="N2119" i="1"/>
  <c r="Q2119" i="1" s="1"/>
  <c r="M2119" i="1"/>
  <c r="L2119" i="1"/>
  <c r="I2119" i="1"/>
  <c r="H2119" i="1"/>
  <c r="P2118" i="1"/>
  <c r="O2118" i="1"/>
  <c r="N2118" i="1"/>
  <c r="Q2118" i="1" s="1"/>
  <c r="M2118" i="1"/>
  <c r="L2118" i="1"/>
  <c r="I2118" i="1"/>
  <c r="H2118" i="1"/>
  <c r="P2117" i="1"/>
  <c r="O2117" i="1"/>
  <c r="N2117" i="1"/>
  <c r="Q2117" i="1" s="1"/>
  <c r="M2117" i="1"/>
  <c r="L2117" i="1"/>
  <c r="I2117" i="1"/>
  <c r="H2117" i="1"/>
  <c r="P2116" i="1"/>
  <c r="O2116" i="1"/>
  <c r="N2116" i="1"/>
  <c r="Q2116" i="1" s="1"/>
  <c r="M2116" i="1"/>
  <c r="L2116" i="1"/>
  <c r="I2116" i="1"/>
  <c r="H2116" i="1"/>
  <c r="P2115" i="1"/>
  <c r="O2115" i="1"/>
  <c r="N2115" i="1"/>
  <c r="Q2115" i="1" s="1"/>
  <c r="M2115" i="1"/>
  <c r="L2115" i="1"/>
  <c r="I2115" i="1"/>
  <c r="H2115" i="1"/>
  <c r="P2114" i="1"/>
  <c r="O2114" i="1"/>
  <c r="N2114" i="1"/>
  <c r="Q2114" i="1" s="1"/>
  <c r="M2114" i="1"/>
  <c r="L2114" i="1"/>
  <c r="I2114" i="1"/>
  <c r="H2114" i="1"/>
  <c r="P2113" i="1"/>
  <c r="O2113" i="1"/>
  <c r="N2113" i="1"/>
  <c r="Q2113" i="1" s="1"/>
  <c r="M2113" i="1"/>
  <c r="L2113" i="1"/>
  <c r="I2113" i="1"/>
  <c r="H2113" i="1"/>
  <c r="P2112" i="1"/>
  <c r="O2112" i="1"/>
  <c r="N2112" i="1"/>
  <c r="Q2112" i="1" s="1"/>
  <c r="M2112" i="1"/>
  <c r="L2112" i="1"/>
  <c r="I2112" i="1"/>
  <c r="H2112" i="1"/>
  <c r="P2111" i="1"/>
  <c r="O2111" i="1"/>
  <c r="N2111" i="1"/>
  <c r="Q2111" i="1" s="1"/>
  <c r="M2111" i="1"/>
  <c r="L2111" i="1"/>
  <c r="I2111" i="1"/>
  <c r="H2111" i="1"/>
  <c r="P2110" i="1"/>
  <c r="O2110" i="1"/>
  <c r="N2110" i="1"/>
  <c r="Q2110" i="1" s="1"/>
  <c r="M2110" i="1"/>
  <c r="L2110" i="1"/>
  <c r="I2110" i="1"/>
  <c r="H2110" i="1"/>
  <c r="P2109" i="1"/>
  <c r="O2109" i="1"/>
  <c r="N2109" i="1"/>
  <c r="Q2109" i="1" s="1"/>
  <c r="M2109" i="1"/>
  <c r="L2109" i="1"/>
  <c r="I2109" i="1"/>
  <c r="H2109" i="1"/>
  <c r="P2108" i="1"/>
  <c r="O2108" i="1"/>
  <c r="N2108" i="1"/>
  <c r="Q2108" i="1" s="1"/>
  <c r="M2108" i="1"/>
  <c r="L2108" i="1"/>
  <c r="I2108" i="1"/>
  <c r="H2108" i="1"/>
  <c r="P2107" i="1"/>
  <c r="O2107" i="1"/>
  <c r="N2107" i="1"/>
  <c r="Q2107" i="1" s="1"/>
  <c r="M2107" i="1"/>
  <c r="L2107" i="1"/>
  <c r="I2107" i="1"/>
  <c r="H2107" i="1"/>
  <c r="P2106" i="1"/>
  <c r="O2106" i="1"/>
  <c r="N2106" i="1"/>
  <c r="Q2106" i="1" s="1"/>
  <c r="M2106" i="1"/>
  <c r="L2106" i="1"/>
  <c r="I2106" i="1"/>
  <c r="H2106" i="1"/>
  <c r="P2105" i="1"/>
  <c r="O2105" i="1"/>
  <c r="N2105" i="1"/>
  <c r="Q2105" i="1" s="1"/>
  <c r="M2105" i="1"/>
  <c r="L2105" i="1"/>
  <c r="I2105" i="1"/>
  <c r="H2105" i="1"/>
  <c r="P2104" i="1"/>
  <c r="O2104" i="1"/>
  <c r="N2104" i="1"/>
  <c r="Q2104" i="1" s="1"/>
  <c r="M2104" i="1"/>
  <c r="L2104" i="1"/>
  <c r="I2104" i="1"/>
  <c r="H2104" i="1"/>
  <c r="P2103" i="1"/>
  <c r="O2103" i="1"/>
  <c r="N2103" i="1"/>
  <c r="Q2103" i="1" s="1"/>
  <c r="M2103" i="1"/>
  <c r="L2103" i="1"/>
  <c r="I2103" i="1"/>
  <c r="H2103" i="1"/>
  <c r="P2102" i="1"/>
  <c r="O2102" i="1"/>
  <c r="N2102" i="1"/>
  <c r="Q2102" i="1" s="1"/>
  <c r="M2102" i="1"/>
  <c r="L2102" i="1"/>
  <c r="I2102" i="1"/>
  <c r="H2102" i="1"/>
  <c r="P2101" i="1"/>
  <c r="O2101" i="1"/>
  <c r="N2101" i="1"/>
  <c r="Q2101" i="1" s="1"/>
  <c r="M2101" i="1"/>
  <c r="L2101" i="1"/>
  <c r="I2101" i="1"/>
  <c r="H2101" i="1"/>
  <c r="P2100" i="1"/>
  <c r="O2100" i="1"/>
  <c r="N2100" i="1"/>
  <c r="Q2100" i="1" s="1"/>
  <c r="M2100" i="1"/>
  <c r="L2100" i="1"/>
  <c r="I2100" i="1"/>
  <c r="H2100" i="1"/>
  <c r="P2099" i="1"/>
  <c r="O2099" i="1"/>
  <c r="N2099" i="1"/>
  <c r="Q2099" i="1" s="1"/>
  <c r="M2099" i="1"/>
  <c r="L2099" i="1"/>
  <c r="I2099" i="1"/>
  <c r="H2099" i="1"/>
  <c r="P2098" i="1"/>
  <c r="O2098" i="1"/>
  <c r="N2098" i="1"/>
  <c r="Q2098" i="1" s="1"/>
  <c r="M2098" i="1"/>
  <c r="L2098" i="1"/>
  <c r="I2098" i="1"/>
  <c r="H2098" i="1"/>
  <c r="P2097" i="1"/>
  <c r="O2097" i="1"/>
  <c r="N2097" i="1"/>
  <c r="Q2097" i="1" s="1"/>
  <c r="M2097" i="1"/>
  <c r="L2097" i="1"/>
  <c r="I2097" i="1"/>
  <c r="H2097" i="1"/>
  <c r="P2096" i="1"/>
  <c r="O2096" i="1"/>
  <c r="N2096" i="1"/>
  <c r="Q2096" i="1" s="1"/>
  <c r="M2096" i="1"/>
  <c r="L2096" i="1"/>
  <c r="I2096" i="1"/>
  <c r="H2096" i="1"/>
  <c r="P2095" i="1"/>
  <c r="O2095" i="1"/>
  <c r="N2095" i="1"/>
  <c r="Q2095" i="1" s="1"/>
  <c r="M2095" i="1"/>
  <c r="L2095" i="1"/>
  <c r="I2095" i="1"/>
  <c r="H2095" i="1"/>
  <c r="P2094" i="1"/>
  <c r="O2094" i="1"/>
  <c r="N2094" i="1"/>
  <c r="Q2094" i="1" s="1"/>
  <c r="M2094" i="1"/>
  <c r="L2094" i="1"/>
  <c r="I2094" i="1"/>
  <c r="H2094" i="1"/>
  <c r="P2093" i="1"/>
  <c r="O2093" i="1"/>
  <c r="N2093" i="1"/>
  <c r="Q2093" i="1" s="1"/>
  <c r="M2093" i="1"/>
  <c r="L2093" i="1"/>
  <c r="I2093" i="1"/>
  <c r="H2093" i="1"/>
  <c r="P2092" i="1"/>
  <c r="O2092" i="1"/>
  <c r="N2092" i="1"/>
  <c r="Q2092" i="1" s="1"/>
  <c r="M2092" i="1"/>
  <c r="L2092" i="1"/>
  <c r="I2092" i="1"/>
  <c r="H2092" i="1"/>
  <c r="P2091" i="1"/>
  <c r="O2091" i="1"/>
  <c r="N2091" i="1"/>
  <c r="Q2091" i="1" s="1"/>
  <c r="M2091" i="1"/>
  <c r="L2091" i="1"/>
  <c r="I2091" i="1"/>
  <c r="H2091" i="1"/>
  <c r="P2090" i="1"/>
  <c r="O2090" i="1"/>
  <c r="N2090" i="1"/>
  <c r="Q2090" i="1" s="1"/>
  <c r="M2090" i="1"/>
  <c r="L2090" i="1"/>
  <c r="I2090" i="1"/>
  <c r="H2090" i="1"/>
  <c r="P2089" i="1"/>
  <c r="O2089" i="1"/>
  <c r="N2089" i="1"/>
  <c r="Q2089" i="1" s="1"/>
  <c r="M2089" i="1"/>
  <c r="L2089" i="1"/>
  <c r="I2089" i="1"/>
  <c r="H2089" i="1"/>
  <c r="P2088" i="1"/>
  <c r="O2088" i="1"/>
  <c r="N2088" i="1"/>
  <c r="Q2088" i="1" s="1"/>
  <c r="M2088" i="1"/>
  <c r="L2088" i="1"/>
  <c r="I2088" i="1"/>
  <c r="H2088" i="1"/>
  <c r="P2087" i="1"/>
  <c r="O2087" i="1"/>
  <c r="N2087" i="1"/>
  <c r="Q2087" i="1" s="1"/>
  <c r="M2087" i="1"/>
  <c r="L2087" i="1"/>
  <c r="I2087" i="1"/>
  <c r="H2087" i="1"/>
  <c r="P2086" i="1"/>
  <c r="O2086" i="1"/>
  <c r="N2086" i="1"/>
  <c r="Q2086" i="1" s="1"/>
  <c r="M2086" i="1"/>
  <c r="L2086" i="1"/>
  <c r="I2086" i="1"/>
  <c r="H2086" i="1"/>
  <c r="P2085" i="1"/>
  <c r="O2085" i="1"/>
  <c r="N2085" i="1"/>
  <c r="Q2085" i="1" s="1"/>
  <c r="M2085" i="1"/>
  <c r="L2085" i="1"/>
  <c r="I2085" i="1"/>
  <c r="H2085" i="1"/>
  <c r="P2084" i="1"/>
  <c r="O2084" i="1"/>
  <c r="N2084" i="1"/>
  <c r="Q2084" i="1" s="1"/>
  <c r="M2084" i="1"/>
  <c r="L2084" i="1"/>
  <c r="I2084" i="1"/>
  <c r="H2084" i="1"/>
  <c r="P2083" i="1"/>
  <c r="O2083" i="1"/>
  <c r="N2083" i="1"/>
  <c r="Q2083" i="1" s="1"/>
  <c r="M2083" i="1"/>
  <c r="L2083" i="1"/>
  <c r="I2083" i="1"/>
  <c r="H2083" i="1"/>
  <c r="P2082" i="1"/>
  <c r="O2082" i="1"/>
  <c r="N2082" i="1"/>
  <c r="Q2082" i="1" s="1"/>
  <c r="M2082" i="1"/>
  <c r="L2082" i="1"/>
  <c r="I2082" i="1"/>
  <c r="H2082" i="1"/>
  <c r="P2081" i="1"/>
  <c r="O2081" i="1"/>
  <c r="N2081" i="1"/>
  <c r="Q2081" i="1" s="1"/>
  <c r="M2081" i="1"/>
  <c r="L2081" i="1"/>
  <c r="I2081" i="1"/>
  <c r="H2081" i="1"/>
  <c r="P2080" i="1"/>
  <c r="O2080" i="1"/>
  <c r="N2080" i="1"/>
  <c r="Q2080" i="1" s="1"/>
  <c r="M2080" i="1"/>
  <c r="L2080" i="1"/>
  <c r="I2080" i="1"/>
  <c r="H2080" i="1"/>
  <c r="P2079" i="1"/>
  <c r="O2079" i="1"/>
  <c r="N2079" i="1"/>
  <c r="Q2079" i="1" s="1"/>
  <c r="M2079" i="1"/>
  <c r="L2079" i="1"/>
  <c r="I2079" i="1"/>
  <c r="H2079" i="1"/>
  <c r="P2078" i="1"/>
  <c r="O2078" i="1"/>
  <c r="N2078" i="1"/>
  <c r="Q2078" i="1" s="1"/>
  <c r="M2078" i="1"/>
  <c r="L2078" i="1"/>
  <c r="I2078" i="1"/>
  <c r="H2078" i="1"/>
  <c r="P2077" i="1"/>
  <c r="O2077" i="1"/>
  <c r="N2077" i="1"/>
  <c r="Q2077" i="1" s="1"/>
  <c r="M2077" i="1"/>
  <c r="L2077" i="1"/>
  <c r="I2077" i="1"/>
  <c r="H2077" i="1"/>
  <c r="P2076" i="1"/>
  <c r="O2076" i="1"/>
  <c r="N2076" i="1"/>
  <c r="Q2076" i="1" s="1"/>
  <c r="M2076" i="1"/>
  <c r="L2076" i="1"/>
  <c r="I2076" i="1"/>
  <c r="H2076" i="1"/>
  <c r="P2075" i="1"/>
  <c r="O2075" i="1"/>
  <c r="N2075" i="1"/>
  <c r="Q2075" i="1" s="1"/>
  <c r="M2075" i="1"/>
  <c r="L2075" i="1"/>
  <c r="I2075" i="1"/>
  <c r="H2075" i="1"/>
  <c r="P2074" i="1"/>
  <c r="O2074" i="1"/>
  <c r="N2074" i="1"/>
  <c r="Q2074" i="1" s="1"/>
  <c r="M2074" i="1"/>
  <c r="L2074" i="1"/>
  <c r="I2074" i="1"/>
  <c r="H2074" i="1"/>
  <c r="P2073" i="1"/>
  <c r="O2073" i="1"/>
  <c r="M2073" i="1"/>
  <c r="L2073" i="1"/>
  <c r="N2073" i="1" s="1"/>
  <c r="I2073" i="1"/>
  <c r="H2073" i="1"/>
  <c r="P2072" i="1"/>
  <c r="O2072" i="1"/>
  <c r="M2072" i="1"/>
  <c r="L2072" i="1"/>
  <c r="N2072" i="1" s="1"/>
  <c r="Q2072" i="1" s="1"/>
  <c r="I2072" i="1"/>
  <c r="H2072" i="1"/>
  <c r="P2071" i="1"/>
  <c r="O2071" i="1"/>
  <c r="N2071" i="1"/>
  <c r="Q2071" i="1" s="1"/>
  <c r="M2071" i="1"/>
  <c r="L2071" i="1"/>
  <c r="I2071" i="1"/>
  <c r="H2071" i="1"/>
  <c r="P2070" i="1"/>
  <c r="O2070" i="1"/>
  <c r="M2070" i="1"/>
  <c r="L2070" i="1"/>
  <c r="N2070" i="1" s="1"/>
  <c r="Q2070" i="1" s="1"/>
  <c r="I2070" i="1"/>
  <c r="H2070" i="1"/>
  <c r="P2069" i="1"/>
  <c r="O2069" i="1"/>
  <c r="M2069" i="1"/>
  <c r="L2069" i="1"/>
  <c r="N2069" i="1" s="1"/>
  <c r="Q2069" i="1" s="1"/>
  <c r="I2069" i="1"/>
  <c r="H2069" i="1"/>
  <c r="P2068" i="1"/>
  <c r="O2068" i="1"/>
  <c r="M2068" i="1"/>
  <c r="L2068" i="1"/>
  <c r="N2068" i="1" s="1"/>
  <c r="Q2068" i="1" s="1"/>
  <c r="I2068" i="1"/>
  <c r="H2068" i="1"/>
  <c r="P2067" i="1"/>
  <c r="O2067" i="1"/>
  <c r="N2067" i="1"/>
  <c r="Q2067" i="1" s="1"/>
  <c r="M2067" i="1"/>
  <c r="L2067" i="1"/>
  <c r="I2067" i="1"/>
  <c r="H2067" i="1"/>
  <c r="P2066" i="1"/>
  <c r="O2066" i="1"/>
  <c r="M2066" i="1"/>
  <c r="L2066" i="1"/>
  <c r="N2066" i="1" s="1"/>
  <c r="Q2066" i="1" s="1"/>
  <c r="I2066" i="1"/>
  <c r="H2066" i="1"/>
  <c r="P2065" i="1"/>
  <c r="O2065" i="1"/>
  <c r="M2065" i="1"/>
  <c r="L2065" i="1"/>
  <c r="N2065" i="1" s="1"/>
  <c r="Q2065" i="1" s="1"/>
  <c r="I2065" i="1"/>
  <c r="H2065" i="1"/>
  <c r="P2064" i="1"/>
  <c r="O2064" i="1"/>
  <c r="M2064" i="1"/>
  <c r="L2064" i="1"/>
  <c r="N2064" i="1" s="1"/>
  <c r="Q2064" i="1" s="1"/>
  <c r="I2064" i="1"/>
  <c r="H2064" i="1"/>
  <c r="P2063" i="1"/>
  <c r="O2063" i="1"/>
  <c r="M2063" i="1"/>
  <c r="L2063" i="1"/>
  <c r="N2063" i="1" s="1"/>
  <c r="Q2063" i="1" s="1"/>
  <c r="I2063" i="1"/>
  <c r="H2063" i="1"/>
  <c r="P2062" i="1"/>
  <c r="O2062" i="1"/>
  <c r="M2062" i="1"/>
  <c r="L2062" i="1"/>
  <c r="N2062" i="1" s="1"/>
  <c r="Q2062" i="1" s="1"/>
  <c r="I2062" i="1"/>
  <c r="H2062" i="1"/>
  <c r="P2061" i="1"/>
  <c r="O2061" i="1"/>
  <c r="M2061" i="1"/>
  <c r="L2061" i="1"/>
  <c r="N2061" i="1" s="1"/>
  <c r="Q2061" i="1" s="1"/>
  <c r="I2061" i="1"/>
  <c r="H2061" i="1"/>
  <c r="P2060" i="1"/>
  <c r="O2060" i="1"/>
  <c r="M2060" i="1"/>
  <c r="L2060" i="1"/>
  <c r="N2060" i="1" s="1"/>
  <c r="Q2060" i="1" s="1"/>
  <c r="I2060" i="1"/>
  <c r="H2060" i="1"/>
  <c r="P2059" i="1"/>
  <c r="O2059" i="1"/>
  <c r="M2059" i="1"/>
  <c r="L2059" i="1"/>
  <c r="N2059" i="1" s="1"/>
  <c r="Q2059" i="1" s="1"/>
  <c r="I2059" i="1"/>
  <c r="H2059" i="1"/>
  <c r="P2058" i="1"/>
  <c r="O2058" i="1"/>
  <c r="M2058" i="1"/>
  <c r="L2058" i="1"/>
  <c r="N2058" i="1" s="1"/>
  <c r="Q2058" i="1" s="1"/>
  <c r="I2058" i="1"/>
  <c r="H2058" i="1"/>
  <c r="P2057" i="1"/>
  <c r="O2057" i="1"/>
  <c r="M2057" i="1"/>
  <c r="L2057" i="1"/>
  <c r="N2057" i="1" s="1"/>
  <c r="Q2057" i="1" s="1"/>
  <c r="I2057" i="1"/>
  <c r="H2057" i="1"/>
  <c r="P2056" i="1"/>
  <c r="O2056" i="1"/>
  <c r="M2056" i="1"/>
  <c r="L2056" i="1"/>
  <c r="N2056" i="1" s="1"/>
  <c r="Q2056" i="1" s="1"/>
  <c r="I2056" i="1"/>
  <c r="H2056" i="1"/>
  <c r="P2055" i="1"/>
  <c r="O2055" i="1"/>
  <c r="M2055" i="1"/>
  <c r="L2055" i="1"/>
  <c r="N2055" i="1" s="1"/>
  <c r="Q2055" i="1" s="1"/>
  <c r="I2055" i="1"/>
  <c r="H2055" i="1"/>
  <c r="P2054" i="1"/>
  <c r="O2054" i="1"/>
  <c r="M2054" i="1"/>
  <c r="L2054" i="1"/>
  <c r="N2054" i="1" s="1"/>
  <c r="Q2054" i="1" s="1"/>
  <c r="I2054" i="1"/>
  <c r="H2054" i="1"/>
  <c r="P2053" i="1"/>
  <c r="O2053" i="1"/>
  <c r="M2053" i="1"/>
  <c r="L2053" i="1"/>
  <c r="N2053" i="1" s="1"/>
  <c r="Q2053" i="1" s="1"/>
  <c r="I2053" i="1"/>
  <c r="H2053" i="1"/>
  <c r="P2052" i="1"/>
  <c r="O2052" i="1"/>
  <c r="M2052" i="1"/>
  <c r="L2052" i="1"/>
  <c r="N2052" i="1" s="1"/>
  <c r="Q2052" i="1" s="1"/>
  <c r="I2052" i="1"/>
  <c r="H2052" i="1"/>
  <c r="P2051" i="1"/>
  <c r="O2051" i="1"/>
  <c r="M2051" i="1"/>
  <c r="L2051" i="1"/>
  <c r="N2051" i="1" s="1"/>
  <c r="Q2051" i="1" s="1"/>
  <c r="I2051" i="1"/>
  <c r="H2051" i="1"/>
  <c r="P2050" i="1"/>
  <c r="O2050" i="1"/>
  <c r="M2050" i="1"/>
  <c r="L2050" i="1"/>
  <c r="N2050" i="1" s="1"/>
  <c r="Q2050" i="1" s="1"/>
  <c r="I2050" i="1"/>
  <c r="H2050" i="1"/>
  <c r="P2049" i="1"/>
  <c r="O2049" i="1"/>
  <c r="M2049" i="1"/>
  <c r="L2049" i="1"/>
  <c r="N2049" i="1" s="1"/>
  <c r="Q2049" i="1" s="1"/>
  <c r="I2049" i="1"/>
  <c r="H2049" i="1"/>
  <c r="P2048" i="1"/>
  <c r="O2048" i="1"/>
  <c r="M2048" i="1"/>
  <c r="L2048" i="1"/>
  <c r="N2048" i="1" s="1"/>
  <c r="Q2048" i="1" s="1"/>
  <c r="I2048" i="1"/>
  <c r="H2048" i="1"/>
  <c r="P2047" i="1"/>
  <c r="O2047" i="1"/>
  <c r="M2047" i="1"/>
  <c r="L2047" i="1"/>
  <c r="N2047" i="1" s="1"/>
  <c r="Q2047" i="1" s="1"/>
  <c r="I2047" i="1"/>
  <c r="H2047" i="1"/>
  <c r="P2046" i="1"/>
  <c r="O2046" i="1"/>
  <c r="M2046" i="1"/>
  <c r="L2046" i="1"/>
  <c r="N2046" i="1" s="1"/>
  <c r="Q2046" i="1" s="1"/>
  <c r="I2046" i="1"/>
  <c r="H2046" i="1"/>
  <c r="P2045" i="1"/>
  <c r="O2045" i="1"/>
  <c r="M2045" i="1"/>
  <c r="L2045" i="1"/>
  <c r="N2045" i="1" s="1"/>
  <c r="Q2045" i="1" s="1"/>
  <c r="I2045" i="1"/>
  <c r="H2045" i="1"/>
  <c r="P2044" i="1"/>
  <c r="O2044" i="1"/>
  <c r="M2044" i="1"/>
  <c r="L2044" i="1"/>
  <c r="N2044" i="1" s="1"/>
  <c r="Q2044" i="1" s="1"/>
  <c r="I2044" i="1"/>
  <c r="H2044" i="1"/>
  <c r="P2043" i="1"/>
  <c r="O2043" i="1"/>
  <c r="M2043" i="1"/>
  <c r="L2043" i="1"/>
  <c r="N2043" i="1" s="1"/>
  <c r="Q2043" i="1" s="1"/>
  <c r="I2043" i="1"/>
  <c r="H2043" i="1"/>
  <c r="P2042" i="1"/>
  <c r="O2042" i="1"/>
  <c r="M2042" i="1"/>
  <c r="L2042" i="1"/>
  <c r="N2042" i="1" s="1"/>
  <c r="Q2042" i="1" s="1"/>
  <c r="I2042" i="1"/>
  <c r="H2042" i="1"/>
  <c r="P2041" i="1"/>
  <c r="O2041" i="1"/>
  <c r="M2041" i="1"/>
  <c r="L2041" i="1"/>
  <c r="N2041" i="1" s="1"/>
  <c r="Q2041" i="1" s="1"/>
  <c r="I2041" i="1"/>
  <c r="H2041" i="1"/>
  <c r="P2040" i="1"/>
  <c r="O2040" i="1"/>
  <c r="M2040" i="1"/>
  <c r="L2040" i="1"/>
  <c r="N2040" i="1" s="1"/>
  <c r="Q2040" i="1" s="1"/>
  <c r="I2040" i="1"/>
  <c r="H2040" i="1"/>
  <c r="P2039" i="1"/>
  <c r="O2039" i="1"/>
  <c r="M2039" i="1"/>
  <c r="L2039" i="1"/>
  <c r="N2039" i="1" s="1"/>
  <c r="Q2039" i="1" s="1"/>
  <c r="I2039" i="1"/>
  <c r="H2039" i="1"/>
  <c r="P2038" i="1"/>
  <c r="O2038" i="1"/>
  <c r="M2038" i="1"/>
  <c r="L2038" i="1"/>
  <c r="N2038" i="1" s="1"/>
  <c r="Q2038" i="1" s="1"/>
  <c r="I2038" i="1"/>
  <c r="H2038" i="1"/>
  <c r="P2037" i="1"/>
  <c r="O2037" i="1"/>
  <c r="M2037" i="1"/>
  <c r="L2037" i="1"/>
  <c r="N2037" i="1" s="1"/>
  <c r="Q2037" i="1" s="1"/>
  <c r="I2037" i="1"/>
  <c r="H2037" i="1"/>
  <c r="P2036" i="1"/>
  <c r="O2036" i="1"/>
  <c r="M2036" i="1"/>
  <c r="L2036" i="1"/>
  <c r="N2036" i="1" s="1"/>
  <c r="Q2036" i="1" s="1"/>
  <c r="I2036" i="1"/>
  <c r="H2036" i="1"/>
  <c r="P2035" i="1"/>
  <c r="O2035" i="1"/>
  <c r="M2035" i="1"/>
  <c r="L2035" i="1"/>
  <c r="N2035" i="1" s="1"/>
  <c r="Q2035" i="1" s="1"/>
  <c r="I2035" i="1"/>
  <c r="H2035" i="1"/>
  <c r="P2034" i="1"/>
  <c r="O2034" i="1"/>
  <c r="M2034" i="1"/>
  <c r="L2034" i="1"/>
  <c r="N2034" i="1" s="1"/>
  <c r="Q2034" i="1" s="1"/>
  <c r="I2034" i="1"/>
  <c r="H2034" i="1"/>
  <c r="P2033" i="1"/>
  <c r="O2033" i="1"/>
  <c r="M2033" i="1"/>
  <c r="L2033" i="1"/>
  <c r="N2033" i="1" s="1"/>
  <c r="Q2033" i="1" s="1"/>
  <c r="I2033" i="1"/>
  <c r="H2033" i="1"/>
  <c r="P2032" i="1"/>
  <c r="O2032" i="1"/>
  <c r="M2032" i="1"/>
  <c r="L2032" i="1"/>
  <c r="N2032" i="1" s="1"/>
  <c r="Q2032" i="1" s="1"/>
  <c r="I2032" i="1"/>
  <c r="H2032" i="1"/>
  <c r="P2031" i="1"/>
  <c r="O2031" i="1"/>
  <c r="M2031" i="1"/>
  <c r="L2031" i="1"/>
  <c r="N2031" i="1" s="1"/>
  <c r="Q2031" i="1" s="1"/>
  <c r="I2031" i="1"/>
  <c r="H2031" i="1"/>
  <c r="P2030" i="1"/>
  <c r="O2030" i="1"/>
  <c r="M2030" i="1"/>
  <c r="L2030" i="1"/>
  <c r="N2030" i="1" s="1"/>
  <c r="Q2030" i="1" s="1"/>
  <c r="I2030" i="1"/>
  <c r="H2030" i="1"/>
  <c r="P2029" i="1"/>
  <c r="O2029" i="1"/>
  <c r="M2029" i="1"/>
  <c r="L2029" i="1"/>
  <c r="N2029" i="1" s="1"/>
  <c r="Q2029" i="1" s="1"/>
  <c r="I2029" i="1"/>
  <c r="H2029" i="1"/>
  <c r="P2028" i="1"/>
  <c r="O2028" i="1"/>
  <c r="M2028" i="1"/>
  <c r="L2028" i="1"/>
  <c r="N2028" i="1" s="1"/>
  <c r="Q2028" i="1" s="1"/>
  <c r="I2028" i="1"/>
  <c r="H2028" i="1"/>
  <c r="P2027" i="1"/>
  <c r="O2027" i="1"/>
  <c r="M2027" i="1"/>
  <c r="L2027" i="1"/>
  <c r="N2027" i="1" s="1"/>
  <c r="Q2027" i="1" s="1"/>
  <c r="I2027" i="1"/>
  <c r="H2027" i="1"/>
  <c r="P2026" i="1"/>
  <c r="O2026" i="1"/>
  <c r="M2026" i="1"/>
  <c r="L2026" i="1"/>
  <c r="N2026" i="1" s="1"/>
  <c r="Q2026" i="1" s="1"/>
  <c r="I2026" i="1"/>
  <c r="H2026" i="1"/>
  <c r="P2025" i="1"/>
  <c r="O2025" i="1"/>
  <c r="M2025" i="1"/>
  <c r="L2025" i="1"/>
  <c r="N2025" i="1" s="1"/>
  <c r="Q2025" i="1" s="1"/>
  <c r="I2025" i="1"/>
  <c r="H2025" i="1"/>
  <c r="P2024" i="1"/>
  <c r="O2024" i="1"/>
  <c r="M2024" i="1"/>
  <c r="L2024" i="1"/>
  <c r="N2024" i="1" s="1"/>
  <c r="Q2024" i="1" s="1"/>
  <c r="I2024" i="1"/>
  <c r="H2024" i="1"/>
  <c r="P2023" i="1"/>
  <c r="O2023" i="1"/>
  <c r="M2023" i="1"/>
  <c r="L2023" i="1"/>
  <c r="N2023" i="1" s="1"/>
  <c r="Q2023" i="1" s="1"/>
  <c r="I2023" i="1"/>
  <c r="H2023" i="1"/>
  <c r="P2022" i="1"/>
  <c r="O2022" i="1"/>
  <c r="M2022" i="1"/>
  <c r="L2022" i="1"/>
  <c r="N2022" i="1" s="1"/>
  <c r="Q2022" i="1" s="1"/>
  <c r="I2022" i="1"/>
  <c r="H2022" i="1"/>
  <c r="P2021" i="1"/>
  <c r="O2021" i="1"/>
  <c r="M2021" i="1"/>
  <c r="L2021" i="1"/>
  <c r="N2021" i="1" s="1"/>
  <c r="Q2021" i="1" s="1"/>
  <c r="I2021" i="1"/>
  <c r="H2021" i="1"/>
  <c r="P2020" i="1"/>
  <c r="O2020" i="1"/>
  <c r="M2020" i="1"/>
  <c r="L2020" i="1"/>
  <c r="N2020" i="1" s="1"/>
  <c r="Q2020" i="1" s="1"/>
  <c r="I2020" i="1"/>
  <c r="H2020" i="1"/>
  <c r="P2019" i="1"/>
  <c r="O2019" i="1"/>
  <c r="M2019" i="1"/>
  <c r="L2019" i="1"/>
  <c r="N2019" i="1" s="1"/>
  <c r="Q2019" i="1" s="1"/>
  <c r="I2019" i="1"/>
  <c r="H2019" i="1"/>
  <c r="P2018" i="1"/>
  <c r="O2018" i="1"/>
  <c r="M2018" i="1"/>
  <c r="L2018" i="1"/>
  <c r="N2018" i="1" s="1"/>
  <c r="Q2018" i="1" s="1"/>
  <c r="I2018" i="1"/>
  <c r="H2018" i="1"/>
  <c r="P2017" i="1"/>
  <c r="O2017" i="1"/>
  <c r="M2017" i="1"/>
  <c r="L2017" i="1"/>
  <c r="N2017" i="1" s="1"/>
  <c r="Q2017" i="1" s="1"/>
  <c r="I2017" i="1"/>
  <c r="H2017" i="1"/>
  <c r="P2016" i="1"/>
  <c r="O2016" i="1"/>
  <c r="M2016" i="1"/>
  <c r="L2016" i="1"/>
  <c r="N2016" i="1" s="1"/>
  <c r="Q2016" i="1" s="1"/>
  <c r="I2016" i="1"/>
  <c r="H2016" i="1"/>
  <c r="P2015" i="1"/>
  <c r="O2015" i="1"/>
  <c r="M2015" i="1"/>
  <c r="L2015" i="1"/>
  <c r="N2015" i="1" s="1"/>
  <c r="Q2015" i="1" s="1"/>
  <c r="I2015" i="1"/>
  <c r="H2015" i="1"/>
  <c r="P2014" i="1"/>
  <c r="O2014" i="1"/>
  <c r="M2014" i="1"/>
  <c r="L2014" i="1"/>
  <c r="N2014" i="1" s="1"/>
  <c r="Q2014" i="1" s="1"/>
  <c r="I2014" i="1"/>
  <c r="H2014" i="1"/>
  <c r="P2013" i="1"/>
  <c r="O2013" i="1"/>
  <c r="M2013" i="1"/>
  <c r="L2013" i="1"/>
  <c r="N2013" i="1" s="1"/>
  <c r="Q2013" i="1" s="1"/>
  <c r="I2013" i="1"/>
  <c r="H2013" i="1"/>
  <c r="P2012" i="1"/>
  <c r="O2012" i="1"/>
  <c r="M2012" i="1"/>
  <c r="L2012" i="1"/>
  <c r="N2012" i="1" s="1"/>
  <c r="Q2012" i="1" s="1"/>
  <c r="I2012" i="1"/>
  <c r="H2012" i="1"/>
  <c r="P2011" i="1"/>
  <c r="O2011" i="1"/>
  <c r="M2011" i="1"/>
  <c r="L2011" i="1"/>
  <c r="N2011" i="1" s="1"/>
  <c r="Q2011" i="1" s="1"/>
  <c r="I2011" i="1"/>
  <c r="H2011" i="1"/>
  <c r="P2010" i="1"/>
  <c r="O2010" i="1"/>
  <c r="M2010" i="1"/>
  <c r="L2010" i="1"/>
  <c r="N2010" i="1" s="1"/>
  <c r="I2010" i="1"/>
  <c r="H2010" i="1"/>
  <c r="P2009" i="1"/>
  <c r="O2009" i="1"/>
  <c r="M2009" i="1"/>
  <c r="L2009" i="1"/>
  <c r="N2009" i="1" s="1"/>
  <c r="Q2009" i="1" s="1"/>
  <c r="I2009" i="1"/>
  <c r="H2009" i="1"/>
  <c r="P2008" i="1"/>
  <c r="O2008" i="1"/>
  <c r="M2008" i="1"/>
  <c r="L2008" i="1"/>
  <c r="N2008" i="1" s="1"/>
  <c r="Q2008" i="1" s="1"/>
  <c r="I2008" i="1"/>
  <c r="H2008" i="1"/>
  <c r="P2007" i="1"/>
  <c r="O2007" i="1"/>
  <c r="M2007" i="1"/>
  <c r="L2007" i="1"/>
  <c r="N2007" i="1" s="1"/>
  <c r="Q2007" i="1" s="1"/>
  <c r="I2007" i="1"/>
  <c r="H2007" i="1"/>
  <c r="P2006" i="1"/>
  <c r="O2006" i="1"/>
  <c r="M2006" i="1"/>
  <c r="L2006" i="1"/>
  <c r="N2006" i="1" s="1"/>
  <c r="I2006" i="1"/>
  <c r="H2006" i="1"/>
  <c r="P2005" i="1"/>
  <c r="O2005" i="1"/>
  <c r="M2005" i="1"/>
  <c r="L2005" i="1"/>
  <c r="N2005" i="1" s="1"/>
  <c r="Q2005" i="1" s="1"/>
  <c r="I2005" i="1"/>
  <c r="H2005" i="1"/>
  <c r="P2004" i="1"/>
  <c r="O2004" i="1"/>
  <c r="M2004" i="1"/>
  <c r="L2004" i="1"/>
  <c r="N2004" i="1" s="1"/>
  <c r="Q2004" i="1" s="1"/>
  <c r="I2004" i="1"/>
  <c r="H2004" i="1"/>
  <c r="P2003" i="1"/>
  <c r="O2003" i="1"/>
  <c r="M2003" i="1"/>
  <c r="L2003" i="1"/>
  <c r="N2003" i="1" s="1"/>
  <c r="Q2003" i="1" s="1"/>
  <c r="I2003" i="1"/>
  <c r="H2003" i="1"/>
  <c r="P2002" i="1"/>
  <c r="O2002" i="1"/>
  <c r="M2002" i="1"/>
  <c r="L2002" i="1"/>
  <c r="N2002" i="1" s="1"/>
  <c r="I2002" i="1"/>
  <c r="H2002" i="1"/>
  <c r="P2001" i="1"/>
  <c r="O2001" i="1"/>
  <c r="M2001" i="1"/>
  <c r="L2001" i="1"/>
  <c r="N2001" i="1" s="1"/>
  <c r="Q2001" i="1" s="1"/>
  <c r="I2001" i="1"/>
  <c r="H2001" i="1"/>
  <c r="P2000" i="1"/>
  <c r="O2000" i="1"/>
  <c r="M2000" i="1"/>
  <c r="L2000" i="1"/>
  <c r="N2000" i="1" s="1"/>
  <c r="Q2000" i="1" s="1"/>
  <c r="I2000" i="1"/>
  <c r="H2000" i="1"/>
  <c r="P1999" i="1"/>
  <c r="O1999" i="1"/>
  <c r="M1999" i="1"/>
  <c r="L1999" i="1"/>
  <c r="N1999" i="1" s="1"/>
  <c r="Q1999" i="1" s="1"/>
  <c r="I1999" i="1"/>
  <c r="H1999" i="1"/>
  <c r="P1998" i="1"/>
  <c r="O1998" i="1"/>
  <c r="M1998" i="1"/>
  <c r="L1998" i="1"/>
  <c r="N1998" i="1" s="1"/>
  <c r="Q1998" i="1" s="1"/>
  <c r="I1998" i="1"/>
  <c r="H1998" i="1"/>
  <c r="P1997" i="1"/>
  <c r="O1997" i="1"/>
  <c r="M1997" i="1"/>
  <c r="L1997" i="1"/>
  <c r="N1997" i="1" s="1"/>
  <c r="Q1997" i="1" s="1"/>
  <c r="I1997" i="1"/>
  <c r="H1997" i="1"/>
  <c r="P1996" i="1"/>
  <c r="O1996" i="1"/>
  <c r="M1996" i="1"/>
  <c r="L1996" i="1"/>
  <c r="N1996" i="1" s="1"/>
  <c r="Q1996" i="1" s="1"/>
  <c r="I1996" i="1"/>
  <c r="H1996" i="1"/>
  <c r="P1995" i="1"/>
  <c r="O1995" i="1"/>
  <c r="M1995" i="1"/>
  <c r="L1995" i="1"/>
  <c r="N1995" i="1" s="1"/>
  <c r="Q1995" i="1" s="1"/>
  <c r="I1995" i="1"/>
  <c r="H1995" i="1"/>
  <c r="P1994" i="1"/>
  <c r="O1994" i="1"/>
  <c r="M1994" i="1"/>
  <c r="L1994" i="1"/>
  <c r="N1994" i="1" s="1"/>
  <c r="I1994" i="1"/>
  <c r="H1994" i="1"/>
  <c r="P1993" i="1"/>
  <c r="O1993" i="1"/>
  <c r="M1993" i="1"/>
  <c r="L1993" i="1"/>
  <c r="N1993" i="1" s="1"/>
  <c r="Q1993" i="1" s="1"/>
  <c r="I1993" i="1"/>
  <c r="H1993" i="1"/>
  <c r="P1992" i="1"/>
  <c r="O1992" i="1"/>
  <c r="M1992" i="1"/>
  <c r="L1992" i="1"/>
  <c r="N1992" i="1" s="1"/>
  <c r="Q1992" i="1" s="1"/>
  <c r="I1992" i="1"/>
  <c r="H1992" i="1"/>
  <c r="P1991" i="1"/>
  <c r="O1991" i="1"/>
  <c r="M1991" i="1"/>
  <c r="L1991" i="1"/>
  <c r="N1991" i="1" s="1"/>
  <c r="Q1991" i="1" s="1"/>
  <c r="I1991" i="1"/>
  <c r="H1991" i="1"/>
  <c r="P1990" i="1"/>
  <c r="O1990" i="1"/>
  <c r="M1990" i="1"/>
  <c r="L1990" i="1"/>
  <c r="N1990" i="1" s="1"/>
  <c r="I1990" i="1"/>
  <c r="H1990" i="1"/>
  <c r="P1989" i="1"/>
  <c r="O1989" i="1"/>
  <c r="M1989" i="1"/>
  <c r="L1989" i="1"/>
  <c r="N1989" i="1" s="1"/>
  <c r="Q1989" i="1" s="1"/>
  <c r="I1989" i="1"/>
  <c r="H1989" i="1"/>
  <c r="P1988" i="1"/>
  <c r="O1988" i="1"/>
  <c r="M1988" i="1"/>
  <c r="L1988" i="1"/>
  <c r="N1988" i="1" s="1"/>
  <c r="Q1988" i="1" s="1"/>
  <c r="I1988" i="1"/>
  <c r="H1988" i="1"/>
  <c r="P1987" i="1"/>
  <c r="O1987" i="1"/>
  <c r="M1987" i="1"/>
  <c r="L1987" i="1"/>
  <c r="N1987" i="1" s="1"/>
  <c r="Q1987" i="1" s="1"/>
  <c r="I1987" i="1"/>
  <c r="H1987" i="1"/>
  <c r="P1986" i="1"/>
  <c r="O1986" i="1"/>
  <c r="M1986" i="1"/>
  <c r="L1986" i="1"/>
  <c r="N1986" i="1" s="1"/>
  <c r="I1986" i="1"/>
  <c r="H1986" i="1"/>
  <c r="P1985" i="1"/>
  <c r="O1985" i="1"/>
  <c r="M1985" i="1"/>
  <c r="L1985" i="1"/>
  <c r="N1985" i="1" s="1"/>
  <c r="Q1985" i="1" s="1"/>
  <c r="I1985" i="1"/>
  <c r="H1985" i="1"/>
  <c r="P1984" i="1"/>
  <c r="O1984" i="1"/>
  <c r="M1984" i="1"/>
  <c r="L1984" i="1"/>
  <c r="N1984" i="1" s="1"/>
  <c r="Q1984" i="1" s="1"/>
  <c r="I1984" i="1"/>
  <c r="H1984" i="1"/>
  <c r="O1983" i="1"/>
  <c r="M1983" i="1"/>
  <c r="L1983" i="1"/>
  <c r="N1983" i="1" s="1"/>
  <c r="I1983" i="1"/>
  <c r="P1983" i="1" s="1"/>
  <c r="Q1983" i="1" s="1"/>
  <c r="H1983" i="1"/>
  <c r="P1982" i="1"/>
  <c r="O1982" i="1"/>
  <c r="M1982" i="1"/>
  <c r="L1982" i="1"/>
  <c r="N1982" i="1" s="1"/>
  <c r="I1982" i="1"/>
  <c r="H1982" i="1"/>
  <c r="P1981" i="1"/>
  <c r="O1981" i="1"/>
  <c r="M1981" i="1"/>
  <c r="L1981" i="1"/>
  <c r="N1981" i="1" s="1"/>
  <c r="I1981" i="1"/>
  <c r="H1981" i="1"/>
  <c r="P1980" i="1"/>
  <c r="O1980" i="1"/>
  <c r="M1980" i="1"/>
  <c r="L1980" i="1"/>
  <c r="N1980" i="1" s="1"/>
  <c r="I1980" i="1"/>
  <c r="H1980" i="1"/>
  <c r="P1979" i="1"/>
  <c r="O1979" i="1"/>
  <c r="M1979" i="1"/>
  <c r="L1979" i="1"/>
  <c r="N1979" i="1" s="1"/>
  <c r="I1979" i="1"/>
  <c r="H1979" i="1"/>
  <c r="P1978" i="1"/>
  <c r="O1978" i="1"/>
  <c r="M1978" i="1"/>
  <c r="L1978" i="1"/>
  <c r="N1978" i="1" s="1"/>
  <c r="I1978" i="1"/>
  <c r="H1978" i="1"/>
  <c r="P1977" i="1"/>
  <c r="O1977" i="1"/>
  <c r="M1977" i="1"/>
  <c r="L1977" i="1"/>
  <c r="N1977" i="1" s="1"/>
  <c r="I1977" i="1"/>
  <c r="H1977" i="1"/>
  <c r="P1976" i="1"/>
  <c r="O1976" i="1"/>
  <c r="M1976" i="1"/>
  <c r="L1976" i="1"/>
  <c r="N1976" i="1" s="1"/>
  <c r="I1976" i="1"/>
  <c r="H1976" i="1"/>
  <c r="P1975" i="1"/>
  <c r="O1975" i="1"/>
  <c r="M1975" i="1"/>
  <c r="L1975" i="1"/>
  <c r="N1975" i="1" s="1"/>
  <c r="I1975" i="1"/>
  <c r="H1975" i="1"/>
  <c r="P1974" i="1"/>
  <c r="O1974" i="1"/>
  <c r="M1974" i="1"/>
  <c r="L1974" i="1"/>
  <c r="N1974" i="1" s="1"/>
  <c r="I1974" i="1"/>
  <c r="H1974" i="1"/>
  <c r="P1973" i="1"/>
  <c r="O1973" i="1"/>
  <c r="M1973" i="1"/>
  <c r="L1973" i="1"/>
  <c r="N1973" i="1" s="1"/>
  <c r="I1973" i="1"/>
  <c r="H1973" i="1"/>
  <c r="P1972" i="1"/>
  <c r="O1972" i="1"/>
  <c r="M1972" i="1"/>
  <c r="L1972" i="1"/>
  <c r="N1972" i="1" s="1"/>
  <c r="I1972" i="1"/>
  <c r="H1972" i="1"/>
  <c r="P1971" i="1"/>
  <c r="O1971" i="1"/>
  <c r="M1971" i="1"/>
  <c r="L1971" i="1"/>
  <c r="N1971" i="1" s="1"/>
  <c r="I1971" i="1"/>
  <c r="H1971" i="1"/>
  <c r="P1970" i="1"/>
  <c r="O1970" i="1"/>
  <c r="M1970" i="1"/>
  <c r="L1970" i="1"/>
  <c r="N1970" i="1" s="1"/>
  <c r="I1970" i="1"/>
  <c r="H1970" i="1"/>
  <c r="P1969" i="1"/>
  <c r="O1969" i="1"/>
  <c r="M1969" i="1"/>
  <c r="L1969" i="1"/>
  <c r="N1969" i="1" s="1"/>
  <c r="I1969" i="1"/>
  <c r="H1969" i="1"/>
  <c r="P1968" i="1"/>
  <c r="O1968" i="1"/>
  <c r="M1968" i="1"/>
  <c r="L1968" i="1"/>
  <c r="N1968" i="1" s="1"/>
  <c r="I1968" i="1"/>
  <c r="H1968" i="1"/>
  <c r="P1967" i="1"/>
  <c r="O1967" i="1"/>
  <c r="M1967" i="1"/>
  <c r="L1967" i="1"/>
  <c r="N1967" i="1" s="1"/>
  <c r="I1967" i="1"/>
  <c r="H1967" i="1"/>
  <c r="P1966" i="1"/>
  <c r="O1966" i="1"/>
  <c r="M1966" i="1"/>
  <c r="L1966" i="1"/>
  <c r="N1966" i="1" s="1"/>
  <c r="I1966" i="1"/>
  <c r="H1966" i="1"/>
  <c r="P1965" i="1"/>
  <c r="O1965" i="1"/>
  <c r="M1965" i="1"/>
  <c r="L1965" i="1"/>
  <c r="N1965" i="1" s="1"/>
  <c r="I1965" i="1"/>
  <c r="H1965" i="1"/>
  <c r="P1964" i="1"/>
  <c r="O1964" i="1"/>
  <c r="M1964" i="1"/>
  <c r="L1964" i="1"/>
  <c r="N1964" i="1" s="1"/>
  <c r="I1964" i="1"/>
  <c r="H1964" i="1"/>
  <c r="P1963" i="1"/>
  <c r="O1963" i="1"/>
  <c r="M1963" i="1"/>
  <c r="L1963" i="1"/>
  <c r="N1963" i="1" s="1"/>
  <c r="I1963" i="1"/>
  <c r="H1963" i="1"/>
  <c r="P1962" i="1"/>
  <c r="O1962" i="1"/>
  <c r="M1962" i="1"/>
  <c r="L1962" i="1"/>
  <c r="N1962" i="1" s="1"/>
  <c r="I1962" i="1"/>
  <c r="H1962" i="1"/>
  <c r="P1961" i="1"/>
  <c r="O1961" i="1"/>
  <c r="M1961" i="1"/>
  <c r="L1961" i="1"/>
  <c r="N1961" i="1" s="1"/>
  <c r="I1961" i="1"/>
  <c r="H1961" i="1"/>
  <c r="P1960" i="1"/>
  <c r="O1960" i="1"/>
  <c r="M1960" i="1"/>
  <c r="L1960" i="1"/>
  <c r="N1960" i="1" s="1"/>
  <c r="I1960" i="1"/>
  <c r="H1960" i="1"/>
  <c r="P1959" i="1"/>
  <c r="O1959" i="1"/>
  <c r="M1959" i="1"/>
  <c r="L1959" i="1"/>
  <c r="N1959" i="1" s="1"/>
  <c r="I1959" i="1"/>
  <c r="H1959" i="1"/>
  <c r="P1958" i="1"/>
  <c r="O1958" i="1"/>
  <c r="M1958" i="1"/>
  <c r="L1958" i="1"/>
  <c r="N1958" i="1" s="1"/>
  <c r="I1958" i="1"/>
  <c r="H1958" i="1"/>
  <c r="P1957" i="1"/>
  <c r="O1957" i="1"/>
  <c r="M1957" i="1"/>
  <c r="L1957" i="1"/>
  <c r="N1957" i="1" s="1"/>
  <c r="I1957" i="1"/>
  <c r="H1957" i="1"/>
  <c r="P1956" i="1"/>
  <c r="O1956" i="1"/>
  <c r="M1956" i="1"/>
  <c r="L1956" i="1"/>
  <c r="N1956" i="1" s="1"/>
  <c r="I1956" i="1"/>
  <c r="H1956" i="1"/>
  <c r="P1955" i="1"/>
  <c r="O1955" i="1"/>
  <c r="M1955" i="1"/>
  <c r="L1955" i="1"/>
  <c r="N1955" i="1" s="1"/>
  <c r="I1955" i="1"/>
  <c r="H1955" i="1"/>
  <c r="P1954" i="1"/>
  <c r="O1954" i="1"/>
  <c r="M1954" i="1"/>
  <c r="L1954" i="1"/>
  <c r="N1954" i="1" s="1"/>
  <c r="I1954" i="1"/>
  <c r="H1954" i="1"/>
  <c r="P1953" i="1"/>
  <c r="O1953" i="1"/>
  <c r="M1953" i="1"/>
  <c r="L1953" i="1"/>
  <c r="N1953" i="1" s="1"/>
  <c r="I1953" i="1"/>
  <c r="H1953" i="1"/>
  <c r="P1952" i="1"/>
  <c r="O1952" i="1"/>
  <c r="M1952" i="1"/>
  <c r="L1952" i="1"/>
  <c r="N1952" i="1" s="1"/>
  <c r="I1952" i="1"/>
  <c r="H1952" i="1"/>
  <c r="P1951" i="1"/>
  <c r="O1951" i="1"/>
  <c r="M1951" i="1"/>
  <c r="L1951" i="1"/>
  <c r="N1951" i="1" s="1"/>
  <c r="I1951" i="1"/>
  <c r="H1951" i="1"/>
  <c r="P1950" i="1"/>
  <c r="O1950" i="1"/>
  <c r="M1950" i="1"/>
  <c r="L1950" i="1"/>
  <c r="N1950" i="1" s="1"/>
  <c r="I1950" i="1"/>
  <c r="H1950" i="1"/>
  <c r="P1949" i="1"/>
  <c r="O1949" i="1"/>
  <c r="M1949" i="1"/>
  <c r="L1949" i="1"/>
  <c r="N1949" i="1" s="1"/>
  <c r="I1949" i="1"/>
  <c r="H1949" i="1"/>
  <c r="P1948" i="1"/>
  <c r="O1948" i="1"/>
  <c r="M1948" i="1"/>
  <c r="L1948" i="1"/>
  <c r="N1948" i="1" s="1"/>
  <c r="I1948" i="1"/>
  <c r="H1948" i="1"/>
  <c r="P1947" i="1"/>
  <c r="O1947" i="1"/>
  <c r="M1947" i="1"/>
  <c r="L1947" i="1"/>
  <c r="N1947" i="1" s="1"/>
  <c r="I1947" i="1"/>
  <c r="H1947" i="1"/>
  <c r="P1946" i="1"/>
  <c r="O1946" i="1"/>
  <c r="M1946" i="1"/>
  <c r="L1946" i="1"/>
  <c r="N1946" i="1" s="1"/>
  <c r="I1946" i="1"/>
  <c r="H1946" i="1"/>
  <c r="P1945" i="1"/>
  <c r="O1945" i="1"/>
  <c r="M1945" i="1"/>
  <c r="L1945" i="1"/>
  <c r="N1945" i="1" s="1"/>
  <c r="I1945" i="1"/>
  <c r="H1945" i="1"/>
  <c r="P1944" i="1"/>
  <c r="O1944" i="1"/>
  <c r="M1944" i="1"/>
  <c r="L1944" i="1"/>
  <c r="N1944" i="1" s="1"/>
  <c r="I1944" i="1"/>
  <c r="H1944" i="1"/>
  <c r="P1943" i="1"/>
  <c r="O1943" i="1"/>
  <c r="M1943" i="1"/>
  <c r="L1943" i="1"/>
  <c r="N1943" i="1" s="1"/>
  <c r="I1943" i="1"/>
  <c r="H1943" i="1"/>
  <c r="P1942" i="1"/>
  <c r="O1942" i="1"/>
  <c r="M1942" i="1"/>
  <c r="L1942" i="1"/>
  <c r="N1942" i="1" s="1"/>
  <c r="I1942" i="1"/>
  <c r="H1942" i="1"/>
  <c r="P1941" i="1"/>
  <c r="O1941" i="1"/>
  <c r="M1941" i="1"/>
  <c r="L1941" i="1"/>
  <c r="N1941" i="1" s="1"/>
  <c r="I1941" i="1"/>
  <c r="H1941" i="1"/>
  <c r="P1940" i="1"/>
  <c r="O1940" i="1"/>
  <c r="M1940" i="1"/>
  <c r="L1940" i="1"/>
  <c r="N1940" i="1" s="1"/>
  <c r="I1940" i="1"/>
  <c r="H1940" i="1"/>
  <c r="P1939" i="1"/>
  <c r="O1939" i="1"/>
  <c r="M1939" i="1"/>
  <c r="L1939" i="1"/>
  <c r="N1939" i="1" s="1"/>
  <c r="I1939" i="1"/>
  <c r="H1939" i="1"/>
  <c r="P1938" i="1"/>
  <c r="O1938" i="1"/>
  <c r="M1938" i="1"/>
  <c r="L1938" i="1"/>
  <c r="N1938" i="1" s="1"/>
  <c r="I1938" i="1"/>
  <c r="H1938" i="1"/>
  <c r="P1937" i="1"/>
  <c r="O1937" i="1"/>
  <c r="M1937" i="1"/>
  <c r="L1937" i="1"/>
  <c r="N1937" i="1" s="1"/>
  <c r="I1937" i="1"/>
  <c r="H1937" i="1"/>
  <c r="P1936" i="1"/>
  <c r="O1936" i="1"/>
  <c r="M1936" i="1"/>
  <c r="L1936" i="1"/>
  <c r="N1936" i="1" s="1"/>
  <c r="I1936" i="1"/>
  <c r="H1936" i="1"/>
  <c r="P1935" i="1"/>
  <c r="O1935" i="1"/>
  <c r="M1935" i="1"/>
  <c r="L1935" i="1"/>
  <c r="N1935" i="1" s="1"/>
  <c r="I1935" i="1"/>
  <c r="H1935" i="1"/>
  <c r="P1934" i="1"/>
  <c r="O1934" i="1"/>
  <c r="M1934" i="1"/>
  <c r="L1934" i="1"/>
  <c r="N1934" i="1" s="1"/>
  <c r="I1934" i="1"/>
  <c r="H1934" i="1"/>
  <c r="P1933" i="1"/>
  <c r="O1933" i="1"/>
  <c r="M1933" i="1"/>
  <c r="L1933" i="1"/>
  <c r="N1933" i="1" s="1"/>
  <c r="Q1933" i="1" s="1"/>
  <c r="I1933" i="1"/>
  <c r="H1933" i="1"/>
  <c r="P1932" i="1"/>
  <c r="O1932" i="1"/>
  <c r="M1932" i="1"/>
  <c r="L1932" i="1"/>
  <c r="N1932" i="1" s="1"/>
  <c r="I1932" i="1"/>
  <c r="H1932" i="1"/>
  <c r="P1931" i="1"/>
  <c r="O1931" i="1"/>
  <c r="M1931" i="1"/>
  <c r="L1931" i="1"/>
  <c r="N1931" i="1" s="1"/>
  <c r="Q1931" i="1" s="1"/>
  <c r="I1931" i="1"/>
  <c r="H1931" i="1"/>
  <c r="P1930" i="1"/>
  <c r="O1930" i="1"/>
  <c r="M1930" i="1"/>
  <c r="L1930" i="1"/>
  <c r="N1930" i="1" s="1"/>
  <c r="I1930" i="1"/>
  <c r="H1930" i="1"/>
  <c r="P1929" i="1"/>
  <c r="O1929" i="1"/>
  <c r="M1929" i="1"/>
  <c r="L1929" i="1"/>
  <c r="N1929" i="1" s="1"/>
  <c r="Q1929" i="1" s="1"/>
  <c r="I1929" i="1"/>
  <c r="H1929" i="1"/>
  <c r="P1928" i="1"/>
  <c r="O1928" i="1"/>
  <c r="M1928" i="1"/>
  <c r="L1928" i="1"/>
  <c r="N1928" i="1" s="1"/>
  <c r="I1928" i="1"/>
  <c r="H1928" i="1"/>
  <c r="P1927" i="1"/>
  <c r="O1927" i="1"/>
  <c r="M1927" i="1"/>
  <c r="L1927" i="1"/>
  <c r="N1927" i="1" s="1"/>
  <c r="Q1927" i="1" s="1"/>
  <c r="I1927" i="1"/>
  <c r="H1927" i="1"/>
  <c r="P1926" i="1"/>
  <c r="O1926" i="1"/>
  <c r="M1926" i="1"/>
  <c r="L1926" i="1"/>
  <c r="N1926" i="1" s="1"/>
  <c r="I1926" i="1"/>
  <c r="H1926" i="1"/>
  <c r="P1925" i="1"/>
  <c r="O1925" i="1"/>
  <c r="M1925" i="1"/>
  <c r="L1925" i="1"/>
  <c r="N1925" i="1" s="1"/>
  <c r="Q1925" i="1" s="1"/>
  <c r="I1925" i="1"/>
  <c r="H1925" i="1"/>
  <c r="P1924" i="1"/>
  <c r="O1924" i="1"/>
  <c r="M1924" i="1"/>
  <c r="L1924" i="1"/>
  <c r="N1924" i="1" s="1"/>
  <c r="I1924" i="1"/>
  <c r="H1924" i="1"/>
  <c r="P1923" i="1"/>
  <c r="O1923" i="1"/>
  <c r="M1923" i="1"/>
  <c r="L1923" i="1"/>
  <c r="N1923" i="1" s="1"/>
  <c r="Q1923" i="1" s="1"/>
  <c r="I1923" i="1"/>
  <c r="H1923" i="1"/>
  <c r="P1922" i="1"/>
  <c r="O1922" i="1"/>
  <c r="M1922" i="1"/>
  <c r="L1922" i="1"/>
  <c r="N1922" i="1" s="1"/>
  <c r="I1922" i="1"/>
  <c r="H1922" i="1"/>
  <c r="P1921" i="1"/>
  <c r="O1921" i="1"/>
  <c r="M1921" i="1"/>
  <c r="L1921" i="1"/>
  <c r="N1921" i="1" s="1"/>
  <c r="Q1921" i="1" s="1"/>
  <c r="I1921" i="1"/>
  <c r="H1921" i="1"/>
  <c r="P1920" i="1"/>
  <c r="O1920" i="1"/>
  <c r="M1920" i="1"/>
  <c r="L1920" i="1"/>
  <c r="N1920" i="1" s="1"/>
  <c r="I1920" i="1"/>
  <c r="H1920" i="1"/>
  <c r="P1919" i="1"/>
  <c r="O1919" i="1"/>
  <c r="M1919" i="1"/>
  <c r="L1919" i="1"/>
  <c r="N1919" i="1" s="1"/>
  <c r="Q1919" i="1" s="1"/>
  <c r="I1919" i="1"/>
  <c r="H1919" i="1"/>
  <c r="P1918" i="1"/>
  <c r="O1918" i="1"/>
  <c r="M1918" i="1"/>
  <c r="L1918" i="1"/>
  <c r="N1918" i="1" s="1"/>
  <c r="I1918" i="1"/>
  <c r="H1918" i="1"/>
  <c r="P1917" i="1"/>
  <c r="O1917" i="1"/>
  <c r="M1917" i="1"/>
  <c r="L1917" i="1"/>
  <c r="N1917" i="1" s="1"/>
  <c r="I1917" i="1"/>
  <c r="H1917" i="1"/>
  <c r="P1916" i="1"/>
  <c r="O1916" i="1"/>
  <c r="N1916" i="1"/>
  <c r="Q1916" i="1" s="1"/>
  <c r="M1916" i="1"/>
  <c r="L1916" i="1"/>
  <c r="I1916" i="1"/>
  <c r="H1916" i="1"/>
  <c r="P1915" i="1"/>
  <c r="O1915" i="1"/>
  <c r="N1915" i="1"/>
  <c r="Q1915" i="1" s="1"/>
  <c r="M1915" i="1"/>
  <c r="L1915" i="1"/>
  <c r="I1915" i="1"/>
  <c r="H1915" i="1"/>
  <c r="P1914" i="1"/>
  <c r="O1914" i="1"/>
  <c r="M1914" i="1"/>
  <c r="L1914" i="1"/>
  <c r="N1914" i="1" s="1"/>
  <c r="Q1914" i="1" s="1"/>
  <c r="I1914" i="1"/>
  <c r="H1914" i="1"/>
  <c r="P1913" i="1"/>
  <c r="O1913" i="1"/>
  <c r="M1913" i="1"/>
  <c r="L1913" i="1"/>
  <c r="N1913" i="1" s="1"/>
  <c r="I1913" i="1"/>
  <c r="H1913" i="1"/>
  <c r="P1912" i="1"/>
  <c r="O1912" i="1"/>
  <c r="N1912" i="1"/>
  <c r="Q1912" i="1" s="1"/>
  <c r="M1912" i="1"/>
  <c r="L1912" i="1"/>
  <c r="I1912" i="1"/>
  <c r="H1912" i="1"/>
  <c r="P1911" i="1"/>
  <c r="O1911" i="1"/>
  <c r="N1911" i="1"/>
  <c r="Q1911" i="1" s="1"/>
  <c r="M1911" i="1"/>
  <c r="L1911" i="1"/>
  <c r="I1911" i="1"/>
  <c r="H1911" i="1"/>
  <c r="P1910" i="1"/>
  <c r="O1910" i="1"/>
  <c r="M1910" i="1"/>
  <c r="L1910" i="1"/>
  <c r="N1910" i="1" s="1"/>
  <c r="I1910" i="1"/>
  <c r="H1910" i="1"/>
  <c r="P1909" i="1"/>
  <c r="O1909" i="1"/>
  <c r="M1909" i="1"/>
  <c r="L1909" i="1"/>
  <c r="N1909" i="1" s="1"/>
  <c r="Q1909" i="1" s="1"/>
  <c r="I1909" i="1"/>
  <c r="H1909" i="1"/>
  <c r="P1908" i="1"/>
  <c r="O1908" i="1"/>
  <c r="N1908" i="1"/>
  <c r="Q1908" i="1" s="1"/>
  <c r="M1908" i="1"/>
  <c r="L1908" i="1"/>
  <c r="I1908" i="1"/>
  <c r="H1908" i="1"/>
  <c r="P1907" i="1"/>
  <c r="O1907" i="1"/>
  <c r="N1907" i="1"/>
  <c r="Q1907" i="1" s="1"/>
  <c r="M1907" i="1"/>
  <c r="L1907" i="1"/>
  <c r="I1907" i="1"/>
  <c r="H1907" i="1"/>
  <c r="P1906" i="1"/>
  <c r="O1906" i="1"/>
  <c r="M1906" i="1"/>
  <c r="L1906" i="1"/>
  <c r="N1906" i="1" s="1"/>
  <c r="Q1906" i="1" s="1"/>
  <c r="I1906" i="1"/>
  <c r="H1906" i="1"/>
  <c r="O1905" i="1"/>
  <c r="M1905" i="1"/>
  <c r="L1905" i="1"/>
  <c r="N1905" i="1" s="1"/>
  <c r="I1905" i="1"/>
  <c r="P1905" i="1" s="1"/>
  <c r="H1905" i="1"/>
  <c r="O1904" i="1"/>
  <c r="M1904" i="1"/>
  <c r="L1904" i="1"/>
  <c r="N1904" i="1" s="1"/>
  <c r="I1904" i="1"/>
  <c r="P1904" i="1" s="1"/>
  <c r="H1904" i="1"/>
  <c r="O1903" i="1"/>
  <c r="M1903" i="1"/>
  <c r="L1903" i="1"/>
  <c r="N1903" i="1" s="1"/>
  <c r="I1903" i="1"/>
  <c r="P1903" i="1" s="1"/>
  <c r="H1903" i="1"/>
  <c r="O1902" i="1"/>
  <c r="M1902" i="1"/>
  <c r="L1902" i="1"/>
  <c r="N1902" i="1" s="1"/>
  <c r="I1902" i="1"/>
  <c r="P1902" i="1" s="1"/>
  <c r="H1902" i="1"/>
  <c r="O1901" i="1"/>
  <c r="M1901" i="1"/>
  <c r="L1901" i="1"/>
  <c r="N1901" i="1" s="1"/>
  <c r="I1901" i="1"/>
  <c r="P1901" i="1" s="1"/>
  <c r="H1901" i="1"/>
  <c r="O1900" i="1"/>
  <c r="M1900" i="1"/>
  <c r="L1900" i="1"/>
  <c r="N1900" i="1" s="1"/>
  <c r="I1900" i="1"/>
  <c r="P1900" i="1" s="1"/>
  <c r="H1900" i="1"/>
  <c r="O1899" i="1"/>
  <c r="M1899" i="1"/>
  <c r="L1899" i="1"/>
  <c r="N1899" i="1" s="1"/>
  <c r="I1899" i="1"/>
  <c r="P1899" i="1" s="1"/>
  <c r="H1899" i="1"/>
  <c r="O1898" i="1"/>
  <c r="M1898" i="1"/>
  <c r="L1898" i="1"/>
  <c r="N1898" i="1" s="1"/>
  <c r="I1898" i="1"/>
  <c r="P1898" i="1" s="1"/>
  <c r="H1898" i="1"/>
  <c r="O1897" i="1"/>
  <c r="M1897" i="1"/>
  <c r="L1897" i="1"/>
  <c r="N1897" i="1" s="1"/>
  <c r="I1897" i="1"/>
  <c r="P1897" i="1" s="1"/>
  <c r="H1897" i="1"/>
  <c r="O1896" i="1"/>
  <c r="M1896" i="1"/>
  <c r="L1896" i="1"/>
  <c r="N1896" i="1" s="1"/>
  <c r="I1896" i="1"/>
  <c r="P1896" i="1" s="1"/>
  <c r="H1896" i="1"/>
  <c r="O1895" i="1"/>
  <c r="M1895" i="1"/>
  <c r="L1895" i="1"/>
  <c r="N1895" i="1" s="1"/>
  <c r="I1895" i="1"/>
  <c r="P1895" i="1" s="1"/>
  <c r="H1895" i="1"/>
  <c r="O1894" i="1"/>
  <c r="M1894" i="1"/>
  <c r="L1894" i="1"/>
  <c r="N1894" i="1" s="1"/>
  <c r="I1894" i="1"/>
  <c r="P1894" i="1" s="1"/>
  <c r="H1894" i="1"/>
  <c r="O1893" i="1"/>
  <c r="M1893" i="1"/>
  <c r="L1893" i="1"/>
  <c r="N1893" i="1" s="1"/>
  <c r="I1893" i="1"/>
  <c r="P1893" i="1" s="1"/>
  <c r="H1893" i="1"/>
  <c r="O1892" i="1"/>
  <c r="M1892" i="1"/>
  <c r="L1892" i="1"/>
  <c r="N1892" i="1" s="1"/>
  <c r="I1892" i="1"/>
  <c r="P1892" i="1" s="1"/>
  <c r="H1892" i="1"/>
  <c r="O1891" i="1"/>
  <c r="M1891" i="1"/>
  <c r="L1891" i="1"/>
  <c r="N1891" i="1" s="1"/>
  <c r="I1891" i="1"/>
  <c r="P1891" i="1" s="1"/>
  <c r="H1891" i="1"/>
  <c r="O1890" i="1"/>
  <c r="M1890" i="1"/>
  <c r="L1890" i="1"/>
  <c r="N1890" i="1" s="1"/>
  <c r="I1890" i="1"/>
  <c r="P1890" i="1" s="1"/>
  <c r="H1890" i="1"/>
  <c r="O1889" i="1"/>
  <c r="M1889" i="1"/>
  <c r="L1889" i="1"/>
  <c r="N1889" i="1" s="1"/>
  <c r="I1889" i="1"/>
  <c r="P1889" i="1" s="1"/>
  <c r="H1889" i="1"/>
  <c r="O1888" i="1"/>
  <c r="M1888" i="1"/>
  <c r="L1888" i="1"/>
  <c r="N1888" i="1" s="1"/>
  <c r="I1888" i="1"/>
  <c r="P1888" i="1" s="1"/>
  <c r="H1888" i="1"/>
  <c r="O1887" i="1"/>
  <c r="M1887" i="1"/>
  <c r="L1887" i="1"/>
  <c r="N1887" i="1" s="1"/>
  <c r="I1887" i="1"/>
  <c r="P1887" i="1" s="1"/>
  <c r="H1887" i="1"/>
  <c r="O1886" i="1"/>
  <c r="M1886" i="1"/>
  <c r="L1886" i="1"/>
  <c r="N1886" i="1" s="1"/>
  <c r="I1886" i="1"/>
  <c r="P1886" i="1" s="1"/>
  <c r="H1886" i="1"/>
  <c r="O1885" i="1"/>
  <c r="M1885" i="1"/>
  <c r="L1885" i="1"/>
  <c r="N1885" i="1" s="1"/>
  <c r="I1885" i="1"/>
  <c r="P1885" i="1" s="1"/>
  <c r="H1885" i="1"/>
  <c r="O1884" i="1"/>
  <c r="M1884" i="1"/>
  <c r="L1884" i="1"/>
  <c r="N1884" i="1" s="1"/>
  <c r="I1884" i="1"/>
  <c r="P1884" i="1" s="1"/>
  <c r="H1884" i="1"/>
  <c r="O1883" i="1"/>
  <c r="M1883" i="1"/>
  <c r="L1883" i="1"/>
  <c r="N1883" i="1" s="1"/>
  <c r="I1883" i="1"/>
  <c r="P1883" i="1" s="1"/>
  <c r="H1883" i="1"/>
  <c r="O1882" i="1"/>
  <c r="M1882" i="1"/>
  <c r="L1882" i="1"/>
  <c r="N1882" i="1" s="1"/>
  <c r="I1882" i="1"/>
  <c r="P1882" i="1" s="1"/>
  <c r="H1882" i="1"/>
  <c r="O1881" i="1"/>
  <c r="M1881" i="1"/>
  <c r="L1881" i="1"/>
  <c r="N1881" i="1" s="1"/>
  <c r="I1881" i="1"/>
  <c r="P1881" i="1" s="1"/>
  <c r="H1881" i="1"/>
  <c r="O1880" i="1"/>
  <c r="M1880" i="1"/>
  <c r="L1880" i="1"/>
  <c r="N1880" i="1" s="1"/>
  <c r="I1880" i="1"/>
  <c r="P1880" i="1" s="1"/>
  <c r="H1880" i="1"/>
  <c r="O1879" i="1"/>
  <c r="M1879" i="1"/>
  <c r="L1879" i="1"/>
  <c r="N1879" i="1" s="1"/>
  <c r="I1879" i="1"/>
  <c r="P1879" i="1" s="1"/>
  <c r="H1879" i="1"/>
  <c r="O1878" i="1"/>
  <c r="M1878" i="1"/>
  <c r="L1878" i="1"/>
  <c r="N1878" i="1" s="1"/>
  <c r="I1878" i="1"/>
  <c r="P1878" i="1" s="1"/>
  <c r="H1878" i="1"/>
  <c r="O1877" i="1"/>
  <c r="M1877" i="1"/>
  <c r="L1877" i="1"/>
  <c r="N1877" i="1" s="1"/>
  <c r="I1877" i="1"/>
  <c r="P1877" i="1" s="1"/>
  <c r="H1877" i="1"/>
  <c r="O1876" i="1"/>
  <c r="M1876" i="1"/>
  <c r="L1876" i="1"/>
  <c r="N1876" i="1" s="1"/>
  <c r="I1876" i="1"/>
  <c r="P1876" i="1" s="1"/>
  <c r="H1876" i="1"/>
  <c r="O1875" i="1"/>
  <c r="M1875" i="1"/>
  <c r="L1875" i="1"/>
  <c r="N1875" i="1" s="1"/>
  <c r="I1875" i="1"/>
  <c r="P1875" i="1" s="1"/>
  <c r="H1875" i="1"/>
  <c r="O1874" i="1"/>
  <c r="M1874" i="1"/>
  <c r="L1874" i="1"/>
  <c r="N1874" i="1" s="1"/>
  <c r="I1874" i="1"/>
  <c r="P1874" i="1" s="1"/>
  <c r="H1874" i="1"/>
  <c r="O1873" i="1"/>
  <c r="M1873" i="1"/>
  <c r="L1873" i="1"/>
  <c r="N1873" i="1" s="1"/>
  <c r="I1873" i="1"/>
  <c r="P1873" i="1" s="1"/>
  <c r="H1873" i="1"/>
  <c r="O1872" i="1"/>
  <c r="M1872" i="1"/>
  <c r="L1872" i="1"/>
  <c r="N1872" i="1" s="1"/>
  <c r="I1872" i="1"/>
  <c r="P1872" i="1" s="1"/>
  <c r="H1872" i="1"/>
  <c r="O1871" i="1"/>
  <c r="M1871" i="1"/>
  <c r="L1871" i="1"/>
  <c r="N1871" i="1" s="1"/>
  <c r="I1871" i="1"/>
  <c r="P1871" i="1" s="1"/>
  <c r="H1871" i="1"/>
  <c r="O1870" i="1"/>
  <c r="M1870" i="1"/>
  <c r="L1870" i="1"/>
  <c r="N1870" i="1" s="1"/>
  <c r="I1870" i="1"/>
  <c r="P1870" i="1" s="1"/>
  <c r="H1870" i="1"/>
  <c r="O1869" i="1"/>
  <c r="M1869" i="1"/>
  <c r="L1869" i="1"/>
  <c r="N1869" i="1" s="1"/>
  <c r="I1869" i="1"/>
  <c r="P1869" i="1" s="1"/>
  <c r="H1869" i="1"/>
  <c r="O1868" i="1"/>
  <c r="M1868" i="1"/>
  <c r="L1868" i="1"/>
  <c r="N1868" i="1" s="1"/>
  <c r="I1868" i="1"/>
  <c r="P1868" i="1" s="1"/>
  <c r="H1868" i="1"/>
  <c r="O1867" i="1"/>
  <c r="M1867" i="1"/>
  <c r="L1867" i="1"/>
  <c r="N1867" i="1" s="1"/>
  <c r="I1867" i="1"/>
  <c r="P1867" i="1" s="1"/>
  <c r="H1867" i="1"/>
  <c r="O1866" i="1"/>
  <c r="M1866" i="1"/>
  <c r="L1866" i="1"/>
  <c r="N1866" i="1" s="1"/>
  <c r="I1866" i="1"/>
  <c r="P1866" i="1" s="1"/>
  <c r="H1866" i="1"/>
  <c r="O1865" i="1"/>
  <c r="M1865" i="1"/>
  <c r="L1865" i="1"/>
  <c r="N1865" i="1" s="1"/>
  <c r="I1865" i="1"/>
  <c r="P1865" i="1" s="1"/>
  <c r="H1865" i="1"/>
  <c r="O1864" i="1"/>
  <c r="M1864" i="1"/>
  <c r="L1864" i="1"/>
  <c r="N1864" i="1" s="1"/>
  <c r="I1864" i="1"/>
  <c r="P1864" i="1" s="1"/>
  <c r="H1864" i="1"/>
  <c r="O1863" i="1"/>
  <c r="M1863" i="1"/>
  <c r="L1863" i="1"/>
  <c r="N1863" i="1" s="1"/>
  <c r="I1863" i="1"/>
  <c r="P1863" i="1" s="1"/>
  <c r="H1863" i="1"/>
  <c r="O1862" i="1"/>
  <c r="M1862" i="1"/>
  <c r="L1862" i="1"/>
  <c r="N1862" i="1" s="1"/>
  <c r="I1862" i="1"/>
  <c r="P1862" i="1" s="1"/>
  <c r="H1862" i="1"/>
  <c r="O1861" i="1"/>
  <c r="M1861" i="1"/>
  <c r="L1861" i="1"/>
  <c r="N1861" i="1" s="1"/>
  <c r="I1861" i="1"/>
  <c r="P1861" i="1" s="1"/>
  <c r="H1861" i="1"/>
  <c r="O1860" i="1"/>
  <c r="M1860" i="1"/>
  <c r="L1860" i="1"/>
  <c r="N1860" i="1" s="1"/>
  <c r="I1860" i="1"/>
  <c r="P1860" i="1" s="1"/>
  <c r="H1860" i="1"/>
  <c r="O1859" i="1"/>
  <c r="M1859" i="1"/>
  <c r="L1859" i="1"/>
  <c r="N1859" i="1" s="1"/>
  <c r="I1859" i="1"/>
  <c r="P1859" i="1" s="1"/>
  <c r="H1859" i="1"/>
  <c r="O1858" i="1"/>
  <c r="M1858" i="1"/>
  <c r="L1858" i="1"/>
  <c r="N1858" i="1" s="1"/>
  <c r="I1858" i="1"/>
  <c r="P1858" i="1" s="1"/>
  <c r="H1858" i="1"/>
  <c r="O1857" i="1"/>
  <c r="M1857" i="1"/>
  <c r="L1857" i="1"/>
  <c r="N1857" i="1" s="1"/>
  <c r="I1857" i="1"/>
  <c r="P1857" i="1" s="1"/>
  <c r="H1857" i="1"/>
  <c r="O1856" i="1"/>
  <c r="M1856" i="1"/>
  <c r="L1856" i="1"/>
  <c r="N1856" i="1" s="1"/>
  <c r="I1856" i="1"/>
  <c r="P1856" i="1" s="1"/>
  <c r="H1856" i="1"/>
  <c r="O1855" i="1"/>
  <c r="M1855" i="1"/>
  <c r="L1855" i="1"/>
  <c r="N1855" i="1" s="1"/>
  <c r="I1855" i="1"/>
  <c r="P1855" i="1" s="1"/>
  <c r="H1855" i="1"/>
  <c r="O1854" i="1"/>
  <c r="M1854" i="1"/>
  <c r="L1854" i="1"/>
  <c r="N1854" i="1" s="1"/>
  <c r="I1854" i="1"/>
  <c r="P1854" i="1" s="1"/>
  <c r="H1854" i="1"/>
  <c r="O1853" i="1"/>
  <c r="M1853" i="1"/>
  <c r="L1853" i="1"/>
  <c r="N1853" i="1" s="1"/>
  <c r="I1853" i="1"/>
  <c r="P1853" i="1" s="1"/>
  <c r="H1853" i="1"/>
  <c r="O1852" i="1"/>
  <c r="M1852" i="1"/>
  <c r="L1852" i="1"/>
  <c r="N1852" i="1" s="1"/>
  <c r="I1852" i="1"/>
  <c r="P1852" i="1" s="1"/>
  <c r="H1852" i="1"/>
  <c r="O1851" i="1"/>
  <c r="M1851" i="1"/>
  <c r="L1851" i="1"/>
  <c r="N1851" i="1" s="1"/>
  <c r="I1851" i="1"/>
  <c r="P1851" i="1" s="1"/>
  <c r="H1851" i="1"/>
  <c r="O1850" i="1"/>
  <c r="M1850" i="1"/>
  <c r="L1850" i="1"/>
  <c r="N1850" i="1" s="1"/>
  <c r="I1850" i="1"/>
  <c r="P1850" i="1" s="1"/>
  <c r="H1850" i="1"/>
  <c r="O1849" i="1"/>
  <c r="M1849" i="1"/>
  <c r="L1849" i="1"/>
  <c r="N1849" i="1" s="1"/>
  <c r="I1849" i="1"/>
  <c r="P1849" i="1" s="1"/>
  <c r="H1849" i="1"/>
  <c r="O1848" i="1"/>
  <c r="M1848" i="1"/>
  <c r="L1848" i="1"/>
  <c r="N1848" i="1" s="1"/>
  <c r="I1848" i="1"/>
  <c r="P1848" i="1" s="1"/>
  <c r="H1848" i="1"/>
  <c r="O1847" i="1"/>
  <c r="M1847" i="1"/>
  <c r="L1847" i="1"/>
  <c r="N1847" i="1" s="1"/>
  <c r="I1847" i="1"/>
  <c r="P1847" i="1" s="1"/>
  <c r="H1847" i="1"/>
  <c r="O1846" i="1"/>
  <c r="M1846" i="1"/>
  <c r="L1846" i="1"/>
  <c r="N1846" i="1" s="1"/>
  <c r="I1846" i="1"/>
  <c r="P1846" i="1" s="1"/>
  <c r="H1846" i="1"/>
  <c r="O1845" i="1"/>
  <c r="M1845" i="1"/>
  <c r="L1845" i="1"/>
  <c r="N1845" i="1" s="1"/>
  <c r="I1845" i="1"/>
  <c r="P1845" i="1" s="1"/>
  <c r="H1845" i="1"/>
  <c r="O1844" i="1"/>
  <c r="M1844" i="1"/>
  <c r="L1844" i="1"/>
  <c r="N1844" i="1" s="1"/>
  <c r="I1844" i="1"/>
  <c r="P1844" i="1" s="1"/>
  <c r="H1844" i="1"/>
  <c r="O1843" i="1"/>
  <c r="M1843" i="1"/>
  <c r="L1843" i="1"/>
  <c r="N1843" i="1" s="1"/>
  <c r="I1843" i="1"/>
  <c r="P1843" i="1" s="1"/>
  <c r="H1843" i="1"/>
  <c r="O1842" i="1"/>
  <c r="M1842" i="1"/>
  <c r="L1842" i="1"/>
  <c r="N1842" i="1" s="1"/>
  <c r="I1842" i="1"/>
  <c r="P1842" i="1" s="1"/>
  <c r="H1842" i="1"/>
  <c r="O1841" i="1"/>
  <c r="M1841" i="1"/>
  <c r="L1841" i="1"/>
  <c r="N1841" i="1" s="1"/>
  <c r="I1841" i="1"/>
  <c r="P1841" i="1" s="1"/>
  <c r="H1841" i="1"/>
  <c r="O1840" i="1"/>
  <c r="M1840" i="1"/>
  <c r="L1840" i="1"/>
  <c r="N1840" i="1" s="1"/>
  <c r="I1840" i="1"/>
  <c r="P1840" i="1" s="1"/>
  <c r="H1840" i="1"/>
  <c r="O1839" i="1"/>
  <c r="M1839" i="1"/>
  <c r="L1839" i="1"/>
  <c r="N1839" i="1" s="1"/>
  <c r="I1839" i="1"/>
  <c r="P1839" i="1" s="1"/>
  <c r="H1839" i="1"/>
  <c r="O1838" i="1"/>
  <c r="M1838" i="1"/>
  <c r="L1838" i="1"/>
  <c r="N1838" i="1" s="1"/>
  <c r="I1838" i="1"/>
  <c r="P1838" i="1" s="1"/>
  <c r="H1838" i="1"/>
  <c r="O1837" i="1"/>
  <c r="M1837" i="1"/>
  <c r="L1837" i="1"/>
  <c r="N1837" i="1" s="1"/>
  <c r="I1837" i="1"/>
  <c r="P1837" i="1" s="1"/>
  <c r="H1837" i="1"/>
  <c r="O1836" i="1"/>
  <c r="M1836" i="1"/>
  <c r="L1836" i="1"/>
  <c r="N1836" i="1" s="1"/>
  <c r="I1836" i="1"/>
  <c r="P1836" i="1" s="1"/>
  <c r="H1836" i="1"/>
  <c r="O1835" i="1"/>
  <c r="M1835" i="1"/>
  <c r="L1835" i="1"/>
  <c r="N1835" i="1" s="1"/>
  <c r="I1835" i="1"/>
  <c r="P1835" i="1" s="1"/>
  <c r="H1835" i="1"/>
  <c r="O1834" i="1"/>
  <c r="M1834" i="1"/>
  <c r="L1834" i="1"/>
  <c r="N1834" i="1" s="1"/>
  <c r="I1834" i="1"/>
  <c r="P1834" i="1" s="1"/>
  <c r="H1834" i="1"/>
  <c r="O1833" i="1"/>
  <c r="M1833" i="1"/>
  <c r="L1833" i="1"/>
  <c r="N1833" i="1" s="1"/>
  <c r="I1833" i="1"/>
  <c r="P1833" i="1" s="1"/>
  <c r="H1833" i="1"/>
  <c r="O1832" i="1"/>
  <c r="M1832" i="1"/>
  <c r="L1832" i="1"/>
  <c r="N1832" i="1" s="1"/>
  <c r="I1832" i="1"/>
  <c r="P1832" i="1" s="1"/>
  <c r="H1832" i="1"/>
  <c r="O1831" i="1"/>
  <c r="M1831" i="1"/>
  <c r="L1831" i="1"/>
  <c r="N1831" i="1" s="1"/>
  <c r="I1831" i="1"/>
  <c r="P1831" i="1" s="1"/>
  <c r="H1831" i="1"/>
  <c r="O1830" i="1"/>
  <c r="M1830" i="1"/>
  <c r="L1830" i="1"/>
  <c r="N1830" i="1" s="1"/>
  <c r="I1830" i="1"/>
  <c r="P1830" i="1" s="1"/>
  <c r="H1830" i="1"/>
  <c r="O1829" i="1"/>
  <c r="M1829" i="1"/>
  <c r="L1829" i="1"/>
  <c r="N1829" i="1" s="1"/>
  <c r="I1829" i="1"/>
  <c r="P1829" i="1" s="1"/>
  <c r="H1829" i="1"/>
  <c r="O1828" i="1"/>
  <c r="M1828" i="1"/>
  <c r="L1828" i="1"/>
  <c r="N1828" i="1" s="1"/>
  <c r="I1828" i="1"/>
  <c r="P1828" i="1" s="1"/>
  <c r="H1828" i="1"/>
  <c r="O1827" i="1"/>
  <c r="M1827" i="1"/>
  <c r="L1827" i="1"/>
  <c r="N1827" i="1" s="1"/>
  <c r="I1827" i="1"/>
  <c r="P1827" i="1" s="1"/>
  <c r="H1827" i="1"/>
  <c r="O1826" i="1"/>
  <c r="M1826" i="1"/>
  <c r="L1826" i="1"/>
  <c r="N1826" i="1" s="1"/>
  <c r="I1826" i="1"/>
  <c r="P1826" i="1" s="1"/>
  <c r="H1826" i="1"/>
  <c r="O1825" i="1"/>
  <c r="M1825" i="1"/>
  <c r="L1825" i="1"/>
  <c r="N1825" i="1" s="1"/>
  <c r="I1825" i="1"/>
  <c r="P1825" i="1" s="1"/>
  <c r="H1825" i="1"/>
  <c r="O1824" i="1"/>
  <c r="M1824" i="1"/>
  <c r="L1824" i="1"/>
  <c r="N1824" i="1" s="1"/>
  <c r="I1824" i="1"/>
  <c r="P1824" i="1" s="1"/>
  <c r="H1824" i="1"/>
  <c r="O1823" i="1"/>
  <c r="M1823" i="1"/>
  <c r="L1823" i="1"/>
  <c r="N1823" i="1" s="1"/>
  <c r="I1823" i="1"/>
  <c r="P1823" i="1" s="1"/>
  <c r="H1823" i="1"/>
  <c r="O1822" i="1"/>
  <c r="M1822" i="1"/>
  <c r="L1822" i="1"/>
  <c r="N1822" i="1" s="1"/>
  <c r="I1822" i="1"/>
  <c r="P1822" i="1" s="1"/>
  <c r="H1822" i="1"/>
  <c r="O1821" i="1"/>
  <c r="M1821" i="1"/>
  <c r="L1821" i="1"/>
  <c r="N1821" i="1" s="1"/>
  <c r="I1821" i="1"/>
  <c r="P1821" i="1" s="1"/>
  <c r="H1821" i="1"/>
  <c r="O1820" i="1"/>
  <c r="M1820" i="1"/>
  <c r="L1820" i="1"/>
  <c r="N1820" i="1" s="1"/>
  <c r="I1820" i="1"/>
  <c r="P1820" i="1" s="1"/>
  <c r="H1820" i="1"/>
  <c r="O1819" i="1"/>
  <c r="M1819" i="1"/>
  <c r="L1819" i="1"/>
  <c r="N1819" i="1" s="1"/>
  <c r="I1819" i="1"/>
  <c r="P1819" i="1" s="1"/>
  <c r="H1819" i="1"/>
  <c r="O1818" i="1"/>
  <c r="M1818" i="1"/>
  <c r="L1818" i="1"/>
  <c r="N1818" i="1" s="1"/>
  <c r="I1818" i="1"/>
  <c r="P1818" i="1" s="1"/>
  <c r="H1818" i="1"/>
  <c r="O1817" i="1"/>
  <c r="M1817" i="1"/>
  <c r="L1817" i="1"/>
  <c r="N1817" i="1" s="1"/>
  <c r="I1817" i="1"/>
  <c r="P1817" i="1" s="1"/>
  <c r="H1817" i="1"/>
  <c r="O1816" i="1"/>
  <c r="M1816" i="1"/>
  <c r="L1816" i="1"/>
  <c r="N1816" i="1" s="1"/>
  <c r="I1816" i="1"/>
  <c r="P1816" i="1" s="1"/>
  <c r="H1816" i="1"/>
  <c r="O1815" i="1"/>
  <c r="M1815" i="1"/>
  <c r="L1815" i="1"/>
  <c r="N1815" i="1" s="1"/>
  <c r="I1815" i="1"/>
  <c r="P1815" i="1" s="1"/>
  <c r="H1815" i="1"/>
  <c r="O1814" i="1"/>
  <c r="M1814" i="1"/>
  <c r="L1814" i="1"/>
  <c r="N1814" i="1" s="1"/>
  <c r="I1814" i="1"/>
  <c r="P1814" i="1" s="1"/>
  <c r="H1814" i="1"/>
  <c r="O1813" i="1"/>
  <c r="M1813" i="1"/>
  <c r="L1813" i="1"/>
  <c r="N1813" i="1" s="1"/>
  <c r="I1813" i="1"/>
  <c r="P1813" i="1" s="1"/>
  <c r="H1813" i="1"/>
  <c r="O1812" i="1"/>
  <c r="M1812" i="1"/>
  <c r="L1812" i="1"/>
  <c r="N1812" i="1" s="1"/>
  <c r="I1812" i="1"/>
  <c r="P1812" i="1" s="1"/>
  <c r="H1812" i="1"/>
  <c r="O1811" i="1"/>
  <c r="M1811" i="1"/>
  <c r="L1811" i="1"/>
  <c r="N1811" i="1" s="1"/>
  <c r="I1811" i="1"/>
  <c r="P1811" i="1" s="1"/>
  <c r="H1811" i="1"/>
  <c r="O1810" i="1"/>
  <c r="M1810" i="1"/>
  <c r="L1810" i="1"/>
  <c r="N1810" i="1" s="1"/>
  <c r="I1810" i="1"/>
  <c r="P1810" i="1" s="1"/>
  <c r="H1810" i="1"/>
  <c r="O1809" i="1"/>
  <c r="M1809" i="1"/>
  <c r="L1809" i="1"/>
  <c r="N1809" i="1" s="1"/>
  <c r="I1809" i="1"/>
  <c r="P1809" i="1" s="1"/>
  <c r="H1809" i="1"/>
  <c r="O1808" i="1"/>
  <c r="M1808" i="1"/>
  <c r="L1808" i="1"/>
  <c r="N1808" i="1" s="1"/>
  <c r="I1808" i="1"/>
  <c r="P1808" i="1" s="1"/>
  <c r="H1808" i="1"/>
  <c r="O1807" i="1"/>
  <c r="M1807" i="1"/>
  <c r="L1807" i="1"/>
  <c r="N1807" i="1" s="1"/>
  <c r="I1807" i="1"/>
  <c r="P1807" i="1" s="1"/>
  <c r="H1807" i="1"/>
  <c r="O1806" i="1"/>
  <c r="M1806" i="1"/>
  <c r="L1806" i="1"/>
  <c r="N1806" i="1" s="1"/>
  <c r="I1806" i="1"/>
  <c r="P1806" i="1" s="1"/>
  <c r="H1806" i="1"/>
  <c r="O1805" i="1"/>
  <c r="M1805" i="1"/>
  <c r="L1805" i="1"/>
  <c r="N1805" i="1" s="1"/>
  <c r="I1805" i="1"/>
  <c r="P1805" i="1" s="1"/>
  <c r="H1805" i="1"/>
  <c r="O1804" i="1"/>
  <c r="M1804" i="1"/>
  <c r="L1804" i="1"/>
  <c r="N1804" i="1" s="1"/>
  <c r="I1804" i="1"/>
  <c r="P1804" i="1" s="1"/>
  <c r="H1804" i="1"/>
  <c r="O1803" i="1"/>
  <c r="M1803" i="1"/>
  <c r="L1803" i="1"/>
  <c r="N1803" i="1" s="1"/>
  <c r="I1803" i="1"/>
  <c r="P1803" i="1" s="1"/>
  <c r="H1803" i="1"/>
  <c r="O1802" i="1"/>
  <c r="M1802" i="1"/>
  <c r="L1802" i="1"/>
  <c r="N1802" i="1" s="1"/>
  <c r="I1802" i="1"/>
  <c r="P1802" i="1" s="1"/>
  <c r="H1802" i="1"/>
  <c r="O1801" i="1"/>
  <c r="M1801" i="1"/>
  <c r="L1801" i="1"/>
  <c r="N1801" i="1" s="1"/>
  <c r="I1801" i="1"/>
  <c r="P1801" i="1" s="1"/>
  <c r="H1801" i="1"/>
  <c r="O1800" i="1"/>
  <c r="M1800" i="1"/>
  <c r="L1800" i="1"/>
  <c r="N1800" i="1" s="1"/>
  <c r="I1800" i="1"/>
  <c r="P1800" i="1" s="1"/>
  <c r="H1800" i="1"/>
  <c r="O1799" i="1"/>
  <c r="M1799" i="1"/>
  <c r="L1799" i="1"/>
  <c r="N1799" i="1" s="1"/>
  <c r="I1799" i="1"/>
  <c r="P1799" i="1" s="1"/>
  <c r="H1799" i="1"/>
  <c r="O1798" i="1"/>
  <c r="M1798" i="1"/>
  <c r="L1798" i="1"/>
  <c r="N1798" i="1" s="1"/>
  <c r="I1798" i="1"/>
  <c r="P1798" i="1" s="1"/>
  <c r="H1798" i="1"/>
  <c r="O1797" i="1"/>
  <c r="M1797" i="1"/>
  <c r="L1797" i="1"/>
  <c r="N1797" i="1" s="1"/>
  <c r="I1797" i="1"/>
  <c r="P1797" i="1" s="1"/>
  <c r="H1797" i="1"/>
  <c r="O1796" i="1"/>
  <c r="M1796" i="1"/>
  <c r="L1796" i="1"/>
  <c r="N1796" i="1" s="1"/>
  <c r="I1796" i="1"/>
  <c r="P1796" i="1" s="1"/>
  <c r="H1796" i="1"/>
  <c r="O1795" i="1"/>
  <c r="M1795" i="1"/>
  <c r="L1795" i="1"/>
  <c r="N1795" i="1" s="1"/>
  <c r="I1795" i="1"/>
  <c r="P1795" i="1" s="1"/>
  <c r="H1795" i="1"/>
  <c r="O1794" i="1"/>
  <c r="M1794" i="1"/>
  <c r="L1794" i="1"/>
  <c r="N1794" i="1" s="1"/>
  <c r="I1794" i="1"/>
  <c r="P1794" i="1" s="1"/>
  <c r="H1794" i="1"/>
  <c r="O1793" i="1"/>
  <c r="M1793" i="1"/>
  <c r="L1793" i="1"/>
  <c r="N1793" i="1" s="1"/>
  <c r="I1793" i="1"/>
  <c r="P1793" i="1" s="1"/>
  <c r="H1793" i="1"/>
  <c r="O1792" i="1"/>
  <c r="M1792" i="1"/>
  <c r="L1792" i="1"/>
  <c r="N1792" i="1" s="1"/>
  <c r="I1792" i="1"/>
  <c r="P1792" i="1" s="1"/>
  <c r="H1792" i="1"/>
  <c r="O1791" i="1"/>
  <c r="M1791" i="1"/>
  <c r="L1791" i="1"/>
  <c r="N1791" i="1" s="1"/>
  <c r="I1791" i="1"/>
  <c r="P1791" i="1" s="1"/>
  <c r="H1791" i="1"/>
  <c r="O1790" i="1"/>
  <c r="M1790" i="1"/>
  <c r="L1790" i="1"/>
  <c r="N1790" i="1" s="1"/>
  <c r="I1790" i="1"/>
  <c r="P1790" i="1" s="1"/>
  <c r="H1790" i="1"/>
  <c r="O1789" i="1"/>
  <c r="M1789" i="1"/>
  <c r="L1789" i="1"/>
  <c r="N1789" i="1" s="1"/>
  <c r="I1789" i="1"/>
  <c r="P1789" i="1" s="1"/>
  <c r="H1789" i="1"/>
  <c r="O1788" i="1"/>
  <c r="M1788" i="1"/>
  <c r="L1788" i="1"/>
  <c r="N1788" i="1" s="1"/>
  <c r="I1788" i="1"/>
  <c r="P1788" i="1" s="1"/>
  <c r="H1788" i="1"/>
  <c r="O1787" i="1"/>
  <c r="M1787" i="1"/>
  <c r="L1787" i="1"/>
  <c r="N1787" i="1" s="1"/>
  <c r="Q1787" i="1" s="1"/>
  <c r="I1787" i="1"/>
  <c r="P1787" i="1" s="1"/>
  <c r="H1787" i="1"/>
  <c r="O1786" i="1"/>
  <c r="M1786" i="1"/>
  <c r="L1786" i="1"/>
  <c r="N1786" i="1" s="1"/>
  <c r="I1786" i="1"/>
  <c r="P1786" i="1" s="1"/>
  <c r="H1786" i="1"/>
  <c r="O1785" i="1"/>
  <c r="M1785" i="1"/>
  <c r="L1785" i="1"/>
  <c r="N1785" i="1" s="1"/>
  <c r="I1785" i="1"/>
  <c r="P1785" i="1" s="1"/>
  <c r="H1785" i="1"/>
  <c r="O1784" i="1"/>
  <c r="M1784" i="1"/>
  <c r="L1784" i="1"/>
  <c r="N1784" i="1" s="1"/>
  <c r="Q1784" i="1" s="1"/>
  <c r="I1784" i="1"/>
  <c r="P1784" i="1" s="1"/>
  <c r="H1784" i="1"/>
  <c r="O1783" i="1"/>
  <c r="M1783" i="1"/>
  <c r="L1783" i="1"/>
  <c r="N1783" i="1" s="1"/>
  <c r="Q1783" i="1" s="1"/>
  <c r="I1783" i="1"/>
  <c r="P1783" i="1" s="1"/>
  <c r="H1783" i="1"/>
  <c r="O1782" i="1"/>
  <c r="M1782" i="1"/>
  <c r="L1782" i="1"/>
  <c r="N1782" i="1" s="1"/>
  <c r="I1782" i="1"/>
  <c r="P1782" i="1" s="1"/>
  <c r="H1782" i="1"/>
  <c r="O1781" i="1"/>
  <c r="M1781" i="1"/>
  <c r="L1781" i="1"/>
  <c r="N1781" i="1" s="1"/>
  <c r="Q1781" i="1" s="1"/>
  <c r="I1781" i="1"/>
  <c r="P1781" i="1" s="1"/>
  <c r="H1781" i="1"/>
  <c r="O1780" i="1"/>
  <c r="M1780" i="1"/>
  <c r="L1780" i="1"/>
  <c r="N1780" i="1" s="1"/>
  <c r="I1780" i="1"/>
  <c r="P1780" i="1" s="1"/>
  <c r="H1780" i="1"/>
  <c r="O1779" i="1"/>
  <c r="M1779" i="1"/>
  <c r="L1779" i="1"/>
  <c r="N1779" i="1" s="1"/>
  <c r="Q1779" i="1" s="1"/>
  <c r="I1779" i="1"/>
  <c r="P1779" i="1" s="1"/>
  <c r="H1779" i="1"/>
  <c r="O1778" i="1"/>
  <c r="M1778" i="1"/>
  <c r="L1778" i="1"/>
  <c r="N1778" i="1" s="1"/>
  <c r="I1778" i="1"/>
  <c r="P1778" i="1" s="1"/>
  <c r="H1778" i="1"/>
  <c r="O1777" i="1"/>
  <c r="M1777" i="1"/>
  <c r="L1777" i="1"/>
  <c r="N1777" i="1" s="1"/>
  <c r="I1777" i="1"/>
  <c r="P1777" i="1" s="1"/>
  <c r="H1777" i="1"/>
  <c r="O1776" i="1"/>
  <c r="M1776" i="1"/>
  <c r="L1776" i="1"/>
  <c r="N1776" i="1" s="1"/>
  <c r="Q1776" i="1" s="1"/>
  <c r="I1776" i="1"/>
  <c r="P1776" i="1" s="1"/>
  <c r="H1776" i="1"/>
  <c r="O1775" i="1"/>
  <c r="M1775" i="1"/>
  <c r="L1775" i="1"/>
  <c r="N1775" i="1" s="1"/>
  <c r="Q1775" i="1" s="1"/>
  <c r="I1775" i="1"/>
  <c r="P1775" i="1" s="1"/>
  <c r="H1775" i="1"/>
  <c r="O1774" i="1"/>
  <c r="M1774" i="1"/>
  <c r="L1774" i="1"/>
  <c r="N1774" i="1" s="1"/>
  <c r="I1774" i="1"/>
  <c r="P1774" i="1" s="1"/>
  <c r="H1774" i="1"/>
  <c r="O1773" i="1"/>
  <c r="M1773" i="1"/>
  <c r="L1773" i="1"/>
  <c r="N1773" i="1" s="1"/>
  <c r="I1773" i="1"/>
  <c r="P1773" i="1" s="1"/>
  <c r="H1773" i="1"/>
  <c r="O1772" i="1"/>
  <c r="M1772" i="1"/>
  <c r="L1772" i="1"/>
  <c r="N1772" i="1" s="1"/>
  <c r="I1772" i="1"/>
  <c r="P1772" i="1" s="1"/>
  <c r="H1772" i="1"/>
  <c r="O1771" i="1"/>
  <c r="M1771" i="1"/>
  <c r="L1771" i="1"/>
  <c r="N1771" i="1" s="1"/>
  <c r="Q1771" i="1" s="1"/>
  <c r="I1771" i="1"/>
  <c r="P1771" i="1" s="1"/>
  <c r="H1771" i="1"/>
  <c r="O1770" i="1"/>
  <c r="M1770" i="1"/>
  <c r="L1770" i="1"/>
  <c r="N1770" i="1" s="1"/>
  <c r="Q1770" i="1" s="1"/>
  <c r="I1770" i="1"/>
  <c r="P1770" i="1" s="1"/>
  <c r="H1770" i="1"/>
  <c r="O1769" i="1"/>
  <c r="M1769" i="1"/>
  <c r="L1769" i="1"/>
  <c r="N1769" i="1" s="1"/>
  <c r="I1769" i="1"/>
  <c r="P1769" i="1" s="1"/>
  <c r="H1769" i="1"/>
  <c r="O1768" i="1"/>
  <c r="M1768" i="1"/>
  <c r="L1768" i="1"/>
  <c r="N1768" i="1" s="1"/>
  <c r="I1768" i="1"/>
  <c r="P1768" i="1" s="1"/>
  <c r="H1768" i="1"/>
  <c r="O1767" i="1"/>
  <c r="M1767" i="1"/>
  <c r="L1767" i="1"/>
  <c r="N1767" i="1" s="1"/>
  <c r="I1767" i="1"/>
  <c r="P1767" i="1" s="1"/>
  <c r="H1767" i="1"/>
  <c r="O1766" i="1"/>
  <c r="M1766" i="1"/>
  <c r="L1766" i="1"/>
  <c r="N1766" i="1" s="1"/>
  <c r="I1766" i="1"/>
  <c r="P1766" i="1" s="1"/>
  <c r="H1766" i="1"/>
  <c r="O1765" i="1"/>
  <c r="M1765" i="1"/>
  <c r="L1765" i="1"/>
  <c r="N1765" i="1" s="1"/>
  <c r="I1765" i="1"/>
  <c r="P1765" i="1" s="1"/>
  <c r="H1765" i="1"/>
  <c r="O1764" i="1"/>
  <c r="M1764" i="1"/>
  <c r="L1764" i="1"/>
  <c r="N1764" i="1" s="1"/>
  <c r="I1764" i="1"/>
  <c r="P1764" i="1" s="1"/>
  <c r="H1764" i="1"/>
  <c r="O1763" i="1"/>
  <c r="M1763" i="1"/>
  <c r="L1763" i="1"/>
  <c r="N1763" i="1" s="1"/>
  <c r="I1763" i="1"/>
  <c r="P1763" i="1" s="1"/>
  <c r="H1763" i="1"/>
  <c r="O1762" i="1"/>
  <c r="M1762" i="1"/>
  <c r="L1762" i="1"/>
  <c r="N1762" i="1" s="1"/>
  <c r="I1762" i="1"/>
  <c r="P1762" i="1" s="1"/>
  <c r="H1762" i="1"/>
  <c r="O1761" i="1"/>
  <c r="M1761" i="1"/>
  <c r="L1761" i="1"/>
  <c r="N1761" i="1" s="1"/>
  <c r="I1761" i="1"/>
  <c r="P1761" i="1" s="1"/>
  <c r="H1761" i="1"/>
  <c r="O1760" i="1"/>
  <c r="M1760" i="1"/>
  <c r="L1760" i="1"/>
  <c r="N1760" i="1" s="1"/>
  <c r="I1760" i="1"/>
  <c r="P1760" i="1" s="1"/>
  <c r="H1760" i="1"/>
  <c r="O1759" i="1"/>
  <c r="M1759" i="1"/>
  <c r="L1759" i="1"/>
  <c r="N1759" i="1" s="1"/>
  <c r="I1759" i="1"/>
  <c r="P1759" i="1" s="1"/>
  <c r="H1759" i="1"/>
  <c r="O1758" i="1"/>
  <c r="M1758" i="1"/>
  <c r="L1758" i="1"/>
  <c r="N1758" i="1" s="1"/>
  <c r="I1758" i="1"/>
  <c r="P1758" i="1" s="1"/>
  <c r="H1758" i="1"/>
  <c r="O1757" i="1"/>
  <c r="M1757" i="1"/>
  <c r="L1757" i="1"/>
  <c r="N1757" i="1" s="1"/>
  <c r="I1757" i="1"/>
  <c r="P1757" i="1" s="1"/>
  <c r="H1757" i="1"/>
  <c r="O1756" i="1"/>
  <c r="M1756" i="1"/>
  <c r="L1756" i="1"/>
  <c r="N1756" i="1" s="1"/>
  <c r="I1756" i="1"/>
  <c r="P1756" i="1" s="1"/>
  <c r="H1756" i="1"/>
  <c r="O1755" i="1"/>
  <c r="M1755" i="1"/>
  <c r="L1755" i="1"/>
  <c r="N1755" i="1" s="1"/>
  <c r="I1755" i="1"/>
  <c r="P1755" i="1" s="1"/>
  <c r="H1755" i="1"/>
  <c r="O1754" i="1"/>
  <c r="M1754" i="1"/>
  <c r="L1754" i="1"/>
  <c r="N1754" i="1" s="1"/>
  <c r="I1754" i="1"/>
  <c r="P1754" i="1" s="1"/>
  <c r="H1754" i="1"/>
  <c r="O1753" i="1"/>
  <c r="M1753" i="1"/>
  <c r="L1753" i="1"/>
  <c r="N1753" i="1" s="1"/>
  <c r="I1753" i="1"/>
  <c r="P1753" i="1" s="1"/>
  <c r="H1753" i="1"/>
  <c r="O1752" i="1"/>
  <c r="M1752" i="1"/>
  <c r="L1752" i="1"/>
  <c r="N1752" i="1" s="1"/>
  <c r="I1752" i="1"/>
  <c r="P1752" i="1" s="1"/>
  <c r="H1752" i="1"/>
  <c r="O1751" i="1"/>
  <c r="M1751" i="1"/>
  <c r="L1751" i="1"/>
  <c r="N1751" i="1" s="1"/>
  <c r="I1751" i="1"/>
  <c r="P1751" i="1" s="1"/>
  <c r="H1751" i="1"/>
  <c r="O1750" i="1"/>
  <c r="M1750" i="1"/>
  <c r="L1750" i="1"/>
  <c r="N1750" i="1" s="1"/>
  <c r="I1750" i="1"/>
  <c r="P1750" i="1" s="1"/>
  <c r="H1750" i="1"/>
  <c r="O1749" i="1"/>
  <c r="M1749" i="1"/>
  <c r="L1749" i="1"/>
  <c r="N1749" i="1" s="1"/>
  <c r="I1749" i="1"/>
  <c r="P1749" i="1" s="1"/>
  <c r="H1749" i="1"/>
  <c r="O1748" i="1"/>
  <c r="M1748" i="1"/>
  <c r="L1748" i="1"/>
  <c r="N1748" i="1" s="1"/>
  <c r="I1748" i="1"/>
  <c r="P1748" i="1" s="1"/>
  <c r="H1748" i="1"/>
  <c r="O1747" i="1"/>
  <c r="M1747" i="1"/>
  <c r="L1747" i="1"/>
  <c r="N1747" i="1" s="1"/>
  <c r="I1747" i="1"/>
  <c r="P1747" i="1" s="1"/>
  <c r="H1747" i="1"/>
  <c r="O1746" i="1"/>
  <c r="M1746" i="1"/>
  <c r="L1746" i="1"/>
  <c r="N1746" i="1" s="1"/>
  <c r="I1746" i="1"/>
  <c r="P1746" i="1" s="1"/>
  <c r="H1746" i="1"/>
  <c r="O1745" i="1"/>
  <c r="M1745" i="1"/>
  <c r="L1745" i="1"/>
  <c r="N1745" i="1" s="1"/>
  <c r="I1745" i="1"/>
  <c r="P1745" i="1" s="1"/>
  <c r="H1745" i="1"/>
  <c r="O1744" i="1"/>
  <c r="M1744" i="1"/>
  <c r="L1744" i="1"/>
  <c r="N1744" i="1" s="1"/>
  <c r="I1744" i="1"/>
  <c r="P1744" i="1" s="1"/>
  <c r="H1744" i="1"/>
  <c r="O1743" i="1"/>
  <c r="M1743" i="1"/>
  <c r="L1743" i="1"/>
  <c r="N1743" i="1" s="1"/>
  <c r="I1743" i="1"/>
  <c r="P1743" i="1" s="1"/>
  <c r="H1743" i="1"/>
  <c r="O1742" i="1"/>
  <c r="M1742" i="1"/>
  <c r="L1742" i="1"/>
  <c r="N1742" i="1" s="1"/>
  <c r="I1742" i="1"/>
  <c r="P1742" i="1" s="1"/>
  <c r="H1742" i="1"/>
  <c r="O1741" i="1"/>
  <c r="M1741" i="1"/>
  <c r="L1741" i="1"/>
  <c r="N1741" i="1" s="1"/>
  <c r="I1741" i="1"/>
  <c r="P1741" i="1" s="1"/>
  <c r="H1741" i="1"/>
  <c r="O1740" i="1"/>
  <c r="M1740" i="1"/>
  <c r="L1740" i="1"/>
  <c r="N1740" i="1" s="1"/>
  <c r="I1740" i="1"/>
  <c r="P1740" i="1" s="1"/>
  <c r="H1740" i="1"/>
  <c r="O1739" i="1"/>
  <c r="M1739" i="1"/>
  <c r="L1739" i="1"/>
  <c r="N1739" i="1" s="1"/>
  <c r="I1739" i="1"/>
  <c r="P1739" i="1" s="1"/>
  <c r="H1739" i="1"/>
  <c r="O1738" i="1"/>
  <c r="M1738" i="1"/>
  <c r="L1738" i="1"/>
  <c r="N1738" i="1" s="1"/>
  <c r="I1738" i="1"/>
  <c r="P1738" i="1" s="1"/>
  <c r="H1738" i="1"/>
  <c r="O1737" i="1"/>
  <c r="N1737" i="1"/>
  <c r="Q1737" i="1" s="1"/>
  <c r="M1737" i="1"/>
  <c r="L1737" i="1"/>
  <c r="I1737" i="1"/>
  <c r="P1737" i="1" s="1"/>
  <c r="H1737" i="1"/>
  <c r="P1736" i="1"/>
  <c r="O1736" i="1"/>
  <c r="N1736" i="1"/>
  <c r="Q1736" i="1" s="1"/>
  <c r="M1736" i="1"/>
  <c r="L1736" i="1"/>
  <c r="I1736" i="1"/>
  <c r="H1736" i="1"/>
  <c r="P1735" i="1"/>
  <c r="O1735" i="1"/>
  <c r="M1735" i="1"/>
  <c r="L1735" i="1"/>
  <c r="N1735" i="1" s="1"/>
  <c r="I1735" i="1"/>
  <c r="H1735" i="1"/>
  <c r="O1734" i="1"/>
  <c r="M1734" i="1"/>
  <c r="L1734" i="1"/>
  <c r="N1734" i="1" s="1"/>
  <c r="Q1734" i="1" s="1"/>
  <c r="I1734" i="1"/>
  <c r="P1734" i="1" s="1"/>
  <c r="H1734" i="1"/>
  <c r="O1733" i="1"/>
  <c r="N1733" i="1"/>
  <c r="Q1733" i="1" s="1"/>
  <c r="M1733" i="1"/>
  <c r="L1733" i="1"/>
  <c r="I1733" i="1"/>
  <c r="P1733" i="1" s="1"/>
  <c r="H1733" i="1"/>
  <c r="P1732" i="1"/>
  <c r="O1732" i="1"/>
  <c r="N1732" i="1"/>
  <c r="Q1732" i="1" s="1"/>
  <c r="M1732" i="1"/>
  <c r="L1732" i="1"/>
  <c r="I1732" i="1"/>
  <c r="H1732" i="1"/>
  <c r="P1731" i="1"/>
  <c r="O1731" i="1"/>
  <c r="M1731" i="1"/>
  <c r="L1731" i="1"/>
  <c r="N1731" i="1" s="1"/>
  <c r="I1731" i="1"/>
  <c r="H1731" i="1"/>
  <c r="O1730" i="1"/>
  <c r="M1730" i="1"/>
  <c r="L1730" i="1"/>
  <c r="N1730" i="1" s="1"/>
  <c r="Q1730" i="1" s="1"/>
  <c r="I1730" i="1"/>
  <c r="P1730" i="1" s="1"/>
  <c r="H1730" i="1"/>
  <c r="O1729" i="1"/>
  <c r="N1729" i="1"/>
  <c r="Q1729" i="1" s="1"/>
  <c r="M1729" i="1"/>
  <c r="L1729" i="1"/>
  <c r="I1729" i="1"/>
  <c r="P1729" i="1" s="1"/>
  <c r="H1729" i="1"/>
  <c r="P1728" i="1"/>
  <c r="O1728" i="1"/>
  <c r="N1728" i="1"/>
  <c r="Q1728" i="1" s="1"/>
  <c r="M1728" i="1"/>
  <c r="L1728" i="1"/>
  <c r="I1728" i="1"/>
  <c r="H1728" i="1"/>
  <c r="P1727" i="1"/>
  <c r="O1727" i="1"/>
  <c r="M1727" i="1"/>
  <c r="L1727" i="1"/>
  <c r="N1727" i="1" s="1"/>
  <c r="I1727" i="1"/>
  <c r="H1727" i="1"/>
  <c r="O1726" i="1"/>
  <c r="M1726" i="1"/>
  <c r="L1726" i="1"/>
  <c r="N1726" i="1" s="1"/>
  <c r="Q1726" i="1" s="1"/>
  <c r="I1726" i="1"/>
  <c r="P1726" i="1" s="1"/>
  <c r="H1726" i="1"/>
  <c r="O1725" i="1"/>
  <c r="N1725" i="1"/>
  <c r="Q1725" i="1" s="1"/>
  <c r="M1725" i="1"/>
  <c r="L1725" i="1"/>
  <c r="I1725" i="1"/>
  <c r="P1725" i="1" s="1"/>
  <c r="H1725" i="1"/>
  <c r="P1724" i="1"/>
  <c r="O1724" i="1"/>
  <c r="N1724" i="1"/>
  <c r="Q1724" i="1" s="1"/>
  <c r="M1724" i="1"/>
  <c r="L1724" i="1"/>
  <c r="I1724" i="1"/>
  <c r="H1724" i="1"/>
  <c r="P1723" i="1"/>
  <c r="O1723" i="1"/>
  <c r="M1723" i="1"/>
  <c r="L1723" i="1"/>
  <c r="N1723" i="1" s="1"/>
  <c r="I1723" i="1"/>
  <c r="H1723" i="1"/>
  <c r="O1722" i="1"/>
  <c r="M1722" i="1"/>
  <c r="L1722" i="1"/>
  <c r="N1722" i="1" s="1"/>
  <c r="Q1722" i="1" s="1"/>
  <c r="I1722" i="1"/>
  <c r="P1722" i="1" s="1"/>
  <c r="H1722" i="1"/>
  <c r="O1721" i="1"/>
  <c r="N1721" i="1"/>
  <c r="Q1721" i="1" s="1"/>
  <c r="M1721" i="1"/>
  <c r="L1721" i="1"/>
  <c r="I1721" i="1"/>
  <c r="P1721" i="1" s="1"/>
  <c r="H1721" i="1"/>
  <c r="P1720" i="1"/>
  <c r="O1720" i="1"/>
  <c r="N1720" i="1"/>
  <c r="Q1720" i="1" s="1"/>
  <c r="M1720" i="1"/>
  <c r="L1720" i="1"/>
  <c r="I1720" i="1"/>
  <c r="H1720" i="1"/>
  <c r="P1719" i="1"/>
  <c r="O1719" i="1"/>
  <c r="M1719" i="1"/>
  <c r="L1719" i="1"/>
  <c r="N1719" i="1" s="1"/>
  <c r="I1719" i="1"/>
  <c r="H1719" i="1"/>
  <c r="O1718" i="1"/>
  <c r="M1718" i="1"/>
  <c r="L1718" i="1"/>
  <c r="N1718" i="1" s="1"/>
  <c r="Q1718" i="1" s="1"/>
  <c r="I1718" i="1"/>
  <c r="P1718" i="1" s="1"/>
  <c r="H1718" i="1"/>
  <c r="O1717" i="1"/>
  <c r="N1717" i="1"/>
  <c r="Q1717" i="1" s="1"/>
  <c r="M1717" i="1"/>
  <c r="L1717" i="1"/>
  <c r="I1717" i="1"/>
  <c r="P1717" i="1" s="1"/>
  <c r="H1717" i="1"/>
  <c r="P1716" i="1"/>
  <c r="O1716" i="1"/>
  <c r="N1716" i="1"/>
  <c r="Q1716" i="1" s="1"/>
  <c r="M1716" i="1"/>
  <c r="L1716" i="1"/>
  <c r="I1716" i="1"/>
  <c r="H1716" i="1"/>
  <c r="P1715" i="1"/>
  <c r="O1715" i="1"/>
  <c r="M1715" i="1"/>
  <c r="L1715" i="1"/>
  <c r="N1715" i="1" s="1"/>
  <c r="I1715" i="1"/>
  <c r="H1715" i="1"/>
  <c r="O1714" i="1"/>
  <c r="M1714" i="1"/>
  <c r="L1714" i="1"/>
  <c r="N1714" i="1" s="1"/>
  <c r="Q1714" i="1" s="1"/>
  <c r="I1714" i="1"/>
  <c r="P1714" i="1" s="1"/>
  <c r="H1714" i="1"/>
  <c r="O1713" i="1"/>
  <c r="N1713" i="1"/>
  <c r="Q1713" i="1" s="1"/>
  <c r="M1713" i="1"/>
  <c r="L1713" i="1"/>
  <c r="I1713" i="1"/>
  <c r="P1713" i="1" s="1"/>
  <c r="H1713" i="1"/>
  <c r="P1712" i="1"/>
  <c r="O1712" i="1"/>
  <c r="N1712" i="1"/>
  <c r="Q1712" i="1" s="1"/>
  <c r="M1712" i="1"/>
  <c r="L1712" i="1"/>
  <c r="I1712" i="1"/>
  <c r="H1712" i="1"/>
  <c r="P1711" i="1"/>
  <c r="O1711" i="1"/>
  <c r="M1711" i="1"/>
  <c r="L1711" i="1"/>
  <c r="N1711" i="1" s="1"/>
  <c r="I1711" i="1"/>
  <c r="H1711" i="1"/>
  <c r="O1710" i="1"/>
  <c r="M1710" i="1"/>
  <c r="L1710" i="1"/>
  <c r="N1710" i="1" s="1"/>
  <c r="Q1710" i="1" s="1"/>
  <c r="I1710" i="1"/>
  <c r="P1710" i="1" s="1"/>
  <c r="H1710" i="1"/>
  <c r="O1709" i="1"/>
  <c r="N1709" i="1"/>
  <c r="Q1709" i="1" s="1"/>
  <c r="M1709" i="1"/>
  <c r="L1709" i="1"/>
  <c r="I1709" i="1"/>
  <c r="P1709" i="1" s="1"/>
  <c r="H1709" i="1"/>
  <c r="P1708" i="1"/>
  <c r="O1708" i="1"/>
  <c r="N1708" i="1"/>
  <c r="Q1708" i="1" s="1"/>
  <c r="M1708" i="1"/>
  <c r="L1708" i="1"/>
  <c r="I1708" i="1"/>
  <c r="H1708" i="1"/>
  <c r="P1707" i="1"/>
  <c r="O1707" i="1"/>
  <c r="M1707" i="1"/>
  <c r="L1707" i="1"/>
  <c r="N1707" i="1" s="1"/>
  <c r="I1707" i="1"/>
  <c r="H1707" i="1"/>
  <c r="O1706" i="1"/>
  <c r="M1706" i="1"/>
  <c r="L1706" i="1"/>
  <c r="N1706" i="1" s="1"/>
  <c r="Q1706" i="1" s="1"/>
  <c r="I1706" i="1"/>
  <c r="P1706" i="1" s="1"/>
  <c r="H1706" i="1"/>
  <c r="O1705" i="1"/>
  <c r="N1705" i="1"/>
  <c r="Q1705" i="1" s="1"/>
  <c r="M1705" i="1"/>
  <c r="L1705" i="1"/>
  <c r="I1705" i="1"/>
  <c r="P1705" i="1" s="1"/>
  <c r="H1705" i="1"/>
  <c r="P1704" i="1"/>
  <c r="O1704" i="1"/>
  <c r="N1704" i="1"/>
  <c r="Q1704" i="1" s="1"/>
  <c r="M1704" i="1"/>
  <c r="L1704" i="1"/>
  <c r="I1704" i="1"/>
  <c r="H1704" i="1"/>
  <c r="P1703" i="1"/>
  <c r="O1703" i="1"/>
  <c r="M1703" i="1"/>
  <c r="L1703" i="1"/>
  <c r="N1703" i="1" s="1"/>
  <c r="I1703" i="1"/>
  <c r="H1703" i="1"/>
  <c r="O1702" i="1"/>
  <c r="M1702" i="1"/>
  <c r="L1702" i="1"/>
  <c r="N1702" i="1" s="1"/>
  <c r="Q1702" i="1" s="1"/>
  <c r="I1702" i="1"/>
  <c r="P1702" i="1" s="1"/>
  <c r="H1702" i="1"/>
  <c r="O1701" i="1"/>
  <c r="N1701" i="1"/>
  <c r="Q1701" i="1" s="1"/>
  <c r="M1701" i="1"/>
  <c r="L1701" i="1"/>
  <c r="I1701" i="1"/>
  <c r="P1701" i="1" s="1"/>
  <c r="H1701" i="1"/>
  <c r="P1700" i="1"/>
  <c r="O1700" i="1"/>
  <c r="N1700" i="1"/>
  <c r="Q1700" i="1" s="1"/>
  <c r="M1700" i="1"/>
  <c r="L1700" i="1"/>
  <c r="I1700" i="1"/>
  <c r="H1700" i="1"/>
  <c r="P1699" i="1"/>
  <c r="O1699" i="1"/>
  <c r="M1699" i="1"/>
  <c r="L1699" i="1"/>
  <c r="N1699" i="1" s="1"/>
  <c r="I1699" i="1"/>
  <c r="H1699" i="1"/>
  <c r="O1698" i="1"/>
  <c r="M1698" i="1"/>
  <c r="L1698" i="1"/>
  <c r="N1698" i="1" s="1"/>
  <c r="Q1698" i="1" s="1"/>
  <c r="I1698" i="1"/>
  <c r="P1698" i="1" s="1"/>
  <c r="H1698" i="1"/>
  <c r="O1697" i="1"/>
  <c r="N1697" i="1"/>
  <c r="Q1697" i="1" s="1"/>
  <c r="M1697" i="1"/>
  <c r="L1697" i="1"/>
  <c r="I1697" i="1"/>
  <c r="P1697" i="1" s="1"/>
  <c r="H1697" i="1"/>
  <c r="P1696" i="1"/>
  <c r="O1696" i="1"/>
  <c r="N1696" i="1"/>
  <c r="Q1696" i="1" s="1"/>
  <c r="M1696" i="1"/>
  <c r="L1696" i="1"/>
  <c r="I1696" i="1"/>
  <c r="H1696" i="1"/>
  <c r="P1695" i="1"/>
  <c r="O1695" i="1"/>
  <c r="M1695" i="1"/>
  <c r="L1695" i="1"/>
  <c r="N1695" i="1" s="1"/>
  <c r="I1695" i="1"/>
  <c r="H1695" i="1"/>
  <c r="O1694" i="1"/>
  <c r="M1694" i="1"/>
  <c r="L1694" i="1"/>
  <c r="N1694" i="1" s="1"/>
  <c r="Q1694" i="1" s="1"/>
  <c r="I1694" i="1"/>
  <c r="P1694" i="1" s="1"/>
  <c r="H1694" i="1"/>
  <c r="O1693" i="1"/>
  <c r="N1693" i="1"/>
  <c r="Q1693" i="1" s="1"/>
  <c r="M1693" i="1"/>
  <c r="L1693" i="1"/>
  <c r="I1693" i="1"/>
  <c r="P1693" i="1" s="1"/>
  <c r="H1693" i="1"/>
  <c r="P1692" i="1"/>
  <c r="O1692" i="1"/>
  <c r="N1692" i="1"/>
  <c r="Q1692" i="1" s="1"/>
  <c r="M1692" i="1"/>
  <c r="L1692" i="1"/>
  <c r="I1692" i="1"/>
  <c r="H1692" i="1"/>
  <c r="P1691" i="1"/>
  <c r="O1691" i="1"/>
  <c r="M1691" i="1"/>
  <c r="L1691" i="1"/>
  <c r="N1691" i="1" s="1"/>
  <c r="I1691" i="1"/>
  <c r="H1691" i="1"/>
  <c r="O1690" i="1"/>
  <c r="M1690" i="1"/>
  <c r="L1690" i="1"/>
  <c r="N1690" i="1" s="1"/>
  <c r="Q1690" i="1" s="1"/>
  <c r="I1690" i="1"/>
  <c r="P1690" i="1" s="1"/>
  <c r="H1690" i="1"/>
  <c r="O1689" i="1"/>
  <c r="N1689" i="1"/>
  <c r="Q1689" i="1" s="1"/>
  <c r="M1689" i="1"/>
  <c r="L1689" i="1"/>
  <c r="I1689" i="1"/>
  <c r="P1689" i="1" s="1"/>
  <c r="H1689" i="1"/>
  <c r="P1688" i="1"/>
  <c r="O1688" i="1"/>
  <c r="N1688" i="1"/>
  <c r="Q1688" i="1" s="1"/>
  <c r="M1688" i="1"/>
  <c r="L1688" i="1"/>
  <c r="I1688" i="1"/>
  <c r="H1688" i="1"/>
  <c r="P1687" i="1"/>
  <c r="O1687" i="1"/>
  <c r="M1687" i="1"/>
  <c r="L1687" i="1"/>
  <c r="N1687" i="1" s="1"/>
  <c r="I1687" i="1"/>
  <c r="H1687" i="1"/>
  <c r="O1686" i="1"/>
  <c r="M1686" i="1"/>
  <c r="L1686" i="1"/>
  <c r="N1686" i="1" s="1"/>
  <c r="Q1686" i="1" s="1"/>
  <c r="I1686" i="1"/>
  <c r="P1686" i="1" s="1"/>
  <c r="H1686" i="1"/>
  <c r="O1685" i="1"/>
  <c r="N1685" i="1"/>
  <c r="Q1685" i="1" s="1"/>
  <c r="M1685" i="1"/>
  <c r="L1685" i="1"/>
  <c r="I1685" i="1"/>
  <c r="P1685" i="1" s="1"/>
  <c r="H1685" i="1"/>
  <c r="P1684" i="1"/>
  <c r="O1684" i="1"/>
  <c r="N1684" i="1"/>
  <c r="Q1684" i="1" s="1"/>
  <c r="M1684" i="1"/>
  <c r="L1684" i="1"/>
  <c r="I1684" i="1"/>
  <c r="H1684" i="1"/>
  <c r="P1683" i="1"/>
  <c r="O1683" i="1"/>
  <c r="M1683" i="1"/>
  <c r="L1683" i="1"/>
  <c r="N1683" i="1" s="1"/>
  <c r="I1683" i="1"/>
  <c r="H1683" i="1"/>
  <c r="O1682" i="1"/>
  <c r="M1682" i="1"/>
  <c r="L1682" i="1"/>
  <c r="N1682" i="1" s="1"/>
  <c r="Q1682" i="1" s="1"/>
  <c r="I1682" i="1"/>
  <c r="P1682" i="1" s="1"/>
  <c r="H1682" i="1"/>
  <c r="O1681" i="1"/>
  <c r="N1681" i="1"/>
  <c r="Q1681" i="1" s="1"/>
  <c r="M1681" i="1"/>
  <c r="L1681" i="1"/>
  <c r="I1681" i="1"/>
  <c r="P1681" i="1" s="1"/>
  <c r="H1681" i="1"/>
  <c r="P1680" i="1"/>
  <c r="O1680" i="1"/>
  <c r="N1680" i="1"/>
  <c r="Q1680" i="1" s="1"/>
  <c r="M1680" i="1"/>
  <c r="L1680" i="1"/>
  <c r="I1680" i="1"/>
  <c r="H1680" i="1"/>
  <c r="P1679" i="1"/>
  <c r="O1679" i="1"/>
  <c r="M1679" i="1"/>
  <c r="L1679" i="1"/>
  <c r="N1679" i="1" s="1"/>
  <c r="I1679" i="1"/>
  <c r="H1679" i="1"/>
  <c r="O1678" i="1"/>
  <c r="M1678" i="1"/>
  <c r="L1678" i="1"/>
  <c r="N1678" i="1" s="1"/>
  <c r="Q1678" i="1" s="1"/>
  <c r="I1678" i="1"/>
  <c r="P1678" i="1" s="1"/>
  <c r="H1678" i="1"/>
  <c r="O1677" i="1"/>
  <c r="N1677" i="1"/>
  <c r="Q1677" i="1" s="1"/>
  <c r="M1677" i="1"/>
  <c r="L1677" i="1"/>
  <c r="I1677" i="1"/>
  <c r="P1677" i="1" s="1"/>
  <c r="H1677" i="1"/>
  <c r="P1676" i="1"/>
  <c r="O1676" i="1"/>
  <c r="N1676" i="1"/>
  <c r="Q1676" i="1" s="1"/>
  <c r="M1676" i="1"/>
  <c r="L1676" i="1"/>
  <c r="I1676" i="1"/>
  <c r="H1676" i="1"/>
  <c r="P1675" i="1"/>
  <c r="O1675" i="1"/>
  <c r="M1675" i="1"/>
  <c r="L1675" i="1"/>
  <c r="N1675" i="1" s="1"/>
  <c r="I1675" i="1"/>
  <c r="H1675" i="1"/>
  <c r="O1674" i="1"/>
  <c r="M1674" i="1"/>
  <c r="L1674" i="1"/>
  <c r="N1674" i="1" s="1"/>
  <c r="Q1674" i="1" s="1"/>
  <c r="I1674" i="1"/>
  <c r="P1674" i="1" s="1"/>
  <c r="H1674" i="1"/>
  <c r="O1673" i="1"/>
  <c r="N1673" i="1"/>
  <c r="Q1673" i="1" s="1"/>
  <c r="M1673" i="1"/>
  <c r="L1673" i="1"/>
  <c r="I1673" i="1"/>
  <c r="P1673" i="1" s="1"/>
  <c r="H1673" i="1"/>
  <c r="P1672" i="1"/>
  <c r="O1672" i="1"/>
  <c r="N1672" i="1"/>
  <c r="Q1672" i="1" s="1"/>
  <c r="M1672" i="1"/>
  <c r="L1672" i="1"/>
  <c r="I1672" i="1"/>
  <c r="H1672" i="1"/>
  <c r="P1671" i="1"/>
  <c r="O1671" i="1"/>
  <c r="M1671" i="1"/>
  <c r="L1671" i="1"/>
  <c r="N1671" i="1" s="1"/>
  <c r="I1671" i="1"/>
  <c r="H1671" i="1"/>
  <c r="O1670" i="1"/>
  <c r="M1670" i="1"/>
  <c r="L1670" i="1"/>
  <c r="N1670" i="1" s="1"/>
  <c r="Q1670" i="1" s="1"/>
  <c r="I1670" i="1"/>
  <c r="P1670" i="1" s="1"/>
  <c r="H1670" i="1"/>
  <c r="O1669" i="1"/>
  <c r="N1669" i="1"/>
  <c r="Q1669" i="1" s="1"/>
  <c r="M1669" i="1"/>
  <c r="L1669" i="1"/>
  <c r="I1669" i="1"/>
  <c r="P1669" i="1" s="1"/>
  <c r="H1669" i="1"/>
  <c r="O1668" i="1"/>
  <c r="N1668" i="1"/>
  <c r="M1668" i="1"/>
  <c r="L1668" i="1"/>
  <c r="I1668" i="1"/>
  <c r="P1668" i="1" s="1"/>
  <c r="H1668" i="1"/>
  <c r="O1667" i="1"/>
  <c r="N1667" i="1"/>
  <c r="Q1667" i="1" s="1"/>
  <c r="M1667" i="1"/>
  <c r="L1667" i="1"/>
  <c r="I1667" i="1"/>
  <c r="P1667" i="1" s="1"/>
  <c r="H1667" i="1"/>
  <c r="O1666" i="1"/>
  <c r="N1666" i="1"/>
  <c r="M1666" i="1"/>
  <c r="L1666" i="1"/>
  <c r="I1666" i="1"/>
  <c r="P1666" i="1" s="1"/>
  <c r="H1666" i="1"/>
  <c r="O1665" i="1"/>
  <c r="N1665" i="1"/>
  <c r="Q1665" i="1" s="1"/>
  <c r="M1665" i="1"/>
  <c r="L1665" i="1"/>
  <c r="I1665" i="1"/>
  <c r="P1665" i="1" s="1"/>
  <c r="H1665" i="1"/>
  <c r="O1664" i="1"/>
  <c r="N1664" i="1"/>
  <c r="M1664" i="1"/>
  <c r="L1664" i="1"/>
  <c r="I1664" i="1"/>
  <c r="P1664" i="1" s="1"/>
  <c r="H1664" i="1"/>
  <c r="P1663" i="1"/>
  <c r="O1663" i="1"/>
  <c r="N1663" i="1"/>
  <c r="Q1663" i="1" s="1"/>
  <c r="M1663" i="1"/>
  <c r="L1663" i="1"/>
  <c r="H1663" i="1"/>
  <c r="Q1662" i="1"/>
  <c r="P1662" i="1"/>
  <c r="O1662" i="1"/>
  <c r="N1662" i="1"/>
  <c r="M1662" i="1"/>
  <c r="L1662" i="1"/>
  <c r="I1662" i="1"/>
  <c r="H1662" i="1"/>
  <c r="Q1661" i="1"/>
  <c r="P1661" i="1"/>
  <c r="O1661" i="1"/>
  <c r="N1661" i="1"/>
  <c r="M1661" i="1"/>
  <c r="L1661" i="1"/>
  <c r="I1661" i="1"/>
  <c r="H1661" i="1"/>
  <c r="Q1660" i="1"/>
  <c r="P1660" i="1"/>
  <c r="O1660" i="1"/>
  <c r="N1660" i="1"/>
  <c r="M1660" i="1"/>
  <c r="L1660" i="1"/>
  <c r="I1660" i="1"/>
  <c r="H1660" i="1"/>
  <c r="Q1659" i="1"/>
  <c r="P1659" i="1"/>
  <c r="O1659" i="1"/>
  <c r="N1659" i="1"/>
  <c r="M1659" i="1"/>
  <c r="L1659" i="1"/>
  <c r="I1659" i="1"/>
  <c r="H1659" i="1"/>
  <c r="Q1658" i="1"/>
  <c r="P1658" i="1"/>
  <c r="O1658" i="1"/>
  <c r="N1658" i="1"/>
  <c r="M1658" i="1"/>
  <c r="L1658" i="1"/>
  <c r="I1658" i="1"/>
  <c r="H1658" i="1"/>
  <c r="Q1657" i="1"/>
  <c r="P1657" i="1"/>
  <c r="O1657" i="1"/>
  <c r="N1657" i="1"/>
  <c r="M1657" i="1"/>
  <c r="L1657" i="1"/>
  <c r="I1657" i="1"/>
  <c r="H1657" i="1"/>
  <c r="Q1656" i="1"/>
  <c r="P1656" i="1"/>
  <c r="O1656" i="1"/>
  <c r="N1656" i="1"/>
  <c r="M1656" i="1"/>
  <c r="L1656" i="1"/>
  <c r="I1656" i="1"/>
  <c r="H1656" i="1"/>
  <c r="Q1655" i="1"/>
  <c r="P1655" i="1"/>
  <c r="O1655" i="1"/>
  <c r="N1655" i="1"/>
  <c r="M1655" i="1"/>
  <c r="L1655" i="1"/>
  <c r="I1655" i="1"/>
  <c r="H1655" i="1"/>
  <c r="Q1654" i="1"/>
  <c r="P1654" i="1"/>
  <c r="O1654" i="1"/>
  <c r="N1654" i="1"/>
  <c r="M1654" i="1"/>
  <c r="L1654" i="1"/>
  <c r="I1654" i="1"/>
  <c r="H1654" i="1"/>
  <c r="Q1653" i="1"/>
  <c r="P1653" i="1"/>
  <c r="O1653" i="1"/>
  <c r="N1653" i="1"/>
  <c r="M1653" i="1"/>
  <c r="L1653" i="1"/>
  <c r="I1653" i="1"/>
  <c r="H1653" i="1"/>
  <c r="Q1652" i="1"/>
  <c r="P1652" i="1"/>
  <c r="O1652" i="1"/>
  <c r="N1652" i="1"/>
  <c r="M1652" i="1"/>
  <c r="L1652" i="1"/>
  <c r="I1652" i="1"/>
  <c r="H1652" i="1"/>
  <c r="Q1651" i="1"/>
  <c r="P1651" i="1"/>
  <c r="O1651" i="1"/>
  <c r="N1651" i="1"/>
  <c r="M1651" i="1"/>
  <c r="L1651" i="1"/>
  <c r="I1651" i="1"/>
  <c r="H1651" i="1"/>
  <c r="Q1650" i="1"/>
  <c r="P1650" i="1"/>
  <c r="O1650" i="1"/>
  <c r="N1650" i="1"/>
  <c r="M1650" i="1"/>
  <c r="L1650" i="1"/>
  <c r="I1650" i="1"/>
  <c r="H1650" i="1"/>
  <c r="Q1649" i="1"/>
  <c r="P1649" i="1"/>
  <c r="O1649" i="1"/>
  <c r="N1649" i="1"/>
  <c r="M1649" i="1"/>
  <c r="L1649" i="1"/>
  <c r="I1649" i="1"/>
  <c r="H1649" i="1"/>
  <c r="Q1648" i="1"/>
  <c r="P1648" i="1"/>
  <c r="O1648" i="1"/>
  <c r="N1648" i="1"/>
  <c r="M1648" i="1"/>
  <c r="L1648" i="1"/>
  <c r="I1648" i="1"/>
  <c r="H1648" i="1"/>
  <c r="Q1647" i="1"/>
  <c r="P1647" i="1"/>
  <c r="O1647" i="1"/>
  <c r="N1647" i="1"/>
  <c r="M1647" i="1"/>
  <c r="L1647" i="1"/>
  <c r="I1647" i="1"/>
  <c r="H1647" i="1"/>
  <c r="Q1646" i="1"/>
  <c r="P1646" i="1"/>
  <c r="O1646" i="1"/>
  <c r="N1646" i="1"/>
  <c r="M1646" i="1"/>
  <c r="L1646" i="1"/>
  <c r="I1646" i="1"/>
  <c r="H1646" i="1"/>
  <c r="Q1645" i="1"/>
  <c r="P1645" i="1"/>
  <c r="O1645" i="1"/>
  <c r="N1645" i="1"/>
  <c r="M1645" i="1"/>
  <c r="L1645" i="1"/>
  <c r="I1645" i="1"/>
  <c r="H1645" i="1"/>
  <c r="Q1644" i="1"/>
  <c r="P1644" i="1"/>
  <c r="O1644" i="1"/>
  <c r="N1644" i="1"/>
  <c r="M1644" i="1"/>
  <c r="L1644" i="1"/>
  <c r="I1644" i="1"/>
  <c r="H1644" i="1"/>
  <c r="Q1643" i="1"/>
  <c r="P1643" i="1"/>
  <c r="O1643" i="1"/>
  <c r="N1643" i="1"/>
  <c r="M1643" i="1"/>
  <c r="L1643" i="1"/>
  <c r="I1643" i="1"/>
  <c r="H1643" i="1"/>
  <c r="Q1642" i="1"/>
  <c r="P1642" i="1"/>
  <c r="O1642" i="1"/>
  <c r="N1642" i="1"/>
  <c r="M1642" i="1"/>
  <c r="L1642" i="1"/>
  <c r="I1642" i="1"/>
  <c r="H1642" i="1"/>
  <c r="Q1641" i="1"/>
  <c r="P1641" i="1"/>
  <c r="O1641" i="1"/>
  <c r="N1641" i="1"/>
  <c r="M1641" i="1"/>
  <c r="L1641" i="1"/>
  <c r="I1641" i="1"/>
  <c r="H1641" i="1"/>
  <c r="Q1640" i="1"/>
  <c r="P1640" i="1"/>
  <c r="O1640" i="1"/>
  <c r="N1640" i="1"/>
  <c r="M1640" i="1"/>
  <c r="L1640" i="1"/>
  <c r="I1640" i="1"/>
  <c r="H1640" i="1"/>
  <c r="Q1639" i="1"/>
  <c r="P1639" i="1"/>
  <c r="O1639" i="1"/>
  <c r="N1639" i="1"/>
  <c r="M1639" i="1"/>
  <c r="L1639" i="1"/>
  <c r="I1639" i="1"/>
  <c r="H1639" i="1"/>
  <c r="Q1638" i="1"/>
  <c r="P1638" i="1"/>
  <c r="O1638" i="1"/>
  <c r="N1638" i="1"/>
  <c r="M1638" i="1"/>
  <c r="L1638" i="1"/>
  <c r="I1638" i="1"/>
  <c r="H1638" i="1"/>
  <c r="Q1637" i="1"/>
  <c r="P1637" i="1"/>
  <c r="O1637" i="1"/>
  <c r="N1637" i="1"/>
  <c r="M1637" i="1"/>
  <c r="L1637" i="1"/>
  <c r="I1637" i="1"/>
  <c r="H1637" i="1"/>
  <c r="Q1636" i="1"/>
  <c r="P1636" i="1"/>
  <c r="O1636" i="1"/>
  <c r="N1636" i="1"/>
  <c r="M1636" i="1"/>
  <c r="L1636" i="1"/>
  <c r="I1636" i="1"/>
  <c r="H1636" i="1"/>
  <c r="Q1635" i="1"/>
  <c r="P1635" i="1"/>
  <c r="O1635" i="1"/>
  <c r="N1635" i="1"/>
  <c r="M1635" i="1"/>
  <c r="L1635" i="1"/>
  <c r="I1635" i="1"/>
  <c r="H1635" i="1"/>
  <c r="Q1634" i="1"/>
  <c r="P1634" i="1"/>
  <c r="O1634" i="1"/>
  <c r="N1634" i="1"/>
  <c r="M1634" i="1"/>
  <c r="L1634" i="1"/>
  <c r="I1634" i="1"/>
  <c r="H1634" i="1"/>
  <c r="Q1633" i="1"/>
  <c r="P1633" i="1"/>
  <c r="O1633" i="1"/>
  <c r="N1633" i="1"/>
  <c r="M1633" i="1"/>
  <c r="L1633" i="1"/>
  <c r="I1633" i="1"/>
  <c r="H1633" i="1"/>
  <c r="Q1632" i="1"/>
  <c r="P1632" i="1"/>
  <c r="O1632" i="1"/>
  <c r="N1632" i="1"/>
  <c r="M1632" i="1"/>
  <c r="L1632" i="1"/>
  <c r="I1632" i="1"/>
  <c r="H1632" i="1"/>
  <c r="Q1631" i="1"/>
  <c r="P1631" i="1"/>
  <c r="O1631" i="1"/>
  <c r="N1631" i="1"/>
  <c r="M1631" i="1"/>
  <c r="L1631" i="1"/>
  <c r="I1631" i="1"/>
  <c r="H1631" i="1"/>
  <c r="Q1630" i="1"/>
  <c r="P1630" i="1"/>
  <c r="O1630" i="1"/>
  <c r="N1630" i="1"/>
  <c r="M1630" i="1"/>
  <c r="L1630" i="1"/>
  <c r="I1630" i="1"/>
  <c r="H1630" i="1"/>
  <c r="Q1629" i="1"/>
  <c r="P1629" i="1"/>
  <c r="O1629" i="1"/>
  <c r="N1629" i="1"/>
  <c r="M1629" i="1"/>
  <c r="L1629" i="1"/>
  <c r="I1629" i="1"/>
  <c r="H1629" i="1"/>
  <c r="Q1628" i="1"/>
  <c r="P1628" i="1"/>
  <c r="O1628" i="1"/>
  <c r="N1628" i="1"/>
  <c r="M1628" i="1"/>
  <c r="L1628" i="1"/>
  <c r="I1628" i="1"/>
  <c r="H1628" i="1"/>
  <c r="Q1627" i="1"/>
  <c r="P1627" i="1"/>
  <c r="O1627" i="1"/>
  <c r="N1627" i="1"/>
  <c r="M1627" i="1"/>
  <c r="L1627" i="1"/>
  <c r="I1627" i="1"/>
  <c r="H1627" i="1"/>
  <c r="Q1626" i="1"/>
  <c r="P1626" i="1"/>
  <c r="O1626" i="1"/>
  <c r="N1626" i="1"/>
  <c r="M1626" i="1"/>
  <c r="L1626" i="1"/>
  <c r="I1626" i="1"/>
  <c r="H1626" i="1"/>
  <c r="Q1625" i="1"/>
  <c r="P1625" i="1"/>
  <c r="O1625" i="1"/>
  <c r="N1625" i="1"/>
  <c r="M1625" i="1"/>
  <c r="L1625" i="1"/>
  <c r="I1625" i="1"/>
  <c r="H1625" i="1"/>
  <c r="Q1624" i="1"/>
  <c r="P1624" i="1"/>
  <c r="O1624" i="1"/>
  <c r="N1624" i="1"/>
  <c r="M1624" i="1"/>
  <c r="L1624" i="1"/>
  <c r="I1624" i="1"/>
  <c r="H1624" i="1"/>
  <c r="Q1623" i="1"/>
  <c r="P1623" i="1"/>
  <c r="O1623" i="1"/>
  <c r="N1623" i="1"/>
  <c r="M1623" i="1"/>
  <c r="L1623" i="1"/>
  <c r="I1623" i="1"/>
  <c r="H1623" i="1"/>
  <c r="Q1622" i="1"/>
  <c r="P1622" i="1"/>
  <c r="O1622" i="1"/>
  <c r="N1622" i="1"/>
  <c r="M1622" i="1"/>
  <c r="L1622" i="1"/>
  <c r="I1622" i="1"/>
  <c r="H1622" i="1"/>
  <c r="Q1621" i="1"/>
  <c r="P1621" i="1"/>
  <c r="O1621" i="1"/>
  <c r="N1621" i="1"/>
  <c r="M1621" i="1"/>
  <c r="L1621" i="1"/>
  <c r="I1621" i="1"/>
  <c r="H1621" i="1"/>
  <c r="Q1620" i="1"/>
  <c r="P1620" i="1"/>
  <c r="O1620" i="1"/>
  <c r="N1620" i="1"/>
  <c r="M1620" i="1"/>
  <c r="L1620" i="1"/>
  <c r="I1620" i="1"/>
  <c r="H1620" i="1"/>
  <c r="Q1619" i="1"/>
  <c r="P1619" i="1"/>
  <c r="O1619" i="1"/>
  <c r="N1619" i="1"/>
  <c r="M1619" i="1"/>
  <c r="L1619" i="1"/>
  <c r="I1619" i="1"/>
  <c r="H1619" i="1"/>
  <c r="Q1618" i="1"/>
  <c r="P1618" i="1"/>
  <c r="O1618" i="1"/>
  <c r="N1618" i="1"/>
  <c r="M1618" i="1"/>
  <c r="L1618" i="1"/>
  <c r="I1618" i="1"/>
  <c r="H1618" i="1"/>
  <c r="Q1617" i="1"/>
  <c r="P1617" i="1"/>
  <c r="O1617" i="1"/>
  <c r="N1617" i="1"/>
  <c r="M1617" i="1"/>
  <c r="L1617" i="1"/>
  <c r="I1617" i="1"/>
  <c r="H1617" i="1"/>
  <c r="Q1616" i="1"/>
  <c r="P1616" i="1"/>
  <c r="O1616" i="1"/>
  <c r="N1616" i="1"/>
  <c r="M1616" i="1"/>
  <c r="L1616" i="1"/>
  <c r="I1616" i="1"/>
  <c r="H1616" i="1"/>
  <c r="Q1615" i="1"/>
  <c r="P1615" i="1"/>
  <c r="O1615" i="1"/>
  <c r="N1615" i="1"/>
  <c r="M1615" i="1"/>
  <c r="L1615" i="1"/>
  <c r="I1615" i="1"/>
  <c r="H1615" i="1"/>
  <c r="Q1614" i="1"/>
  <c r="P1614" i="1"/>
  <c r="O1614" i="1"/>
  <c r="N1614" i="1"/>
  <c r="M1614" i="1"/>
  <c r="L1614" i="1"/>
  <c r="I1614" i="1"/>
  <c r="H1614" i="1"/>
  <c r="Q1613" i="1"/>
  <c r="P1613" i="1"/>
  <c r="O1613" i="1"/>
  <c r="N1613" i="1"/>
  <c r="M1613" i="1"/>
  <c r="L1613" i="1"/>
  <c r="I1613" i="1"/>
  <c r="H1613" i="1"/>
  <c r="Q1612" i="1"/>
  <c r="P1612" i="1"/>
  <c r="O1612" i="1"/>
  <c r="N1612" i="1"/>
  <c r="M1612" i="1"/>
  <c r="L1612" i="1"/>
  <c r="I1612" i="1"/>
  <c r="H1612" i="1"/>
  <c r="Q1611" i="1"/>
  <c r="P1611" i="1"/>
  <c r="O1611" i="1"/>
  <c r="N1611" i="1"/>
  <c r="M1611" i="1"/>
  <c r="L1611" i="1"/>
  <c r="I1611" i="1"/>
  <c r="H1611" i="1"/>
  <c r="Q1610" i="1"/>
  <c r="P1610" i="1"/>
  <c r="O1610" i="1"/>
  <c r="N1610" i="1"/>
  <c r="M1610" i="1"/>
  <c r="L1610" i="1"/>
  <c r="I1610" i="1"/>
  <c r="H1610" i="1"/>
  <c r="Q1609" i="1"/>
  <c r="P1609" i="1"/>
  <c r="O1609" i="1"/>
  <c r="N1609" i="1"/>
  <c r="M1609" i="1"/>
  <c r="L1609" i="1"/>
  <c r="I1609" i="1"/>
  <c r="H1609" i="1"/>
  <c r="Q1608" i="1"/>
  <c r="P1608" i="1"/>
  <c r="O1608" i="1"/>
  <c r="N1608" i="1"/>
  <c r="M1608" i="1"/>
  <c r="L1608" i="1"/>
  <c r="I1608" i="1"/>
  <c r="H1608" i="1"/>
  <c r="Q1607" i="1"/>
  <c r="P1607" i="1"/>
  <c r="O1607" i="1"/>
  <c r="N1607" i="1"/>
  <c r="M1607" i="1"/>
  <c r="L1607" i="1"/>
  <c r="I1607" i="1"/>
  <c r="H1607" i="1"/>
  <c r="Q1606" i="1"/>
  <c r="P1606" i="1"/>
  <c r="O1606" i="1"/>
  <c r="N1606" i="1"/>
  <c r="M1606" i="1"/>
  <c r="L1606" i="1"/>
  <c r="I1606" i="1"/>
  <c r="H1606" i="1"/>
  <c r="Q1605" i="1"/>
  <c r="P1605" i="1"/>
  <c r="O1605" i="1"/>
  <c r="N1605" i="1"/>
  <c r="M1605" i="1"/>
  <c r="L1605" i="1"/>
  <c r="I1605" i="1"/>
  <c r="H1605" i="1"/>
  <c r="Q1604" i="1"/>
  <c r="P1604" i="1"/>
  <c r="O1604" i="1"/>
  <c r="N1604" i="1"/>
  <c r="M1604" i="1"/>
  <c r="L1604" i="1"/>
  <c r="I1604" i="1"/>
  <c r="H1604" i="1"/>
  <c r="Q1603" i="1"/>
  <c r="P1603" i="1"/>
  <c r="O1603" i="1"/>
  <c r="N1603" i="1"/>
  <c r="M1603" i="1"/>
  <c r="L1603" i="1"/>
  <c r="I1603" i="1"/>
  <c r="H1603" i="1"/>
  <c r="Q1602" i="1"/>
  <c r="P1602" i="1"/>
  <c r="O1602" i="1"/>
  <c r="N1602" i="1"/>
  <c r="M1602" i="1"/>
  <c r="L1602" i="1"/>
  <c r="I1602" i="1"/>
  <c r="H1602" i="1"/>
  <c r="Q1601" i="1"/>
  <c r="P1601" i="1"/>
  <c r="O1601" i="1"/>
  <c r="N1601" i="1"/>
  <c r="M1601" i="1"/>
  <c r="L1601" i="1"/>
  <c r="I1601" i="1"/>
  <c r="H1601" i="1"/>
  <c r="Q1600" i="1"/>
  <c r="P1600" i="1"/>
  <c r="O1600" i="1"/>
  <c r="N1600" i="1"/>
  <c r="M1600" i="1"/>
  <c r="L1600" i="1"/>
  <c r="I1600" i="1"/>
  <c r="H1600" i="1"/>
  <c r="Q1599" i="1"/>
  <c r="P1599" i="1"/>
  <c r="O1599" i="1"/>
  <c r="N1599" i="1"/>
  <c r="M1599" i="1"/>
  <c r="L1599" i="1"/>
  <c r="I1599" i="1"/>
  <c r="H1599" i="1"/>
  <c r="Q1598" i="1"/>
  <c r="P1598" i="1"/>
  <c r="O1598" i="1"/>
  <c r="N1598" i="1"/>
  <c r="M1598" i="1"/>
  <c r="L1598" i="1"/>
  <c r="I1598" i="1"/>
  <c r="H1598" i="1"/>
  <c r="Q1597" i="1"/>
  <c r="P1597" i="1"/>
  <c r="O1597" i="1"/>
  <c r="N1597" i="1"/>
  <c r="M1597" i="1"/>
  <c r="L1597" i="1"/>
  <c r="I1597" i="1"/>
  <c r="H1597" i="1"/>
  <c r="Q1596" i="1"/>
  <c r="P1596" i="1"/>
  <c r="O1596" i="1"/>
  <c r="N1596" i="1"/>
  <c r="M1596" i="1"/>
  <c r="L1596" i="1"/>
  <c r="I1596" i="1"/>
  <c r="H1596" i="1"/>
  <c r="Q1595" i="1"/>
  <c r="P1595" i="1"/>
  <c r="O1595" i="1"/>
  <c r="N1595" i="1"/>
  <c r="M1595" i="1"/>
  <c r="L1595" i="1"/>
  <c r="I1595" i="1"/>
  <c r="H1595" i="1"/>
  <c r="Q1594" i="1"/>
  <c r="P1594" i="1"/>
  <c r="O1594" i="1"/>
  <c r="N1594" i="1"/>
  <c r="M1594" i="1"/>
  <c r="L1594" i="1"/>
  <c r="I1594" i="1"/>
  <c r="H1594" i="1"/>
  <c r="Q1593" i="1"/>
  <c r="P1593" i="1"/>
  <c r="O1593" i="1"/>
  <c r="N1593" i="1"/>
  <c r="M1593" i="1"/>
  <c r="L1593" i="1"/>
  <c r="I1593" i="1"/>
  <c r="H1593" i="1"/>
  <c r="Q1592" i="1"/>
  <c r="P1592" i="1"/>
  <c r="O1592" i="1"/>
  <c r="N1592" i="1"/>
  <c r="M1592" i="1"/>
  <c r="L1592" i="1"/>
  <c r="I1592" i="1"/>
  <c r="H1592" i="1"/>
  <c r="Q1591" i="1"/>
  <c r="P1591" i="1"/>
  <c r="O1591" i="1"/>
  <c r="N1591" i="1"/>
  <c r="M1591" i="1"/>
  <c r="L1591" i="1"/>
  <c r="I1591" i="1"/>
  <c r="H1591" i="1"/>
  <c r="Q1590" i="1"/>
  <c r="P1590" i="1"/>
  <c r="O1590" i="1"/>
  <c r="N1590" i="1"/>
  <c r="M1590" i="1"/>
  <c r="L1590" i="1"/>
  <c r="I1590" i="1"/>
  <c r="H1590" i="1"/>
  <c r="Q1589" i="1"/>
  <c r="P1589" i="1"/>
  <c r="O1589" i="1"/>
  <c r="N1589" i="1"/>
  <c r="M1589" i="1"/>
  <c r="L1589" i="1"/>
  <c r="I1589" i="1"/>
  <c r="H1589" i="1"/>
  <c r="Q1588" i="1"/>
  <c r="P1588" i="1"/>
  <c r="O1588" i="1"/>
  <c r="N1588" i="1"/>
  <c r="M1588" i="1"/>
  <c r="L1588" i="1"/>
  <c r="I1588" i="1"/>
  <c r="H1588" i="1"/>
  <c r="Q1587" i="1"/>
  <c r="P1587" i="1"/>
  <c r="O1587" i="1"/>
  <c r="N1587" i="1"/>
  <c r="M1587" i="1"/>
  <c r="L1587" i="1"/>
  <c r="I1587" i="1"/>
  <c r="H1587" i="1"/>
  <c r="Q1586" i="1"/>
  <c r="P1586" i="1"/>
  <c r="O1586" i="1"/>
  <c r="N1586" i="1"/>
  <c r="M1586" i="1"/>
  <c r="L1586" i="1"/>
  <c r="I1586" i="1"/>
  <c r="H1586" i="1"/>
  <c r="Q1585" i="1"/>
  <c r="P1585" i="1"/>
  <c r="O1585" i="1"/>
  <c r="N1585" i="1"/>
  <c r="M1585" i="1"/>
  <c r="L1585" i="1"/>
  <c r="I1585" i="1"/>
  <c r="H1585" i="1"/>
  <c r="Q1584" i="1"/>
  <c r="P1584" i="1"/>
  <c r="O1584" i="1"/>
  <c r="N1584" i="1"/>
  <c r="M1584" i="1"/>
  <c r="L1584" i="1"/>
  <c r="I1584" i="1"/>
  <c r="H1584" i="1"/>
  <c r="Q1583" i="1"/>
  <c r="P1583" i="1"/>
  <c r="O1583" i="1"/>
  <c r="N1583" i="1"/>
  <c r="M1583" i="1"/>
  <c r="L1583" i="1"/>
  <c r="I1583" i="1"/>
  <c r="H1583" i="1"/>
  <c r="Q1582" i="1"/>
  <c r="P1582" i="1"/>
  <c r="O1582" i="1"/>
  <c r="N1582" i="1"/>
  <c r="M1582" i="1"/>
  <c r="L1582" i="1"/>
  <c r="I1582" i="1"/>
  <c r="H1582" i="1"/>
  <c r="Q1581" i="1"/>
  <c r="P1581" i="1"/>
  <c r="O1581" i="1"/>
  <c r="N1581" i="1"/>
  <c r="M1581" i="1"/>
  <c r="L1581" i="1"/>
  <c r="I1581" i="1"/>
  <c r="H1581" i="1"/>
  <c r="P1580" i="1"/>
  <c r="N1580" i="1"/>
  <c r="L1580" i="1"/>
  <c r="I1580" i="1"/>
  <c r="H1580" i="1"/>
  <c r="E1580" i="1"/>
  <c r="O1580" i="1" s="1"/>
  <c r="Q1580" i="1" s="1"/>
  <c r="O1579" i="1"/>
  <c r="N1579" i="1"/>
  <c r="M1579" i="1"/>
  <c r="L1579" i="1"/>
  <c r="I1579" i="1"/>
  <c r="P1579" i="1" s="1"/>
  <c r="H1579" i="1"/>
  <c r="O1578" i="1"/>
  <c r="N1578" i="1"/>
  <c r="Q1578" i="1" s="1"/>
  <c r="M1578" i="1"/>
  <c r="L1578" i="1"/>
  <c r="I1578" i="1"/>
  <c r="P1578" i="1" s="1"/>
  <c r="H1578" i="1"/>
  <c r="O1577" i="1"/>
  <c r="N1577" i="1"/>
  <c r="M1577" i="1"/>
  <c r="L1577" i="1"/>
  <c r="I1577" i="1"/>
  <c r="P1577" i="1" s="1"/>
  <c r="H1577" i="1"/>
  <c r="O1576" i="1"/>
  <c r="N1576" i="1"/>
  <c r="Q1576" i="1" s="1"/>
  <c r="M1576" i="1"/>
  <c r="L1576" i="1"/>
  <c r="I1576" i="1"/>
  <c r="P1576" i="1" s="1"/>
  <c r="H1576" i="1"/>
  <c r="O1575" i="1"/>
  <c r="N1575" i="1"/>
  <c r="M1575" i="1"/>
  <c r="L1575" i="1"/>
  <c r="I1575" i="1"/>
  <c r="P1575" i="1" s="1"/>
  <c r="H1575" i="1"/>
  <c r="O1574" i="1"/>
  <c r="N1574" i="1"/>
  <c r="Q1574" i="1" s="1"/>
  <c r="M1574" i="1"/>
  <c r="L1574" i="1"/>
  <c r="I1574" i="1"/>
  <c r="P1574" i="1" s="1"/>
  <c r="H1574" i="1"/>
  <c r="O1573" i="1"/>
  <c r="N1573" i="1"/>
  <c r="M1573" i="1"/>
  <c r="L1573" i="1"/>
  <c r="I1573" i="1"/>
  <c r="P1573" i="1" s="1"/>
  <c r="H1573" i="1"/>
  <c r="O1572" i="1"/>
  <c r="N1572" i="1"/>
  <c r="Q1572" i="1" s="1"/>
  <c r="M1572" i="1"/>
  <c r="L1572" i="1"/>
  <c r="I1572" i="1"/>
  <c r="P1572" i="1" s="1"/>
  <c r="H1572" i="1"/>
  <c r="O1571" i="1"/>
  <c r="N1571" i="1"/>
  <c r="M1571" i="1"/>
  <c r="L1571" i="1"/>
  <c r="I1571" i="1"/>
  <c r="P1571" i="1" s="1"/>
  <c r="H1571" i="1"/>
  <c r="O1570" i="1"/>
  <c r="N1570" i="1"/>
  <c r="Q1570" i="1" s="1"/>
  <c r="M1570" i="1"/>
  <c r="L1570" i="1"/>
  <c r="I1570" i="1"/>
  <c r="P1570" i="1" s="1"/>
  <c r="H1570" i="1"/>
  <c r="O1569" i="1"/>
  <c r="N1569" i="1"/>
  <c r="M1569" i="1"/>
  <c r="L1569" i="1"/>
  <c r="I1569" i="1"/>
  <c r="P1569" i="1" s="1"/>
  <c r="H1569" i="1"/>
  <c r="O1568" i="1"/>
  <c r="N1568" i="1"/>
  <c r="Q1568" i="1" s="1"/>
  <c r="M1568" i="1"/>
  <c r="L1568" i="1"/>
  <c r="I1568" i="1"/>
  <c r="P1568" i="1" s="1"/>
  <c r="H1568" i="1"/>
  <c r="O1567" i="1"/>
  <c r="N1567" i="1"/>
  <c r="M1567" i="1"/>
  <c r="L1567" i="1"/>
  <c r="I1567" i="1"/>
  <c r="P1567" i="1" s="1"/>
  <c r="H1567" i="1"/>
  <c r="O1566" i="1"/>
  <c r="N1566" i="1"/>
  <c r="Q1566" i="1" s="1"/>
  <c r="M1566" i="1"/>
  <c r="L1566" i="1"/>
  <c r="I1566" i="1"/>
  <c r="P1566" i="1" s="1"/>
  <c r="H1566" i="1"/>
  <c r="O1565" i="1"/>
  <c r="N1565" i="1"/>
  <c r="M1565" i="1"/>
  <c r="L1565" i="1"/>
  <c r="I1565" i="1"/>
  <c r="P1565" i="1" s="1"/>
  <c r="H1565" i="1"/>
  <c r="O1564" i="1"/>
  <c r="N1564" i="1"/>
  <c r="Q1564" i="1" s="1"/>
  <c r="M1564" i="1"/>
  <c r="L1564" i="1"/>
  <c r="I1564" i="1"/>
  <c r="P1564" i="1" s="1"/>
  <c r="H1564" i="1"/>
  <c r="O1563" i="1"/>
  <c r="N1563" i="1"/>
  <c r="M1563" i="1"/>
  <c r="L1563" i="1"/>
  <c r="I1563" i="1"/>
  <c r="P1563" i="1" s="1"/>
  <c r="H1563" i="1"/>
  <c r="O1562" i="1"/>
  <c r="N1562" i="1"/>
  <c r="Q1562" i="1" s="1"/>
  <c r="M1562" i="1"/>
  <c r="L1562" i="1"/>
  <c r="I1562" i="1"/>
  <c r="P1562" i="1" s="1"/>
  <c r="H1562" i="1"/>
  <c r="O1561" i="1"/>
  <c r="N1561" i="1"/>
  <c r="M1561" i="1"/>
  <c r="L1561" i="1"/>
  <c r="I1561" i="1"/>
  <c r="P1561" i="1" s="1"/>
  <c r="H1561" i="1"/>
  <c r="O1560" i="1"/>
  <c r="N1560" i="1"/>
  <c r="Q1560" i="1" s="1"/>
  <c r="M1560" i="1"/>
  <c r="L1560" i="1"/>
  <c r="I1560" i="1"/>
  <c r="P1560" i="1" s="1"/>
  <c r="H1560" i="1"/>
  <c r="O1559" i="1"/>
  <c r="N1559" i="1"/>
  <c r="M1559" i="1"/>
  <c r="L1559" i="1"/>
  <c r="I1559" i="1"/>
  <c r="P1559" i="1" s="1"/>
  <c r="H1559" i="1"/>
  <c r="O1558" i="1"/>
  <c r="N1558" i="1"/>
  <c r="Q1558" i="1" s="1"/>
  <c r="M1558" i="1"/>
  <c r="L1558" i="1"/>
  <c r="I1558" i="1"/>
  <c r="P1558" i="1" s="1"/>
  <c r="H1558" i="1"/>
  <c r="O1557" i="1"/>
  <c r="N1557" i="1"/>
  <c r="M1557" i="1"/>
  <c r="L1557" i="1"/>
  <c r="I1557" i="1"/>
  <c r="P1557" i="1" s="1"/>
  <c r="H1557" i="1"/>
  <c r="O1556" i="1"/>
  <c r="N1556" i="1"/>
  <c r="Q1556" i="1" s="1"/>
  <c r="M1556" i="1"/>
  <c r="L1556" i="1"/>
  <c r="I1556" i="1"/>
  <c r="P1556" i="1" s="1"/>
  <c r="H1556" i="1"/>
  <c r="O1555" i="1"/>
  <c r="N1555" i="1"/>
  <c r="M1555" i="1"/>
  <c r="L1555" i="1"/>
  <c r="I1555" i="1"/>
  <c r="P1555" i="1" s="1"/>
  <c r="H1555" i="1"/>
  <c r="O1554" i="1"/>
  <c r="N1554" i="1"/>
  <c r="Q1554" i="1" s="1"/>
  <c r="M1554" i="1"/>
  <c r="L1554" i="1"/>
  <c r="I1554" i="1"/>
  <c r="P1554" i="1" s="1"/>
  <c r="H1554" i="1"/>
  <c r="O1553" i="1"/>
  <c r="N1553" i="1"/>
  <c r="M1553" i="1"/>
  <c r="L1553" i="1"/>
  <c r="I1553" i="1"/>
  <c r="P1553" i="1" s="1"/>
  <c r="H1553" i="1"/>
  <c r="O1552" i="1"/>
  <c r="N1552" i="1"/>
  <c r="Q1552" i="1" s="1"/>
  <c r="M1552" i="1"/>
  <c r="L1552" i="1"/>
  <c r="I1552" i="1"/>
  <c r="P1552" i="1" s="1"/>
  <c r="H1552" i="1"/>
  <c r="O1551" i="1"/>
  <c r="N1551" i="1"/>
  <c r="M1551" i="1"/>
  <c r="L1551" i="1"/>
  <c r="I1551" i="1"/>
  <c r="P1551" i="1" s="1"/>
  <c r="H1551" i="1"/>
  <c r="O1550" i="1"/>
  <c r="N1550" i="1"/>
  <c r="Q1550" i="1" s="1"/>
  <c r="M1550" i="1"/>
  <c r="L1550" i="1"/>
  <c r="I1550" i="1"/>
  <c r="P1550" i="1" s="1"/>
  <c r="H1550" i="1"/>
  <c r="O1549" i="1"/>
  <c r="N1549" i="1"/>
  <c r="M1549" i="1"/>
  <c r="L1549" i="1"/>
  <c r="I1549" i="1"/>
  <c r="P1549" i="1" s="1"/>
  <c r="H1549" i="1"/>
  <c r="O1548" i="1"/>
  <c r="N1548" i="1"/>
  <c r="Q1548" i="1" s="1"/>
  <c r="M1548" i="1"/>
  <c r="L1548" i="1"/>
  <c r="I1548" i="1"/>
  <c r="P1548" i="1" s="1"/>
  <c r="H1548" i="1"/>
  <c r="O1547" i="1"/>
  <c r="N1547" i="1"/>
  <c r="M1547" i="1"/>
  <c r="L1547" i="1"/>
  <c r="I1547" i="1"/>
  <c r="P1547" i="1" s="1"/>
  <c r="H1547" i="1"/>
  <c r="O1546" i="1"/>
  <c r="N1546" i="1"/>
  <c r="Q1546" i="1" s="1"/>
  <c r="M1546" i="1"/>
  <c r="L1546" i="1"/>
  <c r="I1546" i="1"/>
  <c r="P1546" i="1" s="1"/>
  <c r="H1546" i="1"/>
  <c r="O1545" i="1"/>
  <c r="N1545" i="1"/>
  <c r="M1545" i="1"/>
  <c r="L1545" i="1"/>
  <c r="I1545" i="1"/>
  <c r="P1545" i="1" s="1"/>
  <c r="H1545" i="1"/>
  <c r="O1544" i="1"/>
  <c r="N1544" i="1"/>
  <c r="Q1544" i="1" s="1"/>
  <c r="M1544" i="1"/>
  <c r="L1544" i="1"/>
  <c r="I1544" i="1"/>
  <c r="P1544" i="1" s="1"/>
  <c r="H1544" i="1"/>
  <c r="O1543" i="1"/>
  <c r="N1543" i="1"/>
  <c r="M1543" i="1"/>
  <c r="L1543" i="1"/>
  <c r="I1543" i="1"/>
  <c r="P1543" i="1" s="1"/>
  <c r="H1543" i="1"/>
  <c r="O1542" i="1"/>
  <c r="N1542" i="1"/>
  <c r="Q1542" i="1" s="1"/>
  <c r="M1542" i="1"/>
  <c r="L1542" i="1"/>
  <c r="I1542" i="1"/>
  <c r="P1542" i="1" s="1"/>
  <c r="H1542" i="1"/>
  <c r="O1541" i="1"/>
  <c r="N1541" i="1"/>
  <c r="M1541" i="1"/>
  <c r="L1541" i="1"/>
  <c r="I1541" i="1"/>
  <c r="P1541" i="1" s="1"/>
  <c r="H1541" i="1"/>
  <c r="O1540" i="1"/>
  <c r="N1540" i="1"/>
  <c r="Q1540" i="1" s="1"/>
  <c r="M1540" i="1"/>
  <c r="L1540" i="1"/>
  <c r="I1540" i="1"/>
  <c r="P1540" i="1" s="1"/>
  <c r="H1540" i="1"/>
  <c r="O1539" i="1"/>
  <c r="N1539" i="1"/>
  <c r="M1539" i="1"/>
  <c r="L1539" i="1"/>
  <c r="I1539" i="1"/>
  <c r="P1539" i="1" s="1"/>
  <c r="H1539" i="1"/>
  <c r="O1538" i="1"/>
  <c r="N1538" i="1"/>
  <c r="Q1538" i="1" s="1"/>
  <c r="M1538" i="1"/>
  <c r="L1538" i="1"/>
  <c r="I1538" i="1"/>
  <c r="P1538" i="1" s="1"/>
  <c r="H1538" i="1"/>
  <c r="O1537" i="1"/>
  <c r="N1537" i="1"/>
  <c r="M1537" i="1"/>
  <c r="L1537" i="1"/>
  <c r="I1537" i="1"/>
  <c r="P1537" i="1" s="1"/>
  <c r="H1537" i="1"/>
  <c r="O1536" i="1"/>
  <c r="N1536" i="1"/>
  <c r="Q1536" i="1" s="1"/>
  <c r="M1536" i="1"/>
  <c r="L1536" i="1"/>
  <c r="I1536" i="1"/>
  <c r="P1536" i="1" s="1"/>
  <c r="H1536" i="1"/>
  <c r="O1535" i="1"/>
  <c r="N1535" i="1"/>
  <c r="M1535" i="1"/>
  <c r="L1535" i="1"/>
  <c r="I1535" i="1"/>
  <c r="P1535" i="1" s="1"/>
  <c r="H1535" i="1"/>
  <c r="O1534" i="1"/>
  <c r="N1534" i="1"/>
  <c r="Q1534" i="1" s="1"/>
  <c r="M1534" i="1"/>
  <c r="L1534" i="1"/>
  <c r="I1534" i="1"/>
  <c r="P1534" i="1" s="1"/>
  <c r="H1534" i="1"/>
  <c r="O1533" i="1"/>
  <c r="N1533" i="1"/>
  <c r="M1533" i="1"/>
  <c r="L1533" i="1"/>
  <c r="I1533" i="1"/>
  <c r="P1533" i="1" s="1"/>
  <c r="H1533" i="1"/>
  <c r="O1532" i="1"/>
  <c r="N1532" i="1"/>
  <c r="Q1532" i="1" s="1"/>
  <c r="M1532" i="1"/>
  <c r="L1532" i="1"/>
  <c r="I1532" i="1"/>
  <c r="P1532" i="1" s="1"/>
  <c r="H1532" i="1"/>
  <c r="O1531" i="1"/>
  <c r="N1531" i="1"/>
  <c r="M1531" i="1"/>
  <c r="L1531" i="1"/>
  <c r="I1531" i="1"/>
  <c r="P1531" i="1" s="1"/>
  <c r="H1531" i="1"/>
  <c r="O1530" i="1"/>
  <c r="N1530" i="1"/>
  <c r="Q1530" i="1" s="1"/>
  <c r="M1530" i="1"/>
  <c r="L1530" i="1"/>
  <c r="I1530" i="1"/>
  <c r="P1530" i="1" s="1"/>
  <c r="H1530" i="1"/>
  <c r="O1529" i="1"/>
  <c r="N1529" i="1"/>
  <c r="M1529" i="1"/>
  <c r="L1529" i="1"/>
  <c r="I1529" i="1"/>
  <c r="P1529" i="1" s="1"/>
  <c r="H1529" i="1"/>
  <c r="O1528" i="1"/>
  <c r="N1528" i="1"/>
  <c r="Q1528" i="1" s="1"/>
  <c r="M1528" i="1"/>
  <c r="L1528" i="1"/>
  <c r="I1528" i="1"/>
  <c r="P1528" i="1" s="1"/>
  <c r="H1528" i="1"/>
  <c r="O1527" i="1"/>
  <c r="N1527" i="1"/>
  <c r="M1527" i="1"/>
  <c r="L1527" i="1"/>
  <c r="I1527" i="1"/>
  <c r="P1527" i="1" s="1"/>
  <c r="H1527" i="1"/>
  <c r="O1526" i="1"/>
  <c r="N1526" i="1"/>
  <c r="Q1526" i="1" s="1"/>
  <c r="M1526" i="1"/>
  <c r="L1526" i="1"/>
  <c r="I1526" i="1"/>
  <c r="P1526" i="1" s="1"/>
  <c r="H1526" i="1"/>
  <c r="O1525" i="1"/>
  <c r="N1525" i="1"/>
  <c r="M1525" i="1"/>
  <c r="L1525" i="1"/>
  <c r="I1525" i="1"/>
  <c r="P1525" i="1" s="1"/>
  <c r="H1525" i="1"/>
  <c r="O1524" i="1"/>
  <c r="N1524" i="1"/>
  <c r="Q1524" i="1" s="1"/>
  <c r="M1524" i="1"/>
  <c r="L1524" i="1"/>
  <c r="I1524" i="1"/>
  <c r="P1524" i="1" s="1"/>
  <c r="H1524" i="1"/>
  <c r="O1523" i="1"/>
  <c r="N1523" i="1"/>
  <c r="M1523" i="1"/>
  <c r="L1523" i="1"/>
  <c r="I1523" i="1"/>
  <c r="P1523" i="1" s="1"/>
  <c r="H1523" i="1"/>
  <c r="O1522" i="1"/>
  <c r="N1522" i="1"/>
  <c r="Q1522" i="1" s="1"/>
  <c r="M1522" i="1"/>
  <c r="L1522" i="1"/>
  <c r="I1522" i="1"/>
  <c r="P1522" i="1" s="1"/>
  <c r="H1522" i="1"/>
  <c r="O1521" i="1"/>
  <c r="N1521" i="1"/>
  <c r="M1521" i="1"/>
  <c r="L1521" i="1"/>
  <c r="I1521" i="1"/>
  <c r="P1521" i="1" s="1"/>
  <c r="H1521" i="1"/>
  <c r="O1520" i="1"/>
  <c r="N1520" i="1"/>
  <c r="Q1520" i="1" s="1"/>
  <c r="M1520" i="1"/>
  <c r="L1520" i="1"/>
  <c r="I1520" i="1"/>
  <c r="P1520" i="1" s="1"/>
  <c r="H1520" i="1"/>
  <c r="O1519" i="1"/>
  <c r="N1519" i="1"/>
  <c r="M1519" i="1"/>
  <c r="L1519" i="1"/>
  <c r="I1519" i="1"/>
  <c r="P1519" i="1" s="1"/>
  <c r="H1519" i="1"/>
  <c r="O1518" i="1"/>
  <c r="N1518" i="1"/>
  <c r="Q1518" i="1" s="1"/>
  <c r="M1518" i="1"/>
  <c r="L1518" i="1"/>
  <c r="I1518" i="1"/>
  <c r="P1518" i="1" s="1"/>
  <c r="H1518" i="1"/>
  <c r="O1517" i="1"/>
  <c r="N1517" i="1"/>
  <c r="M1517" i="1"/>
  <c r="L1517" i="1"/>
  <c r="I1517" i="1"/>
  <c r="P1517" i="1" s="1"/>
  <c r="H1517" i="1"/>
  <c r="O1516" i="1"/>
  <c r="N1516" i="1"/>
  <c r="Q1516" i="1" s="1"/>
  <c r="M1516" i="1"/>
  <c r="L1516" i="1"/>
  <c r="I1516" i="1"/>
  <c r="P1516" i="1" s="1"/>
  <c r="H1516" i="1"/>
  <c r="O1515" i="1"/>
  <c r="N1515" i="1"/>
  <c r="M1515" i="1"/>
  <c r="L1515" i="1"/>
  <c r="I1515" i="1"/>
  <c r="P1515" i="1" s="1"/>
  <c r="H1515" i="1"/>
  <c r="O1514" i="1"/>
  <c r="N1514" i="1"/>
  <c r="Q1514" i="1" s="1"/>
  <c r="M1514" i="1"/>
  <c r="L1514" i="1"/>
  <c r="I1514" i="1"/>
  <c r="P1514" i="1" s="1"/>
  <c r="H1514" i="1"/>
  <c r="O1513" i="1"/>
  <c r="N1513" i="1"/>
  <c r="M1513" i="1"/>
  <c r="L1513" i="1"/>
  <c r="I1513" i="1"/>
  <c r="P1513" i="1" s="1"/>
  <c r="H1513" i="1"/>
  <c r="O1512" i="1"/>
  <c r="N1512" i="1"/>
  <c r="Q1512" i="1" s="1"/>
  <c r="M1512" i="1"/>
  <c r="L1512" i="1"/>
  <c r="I1512" i="1"/>
  <c r="P1512" i="1" s="1"/>
  <c r="H1512" i="1"/>
  <c r="O1511" i="1"/>
  <c r="N1511" i="1"/>
  <c r="M1511" i="1"/>
  <c r="L1511" i="1"/>
  <c r="I1511" i="1"/>
  <c r="P1511" i="1" s="1"/>
  <c r="H1511" i="1"/>
  <c r="O1510" i="1"/>
  <c r="N1510" i="1"/>
  <c r="Q1510" i="1" s="1"/>
  <c r="M1510" i="1"/>
  <c r="L1510" i="1"/>
  <c r="I1510" i="1"/>
  <c r="P1510" i="1" s="1"/>
  <c r="H1510" i="1"/>
  <c r="O1509" i="1"/>
  <c r="N1509" i="1"/>
  <c r="M1509" i="1"/>
  <c r="L1509" i="1"/>
  <c r="I1509" i="1"/>
  <c r="P1509" i="1" s="1"/>
  <c r="H1509" i="1"/>
  <c r="O1508" i="1"/>
  <c r="N1508" i="1"/>
  <c r="Q1508" i="1" s="1"/>
  <c r="M1508" i="1"/>
  <c r="L1508" i="1"/>
  <c r="I1508" i="1"/>
  <c r="P1508" i="1" s="1"/>
  <c r="H1508" i="1"/>
  <c r="O1507" i="1"/>
  <c r="N1507" i="1"/>
  <c r="M1507" i="1"/>
  <c r="L1507" i="1"/>
  <c r="I1507" i="1"/>
  <c r="P1507" i="1" s="1"/>
  <c r="H1507" i="1"/>
  <c r="O1506" i="1"/>
  <c r="N1506" i="1"/>
  <c r="Q1506" i="1" s="1"/>
  <c r="M1506" i="1"/>
  <c r="L1506" i="1"/>
  <c r="I1506" i="1"/>
  <c r="P1506" i="1" s="1"/>
  <c r="H1506" i="1"/>
  <c r="O1505" i="1"/>
  <c r="N1505" i="1"/>
  <c r="M1505" i="1"/>
  <c r="L1505" i="1"/>
  <c r="I1505" i="1"/>
  <c r="P1505" i="1" s="1"/>
  <c r="H1505" i="1"/>
  <c r="O1504" i="1"/>
  <c r="N1504" i="1"/>
  <c r="Q1504" i="1" s="1"/>
  <c r="M1504" i="1"/>
  <c r="L1504" i="1"/>
  <c r="I1504" i="1"/>
  <c r="P1504" i="1" s="1"/>
  <c r="H1504" i="1"/>
  <c r="O1503" i="1"/>
  <c r="N1503" i="1"/>
  <c r="M1503" i="1"/>
  <c r="L1503" i="1"/>
  <c r="I1503" i="1"/>
  <c r="P1503" i="1" s="1"/>
  <c r="H1503" i="1"/>
  <c r="O1502" i="1"/>
  <c r="N1502" i="1"/>
  <c r="Q1502" i="1" s="1"/>
  <c r="M1502" i="1"/>
  <c r="L1502" i="1"/>
  <c r="I1502" i="1"/>
  <c r="P1502" i="1" s="1"/>
  <c r="H1502" i="1"/>
  <c r="O1501" i="1"/>
  <c r="N1501" i="1"/>
  <c r="M1501" i="1"/>
  <c r="L1501" i="1"/>
  <c r="I1501" i="1"/>
  <c r="P1501" i="1" s="1"/>
  <c r="H1501" i="1"/>
  <c r="O1500" i="1"/>
  <c r="N1500" i="1"/>
  <c r="Q1500" i="1" s="1"/>
  <c r="M1500" i="1"/>
  <c r="L1500" i="1"/>
  <c r="I1500" i="1"/>
  <c r="P1500" i="1" s="1"/>
  <c r="H1500" i="1"/>
  <c r="O1499" i="1"/>
  <c r="N1499" i="1"/>
  <c r="M1499" i="1"/>
  <c r="L1499" i="1"/>
  <c r="I1499" i="1"/>
  <c r="P1499" i="1" s="1"/>
  <c r="H1499" i="1"/>
  <c r="O1498" i="1"/>
  <c r="N1498" i="1"/>
  <c r="Q1498" i="1" s="1"/>
  <c r="M1498" i="1"/>
  <c r="L1498" i="1"/>
  <c r="I1498" i="1"/>
  <c r="P1498" i="1" s="1"/>
  <c r="H1498" i="1"/>
  <c r="O1497" i="1"/>
  <c r="N1497" i="1"/>
  <c r="M1497" i="1"/>
  <c r="L1497" i="1"/>
  <c r="I1497" i="1"/>
  <c r="P1497" i="1" s="1"/>
  <c r="H1497" i="1"/>
  <c r="O1496" i="1"/>
  <c r="N1496" i="1"/>
  <c r="Q1496" i="1" s="1"/>
  <c r="M1496" i="1"/>
  <c r="L1496" i="1"/>
  <c r="I1496" i="1"/>
  <c r="P1496" i="1" s="1"/>
  <c r="H1496" i="1"/>
  <c r="O1495" i="1"/>
  <c r="N1495" i="1"/>
  <c r="M1495" i="1"/>
  <c r="L1495" i="1"/>
  <c r="I1495" i="1"/>
  <c r="P1495" i="1" s="1"/>
  <c r="H1495" i="1"/>
  <c r="O1494" i="1"/>
  <c r="N1494" i="1"/>
  <c r="Q1494" i="1" s="1"/>
  <c r="M1494" i="1"/>
  <c r="L1494" i="1"/>
  <c r="I1494" i="1"/>
  <c r="P1494" i="1" s="1"/>
  <c r="H1494" i="1"/>
  <c r="O1493" i="1"/>
  <c r="N1493" i="1"/>
  <c r="M1493" i="1"/>
  <c r="L1493" i="1"/>
  <c r="I1493" i="1"/>
  <c r="P1493" i="1" s="1"/>
  <c r="H1493" i="1"/>
  <c r="O1492" i="1"/>
  <c r="N1492" i="1"/>
  <c r="Q1492" i="1" s="1"/>
  <c r="M1492" i="1"/>
  <c r="L1492" i="1"/>
  <c r="I1492" i="1"/>
  <c r="P1492" i="1" s="1"/>
  <c r="H1492" i="1"/>
  <c r="O1491" i="1"/>
  <c r="N1491" i="1"/>
  <c r="M1491" i="1"/>
  <c r="L1491" i="1"/>
  <c r="I1491" i="1"/>
  <c r="P1491" i="1" s="1"/>
  <c r="H1491" i="1"/>
  <c r="O1490" i="1"/>
  <c r="N1490" i="1"/>
  <c r="Q1490" i="1" s="1"/>
  <c r="M1490" i="1"/>
  <c r="L1490" i="1"/>
  <c r="I1490" i="1"/>
  <c r="P1490" i="1" s="1"/>
  <c r="H1490" i="1"/>
  <c r="O1489" i="1"/>
  <c r="N1489" i="1"/>
  <c r="M1489" i="1"/>
  <c r="L1489" i="1"/>
  <c r="I1489" i="1"/>
  <c r="P1489" i="1" s="1"/>
  <c r="H1489" i="1"/>
  <c r="O1488" i="1"/>
  <c r="N1488" i="1"/>
  <c r="Q1488" i="1" s="1"/>
  <c r="M1488" i="1"/>
  <c r="L1488" i="1"/>
  <c r="I1488" i="1"/>
  <c r="P1488" i="1" s="1"/>
  <c r="H1488" i="1"/>
  <c r="O1487" i="1"/>
  <c r="N1487" i="1"/>
  <c r="M1487" i="1"/>
  <c r="L1487" i="1"/>
  <c r="I1487" i="1"/>
  <c r="P1487" i="1" s="1"/>
  <c r="H1487" i="1"/>
  <c r="O1486" i="1"/>
  <c r="N1486" i="1"/>
  <c r="Q1486" i="1" s="1"/>
  <c r="M1486" i="1"/>
  <c r="L1486" i="1"/>
  <c r="I1486" i="1"/>
  <c r="P1486" i="1" s="1"/>
  <c r="H1486" i="1"/>
  <c r="O1485" i="1"/>
  <c r="N1485" i="1"/>
  <c r="M1485" i="1"/>
  <c r="L1485" i="1"/>
  <c r="I1485" i="1"/>
  <c r="P1485" i="1" s="1"/>
  <c r="H1485" i="1"/>
  <c r="O1484" i="1"/>
  <c r="N1484" i="1"/>
  <c r="Q1484" i="1" s="1"/>
  <c r="M1484" i="1"/>
  <c r="L1484" i="1"/>
  <c r="I1484" i="1"/>
  <c r="P1484" i="1" s="1"/>
  <c r="H1484" i="1"/>
  <c r="O1483" i="1"/>
  <c r="N1483" i="1"/>
  <c r="M1483" i="1"/>
  <c r="L1483" i="1"/>
  <c r="I1483" i="1"/>
  <c r="P1483" i="1" s="1"/>
  <c r="H1483" i="1"/>
  <c r="O1482" i="1"/>
  <c r="N1482" i="1"/>
  <c r="Q1482" i="1" s="1"/>
  <c r="M1482" i="1"/>
  <c r="L1482" i="1"/>
  <c r="I1482" i="1"/>
  <c r="P1482" i="1" s="1"/>
  <c r="H1482" i="1"/>
  <c r="O1481" i="1"/>
  <c r="N1481" i="1"/>
  <c r="M1481" i="1"/>
  <c r="L1481" i="1"/>
  <c r="I1481" i="1"/>
  <c r="P1481" i="1" s="1"/>
  <c r="H1481" i="1"/>
  <c r="O1480" i="1"/>
  <c r="N1480" i="1"/>
  <c r="Q1480" i="1" s="1"/>
  <c r="M1480" i="1"/>
  <c r="L1480" i="1"/>
  <c r="I1480" i="1"/>
  <c r="P1480" i="1" s="1"/>
  <c r="H1480" i="1"/>
  <c r="O1479" i="1"/>
  <c r="N1479" i="1"/>
  <c r="M1479" i="1"/>
  <c r="L1479" i="1"/>
  <c r="I1479" i="1"/>
  <c r="P1479" i="1" s="1"/>
  <c r="H1479" i="1"/>
  <c r="O1478" i="1"/>
  <c r="N1478" i="1"/>
  <c r="Q1478" i="1" s="1"/>
  <c r="M1478" i="1"/>
  <c r="L1478" i="1"/>
  <c r="I1478" i="1"/>
  <c r="P1478" i="1" s="1"/>
  <c r="H1478" i="1"/>
  <c r="O1477" i="1"/>
  <c r="N1477" i="1"/>
  <c r="M1477" i="1"/>
  <c r="L1477" i="1"/>
  <c r="I1477" i="1"/>
  <c r="P1477" i="1" s="1"/>
  <c r="H1477" i="1"/>
  <c r="O1476" i="1"/>
  <c r="N1476" i="1"/>
  <c r="Q1476" i="1" s="1"/>
  <c r="M1476" i="1"/>
  <c r="L1476" i="1"/>
  <c r="I1476" i="1"/>
  <c r="P1476" i="1" s="1"/>
  <c r="H1476" i="1"/>
  <c r="O1475" i="1"/>
  <c r="N1475" i="1"/>
  <c r="M1475" i="1"/>
  <c r="L1475" i="1"/>
  <c r="I1475" i="1"/>
  <c r="P1475" i="1" s="1"/>
  <c r="H1475" i="1"/>
  <c r="O1474" i="1"/>
  <c r="N1474" i="1"/>
  <c r="Q1474" i="1" s="1"/>
  <c r="M1474" i="1"/>
  <c r="L1474" i="1"/>
  <c r="I1474" i="1"/>
  <c r="P1474" i="1" s="1"/>
  <c r="H1474" i="1"/>
  <c r="O1473" i="1"/>
  <c r="N1473" i="1"/>
  <c r="M1473" i="1"/>
  <c r="L1473" i="1"/>
  <c r="I1473" i="1"/>
  <c r="P1473" i="1" s="1"/>
  <c r="H1473" i="1"/>
  <c r="O1472" i="1"/>
  <c r="N1472" i="1"/>
  <c r="Q1472" i="1" s="1"/>
  <c r="M1472" i="1"/>
  <c r="L1472" i="1"/>
  <c r="I1472" i="1"/>
  <c r="P1472" i="1" s="1"/>
  <c r="H1472" i="1"/>
  <c r="O1471" i="1"/>
  <c r="N1471" i="1"/>
  <c r="M1471" i="1"/>
  <c r="L1471" i="1"/>
  <c r="I1471" i="1"/>
  <c r="P1471" i="1" s="1"/>
  <c r="H1471" i="1"/>
  <c r="O1470" i="1"/>
  <c r="N1470" i="1"/>
  <c r="Q1470" i="1" s="1"/>
  <c r="M1470" i="1"/>
  <c r="L1470" i="1"/>
  <c r="I1470" i="1"/>
  <c r="P1470" i="1" s="1"/>
  <c r="H1470" i="1"/>
  <c r="O1469" i="1"/>
  <c r="N1469" i="1"/>
  <c r="M1469" i="1"/>
  <c r="L1469" i="1"/>
  <c r="I1469" i="1"/>
  <c r="P1469" i="1" s="1"/>
  <c r="H1469" i="1"/>
  <c r="O1468" i="1"/>
  <c r="N1468" i="1"/>
  <c r="Q1468" i="1" s="1"/>
  <c r="M1468" i="1"/>
  <c r="L1468" i="1"/>
  <c r="I1468" i="1"/>
  <c r="P1468" i="1" s="1"/>
  <c r="H1468" i="1"/>
  <c r="O1467" i="1"/>
  <c r="N1467" i="1"/>
  <c r="M1467" i="1"/>
  <c r="L1467" i="1"/>
  <c r="I1467" i="1"/>
  <c r="P1467" i="1" s="1"/>
  <c r="H1467" i="1"/>
  <c r="O1466" i="1"/>
  <c r="N1466" i="1"/>
  <c r="Q1466" i="1" s="1"/>
  <c r="M1466" i="1"/>
  <c r="L1466" i="1"/>
  <c r="I1466" i="1"/>
  <c r="P1466" i="1" s="1"/>
  <c r="H1466" i="1"/>
  <c r="O1465" i="1"/>
  <c r="N1465" i="1"/>
  <c r="M1465" i="1"/>
  <c r="L1465" i="1"/>
  <c r="I1465" i="1"/>
  <c r="P1465" i="1" s="1"/>
  <c r="H1465" i="1"/>
  <c r="O1464" i="1"/>
  <c r="N1464" i="1"/>
  <c r="Q1464" i="1" s="1"/>
  <c r="M1464" i="1"/>
  <c r="L1464" i="1"/>
  <c r="I1464" i="1"/>
  <c r="P1464" i="1" s="1"/>
  <c r="H1464" i="1"/>
  <c r="O1463" i="1"/>
  <c r="N1463" i="1"/>
  <c r="M1463" i="1"/>
  <c r="L1463" i="1"/>
  <c r="I1463" i="1"/>
  <c r="P1463" i="1" s="1"/>
  <c r="H1463" i="1"/>
  <c r="O1462" i="1"/>
  <c r="N1462" i="1"/>
  <c r="Q1462" i="1" s="1"/>
  <c r="M1462" i="1"/>
  <c r="L1462" i="1"/>
  <c r="I1462" i="1"/>
  <c r="P1462" i="1" s="1"/>
  <c r="H1462" i="1"/>
  <c r="O1461" i="1"/>
  <c r="N1461" i="1"/>
  <c r="M1461" i="1"/>
  <c r="L1461" i="1"/>
  <c r="I1461" i="1"/>
  <c r="P1461" i="1" s="1"/>
  <c r="H1461" i="1"/>
  <c r="O1460" i="1"/>
  <c r="N1460" i="1"/>
  <c r="Q1460" i="1" s="1"/>
  <c r="M1460" i="1"/>
  <c r="L1460" i="1"/>
  <c r="I1460" i="1"/>
  <c r="P1460" i="1" s="1"/>
  <c r="H1460" i="1"/>
  <c r="O1459" i="1"/>
  <c r="N1459" i="1"/>
  <c r="M1459" i="1"/>
  <c r="L1459" i="1"/>
  <c r="I1459" i="1"/>
  <c r="P1459" i="1" s="1"/>
  <c r="H1459" i="1"/>
  <c r="O1458" i="1"/>
  <c r="N1458" i="1"/>
  <c r="Q1458" i="1" s="1"/>
  <c r="M1458" i="1"/>
  <c r="L1458" i="1"/>
  <c r="I1458" i="1"/>
  <c r="P1458" i="1" s="1"/>
  <c r="H1458" i="1"/>
  <c r="O1457" i="1"/>
  <c r="N1457" i="1"/>
  <c r="M1457" i="1"/>
  <c r="L1457" i="1"/>
  <c r="I1457" i="1"/>
  <c r="P1457" i="1" s="1"/>
  <c r="H1457" i="1"/>
  <c r="O1456" i="1"/>
  <c r="N1456" i="1"/>
  <c r="Q1456" i="1" s="1"/>
  <c r="M1456" i="1"/>
  <c r="L1456" i="1"/>
  <c r="I1456" i="1"/>
  <c r="P1456" i="1" s="1"/>
  <c r="H1456" i="1"/>
  <c r="O1455" i="1"/>
  <c r="N1455" i="1"/>
  <c r="M1455" i="1"/>
  <c r="L1455" i="1"/>
  <c r="I1455" i="1"/>
  <c r="P1455" i="1" s="1"/>
  <c r="H1455" i="1"/>
  <c r="O1454" i="1"/>
  <c r="N1454" i="1"/>
  <c r="Q1454" i="1" s="1"/>
  <c r="M1454" i="1"/>
  <c r="L1454" i="1"/>
  <c r="I1454" i="1"/>
  <c r="P1454" i="1" s="1"/>
  <c r="H1454" i="1"/>
  <c r="O1453" i="1"/>
  <c r="N1453" i="1"/>
  <c r="M1453" i="1"/>
  <c r="L1453" i="1"/>
  <c r="I1453" i="1"/>
  <c r="P1453" i="1" s="1"/>
  <c r="H1453" i="1"/>
  <c r="O1452" i="1"/>
  <c r="N1452" i="1"/>
  <c r="Q1452" i="1" s="1"/>
  <c r="M1452" i="1"/>
  <c r="L1452" i="1"/>
  <c r="I1452" i="1"/>
  <c r="P1452" i="1" s="1"/>
  <c r="H1452" i="1"/>
  <c r="O1451" i="1"/>
  <c r="N1451" i="1"/>
  <c r="M1451" i="1"/>
  <c r="L1451" i="1"/>
  <c r="I1451" i="1"/>
  <c r="P1451" i="1" s="1"/>
  <c r="H1451" i="1"/>
  <c r="O1450" i="1"/>
  <c r="N1450" i="1"/>
  <c r="Q1450" i="1" s="1"/>
  <c r="M1450" i="1"/>
  <c r="L1450" i="1"/>
  <c r="I1450" i="1"/>
  <c r="P1450" i="1" s="1"/>
  <c r="H1450" i="1"/>
  <c r="O1449" i="1"/>
  <c r="N1449" i="1"/>
  <c r="M1449" i="1"/>
  <c r="L1449" i="1"/>
  <c r="I1449" i="1"/>
  <c r="P1449" i="1" s="1"/>
  <c r="H1449" i="1"/>
  <c r="O1448" i="1"/>
  <c r="N1448" i="1"/>
  <c r="Q1448" i="1" s="1"/>
  <c r="M1448" i="1"/>
  <c r="L1448" i="1"/>
  <c r="I1448" i="1"/>
  <c r="P1448" i="1" s="1"/>
  <c r="H1448" i="1"/>
  <c r="O1447" i="1"/>
  <c r="N1447" i="1"/>
  <c r="M1447" i="1"/>
  <c r="L1447" i="1"/>
  <c r="I1447" i="1"/>
  <c r="P1447" i="1" s="1"/>
  <c r="H1447" i="1"/>
  <c r="O1446" i="1"/>
  <c r="N1446" i="1"/>
  <c r="Q1446" i="1" s="1"/>
  <c r="M1446" i="1"/>
  <c r="L1446" i="1"/>
  <c r="I1446" i="1"/>
  <c r="P1446" i="1" s="1"/>
  <c r="H1446" i="1"/>
  <c r="O1445" i="1"/>
  <c r="N1445" i="1"/>
  <c r="M1445" i="1"/>
  <c r="L1445" i="1"/>
  <c r="I1445" i="1"/>
  <c r="P1445" i="1" s="1"/>
  <c r="H1445" i="1"/>
  <c r="O1444" i="1"/>
  <c r="N1444" i="1"/>
  <c r="Q1444" i="1" s="1"/>
  <c r="M1444" i="1"/>
  <c r="L1444" i="1"/>
  <c r="I1444" i="1"/>
  <c r="P1444" i="1" s="1"/>
  <c r="H1444" i="1"/>
  <c r="O1443" i="1"/>
  <c r="N1443" i="1"/>
  <c r="M1443" i="1"/>
  <c r="L1443" i="1"/>
  <c r="I1443" i="1"/>
  <c r="P1443" i="1" s="1"/>
  <c r="H1443" i="1"/>
  <c r="O1442" i="1"/>
  <c r="N1442" i="1"/>
  <c r="Q1442" i="1" s="1"/>
  <c r="M1442" i="1"/>
  <c r="L1442" i="1"/>
  <c r="I1442" i="1"/>
  <c r="P1442" i="1" s="1"/>
  <c r="H1442" i="1"/>
  <c r="O1441" i="1"/>
  <c r="N1441" i="1"/>
  <c r="M1441" i="1"/>
  <c r="L1441" i="1"/>
  <c r="I1441" i="1"/>
  <c r="P1441" i="1" s="1"/>
  <c r="H1441" i="1"/>
  <c r="O1440" i="1"/>
  <c r="N1440" i="1"/>
  <c r="Q1440" i="1" s="1"/>
  <c r="M1440" i="1"/>
  <c r="L1440" i="1"/>
  <c r="I1440" i="1"/>
  <c r="P1440" i="1" s="1"/>
  <c r="H1440" i="1"/>
  <c r="O1439" i="1"/>
  <c r="N1439" i="1"/>
  <c r="M1439" i="1"/>
  <c r="L1439" i="1"/>
  <c r="I1439" i="1"/>
  <c r="P1439" i="1" s="1"/>
  <c r="H1439" i="1"/>
  <c r="O1438" i="1"/>
  <c r="N1438" i="1"/>
  <c r="Q1438" i="1" s="1"/>
  <c r="M1438" i="1"/>
  <c r="L1438" i="1"/>
  <c r="I1438" i="1"/>
  <c r="P1438" i="1" s="1"/>
  <c r="H1438" i="1"/>
  <c r="O1437" i="1"/>
  <c r="N1437" i="1"/>
  <c r="M1437" i="1"/>
  <c r="L1437" i="1"/>
  <c r="I1437" i="1"/>
  <c r="P1437" i="1" s="1"/>
  <c r="H1437" i="1"/>
  <c r="O1436" i="1"/>
  <c r="N1436" i="1"/>
  <c r="Q1436" i="1" s="1"/>
  <c r="M1436" i="1"/>
  <c r="L1436" i="1"/>
  <c r="I1436" i="1"/>
  <c r="P1436" i="1" s="1"/>
  <c r="H1436" i="1"/>
  <c r="O1435" i="1"/>
  <c r="N1435" i="1"/>
  <c r="M1435" i="1"/>
  <c r="L1435" i="1"/>
  <c r="I1435" i="1"/>
  <c r="P1435" i="1" s="1"/>
  <c r="H1435" i="1"/>
  <c r="O1434" i="1"/>
  <c r="N1434" i="1"/>
  <c r="Q1434" i="1" s="1"/>
  <c r="M1434" i="1"/>
  <c r="L1434" i="1"/>
  <c r="I1434" i="1"/>
  <c r="P1434" i="1" s="1"/>
  <c r="H1434" i="1"/>
  <c r="O1433" i="1"/>
  <c r="N1433" i="1"/>
  <c r="M1433" i="1"/>
  <c r="L1433" i="1"/>
  <c r="I1433" i="1"/>
  <c r="P1433" i="1" s="1"/>
  <c r="H1433" i="1"/>
  <c r="O1432" i="1"/>
  <c r="N1432" i="1"/>
  <c r="Q1432" i="1" s="1"/>
  <c r="M1432" i="1"/>
  <c r="L1432" i="1"/>
  <c r="I1432" i="1"/>
  <c r="P1432" i="1" s="1"/>
  <c r="H1432" i="1"/>
  <c r="O1431" i="1"/>
  <c r="N1431" i="1"/>
  <c r="M1431" i="1"/>
  <c r="L1431" i="1"/>
  <c r="I1431" i="1"/>
  <c r="P1431" i="1" s="1"/>
  <c r="H1431" i="1"/>
  <c r="O1430" i="1"/>
  <c r="N1430" i="1"/>
  <c r="Q1430" i="1" s="1"/>
  <c r="M1430" i="1"/>
  <c r="L1430" i="1"/>
  <c r="I1430" i="1"/>
  <c r="P1430" i="1" s="1"/>
  <c r="H1430" i="1"/>
  <c r="O1429" i="1"/>
  <c r="N1429" i="1"/>
  <c r="M1429" i="1"/>
  <c r="L1429" i="1"/>
  <c r="I1429" i="1"/>
  <c r="P1429" i="1" s="1"/>
  <c r="H1429" i="1"/>
  <c r="O1428" i="1"/>
  <c r="N1428" i="1"/>
  <c r="Q1428" i="1" s="1"/>
  <c r="M1428" i="1"/>
  <c r="L1428" i="1"/>
  <c r="I1428" i="1"/>
  <c r="P1428" i="1" s="1"/>
  <c r="H1428" i="1"/>
  <c r="O1427" i="1"/>
  <c r="N1427" i="1"/>
  <c r="M1427" i="1"/>
  <c r="L1427" i="1"/>
  <c r="I1427" i="1"/>
  <c r="P1427" i="1" s="1"/>
  <c r="H1427" i="1"/>
  <c r="O1426" i="1"/>
  <c r="N1426" i="1"/>
  <c r="Q1426" i="1" s="1"/>
  <c r="M1426" i="1"/>
  <c r="L1426" i="1"/>
  <c r="I1426" i="1"/>
  <c r="P1426" i="1" s="1"/>
  <c r="H1426" i="1"/>
  <c r="O1425" i="1"/>
  <c r="N1425" i="1"/>
  <c r="M1425" i="1"/>
  <c r="L1425" i="1"/>
  <c r="I1425" i="1"/>
  <c r="P1425" i="1" s="1"/>
  <c r="H1425" i="1"/>
  <c r="O1424" i="1"/>
  <c r="N1424" i="1"/>
  <c r="Q1424" i="1" s="1"/>
  <c r="M1424" i="1"/>
  <c r="L1424" i="1"/>
  <c r="I1424" i="1"/>
  <c r="P1424" i="1" s="1"/>
  <c r="H1424" i="1"/>
  <c r="O1423" i="1"/>
  <c r="N1423" i="1"/>
  <c r="M1423" i="1"/>
  <c r="L1423" i="1"/>
  <c r="I1423" i="1"/>
  <c r="P1423" i="1" s="1"/>
  <c r="H1423" i="1"/>
  <c r="O1422" i="1"/>
  <c r="N1422" i="1"/>
  <c r="Q1422" i="1" s="1"/>
  <c r="M1422" i="1"/>
  <c r="L1422" i="1"/>
  <c r="I1422" i="1"/>
  <c r="P1422" i="1" s="1"/>
  <c r="H1422" i="1"/>
  <c r="O1421" i="1"/>
  <c r="N1421" i="1"/>
  <c r="M1421" i="1"/>
  <c r="L1421" i="1"/>
  <c r="I1421" i="1"/>
  <c r="P1421" i="1" s="1"/>
  <c r="H1421" i="1"/>
  <c r="O1420" i="1"/>
  <c r="N1420" i="1"/>
  <c r="Q1420" i="1" s="1"/>
  <c r="M1420" i="1"/>
  <c r="L1420" i="1"/>
  <c r="I1420" i="1"/>
  <c r="P1420" i="1" s="1"/>
  <c r="H1420" i="1"/>
  <c r="O1419" i="1"/>
  <c r="N1419" i="1"/>
  <c r="M1419" i="1"/>
  <c r="L1419" i="1"/>
  <c r="I1419" i="1"/>
  <c r="P1419" i="1" s="1"/>
  <c r="H1419" i="1"/>
  <c r="O1418" i="1"/>
  <c r="N1418" i="1"/>
  <c r="Q1418" i="1" s="1"/>
  <c r="M1418" i="1"/>
  <c r="L1418" i="1"/>
  <c r="I1418" i="1"/>
  <c r="P1418" i="1" s="1"/>
  <c r="H1418" i="1"/>
  <c r="O1417" i="1"/>
  <c r="N1417" i="1"/>
  <c r="M1417" i="1"/>
  <c r="L1417" i="1"/>
  <c r="I1417" i="1"/>
  <c r="P1417" i="1" s="1"/>
  <c r="H1417" i="1"/>
  <c r="O1416" i="1"/>
  <c r="N1416" i="1"/>
  <c r="Q1416" i="1" s="1"/>
  <c r="M1416" i="1"/>
  <c r="L1416" i="1"/>
  <c r="I1416" i="1"/>
  <c r="P1416" i="1" s="1"/>
  <c r="H1416" i="1"/>
  <c r="O1415" i="1"/>
  <c r="N1415" i="1"/>
  <c r="M1415" i="1"/>
  <c r="L1415" i="1"/>
  <c r="I1415" i="1"/>
  <c r="P1415" i="1" s="1"/>
  <c r="H1415" i="1"/>
  <c r="O1414" i="1"/>
  <c r="N1414" i="1"/>
  <c r="Q1414" i="1" s="1"/>
  <c r="M1414" i="1"/>
  <c r="L1414" i="1"/>
  <c r="I1414" i="1"/>
  <c r="P1414" i="1" s="1"/>
  <c r="H1414" i="1"/>
  <c r="O1413" i="1"/>
  <c r="N1413" i="1"/>
  <c r="M1413" i="1"/>
  <c r="L1413" i="1"/>
  <c r="I1413" i="1"/>
  <c r="P1413" i="1" s="1"/>
  <c r="H1413" i="1"/>
  <c r="O1412" i="1"/>
  <c r="N1412" i="1"/>
  <c r="Q1412" i="1" s="1"/>
  <c r="M1412" i="1"/>
  <c r="L1412" i="1"/>
  <c r="I1412" i="1"/>
  <c r="P1412" i="1" s="1"/>
  <c r="H1412" i="1"/>
  <c r="O1411" i="1"/>
  <c r="N1411" i="1"/>
  <c r="M1411" i="1"/>
  <c r="L1411" i="1"/>
  <c r="I1411" i="1"/>
  <c r="P1411" i="1" s="1"/>
  <c r="H1411" i="1"/>
  <c r="O1410" i="1"/>
  <c r="N1410" i="1"/>
  <c r="Q1410" i="1" s="1"/>
  <c r="M1410" i="1"/>
  <c r="L1410" i="1"/>
  <c r="I1410" i="1"/>
  <c r="P1410" i="1" s="1"/>
  <c r="H1410" i="1"/>
  <c r="O1409" i="1"/>
  <c r="N1409" i="1"/>
  <c r="M1409" i="1"/>
  <c r="L1409" i="1"/>
  <c r="I1409" i="1"/>
  <c r="P1409" i="1" s="1"/>
  <c r="H1409" i="1"/>
  <c r="O1408" i="1"/>
  <c r="N1408" i="1"/>
  <c r="Q1408" i="1" s="1"/>
  <c r="M1408" i="1"/>
  <c r="L1408" i="1"/>
  <c r="I1408" i="1"/>
  <c r="P1408" i="1" s="1"/>
  <c r="H1408" i="1"/>
  <c r="O1407" i="1"/>
  <c r="N1407" i="1"/>
  <c r="M1407" i="1"/>
  <c r="L1407" i="1"/>
  <c r="I1407" i="1"/>
  <c r="P1407" i="1" s="1"/>
  <c r="H1407" i="1"/>
  <c r="O1406" i="1"/>
  <c r="N1406" i="1"/>
  <c r="Q1406" i="1" s="1"/>
  <c r="M1406" i="1"/>
  <c r="L1406" i="1"/>
  <c r="I1406" i="1"/>
  <c r="P1406" i="1" s="1"/>
  <c r="H1406" i="1"/>
  <c r="O1405" i="1"/>
  <c r="N1405" i="1"/>
  <c r="M1405" i="1"/>
  <c r="L1405" i="1"/>
  <c r="I1405" i="1"/>
  <c r="P1405" i="1" s="1"/>
  <c r="H1405" i="1"/>
  <c r="O1404" i="1"/>
  <c r="N1404" i="1"/>
  <c r="Q1404" i="1" s="1"/>
  <c r="M1404" i="1"/>
  <c r="L1404" i="1"/>
  <c r="I1404" i="1"/>
  <c r="P1404" i="1" s="1"/>
  <c r="H1404" i="1"/>
  <c r="O1403" i="1"/>
  <c r="N1403" i="1"/>
  <c r="M1403" i="1"/>
  <c r="L1403" i="1"/>
  <c r="I1403" i="1"/>
  <c r="P1403" i="1" s="1"/>
  <c r="H1403" i="1"/>
  <c r="O1402" i="1"/>
  <c r="N1402" i="1"/>
  <c r="Q1402" i="1" s="1"/>
  <c r="M1402" i="1"/>
  <c r="L1402" i="1"/>
  <c r="I1402" i="1"/>
  <c r="P1402" i="1" s="1"/>
  <c r="H1402" i="1"/>
  <c r="O1401" i="1"/>
  <c r="N1401" i="1"/>
  <c r="M1401" i="1"/>
  <c r="L1401" i="1"/>
  <c r="I1401" i="1"/>
  <c r="P1401" i="1" s="1"/>
  <c r="H1401" i="1"/>
  <c r="O1400" i="1"/>
  <c r="N1400" i="1"/>
  <c r="Q1400" i="1" s="1"/>
  <c r="M1400" i="1"/>
  <c r="L1400" i="1"/>
  <c r="I1400" i="1"/>
  <c r="P1400" i="1" s="1"/>
  <c r="H1400" i="1"/>
  <c r="O1399" i="1"/>
  <c r="N1399" i="1"/>
  <c r="M1399" i="1"/>
  <c r="L1399" i="1"/>
  <c r="I1399" i="1"/>
  <c r="P1399" i="1" s="1"/>
  <c r="H1399" i="1"/>
  <c r="O1398" i="1"/>
  <c r="N1398" i="1"/>
  <c r="Q1398" i="1" s="1"/>
  <c r="M1398" i="1"/>
  <c r="L1398" i="1"/>
  <c r="I1398" i="1"/>
  <c r="P1398" i="1" s="1"/>
  <c r="H1398" i="1"/>
  <c r="O1397" i="1"/>
  <c r="N1397" i="1"/>
  <c r="Q1397" i="1" s="1"/>
  <c r="M1397" i="1"/>
  <c r="L1397" i="1"/>
  <c r="I1397" i="1"/>
  <c r="P1397" i="1" s="1"/>
  <c r="H1397" i="1"/>
  <c r="O1396" i="1"/>
  <c r="N1396" i="1"/>
  <c r="Q1396" i="1" s="1"/>
  <c r="M1396" i="1"/>
  <c r="L1396" i="1"/>
  <c r="I1396" i="1"/>
  <c r="P1396" i="1" s="1"/>
  <c r="H1396" i="1"/>
  <c r="O1395" i="1"/>
  <c r="N1395" i="1"/>
  <c r="Q1395" i="1" s="1"/>
  <c r="M1395" i="1"/>
  <c r="L1395" i="1"/>
  <c r="I1395" i="1"/>
  <c r="P1395" i="1" s="1"/>
  <c r="H1395" i="1"/>
  <c r="O1394" i="1"/>
  <c r="N1394" i="1"/>
  <c r="Q1394" i="1" s="1"/>
  <c r="M1394" i="1"/>
  <c r="L1394" i="1"/>
  <c r="I1394" i="1"/>
  <c r="P1394" i="1" s="1"/>
  <c r="H1394" i="1"/>
  <c r="O1393" i="1"/>
  <c r="N1393" i="1"/>
  <c r="Q1393" i="1" s="1"/>
  <c r="M1393" i="1"/>
  <c r="L1393" i="1"/>
  <c r="I1393" i="1"/>
  <c r="P1393" i="1" s="1"/>
  <c r="H1393" i="1"/>
  <c r="O1392" i="1"/>
  <c r="N1392" i="1"/>
  <c r="Q1392" i="1" s="1"/>
  <c r="M1392" i="1"/>
  <c r="L1392" i="1"/>
  <c r="I1392" i="1"/>
  <c r="P1392" i="1" s="1"/>
  <c r="H1392" i="1"/>
  <c r="O1391" i="1"/>
  <c r="N1391" i="1"/>
  <c r="Q1391" i="1" s="1"/>
  <c r="M1391" i="1"/>
  <c r="L1391" i="1"/>
  <c r="I1391" i="1"/>
  <c r="P1391" i="1" s="1"/>
  <c r="H1391" i="1"/>
  <c r="O1390" i="1"/>
  <c r="N1390" i="1"/>
  <c r="Q1390" i="1" s="1"/>
  <c r="M1390" i="1"/>
  <c r="L1390" i="1"/>
  <c r="I1390" i="1"/>
  <c r="P1390" i="1" s="1"/>
  <c r="H1390" i="1"/>
  <c r="O1389" i="1"/>
  <c r="N1389" i="1"/>
  <c r="Q1389" i="1" s="1"/>
  <c r="M1389" i="1"/>
  <c r="L1389" i="1"/>
  <c r="I1389" i="1"/>
  <c r="P1389" i="1" s="1"/>
  <c r="H1389" i="1"/>
  <c r="O1388" i="1"/>
  <c r="N1388" i="1"/>
  <c r="Q1388" i="1" s="1"/>
  <c r="M1388" i="1"/>
  <c r="L1388" i="1"/>
  <c r="I1388" i="1"/>
  <c r="P1388" i="1" s="1"/>
  <c r="H1388" i="1"/>
  <c r="O1387" i="1"/>
  <c r="N1387" i="1"/>
  <c r="Q1387" i="1" s="1"/>
  <c r="M1387" i="1"/>
  <c r="L1387" i="1"/>
  <c r="I1387" i="1"/>
  <c r="P1387" i="1" s="1"/>
  <c r="H1387" i="1"/>
  <c r="O1386" i="1"/>
  <c r="N1386" i="1"/>
  <c r="Q1386" i="1" s="1"/>
  <c r="M1386" i="1"/>
  <c r="L1386" i="1"/>
  <c r="I1386" i="1"/>
  <c r="P1386" i="1" s="1"/>
  <c r="H1386" i="1"/>
  <c r="O1385" i="1"/>
  <c r="N1385" i="1"/>
  <c r="Q1385" i="1" s="1"/>
  <c r="M1385" i="1"/>
  <c r="L1385" i="1"/>
  <c r="I1385" i="1"/>
  <c r="P1385" i="1" s="1"/>
  <c r="H1385" i="1"/>
  <c r="O1384" i="1"/>
  <c r="N1384" i="1"/>
  <c r="Q1384" i="1" s="1"/>
  <c r="M1384" i="1"/>
  <c r="L1384" i="1"/>
  <c r="I1384" i="1"/>
  <c r="P1384" i="1" s="1"/>
  <c r="H1384" i="1"/>
  <c r="O1383" i="1"/>
  <c r="N1383" i="1"/>
  <c r="Q1383" i="1" s="1"/>
  <c r="M1383" i="1"/>
  <c r="L1383" i="1"/>
  <c r="I1383" i="1"/>
  <c r="P1383" i="1" s="1"/>
  <c r="H1383" i="1"/>
  <c r="O1382" i="1"/>
  <c r="N1382" i="1"/>
  <c r="Q1382" i="1" s="1"/>
  <c r="M1382" i="1"/>
  <c r="L1382" i="1"/>
  <c r="I1382" i="1"/>
  <c r="P1382" i="1" s="1"/>
  <c r="H1382" i="1"/>
  <c r="O1381" i="1"/>
  <c r="N1381" i="1"/>
  <c r="Q1381" i="1" s="1"/>
  <c r="M1381" i="1"/>
  <c r="L1381" i="1"/>
  <c r="I1381" i="1"/>
  <c r="P1381" i="1" s="1"/>
  <c r="H1381" i="1"/>
  <c r="O1380" i="1"/>
  <c r="N1380" i="1"/>
  <c r="Q1380" i="1" s="1"/>
  <c r="M1380" i="1"/>
  <c r="L1380" i="1"/>
  <c r="I1380" i="1"/>
  <c r="P1380" i="1" s="1"/>
  <c r="H1380" i="1"/>
  <c r="O1379" i="1"/>
  <c r="N1379" i="1"/>
  <c r="Q1379" i="1" s="1"/>
  <c r="M1379" i="1"/>
  <c r="L1379" i="1"/>
  <c r="I1379" i="1"/>
  <c r="P1379" i="1" s="1"/>
  <c r="H1379" i="1"/>
  <c r="O1378" i="1"/>
  <c r="N1378" i="1"/>
  <c r="Q1378" i="1" s="1"/>
  <c r="M1378" i="1"/>
  <c r="L1378" i="1"/>
  <c r="I1378" i="1"/>
  <c r="P1378" i="1" s="1"/>
  <c r="H1378" i="1"/>
  <c r="O1377" i="1"/>
  <c r="N1377" i="1"/>
  <c r="Q1377" i="1" s="1"/>
  <c r="M1377" i="1"/>
  <c r="L1377" i="1"/>
  <c r="I1377" i="1"/>
  <c r="P1377" i="1" s="1"/>
  <c r="H1377" i="1"/>
  <c r="O1376" i="1"/>
  <c r="N1376" i="1"/>
  <c r="Q1376" i="1" s="1"/>
  <c r="M1376" i="1"/>
  <c r="L1376" i="1"/>
  <c r="I1376" i="1"/>
  <c r="P1376" i="1" s="1"/>
  <c r="H1376" i="1"/>
  <c r="O1375" i="1"/>
  <c r="N1375" i="1"/>
  <c r="Q1375" i="1" s="1"/>
  <c r="M1375" i="1"/>
  <c r="L1375" i="1"/>
  <c r="I1375" i="1"/>
  <c r="P1375" i="1" s="1"/>
  <c r="H1375" i="1"/>
  <c r="O1374" i="1"/>
  <c r="N1374" i="1"/>
  <c r="Q1374" i="1" s="1"/>
  <c r="M1374" i="1"/>
  <c r="L1374" i="1"/>
  <c r="I1374" i="1"/>
  <c r="P1374" i="1" s="1"/>
  <c r="H1374" i="1"/>
  <c r="O1373" i="1"/>
  <c r="N1373" i="1"/>
  <c r="Q1373" i="1" s="1"/>
  <c r="M1373" i="1"/>
  <c r="L1373" i="1"/>
  <c r="I1373" i="1"/>
  <c r="P1373" i="1" s="1"/>
  <c r="H1373" i="1"/>
  <c r="O1372" i="1"/>
  <c r="N1372" i="1"/>
  <c r="Q1372" i="1" s="1"/>
  <c r="M1372" i="1"/>
  <c r="L1372" i="1"/>
  <c r="I1372" i="1"/>
  <c r="P1372" i="1" s="1"/>
  <c r="H1372" i="1"/>
  <c r="O1371" i="1"/>
  <c r="N1371" i="1"/>
  <c r="Q1371" i="1" s="1"/>
  <c r="M1371" i="1"/>
  <c r="L1371" i="1"/>
  <c r="I1371" i="1"/>
  <c r="P1371" i="1" s="1"/>
  <c r="H1371" i="1"/>
  <c r="O1370" i="1"/>
  <c r="N1370" i="1"/>
  <c r="Q1370" i="1" s="1"/>
  <c r="M1370" i="1"/>
  <c r="L1370" i="1"/>
  <c r="I1370" i="1"/>
  <c r="P1370" i="1" s="1"/>
  <c r="H1370" i="1"/>
  <c r="O1369" i="1"/>
  <c r="N1369" i="1"/>
  <c r="Q1369" i="1" s="1"/>
  <c r="M1369" i="1"/>
  <c r="L1369" i="1"/>
  <c r="I1369" i="1"/>
  <c r="P1369" i="1" s="1"/>
  <c r="H1369" i="1"/>
  <c r="O1368" i="1"/>
  <c r="N1368" i="1"/>
  <c r="Q1368" i="1" s="1"/>
  <c r="M1368" i="1"/>
  <c r="L1368" i="1"/>
  <c r="I1368" i="1"/>
  <c r="P1368" i="1" s="1"/>
  <c r="H1368" i="1"/>
  <c r="O1367" i="1"/>
  <c r="N1367" i="1"/>
  <c r="Q1367" i="1" s="1"/>
  <c r="M1367" i="1"/>
  <c r="L1367" i="1"/>
  <c r="I1367" i="1"/>
  <c r="P1367" i="1" s="1"/>
  <c r="H1367" i="1"/>
  <c r="O1366" i="1"/>
  <c r="N1366" i="1"/>
  <c r="Q1366" i="1" s="1"/>
  <c r="M1366" i="1"/>
  <c r="L1366" i="1"/>
  <c r="I1366" i="1"/>
  <c r="P1366" i="1" s="1"/>
  <c r="H1366" i="1"/>
  <c r="O1365" i="1"/>
  <c r="N1365" i="1"/>
  <c r="Q1365" i="1" s="1"/>
  <c r="M1365" i="1"/>
  <c r="L1365" i="1"/>
  <c r="I1365" i="1"/>
  <c r="P1365" i="1" s="1"/>
  <c r="H1365" i="1"/>
  <c r="O1364" i="1"/>
  <c r="N1364" i="1"/>
  <c r="Q1364" i="1" s="1"/>
  <c r="M1364" i="1"/>
  <c r="L1364" i="1"/>
  <c r="I1364" i="1"/>
  <c r="P1364" i="1" s="1"/>
  <c r="H1364" i="1"/>
  <c r="O1363" i="1"/>
  <c r="N1363" i="1"/>
  <c r="Q1363" i="1" s="1"/>
  <c r="M1363" i="1"/>
  <c r="L1363" i="1"/>
  <c r="I1363" i="1"/>
  <c r="P1363" i="1" s="1"/>
  <c r="H1363" i="1"/>
  <c r="O1362" i="1"/>
  <c r="N1362" i="1"/>
  <c r="Q1362" i="1" s="1"/>
  <c r="M1362" i="1"/>
  <c r="L1362" i="1"/>
  <c r="I1362" i="1"/>
  <c r="P1362" i="1" s="1"/>
  <c r="H1362" i="1"/>
  <c r="O1361" i="1"/>
  <c r="N1361" i="1"/>
  <c r="Q1361" i="1" s="1"/>
  <c r="M1361" i="1"/>
  <c r="L1361" i="1"/>
  <c r="I1361" i="1"/>
  <c r="P1361" i="1" s="1"/>
  <c r="H1361" i="1"/>
  <c r="O1360" i="1"/>
  <c r="N1360" i="1"/>
  <c r="Q1360" i="1" s="1"/>
  <c r="M1360" i="1"/>
  <c r="L1360" i="1"/>
  <c r="I1360" i="1"/>
  <c r="P1360" i="1" s="1"/>
  <c r="H1360" i="1"/>
  <c r="O1359" i="1"/>
  <c r="N1359" i="1"/>
  <c r="Q1359" i="1" s="1"/>
  <c r="M1359" i="1"/>
  <c r="L1359" i="1"/>
  <c r="I1359" i="1"/>
  <c r="P1359" i="1" s="1"/>
  <c r="H1359" i="1"/>
  <c r="O1358" i="1"/>
  <c r="N1358" i="1"/>
  <c r="Q1358" i="1" s="1"/>
  <c r="M1358" i="1"/>
  <c r="L1358" i="1"/>
  <c r="I1358" i="1"/>
  <c r="P1358" i="1" s="1"/>
  <c r="H1358" i="1"/>
  <c r="O1357" i="1"/>
  <c r="N1357" i="1"/>
  <c r="Q1357" i="1" s="1"/>
  <c r="M1357" i="1"/>
  <c r="L1357" i="1"/>
  <c r="I1357" i="1"/>
  <c r="P1357" i="1" s="1"/>
  <c r="H1357" i="1"/>
  <c r="O1356" i="1"/>
  <c r="N1356" i="1"/>
  <c r="Q1356" i="1" s="1"/>
  <c r="M1356" i="1"/>
  <c r="L1356" i="1"/>
  <c r="I1356" i="1"/>
  <c r="P1356" i="1" s="1"/>
  <c r="H1356" i="1"/>
  <c r="O1355" i="1"/>
  <c r="N1355" i="1"/>
  <c r="Q1355" i="1" s="1"/>
  <c r="M1355" i="1"/>
  <c r="L1355" i="1"/>
  <c r="I1355" i="1"/>
  <c r="P1355" i="1" s="1"/>
  <c r="H1355" i="1"/>
  <c r="O1354" i="1"/>
  <c r="N1354" i="1"/>
  <c r="Q1354" i="1" s="1"/>
  <c r="M1354" i="1"/>
  <c r="L1354" i="1"/>
  <c r="I1354" i="1"/>
  <c r="P1354" i="1" s="1"/>
  <c r="H1354" i="1"/>
  <c r="O1353" i="1"/>
  <c r="N1353" i="1"/>
  <c r="Q1353" i="1" s="1"/>
  <c r="M1353" i="1"/>
  <c r="L1353" i="1"/>
  <c r="I1353" i="1"/>
  <c r="P1353" i="1" s="1"/>
  <c r="H1353" i="1"/>
  <c r="O1352" i="1"/>
  <c r="N1352" i="1"/>
  <c r="Q1352" i="1" s="1"/>
  <c r="M1352" i="1"/>
  <c r="L1352" i="1"/>
  <c r="I1352" i="1"/>
  <c r="P1352" i="1" s="1"/>
  <c r="H1352" i="1"/>
  <c r="O1351" i="1"/>
  <c r="N1351" i="1"/>
  <c r="Q1351" i="1" s="1"/>
  <c r="M1351" i="1"/>
  <c r="L1351" i="1"/>
  <c r="I1351" i="1"/>
  <c r="P1351" i="1" s="1"/>
  <c r="H1351" i="1"/>
  <c r="O1350" i="1"/>
  <c r="N1350" i="1"/>
  <c r="Q1350" i="1" s="1"/>
  <c r="M1350" i="1"/>
  <c r="L1350" i="1"/>
  <c r="I1350" i="1"/>
  <c r="P1350" i="1" s="1"/>
  <c r="H1350" i="1"/>
  <c r="O1349" i="1"/>
  <c r="N1349" i="1"/>
  <c r="Q1349" i="1" s="1"/>
  <c r="M1349" i="1"/>
  <c r="L1349" i="1"/>
  <c r="I1349" i="1"/>
  <c r="P1349" i="1" s="1"/>
  <c r="H1349" i="1"/>
  <c r="O1348" i="1"/>
  <c r="N1348" i="1"/>
  <c r="Q1348" i="1" s="1"/>
  <c r="M1348" i="1"/>
  <c r="L1348" i="1"/>
  <c r="I1348" i="1"/>
  <c r="P1348" i="1" s="1"/>
  <c r="H1348" i="1"/>
  <c r="O1347" i="1"/>
  <c r="N1347" i="1"/>
  <c r="Q1347" i="1" s="1"/>
  <c r="M1347" i="1"/>
  <c r="L1347" i="1"/>
  <c r="I1347" i="1"/>
  <c r="P1347" i="1" s="1"/>
  <c r="H1347" i="1"/>
  <c r="O1346" i="1"/>
  <c r="N1346" i="1"/>
  <c r="Q1346" i="1" s="1"/>
  <c r="M1346" i="1"/>
  <c r="L1346" i="1"/>
  <c r="I1346" i="1"/>
  <c r="P1346" i="1" s="1"/>
  <c r="H1346" i="1"/>
  <c r="O1345" i="1"/>
  <c r="N1345" i="1"/>
  <c r="Q1345" i="1" s="1"/>
  <c r="M1345" i="1"/>
  <c r="L1345" i="1"/>
  <c r="I1345" i="1"/>
  <c r="P1345" i="1" s="1"/>
  <c r="H1345" i="1"/>
  <c r="O1344" i="1"/>
  <c r="N1344" i="1"/>
  <c r="Q1344" i="1" s="1"/>
  <c r="M1344" i="1"/>
  <c r="L1344" i="1"/>
  <c r="I1344" i="1"/>
  <c r="P1344" i="1" s="1"/>
  <c r="H1344" i="1"/>
  <c r="O1343" i="1"/>
  <c r="N1343" i="1"/>
  <c r="Q1343" i="1" s="1"/>
  <c r="M1343" i="1"/>
  <c r="L1343" i="1"/>
  <c r="I1343" i="1"/>
  <c r="P1343" i="1" s="1"/>
  <c r="H1343" i="1"/>
  <c r="O1342" i="1"/>
  <c r="N1342" i="1"/>
  <c r="Q1342" i="1" s="1"/>
  <c r="M1342" i="1"/>
  <c r="L1342" i="1"/>
  <c r="I1342" i="1"/>
  <c r="P1342" i="1" s="1"/>
  <c r="H1342" i="1"/>
  <c r="O1341" i="1"/>
  <c r="N1341" i="1"/>
  <c r="Q1341" i="1" s="1"/>
  <c r="M1341" i="1"/>
  <c r="L1341" i="1"/>
  <c r="I1341" i="1"/>
  <c r="P1341" i="1" s="1"/>
  <c r="H1341" i="1"/>
  <c r="P1340" i="1"/>
  <c r="O1340" i="1"/>
  <c r="N1340" i="1"/>
  <c r="Q1340" i="1" s="1"/>
  <c r="M1340" i="1"/>
  <c r="L1340" i="1"/>
  <c r="H1340" i="1"/>
  <c r="P1339" i="1"/>
  <c r="O1339" i="1"/>
  <c r="N1339" i="1"/>
  <c r="Q1339" i="1" s="1"/>
  <c r="M1339" i="1"/>
  <c r="L1339" i="1"/>
  <c r="I1339" i="1"/>
  <c r="H1339" i="1"/>
  <c r="P1338" i="1"/>
  <c r="O1338" i="1"/>
  <c r="N1338" i="1"/>
  <c r="Q1338" i="1" s="1"/>
  <c r="M1338" i="1"/>
  <c r="L1338" i="1"/>
  <c r="I1338" i="1"/>
  <c r="H1338" i="1"/>
  <c r="P1337" i="1"/>
  <c r="O1337" i="1"/>
  <c r="N1337" i="1"/>
  <c r="Q1337" i="1" s="1"/>
  <c r="M1337" i="1"/>
  <c r="L1337" i="1"/>
  <c r="I1337" i="1"/>
  <c r="H1337" i="1"/>
  <c r="P1336" i="1"/>
  <c r="O1336" i="1"/>
  <c r="N1336" i="1"/>
  <c r="Q1336" i="1" s="1"/>
  <c r="M1336" i="1"/>
  <c r="L1336" i="1"/>
  <c r="I1336" i="1"/>
  <c r="H1336" i="1"/>
  <c r="P1335" i="1"/>
  <c r="O1335" i="1"/>
  <c r="N1335" i="1"/>
  <c r="Q1335" i="1" s="1"/>
  <c r="M1335" i="1"/>
  <c r="L1335" i="1"/>
  <c r="I1335" i="1"/>
  <c r="H1335" i="1"/>
  <c r="P1334" i="1"/>
  <c r="O1334" i="1"/>
  <c r="N1334" i="1"/>
  <c r="Q1334" i="1" s="1"/>
  <c r="M1334" i="1"/>
  <c r="L1334" i="1"/>
  <c r="I1334" i="1"/>
  <c r="H1334" i="1"/>
  <c r="P1333" i="1"/>
  <c r="O1333" i="1"/>
  <c r="N1333" i="1"/>
  <c r="Q1333" i="1" s="1"/>
  <c r="M1333" i="1"/>
  <c r="L1333" i="1"/>
  <c r="I1333" i="1"/>
  <c r="H1333" i="1"/>
  <c r="P1332" i="1"/>
  <c r="O1332" i="1"/>
  <c r="N1332" i="1"/>
  <c r="Q1332" i="1" s="1"/>
  <c r="M1332" i="1"/>
  <c r="L1332" i="1"/>
  <c r="I1332" i="1"/>
  <c r="H1332" i="1"/>
  <c r="P1331" i="1"/>
  <c r="O1331" i="1"/>
  <c r="N1331" i="1"/>
  <c r="Q1331" i="1" s="1"/>
  <c r="M1331" i="1"/>
  <c r="L1331" i="1"/>
  <c r="I1331" i="1"/>
  <c r="H1331" i="1"/>
  <c r="P1330" i="1"/>
  <c r="O1330" i="1"/>
  <c r="N1330" i="1"/>
  <c r="Q1330" i="1" s="1"/>
  <c r="M1330" i="1"/>
  <c r="L1330" i="1"/>
  <c r="I1330" i="1"/>
  <c r="H1330" i="1"/>
  <c r="P1329" i="1"/>
  <c r="O1329" i="1"/>
  <c r="N1329" i="1"/>
  <c r="Q1329" i="1" s="1"/>
  <c r="M1329" i="1"/>
  <c r="L1329" i="1"/>
  <c r="I1329" i="1"/>
  <c r="H1329" i="1"/>
  <c r="P1328" i="1"/>
  <c r="O1328" i="1"/>
  <c r="N1328" i="1"/>
  <c r="Q1328" i="1" s="1"/>
  <c r="M1328" i="1"/>
  <c r="L1328" i="1"/>
  <c r="I1328" i="1"/>
  <c r="H1328" i="1"/>
  <c r="P1327" i="1"/>
  <c r="O1327" i="1"/>
  <c r="N1327" i="1"/>
  <c r="Q1327" i="1" s="1"/>
  <c r="M1327" i="1"/>
  <c r="L1327" i="1"/>
  <c r="I1327" i="1"/>
  <c r="H1327" i="1"/>
  <c r="P1326" i="1"/>
  <c r="O1326" i="1"/>
  <c r="N1326" i="1"/>
  <c r="Q1326" i="1" s="1"/>
  <c r="M1326" i="1"/>
  <c r="L1326" i="1"/>
  <c r="I1326" i="1"/>
  <c r="H1326" i="1"/>
  <c r="P1325" i="1"/>
  <c r="O1325" i="1"/>
  <c r="N1325" i="1"/>
  <c r="Q1325" i="1" s="1"/>
  <c r="M1325" i="1"/>
  <c r="L1325" i="1"/>
  <c r="I1325" i="1"/>
  <c r="H1325" i="1"/>
  <c r="P1324" i="1"/>
  <c r="O1324" i="1"/>
  <c r="N1324" i="1"/>
  <c r="Q1324" i="1" s="1"/>
  <c r="M1324" i="1"/>
  <c r="L1324" i="1"/>
  <c r="I1324" i="1"/>
  <c r="H1324" i="1"/>
  <c r="P1323" i="1"/>
  <c r="O1323" i="1"/>
  <c r="N1323" i="1"/>
  <c r="Q1323" i="1" s="1"/>
  <c r="M1323" i="1"/>
  <c r="L1323" i="1"/>
  <c r="I1323" i="1"/>
  <c r="H1323" i="1"/>
  <c r="P1322" i="1"/>
  <c r="O1322" i="1"/>
  <c r="N1322" i="1"/>
  <c r="Q1322" i="1" s="1"/>
  <c r="M1322" i="1"/>
  <c r="L1322" i="1"/>
  <c r="I1322" i="1"/>
  <c r="H1322" i="1"/>
  <c r="P1321" i="1"/>
  <c r="O1321" i="1"/>
  <c r="N1321" i="1"/>
  <c r="Q1321" i="1" s="1"/>
  <c r="M1321" i="1"/>
  <c r="L1321" i="1"/>
  <c r="I1321" i="1"/>
  <c r="H1321" i="1"/>
  <c r="P1320" i="1"/>
  <c r="O1320" i="1"/>
  <c r="N1320" i="1"/>
  <c r="Q1320" i="1" s="1"/>
  <c r="M1320" i="1"/>
  <c r="L1320" i="1"/>
  <c r="I1320" i="1"/>
  <c r="H1320" i="1"/>
  <c r="P1319" i="1"/>
  <c r="O1319" i="1"/>
  <c r="N1319" i="1"/>
  <c r="Q1319" i="1" s="1"/>
  <c r="M1319" i="1"/>
  <c r="L1319" i="1"/>
  <c r="I1319" i="1"/>
  <c r="H1319" i="1"/>
  <c r="M1318" i="1"/>
  <c r="L1318" i="1"/>
  <c r="N1318" i="1" s="1"/>
  <c r="H1318" i="1"/>
  <c r="F1318" i="1"/>
  <c r="Q1317" i="1"/>
  <c r="O1317" i="1"/>
  <c r="N1317" i="1"/>
  <c r="M1317" i="1"/>
  <c r="L1317" i="1"/>
  <c r="I1317" i="1"/>
  <c r="P1317" i="1" s="1"/>
  <c r="H1317" i="1"/>
  <c r="F1317" i="1"/>
  <c r="K1316" i="1"/>
  <c r="F1316" i="1"/>
  <c r="H1316" i="1" s="1"/>
  <c r="N1315" i="1"/>
  <c r="M1315" i="1"/>
  <c r="L1315" i="1"/>
  <c r="H1315" i="1"/>
  <c r="F1315" i="1"/>
  <c r="P1314" i="1"/>
  <c r="O1314" i="1"/>
  <c r="Q1314" i="1" s="1"/>
  <c r="N1314" i="1"/>
  <c r="M1314" i="1"/>
  <c r="L1314" i="1"/>
  <c r="H1314" i="1"/>
  <c r="M1313" i="1"/>
  <c r="L1313" i="1"/>
  <c r="N1313" i="1" s="1"/>
  <c r="H1313" i="1"/>
  <c r="F1313" i="1"/>
  <c r="Q1312" i="1"/>
  <c r="O1312" i="1"/>
  <c r="N1312" i="1"/>
  <c r="M1312" i="1"/>
  <c r="L1312" i="1"/>
  <c r="I1312" i="1"/>
  <c r="P1312" i="1" s="1"/>
  <c r="H1312" i="1"/>
  <c r="O1311" i="1"/>
  <c r="N1311" i="1"/>
  <c r="M1311" i="1"/>
  <c r="L1311" i="1"/>
  <c r="I1311" i="1"/>
  <c r="P1311" i="1" s="1"/>
  <c r="F1311" i="1"/>
  <c r="H1311" i="1" s="1"/>
  <c r="O1310" i="1"/>
  <c r="N1310" i="1"/>
  <c r="M1310" i="1"/>
  <c r="L1310" i="1"/>
  <c r="I1310" i="1"/>
  <c r="P1310" i="1" s="1"/>
  <c r="H1310" i="1"/>
  <c r="P1309" i="1"/>
  <c r="O1309" i="1"/>
  <c r="N1309" i="1"/>
  <c r="Q1309" i="1" s="1"/>
  <c r="M1309" i="1"/>
  <c r="L1309" i="1"/>
  <c r="I1309" i="1"/>
  <c r="H1309" i="1"/>
  <c r="F1309" i="1"/>
  <c r="M1308" i="1"/>
  <c r="L1308" i="1"/>
  <c r="N1308" i="1" s="1"/>
  <c r="F1308" i="1"/>
  <c r="L1307" i="1"/>
  <c r="N1307" i="1" s="1"/>
  <c r="H1307" i="1"/>
  <c r="F1307" i="1"/>
  <c r="E1307" i="1"/>
  <c r="M1307" i="1" s="1"/>
  <c r="O1306" i="1"/>
  <c r="M1306" i="1"/>
  <c r="L1306" i="1"/>
  <c r="N1306" i="1" s="1"/>
  <c r="Q1306" i="1" s="1"/>
  <c r="I1306" i="1"/>
  <c r="P1306" i="1" s="1"/>
  <c r="H1306" i="1"/>
  <c r="F1306" i="1"/>
  <c r="O1305" i="1"/>
  <c r="M1305" i="1"/>
  <c r="L1305" i="1"/>
  <c r="N1305" i="1" s="1"/>
  <c r="I1305" i="1"/>
  <c r="P1305" i="1" s="1"/>
  <c r="H1305" i="1"/>
  <c r="O1304" i="1"/>
  <c r="M1304" i="1"/>
  <c r="L1304" i="1"/>
  <c r="N1304" i="1" s="1"/>
  <c r="Q1304" i="1" s="1"/>
  <c r="I1304" i="1"/>
  <c r="P1304" i="1" s="1"/>
  <c r="H1304" i="1"/>
  <c r="O1303" i="1"/>
  <c r="M1303" i="1"/>
  <c r="L1303" i="1"/>
  <c r="N1303" i="1" s="1"/>
  <c r="I1303" i="1"/>
  <c r="P1303" i="1" s="1"/>
  <c r="H1303" i="1"/>
  <c r="O1302" i="1"/>
  <c r="M1302" i="1"/>
  <c r="L1302" i="1"/>
  <c r="N1302" i="1" s="1"/>
  <c r="I1302" i="1"/>
  <c r="P1302" i="1" s="1"/>
  <c r="H1302" i="1"/>
  <c r="O1301" i="1"/>
  <c r="M1301" i="1"/>
  <c r="L1301" i="1"/>
  <c r="N1301" i="1" s="1"/>
  <c r="Q1301" i="1" s="1"/>
  <c r="I1301" i="1"/>
  <c r="P1301" i="1" s="1"/>
  <c r="H1301" i="1"/>
  <c r="O1300" i="1"/>
  <c r="M1300" i="1"/>
  <c r="L1300" i="1"/>
  <c r="N1300" i="1" s="1"/>
  <c r="I1300" i="1"/>
  <c r="P1300" i="1" s="1"/>
  <c r="Q1300" i="1" s="1"/>
  <c r="H1300" i="1"/>
  <c r="P1299" i="1"/>
  <c r="O1299" i="1"/>
  <c r="M1299" i="1"/>
  <c r="L1299" i="1"/>
  <c r="N1299" i="1" s="1"/>
  <c r="Q1299" i="1" s="1"/>
  <c r="I1299" i="1"/>
  <c r="H1299" i="1"/>
  <c r="P1298" i="1"/>
  <c r="O1298" i="1"/>
  <c r="M1298" i="1"/>
  <c r="L1298" i="1"/>
  <c r="N1298" i="1" s="1"/>
  <c r="I1298" i="1"/>
  <c r="H1298" i="1"/>
  <c r="P1297" i="1"/>
  <c r="O1297" i="1"/>
  <c r="M1297" i="1"/>
  <c r="L1297" i="1"/>
  <c r="N1297" i="1" s="1"/>
  <c r="Q1297" i="1" s="1"/>
  <c r="I1297" i="1"/>
  <c r="H1297" i="1"/>
  <c r="P1296" i="1"/>
  <c r="O1296" i="1"/>
  <c r="M1296" i="1"/>
  <c r="L1296" i="1"/>
  <c r="N1296" i="1" s="1"/>
  <c r="Q1296" i="1" s="1"/>
  <c r="I1296" i="1"/>
  <c r="H1296" i="1"/>
  <c r="P1295" i="1"/>
  <c r="O1295" i="1"/>
  <c r="N1295" i="1"/>
  <c r="Q1295" i="1" s="1"/>
  <c r="M1295" i="1"/>
  <c r="L1295" i="1"/>
  <c r="I1295" i="1"/>
  <c r="H1295" i="1"/>
  <c r="P1294" i="1"/>
  <c r="O1294" i="1"/>
  <c r="N1294" i="1"/>
  <c r="Q1294" i="1" s="1"/>
  <c r="M1294" i="1"/>
  <c r="L1294" i="1"/>
  <c r="I1294" i="1"/>
  <c r="H1294" i="1"/>
  <c r="P1293" i="1"/>
  <c r="O1293" i="1"/>
  <c r="M1293" i="1"/>
  <c r="L1293" i="1"/>
  <c r="N1293" i="1" s="1"/>
  <c r="Q1293" i="1" s="1"/>
  <c r="I1293" i="1"/>
  <c r="H1293" i="1"/>
  <c r="P1292" i="1"/>
  <c r="O1292" i="1"/>
  <c r="M1292" i="1"/>
  <c r="L1292" i="1"/>
  <c r="N1292" i="1" s="1"/>
  <c r="Q1292" i="1" s="1"/>
  <c r="I1292" i="1"/>
  <c r="H1292" i="1"/>
  <c r="P1291" i="1"/>
  <c r="O1291" i="1"/>
  <c r="N1291" i="1"/>
  <c r="Q1291" i="1" s="1"/>
  <c r="M1291" i="1"/>
  <c r="L1291" i="1"/>
  <c r="I1291" i="1"/>
  <c r="H1291" i="1"/>
  <c r="P1290" i="1"/>
  <c r="O1290" i="1"/>
  <c r="N1290" i="1"/>
  <c r="Q1290" i="1" s="1"/>
  <c r="M1290" i="1"/>
  <c r="L1290" i="1"/>
  <c r="I1290" i="1"/>
  <c r="H1290" i="1"/>
  <c r="P1289" i="1"/>
  <c r="O1289" i="1"/>
  <c r="M1289" i="1"/>
  <c r="L1289" i="1"/>
  <c r="N1289" i="1" s="1"/>
  <c r="I1289" i="1"/>
  <c r="H1289" i="1"/>
  <c r="P1288" i="1"/>
  <c r="O1288" i="1"/>
  <c r="M1288" i="1"/>
  <c r="L1288" i="1"/>
  <c r="N1288" i="1" s="1"/>
  <c r="Q1288" i="1" s="1"/>
  <c r="I1288" i="1"/>
  <c r="H1288" i="1"/>
  <c r="P1287" i="1"/>
  <c r="O1287" i="1"/>
  <c r="N1287" i="1"/>
  <c r="Q1287" i="1" s="1"/>
  <c r="M1287" i="1"/>
  <c r="L1287" i="1"/>
  <c r="I1287" i="1"/>
  <c r="H1287" i="1"/>
  <c r="P1286" i="1"/>
  <c r="O1286" i="1"/>
  <c r="N1286" i="1"/>
  <c r="Q1286" i="1" s="1"/>
  <c r="M1286" i="1"/>
  <c r="L1286" i="1"/>
  <c r="I1286" i="1"/>
  <c r="H1286" i="1"/>
  <c r="P1285" i="1"/>
  <c r="O1285" i="1"/>
  <c r="M1285" i="1"/>
  <c r="L1285" i="1"/>
  <c r="N1285" i="1" s="1"/>
  <c r="Q1285" i="1" s="1"/>
  <c r="I1285" i="1"/>
  <c r="H1285" i="1"/>
  <c r="P1284" i="1"/>
  <c r="O1284" i="1"/>
  <c r="M1284" i="1"/>
  <c r="L1284" i="1"/>
  <c r="N1284" i="1" s="1"/>
  <c r="Q1284" i="1" s="1"/>
  <c r="I1284" i="1"/>
  <c r="H1284" i="1"/>
  <c r="P1283" i="1"/>
  <c r="O1283" i="1"/>
  <c r="N1283" i="1"/>
  <c r="Q1283" i="1" s="1"/>
  <c r="M1283" i="1"/>
  <c r="L1283" i="1"/>
  <c r="I1283" i="1"/>
  <c r="H1283" i="1"/>
  <c r="P1282" i="1"/>
  <c r="O1282" i="1"/>
  <c r="N1282" i="1"/>
  <c r="Q1282" i="1" s="1"/>
  <c r="M1282" i="1"/>
  <c r="L1282" i="1"/>
  <c r="I1282" i="1"/>
  <c r="H1282" i="1"/>
  <c r="P1281" i="1"/>
  <c r="O1281" i="1"/>
  <c r="M1281" i="1"/>
  <c r="L1281" i="1"/>
  <c r="N1281" i="1" s="1"/>
  <c r="I1281" i="1"/>
  <c r="H1281" i="1"/>
  <c r="P1280" i="1"/>
  <c r="O1280" i="1"/>
  <c r="M1280" i="1"/>
  <c r="L1280" i="1"/>
  <c r="N1280" i="1" s="1"/>
  <c r="Q1280" i="1" s="1"/>
  <c r="I1280" i="1"/>
  <c r="H1280" i="1"/>
  <c r="P1279" i="1"/>
  <c r="O1279" i="1"/>
  <c r="N1279" i="1"/>
  <c r="Q1279" i="1" s="1"/>
  <c r="M1279" i="1"/>
  <c r="L1279" i="1"/>
  <c r="I1279" i="1"/>
  <c r="H1279" i="1"/>
  <c r="P1278" i="1"/>
  <c r="O1278" i="1"/>
  <c r="N1278" i="1"/>
  <c r="Q1278" i="1" s="1"/>
  <c r="M1278" i="1"/>
  <c r="L1278" i="1"/>
  <c r="I1278" i="1"/>
  <c r="H1278" i="1"/>
  <c r="P1277" i="1"/>
  <c r="O1277" i="1"/>
  <c r="M1277" i="1"/>
  <c r="L1277" i="1"/>
  <c r="N1277" i="1" s="1"/>
  <c r="Q1277" i="1" s="1"/>
  <c r="I1277" i="1"/>
  <c r="H1277" i="1"/>
  <c r="P1276" i="1"/>
  <c r="O1276" i="1"/>
  <c r="M1276" i="1"/>
  <c r="L1276" i="1"/>
  <c r="N1276" i="1" s="1"/>
  <c r="Q1276" i="1" s="1"/>
  <c r="I1276" i="1"/>
  <c r="H1276" i="1"/>
  <c r="P1275" i="1"/>
  <c r="O1275" i="1"/>
  <c r="N1275" i="1"/>
  <c r="Q1275" i="1" s="1"/>
  <c r="M1275" i="1"/>
  <c r="L1275" i="1"/>
  <c r="I1275" i="1"/>
  <c r="H1275" i="1"/>
  <c r="P1274" i="1"/>
  <c r="O1274" i="1"/>
  <c r="N1274" i="1"/>
  <c r="Q1274" i="1" s="1"/>
  <c r="M1274" i="1"/>
  <c r="L1274" i="1"/>
  <c r="I1274" i="1"/>
  <c r="H1274" i="1"/>
  <c r="P1273" i="1"/>
  <c r="O1273" i="1"/>
  <c r="M1273" i="1"/>
  <c r="L1273" i="1"/>
  <c r="N1273" i="1" s="1"/>
  <c r="I1273" i="1"/>
  <c r="H1273" i="1"/>
  <c r="P1272" i="1"/>
  <c r="O1272" i="1"/>
  <c r="M1272" i="1"/>
  <c r="L1272" i="1"/>
  <c r="N1272" i="1" s="1"/>
  <c r="Q1272" i="1" s="1"/>
  <c r="I1272" i="1"/>
  <c r="H1272" i="1"/>
  <c r="P1271" i="1"/>
  <c r="O1271" i="1"/>
  <c r="N1271" i="1"/>
  <c r="Q1271" i="1" s="1"/>
  <c r="M1271" i="1"/>
  <c r="L1271" i="1"/>
  <c r="I1271" i="1"/>
  <c r="H1271" i="1"/>
  <c r="P1270" i="1"/>
  <c r="O1270" i="1"/>
  <c r="N1270" i="1"/>
  <c r="Q1270" i="1" s="1"/>
  <c r="M1270" i="1"/>
  <c r="L1270" i="1"/>
  <c r="I1270" i="1"/>
  <c r="H1270" i="1"/>
  <c r="P1269" i="1"/>
  <c r="O1269" i="1"/>
  <c r="M1269" i="1"/>
  <c r="L1269" i="1"/>
  <c r="N1269" i="1" s="1"/>
  <c r="Q1269" i="1" s="1"/>
  <c r="I1269" i="1"/>
  <c r="H1269" i="1"/>
  <c r="P1268" i="1"/>
  <c r="O1268" i="1"/>
  <c r="M1268" i="1"/>
  <c r="L1268" i="1"/>
  <c r="N1268" i="1" s="1"/>
  <c r="Q1268" i="1" s="1"/>
  <c r="I1268" i="1"/>
  <c r="H1268" i="1"/>
  <c r="P1267" i="1"/>
  <c r="O1267" i="1"/>
  <c r="N1267" i="1"/>
  <c r="Q1267" i="1" s="1"/>
  <c r="M1267" i="1"/>
  <c r="L1267" i="1"/>
  <c r="I1267" i="1"/>
  <c r="H1267" i="1"/>
  <c r="P1266" i="1"/>
  <c r="O1266" i="1"/>
  <c r="N1266" i="1"/>
  <c r="Q1266" i="1" s="1"/>
  <c r="M1266" i="1"/>
  <c r="L1266" i="1"/>
  <c r="I1266" i="1"/>
  <c r="H1266" i="1"/>
  <c r="P1265" i="1"/>
  <c r="O1265" i="1"/>
  <c r="M1265" i="1"/>
  <c r="L1265" i="1"/>
  <c r="N1265" i="1" s="1"/>
  <c r="I1265" i="1"/>
  <c r="H1265" i="1"/>
  <c r="O1264" i="1"/>
  <c r="M1264" i="1"/>
  <c r="L1264" i="1"/>
  <c r="N1264" i="1" s="1"/>
  <c r="I1264" i="1"/>
  <c r="P1264" i="1" s="1"/>
  <c r="H1264" i="1"/>
  <c r="O1263" i="1"/>
  <c r="N1263" i="1"/>
  <c r="Q1263" i="1" s="1"/>
  <c r="M1263" i="1"/>
  <c r="L1263" i="1"/>
  <c r="I1263" i="1"/>
  <c r="P1263" i="1" s="1"/>
  <c r="H1263" i="1"/>
  <c r="P1262" i="1"/>
  <c r="O1262" i="1"/>
  <c r="N1262" i="1"/>
  <c r="Q1262" i="1" s="1"/>
  <c r="M1262" i="1"/>
  <c r="L1262" i="1"/>
  <c r="I1262" i="1"/>
  <c r="H1262" i="1"/>
  <c r="P1261" i="1"/>
  <c r="O1261" i="1"/>
  <c r="M1261" i="1"/>
  <c r="L1261" i="1"/>
  <c r="N1261" i="1" s="1"/>
  <c r="I1261" i="1"/>
  <c r="H1261" i="1"/>
  <c r="O1260" i="1"/>
  <c r="M1260" i="1"/>
  <c r="L1260" i="1"/>
  <c r="N1260" i="1" s="1"/>
  <c r="Q1260" i="1" s="1"/>
  <c r="I1260" i="1"/>
  <c r="P1260" i="1" s="1"/>
  <c r="H1260" i="1"/>
  <c r="O1259" i="1"/>
  <c r="N1259" i="1"/>
  <c r="Q1259" i="1" s="1"/>
  <c r="M1259" i="1"/>
  <c r="L1259" i="1"/>
  <c r="I1259" i="1"/>
  <c r="P1259" i="1" s="1"/>
  <c r="H1259" i="1"/>
  <c r="P1258" i="1"/>
  <c r="O1258" i="1"/>
  <c r="N1258" i="1"/>
  <c r="Q1258" i="1" s="1"/>
  <c r="M1258" i="1"/>
  <c r="L1258" i="1"/>
  <c r="I1258" i="1"/>
  <c r="H1258" i="1"/>
  <c r="P1257" i="1"/>
  <c r="O1257" i="1"/>
  <c r="M1257" i="1"/>
  <c r="L1257" i="1"/>
  <c r="N1257" i="1" s="1"/>
  <c r="I1257" i="1"/>
  <c r="H1257" i="1"/>
  <c r="O1256" i="1"/>
  <c r="M1256" i="1"/>
  <c r="L1256" i="1"/>
  <c r="N1256" i="1" s="1"/>
  <c r="Q1256" i="1" s="1"/>
  <c r="I1256" i="1"/>
  <c r="P1256" i="1" s="1"/>
  <c r="H1256" i="1"/>
  <c r="O1255" i="1"/>
  <c r="N1255" i="1"/>
  <c r="Q1255" i="1" s="1"/>
  <c r="M1255" i="1"/>
  <c r="L1255" i="1"/>
  <c r="I1255" i="1"/>
  <c r="P1255" i="1" s="1"/>
  <c r="H1255" i="1"/>
  <c r="P1254" i="1"/>
  <c r="O1254" i="1"/>
  <c r="N1254" i="1"/>
  <c r="Q1254" i="1" s="1"/>
  <c r="M1254" i="1"/>
  <c r="L1254" i="1"/>
  <c r="I1254" i="1"/>
  <c r="H1254" i="1"/>
  <c r="P1253" i="1"/>
  <c r="O1253" i="1"/>
  <c r="M1253" i="1"/>
  <c r="L1253" i="1"/>
  <c r="N1253" i="1" s="1"/>
  <c r="I1253" i="1"/>
  <c r="H1253" i="1"/>
  <c r="O1252" i="1"/>
  <c r="M1252" i="1"/>
  <c r="L1252" i="1"/>
  <c r="N1252" i="1" s="1"/>
  <c r="Q1252" i="1" s="1"/>
  <c r="I1252" i="1"/>
  <c r="P1252" i="1" s="1"/>
  <c r="H1252" i="1"/>
  <c r="O1251" i="1"/>
  <c r="N1251" i="1"/>
  <c r="Q1251" i="1" s="1"/>
  <c r="M1251" i="1"/>
  <c r="L1251" i="1"/>
  <c r="I1251" i="1"/>
  <c r="P1251" i="1" s="1"/>
  <c r="H1251" i="1"/>
  <c r="P1250" i="1"/>
  <c r="O1250" i="1"/>
  <c r="N1250" i="1"/>
  <c r="Q1250" i="1" s="1"/>
  <c r="M1250" i="1"/>
  <c r="L1250" i="1"/>
  <c r="I1250" i="1"/>
  <c r="H1250" i="1"/>
  <c r="P1249" i="1"/>
  <c r="O1249" i="1"/>
  <c r="M1249" i="1"/>
  <c r="L1249" i="1"/>
  <c r="N1249" i="1" s="1"/>
  <c r="I1249" i="1"/>
  <c r="H1249" i="1"/>
  <c r="O1248" i="1"/>
  <c r="M1248" i="1"/>
  <c r="L1248" i="1"/>
  <c r="N1248" i="1" s="1"/>
  <c r="Q1248" i="1" s="1"/>
  <c r="I1248" i="1"/>
  <c r="P1248" i="1" s="1"/>
  <c r="H1248" i="1"/>
  <c r="O1247" i="1"/>
  <c r="N1247" i="1"/>
  <c r="Q1247" i="1" s="1"/>
  <c r="M1247" i="1"/>
  <c r="L1247" i="1"/>
  <c r="I1247" i="1"/>
  <c r="P1247" i="1" s="1"/>
  <c r="H1247" i="1"/>
  <c r="P1246" i="1"/>
  <c r="O1246" i="1"/>
  <c r="N1246" i="1"/>
  <c r="Q1246" i="1" s="1"/>
  <c r="M1246" i="1"/>
  <c r="L1246" i="1"/>
  <c r="I1246" i="1"/>
  <c r="H1246" i="1"/>
  <c r="P1245" i="1"/>
  <c r="O1245" i="1"/>
  <c r="M1245" i="1"/>
  <c r="L1245" i="1"/>
  <c r="N1245" i="1" s="1"/>
  <c r="I1245" i="1"/>
  <c r="H1245" i="1"/>
  <c r="O1244" i="1"/>
  <c r="M1244" i="1"/>
  <c r="L1244" i="1"/>
  <c r="N1244" i="1" s="1"/>
  <c r="Q1244" i="1" s="1"/>
  <c r="I1244" i="1"/>
  <c r="P1244" i="1" s="1"/>
  <c r="H1244" i="1"/>
  <c r="O1243" i="1"/>
  <c r="N1243" i="1"/>
  <c r="Q1243" i="1" s="1"/>
  <c r="M1243" i="1"/>
  <c r="L1243" i="1"/>
  <c r="I1243" i="1"/>
  <c r="P1243" i="1" s="1"/>
  <c r="H1243" i="1"/>
  <c r="P1242" i="1"/>
  <c r="O1242" i="1"/>
  <c r="N1242" i="1"/>
  <c r="Q1242" i="1" s="1"/>
  <c r="M1242" i="1"/>
  <c r="L1242" i="1"/>
  <c r="I1242" i="1"/>
  <c r="H1242" i="1"/>
  <c r="P1241" i="1"/>
  <c r="O1241" i="1"/>
  <c r="M1241" i="1"/>
  <c r="L1241" i="1"/>
  <c r="N1241" i="1" s="1"/>
  <c r="I1241" i="1"/>
  <c r="H1241" i="1"/>
  <c r="O1240" i="1"/>
  <c r="M1240" i="1"/>
  <c r="L1240" i="1"/>
  <c r="N1240" i="1" s="1"/>
  <c r="Q1240" i="1" s="1"/>
  <c r="I1240" i="1"/>
  <c r="P1240" i="1" s="1"/>
  <c r="H1240" i="1"/>
  <c r="O1239" i="1"/>
  <c r="N1239" i="1"/>
  <c r="Q1239" i="1" s="1"/>
  <c r="M1239" i="1"/>
  <c r="L1239" i="1"/>
  <c r="I1239" i="1"/>
  <c r="P1239" i="1" s="1"/>
  <c r="H1239" i="1"/>
  <c r="P1238" i="1"/>
  <c r="O1238" i="1"/>
  <c r="N1238" i="1"/>
  <c r="Q1238" i="1" s="1"/>
  <c r="M1238" i="1"/>
  <c r="L1238" i="1"/>
  <c r="I1238" i="1"/>
  <c r="H1238" i="1"/>
  <c r="P1237" i="1"/>
  <c r="O1237" i="1"/>
  <c r="M1237" i="1"/>
  <c r="L1237" i="1"/>
  <c r="N1237" i="1" s="1"/>
  <c r="I1237" i="1"/>
  <c r="H1237" i="1"/>
  <c r="O1236" i="1"/>
  <c r="M1236" i="1"/>
  <c r="L1236" i="1"/>
  <c r="N1236" i="1" s="1"/>
  <c r="Q1236" i="1" s="1"/>
  <c r="I1236" i="1"/>
  <c r="P1236" i="1" s="1"/>
  <c r="H1236" i="1"/>
  <c r="O1235" i="1"/>
  <c r="N1235" i="1"/>
  <c r="Q1235" i="1" s="1"/>
  <c r="M1235" i="1"/>
  <c r="L1235" i="1"/>
  <c r="I1235" i="1"/>
  <c r="P1235" i="1" s="1"/>
  <c r="H1235" i="1"/>
  <c r="P1234" i="1"/>
  <c r="O1234" i="1"/>
  <c r="N1234" i="1"/>
  <c r="Q1234" i="1" s="1"/>
  <c r="M1234" i="1"/>
  <c r="L1234" i="1"/>
  <c r="I1234" i="1"/>
  <c r="H1234" i="1"/>
  <c r="P1233" i="1"/>
  <c r="O1233" i="1"/>
  <c r="M1233" i="1"/>
  <c r="L1233" i="1"/>
  <c r="N1233" i="1" s="1"/>
  <c r="I1233" i="1"/>
  <c r="H1233" i="1"/>
  <c r="O1232" i="1"/>
  <c r="M1232" i="1"/>
  <c r="L1232" i="1"/>
  <c r="N1232" i="1" s="1"/>
  <c r="Q1232" i="1" s="1"/>
  <c r="I1232" i="1"/>
  <c r="P1232" i="1" s="1"/>
  <c r="H1232" i="1"/>
  <c r="O1231" i="1"/>
  <c r="N1231" i="1"/>
  <c r="Q1231" i="1" s="1"/>
  <c r="M1231" i="1"/>
  <c r="L1231" i="1"/>
  <c r="I1231" i="1"/>
  <c r="P1231" i="1" s="1"/>
  <c r="H1231" i="1"/>
  <c r="P1230" i="1"/>
  <c r="O1230" i="1"/>
  <c r="N1230" i="1"/>
  <c r="Q1230" i="1" s="1"/>
  <c r="M1230" i="1"/>
  <c r="L1230" i="1"/>
  <c r="I1230" i="1"/>
  <c r="H1230" i="1"/>
  <c r="P1229" i="1"/>
  <c r="O1229" i="1"/>
  <c r="M1229" i="1"/>
  <c r="L1229" i="1"/>
  <c r="N1229" i="1" s="1"/>
  <c r="I1229" i="1"/>
  <c r="H1229" i="1"/>
  <c r="O1228" i="1"/>
  <c r="M1228" i="1"/>
  <c r="L1228" i="1"/>
  <c r="N1228" i="1" s="1"/>
  <c r="Q1228" i="1" s="1"/>
  <c r="I1228" i="1"/>
  <c r="P1228" i="1" s="1"/>
  <c r="H1228" i="1"/>
  <c r="O1227" i="1"/>
  <c r="N1227" i="1"/>
  <c r="Q1227" i="1" s="1"/>
  <c r="M1227" i="1"/>
  <c r="L1227" i="1"/>
  <c r="I1227" i="1"/>
  <c r="P1227" i="1" s="1"/>
  <c r="H1227" i="1"/>
  <c r="P1226" i="1"/>
  <c r="O1226" i="1"/>
  <c r="N1226" i="1"/>
  <c r="Q1226" i="1" s="1"/>
  <c r="M1226" i="1"/>
  <c r="L1226" i="1"/>
  <c r="I1226" i="1"/>
  <c r="H1226" i="1"/>
  <c r="P1225" i="1"/>
  <c r="O1225" i="1"/>
  <c r="M1225" i="1"/>
  <c r="L1225" i="1"/>
  <c r="N1225" i="1" s="1"/>
  <c r="I1225" i="1"/>
  <c r="H1225" i="1"/>
  <c r="O1224" i="1"/>
  <c r="M1224" i="1"/>
  <c r="L1224" i="1"/>
  <c r="N1224" i="1" s="1"/>
  <c r="Q1224" i="1" s="1"/>
  <c r="I1224" i="1"/>
  <c r="P1224" i="1" s="1"/>
  <c r="H1224" i="1"/>
  <c r="O1223" i="1"/>
  <c r="N1223" i="1"/>
  <c r="Q1223" i="1" s="1"/>
  <c r="M1223" i="1"/>
  <c r="L1223" i="1"/>
  <c r="I1223" i="1"/>
  <c r="P1223" i="1" s="1"/>
  <c r="H1223" i="1"/>
  <c r="P1222" i="1"/>
  <c r="O1222" i="1"/>
  <c r="N1222" i="1"/>
  <c r="Q1222" i="1" s="1"/>
  <c r="M1222" i="1"/>
  <c r="L1222" i="1"/>
  <c r="I1222" i="1"/>
  <c r="H1222" i="1"/>
  <c r="P1221" i="1"/>
  <c r="O1221" i="1"/>
  <c r="M1221" i="1"/>
  <c r="L1221" i="1"/>
  <c r="N1221" i="1" s="1"/>
  <c r="I1221" i="1"/>
  <c r="H1221" i="1"/>
  <c r="O1220" i="1"/>
  <c r="M1220" i="1"/>
  <c r="L1220" i="1"/>
  <c r="N1220" i="1" s="1"/>
  <c r="Q1220" i="1" s="1"/>
  <c r="I1220" i="1"/>
  <c r="P1220" i="1" s="1"/>
  <c r="H1220" i="1"/>
  <c r="O1219" i="1"/>
  <c r="N1219" i="1"/>
  <c r="Q1219" i="1" s="1"/>
  <c r="M1219" i="1"/>
  <c r="L1219" i="1"/>
  <c r="I1219" i="1"/>
  <c r="P1219" i="1" s="1"/>
  <c r="H1219" i="1"/>
  <c r="P1218" i="1"/>
  <c r="O1218" i="1"/>
  <c r="N1218" i="1"/>
  <c r="Q1218" i="1" s="1"/>
  <c r="M1218" i="1"/>
  <c r="L1218" i="1"/>
  <c r="I1218" i="1"/>
  <c r="H1218" i="1"/>
  <c r="P1217" i="1"/>
  <c r="O1217" i="1"/>
  <c r="M1217" i="1"/>
  <c r="L1217" i="1"/>
  <c r="N1217" i="1" s="1"/>
  <c r="I1217" i="1"/>
  <c r="H1217" i="1"/>
  <c r="O1216" i="1"/>
  <c r="M1216" i="1"/>
  <c r="L1216" i="1"/>
  <c r="N1216" i="1" s="1"/>
  <c r="Q1216" i="1" s="1"/>
  <c r="I1216" i="1"/>
  <c r="P1216" i="1" s="1"/>
  <c r="H1216" i="1"/>
  <c r="O1215" i="1"/>
  <c r="N1215" i="1"/>
  <c r="Q1215" i="1" s="1"/>
  <c r="M1215" i="1"/>
  <c r="L1215" i="1"/>
  <c r="I1215" i="1"/>
  <c r="P1215" i="1" s="1"/>
  <c r="H1215" i="1"/>
  <c r="P1214" i="1"/>
  <c r="O1214" i="1"/>
  <c r="N1214" i="1"/>
  <c r="Q1214" i="1" s="1"/>
  <c r="M1214" i="1"/>
  <c r="L1214" i="1"/>
  <c r="I1214" i="1"/>
  <c r="H1214" i="1"/>
  <c r="P1213" i="1"/>
  <c r="O1213" i="1"/>
  <c r="M1213" i="1"/>
  <c r="L1213" i="1"/>
  <c r="N1213" i="1" s="1"/>
  <c r="I1213" i="1"/>
  <c r="H1213" i="1"/>
  <c r="O1212" i="1"/>
  <c r="M1212" i="1"/>
  <c r="L1212" i="1"/>
  <c r="N1212" i="1" s="1"/>
  <c r="Q1212" i="1" s="1"/>
  <c r="I1212" i="1"/>
  <c r="P1212" i="1" s="1"/>
  <c r="H1212" i="1"/>
  <c r="O1211" i="1"/>
  <c r="N1211" i="1"/>
  <c r="Q1211" i="1" s="1"/>
  <c r="M1211" i="1"/>
  <c r="L1211" i="1"/>
  <c r="I1211" i="1"/>
  <c r="P1211" i="1" s="1"/>
  <c r="H1211" i="1"/>
  <c r="P1210" i="1"/>
  <c r="O1210" i="1"/>
  <c r="N1210" i="1"/>
  <c r="Q1210" i="1" s="1"/>
  <c r="M1210" i="1"/>
  <c r="L1210" i="1"/>
  <c r="I1210" i="1"/>
  <c r="H1210" i="1"/>
  <c r="P1209" i="1"/>
  <c r="O1209" i="1"/>
  <c r="M1209" i="1"/>
  <c r="L1209" i="1"/>
  <c r="N1209" i="1" s="1"/>
  <c r="I1209" i="1"/>
  <c r="H1209" i="1"/>
  <c r="O1208" i="1"/>
  <c r="M1208" i="1"/>
  <c r="L1208" i="1"/>
  <c r="N1208" i="1" s="1"/>
  <c r="Q1208" i="1" s="1"/>
  <c r="I1208" i="1"/>
  <c r="P1208" i="1" s="1"/>
  <c r="H1208" i="1"/>
  <c r="O1207" i="1"/>
  <c r="N1207" i="1"/>
  <c r="Q1207" i="1" s="1"/>
  <c r="M1207" i="1"/>
  <c r="L1207" i="1"/>
  <c r="I1207" i="1"/>
  <c r="P1207" i="1" s="1"/>
  <c r="H1207" i="1"/>
  <c r="P1206" i="1"/>
  <c r="O1206" i="1"/>
  <c r="N1206" i="1"/>
  <c r="Q1206" i="1" s="1"/>
  <c r="M1206" i="1"/>
  <c r="L1206" i="1"/>
  <c r="I1206" i="1"/>
  <c r="H1206" i="1"/>
  <c r="P1205" i="1"/>
  <c r="O1205" i="1"/>
  <c r="M1205" i="1"/>
  <c r="L1205" i="1"/>
  <c r="N1205" i="1" s="1"/>
  <c r="I1205" i="1"/>
  <c r="H1205" i="1"/>
  <c r="O1204" i="1"/>
  <c r="M1204" i="1"/>
  <c r="L1204" i="1"/>
  <c r="N1204" i="1" s="1"/>
  <c r="Q1204" i="1" s="1"/>
  <c r="I1204" i="1"/>
  <c r="P1204" i="1" s="1"/>
  <c r="H1204" i="1"/>
  <c r="O1203" i="1"/>
  <c r="N1203" i="1"/>
  <c r="Q1203" i="1" s="1"/>
  <c r="M1203" i="1"/>
  <c r="L1203" i="1"/>
  <c r="I1203" i="1"/>
  <c r="P1203" i="1" s="1"/>
  <c r="H1203" i="1"/>
  <c r="P1202" i="1"/>
  <c r="O1202" i="1"/>
  <c r="N1202" i="1"/>
  <c r="Q1202" i="1" s="1"/>
  <c r="M1202" i="1"/>
  <c r="L1202" i="1"/>
  <c r="I1202" i="1"/>
  <c r="H1202" i="1"/>
  <c r="P1201" i="1"/>
  <c r="O1201" i="1"/>
  <c r="M1201" i="1"/>
  <c r="L1201" i="1"/>
  <c r="N1201" i="1" s="1"/>
  <c r="I1201" i="1"/>
  <c r="H1201" i="1"/>
  <c r="O1200" i="1"/>
  <c r="M1200" i="1"/>
  <c r="L1200" i="1"/>
  <c r="N1200" i="1" s="1"/>
  <c r="Q1200" i="1" s="1"/>
  <c r="I1200" i="1"/>
  <c r="P1200" i="1" s="1"/>
  <c r="H1200" i="1"/>
  <c r="O1199" i="1"/>
  <c r="N1199" i="1"/>
  <c r="Q1199" i="1" s="1"/>
  <c r="M1199" i="1"/>
  <c r="L1199" i="1"/>
  <c r="I1199" i="1"/>
  <c r="P1199" i="1" s="1"/>
  <c r="H1199" i="1"/>
  <c r="P1198" i="1"/>
  <c r="O1198" i="1"/>
  <c r="N1198" i="1"/>
  <c r="Q1198" i="1" s="1"/>
  <c r="M1198" i="1"/>
  <c r="L1198" i="1"/>
  <c r="I1198" i="1"/>
  <c r="H1198" i="1"/>
  <c r="P1197" i="1"/>
  <c r="O1197" i="1"/>
  <c r="M1197" i="1"/>
  <c r="L1197" i="1"/>
  <c r="N1197" i="1" s="1"/>
  <c r="I1197" i="1"/>
  <c r="H1197" i="1"/>
  <c r="O1196" i="1"/>
  <c r="M1196" i="1"/>
  <c r="L1196" i="1"/>
  <c r="N1196" i="1" s="1"/>
  <c r="Q1196" i="1" s="1"/>
  <c r="I1196" i="1"/>
  <c r="P1196" i="1" s="1"/>
  <c r="H1196" i="1"/>
  <c r="O1195" i="1"/>
  <c r="N1195" i="1"/>
  <c r="Q1195" i="1" s="1"/>
  <c r="M1195" i="1"/>
  <c r="L1195" i="1"/>
  <c r="I1195" i="1"/>
  <c r="P1195" i="1" s="1"/>
  <c r="H1195" i="1"/>
  <c r="P1194" i="1"/>
  <c r="O1194" i="1"/>
  <c r="N1194" i="1"/>
  <c r="Q1194" i="1" s="1"/>
  <c r="M1194" i="1"/>
  <c r="L1194" i="1"/>
  <c r="I1194" i="1"/>
  <c r="H1194" i="1"/>
  <c r="P1193" i="1"/>
  <c r="O1193" i="1"/>
  <c r="M1193" i="1"/>
  <c r="L1193" i="1"/>
  <c r="N1193" i="1" s="1"/>
  <c r="I1193" i="1"/>
  <c r="H1193" i="1"/>
  <c r="O1192" i="1"/>
  <c r="M1192" i="1"/>
  <c r="L1192" i="1"/>
  <c r="N1192" i="1" s="1"/>
  <c r="Q1192" i="1" s="1"/>
  <c r="I1192" i="1"/>
  <c r="P1192" i="1" s="1"/>
  <c r="H1192" i="1"/>
  <c r="O1191" i="1"/>
  <c r="N1191" i="1"/>
  <c r="Q1191" i="1" s="1"/>
  <c r="M1191" i="1"/>
  <c r="L1191" i="1"/>
  <c r="I1191" i="1"/>
  <c r="P1191" i="1" s="1"/>
  <c r="H1191" i="1"/>
  <c r="P1190" i="1"/>
  <c r="O1190" i="1"/>
  <c r="N1190" i="1"/>
  <c r="Q1190" i="1" s="1"/>
  <c r="M1190" i="1"/>
  <c r="L1190" i="1"/>
  <c r="I1190" i="1"/>
  <c r="H1190" i="1"/>
  <c r="P1189" i="1"/>
  <c r="O1189" i="1"/>
  <c r="M1189" i="1"/>
  <c r="L1189" i="1"/>
  <c r="N1189" i="1" s="1"/>
  <c r="I1189" i="1"/>
  <c r="H1189" i="1"/>
  <c r="O1188" i="1"/>
  <c r="M1188" i="1"/>
  <c r="L1188" i="1"/>
  <c r="N1188" i="1" s="1"/>
  <c r="Q1188" i="1" s="1"/>
  <c r="I1188" i="1"/>
  <c r="P1188" i="1" s="1"/>
  <c r="H1188" i="1"/>
  <c r="O1187" i="1"/>
  <c r="N1187" i="1"/>
  <c r="Q1187" i="1" s="1"/>
  <c r="M1187" i="1"/>
  <c r="L1187" i="1"/>
  <c r="I1187" i="1"/>
  <c r="P1187" i="1" s="1"/>
  <c r="H1187" i="1"/>
  <c r="P1186" i="1"/>
  <c r="O1186" i="1"/>
  <c r="N1186" i="1"/>
  <c r="Q1186" i="1" s="1"/>
  <c r="M1186" i="1"/>
  <c r="L1186" i="1"/>
  <c r="I1186" i="1"/>
  <c r="H1186" i="1"/>
  <c r="P1185" i="1"/>
  <c r="O1185" i="1"/>
  <c r="M1185" i="1"/>
  <c r="L1185" i="1"/>
  <c r="N1185" i="1" s="1"/>
  <c r="I1185" i="1"/>
  <c r="H1185" i="1"/>
  <c r="O1184" i="1"/>
  <c r="M1184" i="1"/>
  <c r="L1184" i="1"/>
  <c r="N1184" i="1" s="1"/>
  <c r="Q1184" i="1" s="1"/>
  <c r="I1184" i="1"/>
  <c r="P1184" i="1" s="1"/>
  <c r="H1184" i="1"/>
  <c r="O1183" i="1"/>
  <c r="N1183" i="1"/>
  <c r="Q1183" i="1" s="1"/>
  <c r="M1183" i="1"/>
  <c r="L1183" i="1"/>
  <c r="I1183" i="1"/>
  <c r="P1183" i="1" s="1"/>
  <c r="H1183" i="1"/>
  <c r="P1182" i="1"/>
  <c r="O1182" i="1"/>
  <c r="N1182" i="1"/>
  <c r="Q1182" i="1" s="1"/>
  <c r="M1182" i="1"/>
  <c r="L1182" i="1"/>
  <c r="I1182" i="1"/>
  <c r="H1182" i="1"/>
  <c r="P1181" i="1"/>
  <c r="O1181" i="1"/>
  <c r="M1181" i="1"/>
  <c r="L1181" i="1"/>
  <c r="N1181" i="1" s="1"/>
  <c r="I1181" i="1"/>
  <c r="H1181" i="1"/>
  <c r="O1180" i="1"/>
  <c r="M1180" i="1"/>
  <c r="L1180" i="1"/>
  <c r="N1180" i="1" s="1"/>
  <c r="Q1180" i="1" s="1"/>
  <c r="I1180" i="1"/>
  <c r="P1180" i="1" s="1"/>
  <c r="H1180" i="1"/>
  <c r="O1179" i="1"/>
  <c r="N1179" i="1"/>
  <c r="Q1179" i="1" s="1"/>
  <c r="M1179" i="1"/>
  <c r="L1179" i="1"/>
  <c r="I1179" i="1"/>
  <c r="P1179" i="1" s="1"/>
  <c r="H1179" i="1"/>
  <c r="P1178" i="1"/>
  <c r="O1178" i="1"/>
  <c r="N1178" i="1"/>
  <c r="Q1178" i="1" s="1"/>
  <c r="M1178" i="1"/>
  <c r="L1178" i="1"/>
  <c r="I1178" i="1"/>
  <c r="H1178" i="1"/>
  <c r="P1177" i="1"/>
  <c r="O1177" i="1"/>
  <c r="M1177" i="1"/>
  <c r="L1177" i="1"/>
  <c r="N1177" i="1" s="1"/>
  <c r="I1177" i="1"/>
  <c r="H1177" i="1"/>
  <c r="O1176" i="1"/>
  <c r="M1176" i="1"/>
  <c r="L1176" i="1"/>
  <c r="N1176" i="1" s="1"/>
  <c r="Q1176" i="1" s="1"/>
  <c r="I1176" i="1"/>
  <c r="P1176" i="1" s="1"/>
  <c r="H1176" i="1"/>
  <c r="O1175" i="1"/>
  <c r="N1175" i="1"/>
  <c r="Q1175" i="1" s="1"/>
  <c r="M1175" i="1"/>
  <c r="L1175" i="1"/>
  <c r="I1175" i="1"/>
  <c r="P1175" i="1" s="1"/>
  <c r="H1175" i="1"/>
  <c r="P1174" i="1"/>
  <c r="O1174" i="1"/>
  <c r="N1174" i="1"/>
  <c r="Q1174" i="1" s="1"/>
  <c r="M1174" i="1"/>
  <c r="L1174" i="1"/>
  <c r="I1174" i="1"/>
  <c r="H1174" i="1"/>
  <c r="P1173" i="1"/>
  <c r="O1173" i="1"/>
  <c r="M1173" i="1"/>
  <c r="L1173" i="1"/>
  <c r="N1173" i="1" s="1"/>
  <c r="I1173" i="1"/>
  <c r="H1173" i="1"/>
  <c r="O1172" i="1"/>
  <c r="M1172" i="1"/>
  <c r="L1172" i="1"/>
  <c r="N1172" i="1" s="1"/>
  <c r="Q1172" i="1" s="1"/>
  <c r="I1172" i="1"/>
  <c r="P1172" i="1" s="1"/>
  <c r="H1172" i="1"/>
  <c r="O1171" i="1"/>
  <c r="N1171" i="1"/>
  <c r="Q1171" i="1" s="1"/>
  <c r="M1171" i="1"/>
  <c r="L1171" i="1"/>
  <c r="I1171" i="1"/>
  <c r="P1171" i="1" s="1"/>
  <c r="H1171" i="1"/>
  <c r="P1170" i="1"/>
  <c r="O1170" i="1"/>
  <c r="N1170" i="1"/>
  <c r="Q1170" i="1" s="1"/>
  <c r="M1170" i="1"/>
  <c r="L1170" i="1"/>
  <c r="I1170" i="1"/>
  <c r="H1170" i="1"/>
  <c r="Q1169" i="1"/>
  <c r="P1169" i="1"/>
  <c r="O1169" i="1"/>
  <c r="N1169" i="1"/>
  <c r="M1169" i="1"/>
  <c r="L1169" i="1"/>
  <c r="I1169" i="1"/>
  <c r="H1169" i="1"/>
  <c r="Q1168" i="1"/>
  <c r="P1168" i="1"/>
  <c r="O1168" i="1"/>
  <c r="N1168" i="1"/>
  <c r="M1168" i="1"/>
  <c r="L1168" i="1"/>
  <c r="I1168" i="1"/>
  <c r="H1168" i="1"/>
  <c r="Q1167" i="1"/>
  <c r="P1167" i="1"/>
  <c r="O1167" i="1"/>
  <c r="N1167" i="1"/>
  <c r="M1167" i="1"/>
  <c r="L1167" i="1"/>
  <c r="I1167" i="1"/>
  <c r="H1167" i="1"/>
  <c r="Q1166" i="1"/>
  <c r="P1166" i="1"/>
  <c r="O1166" i="1"/>
  <c r="N1166" i="1"/>
  <c r="M1166" i="1"/>
  <c r="L1166" i="1"/>
  <c r="I1166" i="1"/>
  <c r="H1166" i="1"/>
  <c r="Q1165" i="1"/>
  <c r="P1165" i="1"/>
  <c r="O1165" i="1"/>
  <c r="N1165" i="1"/>
  <c r="M1165" i="1"/>
  <c r="L1165" i="1"/>
  <c r="I1165" i="1"/>
  <c r="H1165" i="1"/>
  <c r="Q1164" i="1"/>
  <c r="P1164" i="1"/>
  <c r="O1164" i="1"/>
  <c r="N1164" i="1"/>
  <c r="M1164" i="1"/>
  <c r="L1164" i="1"/>
  <c r="I1164" i="1"/>
  <c r="H1164" i="1"/>
  <c r="Q1163" i="1"/>
  <c r="P1163" i="1"/>
  <c r="O1163" i="1"/>
  <c r="N1163" i="1"/>
  <c r="M1163" i="1"/>
  <c r="L1163" i="1"/>
  <c r="I1163" i="1"/>
  <c r="H1163" i="1"/>
  <c r="Q1162" i="1"/>
  <c r="P1162" i="1"/>
  <c r="O1162" i="1"/>
  <c r="N1162" i="1"/>
  <c r="M1162" i="1"/>
  <c r="L1162" i="1"/>
  <c r="I1162" i="1"/>
  <c r="H1162" i="1"/>
  <c r="Q1161" i="1"/>
  <c r="P1161" i="1"/>
  <c r="O1161" i="1"/>
  <c r="N1161" i="1"/>
  <c r="M1161" i="1"/>
  <c r="L1161" i="1"/>
  <c r="I1161" i="1"/>
  <c r="H1161" i="1"/>
  <c r="Q1160" i="1"/>
  <c r="P1160" i="1"/>
  <c r="O1160" i="1"/>
  <c r="N1160" i="1"/>
  <c r="M1160" i="1"/>
  <c r="L1160" i="1"/>
  <c r="I1160" i="1"/>
  <c r="H1160" i="1"/>
  <c r="Q1159" i="1"/>
  <c r="P1159" i="1"/>
  <c r="O1159" i="1"/>
  <c r="N1159" i="1"/>
  <c r="M1159" i="1"/>
  <c r="L1159" i="1"/>
  <c r="I1159" i="1"/>
  <c r="H1159" i="1"/>
  <c r="Q1158" i="1"/>
  <c r="P1158" i="1"/>
  <c r="O1158" i="1"/>
  <c r="N1158" i="1"/>
  <c r="M1158" i="1"/>
  <c r="L1158" i="1"/>
  <c r="I1158" i="1"/>
  <c r="H1158" i="1"/>
  <c r="Q1157" i="1"/>
  <c r="P1157" i="1"/>
  <c r="O1157" i="1"/>
  <c r="N1157" i="1"/>
  <c r="M1157" i="1"/>
  <c r="L1157" i="1"/>
  <c r="I1157" i="1"/>
  <c r="H1157" i="1"/>
  <c r="Q1156" i="1"/>
  <c r="P1156" i="1"/>
  <c r="O1156" i="1"/>
  <c r="N1156" i="1"/>
  <c r="M1156" i="1"/>
  <c r="L1156" i="1"/>
  <c r="I1156" i="1"/>
  <c r="H1156" i="1"/>
  <c r="Q1155" i="1"/>
  <c r="P1155" i="1"/>
  <c r="O1155" i="1"/>
  <c r="N1155" i="1"/>
  <c r="M1155" i="1"/>
  <c r="L1155" i="1"/>
  <c r="I1155" i="1"/>
  <c r="H1155" i="1"/>
  <c r="Q1154" i="1"/>
  <c r="P1154" i="1"/>
  <c r="O1154" i="1"/>
  <c r="N1154" i="1"/>
  <c r="M1154" i="1"/>
  <c r="L1154" i="1"/>
  <c r="I1154" i="1"/>
  <c r="H1154" i="1"/>
  <c r="Q1153" i="1"/>
  <c r="P1153" i="1"/>
  <c r="O1153" i="1"/>
  <c r="N1153" i="1"/>
  <c r="M1153" i="1"/>
  <c r="L1153" i="1"/>
  <c r="I1153" i="1"/>
  <c r="H1153" i="1"/>
  <c r="Q1152" i="1"/>
  <c r="P1152" i="1"/>
  <c r="O1152" i="1"/>
  <c r="N1152" i="1"/>
  <c r="M1152" i="1"/>
  <c r="L1152" i="1"/>
  <c r="I1152" i="1"/>
  <c r="H1152" i="1"/>
  <c r="Q1151" i="1"/>
  <c r="P1151" i="1"/>
  <c r="O1151" i="1"/>
  <c r="N1151" i="1"/>
  <c r="M1151" i="1"/>
  <c r="L1151" i="1"/>
  <c r="I1151" i="1"/>
  <c r="H1151" i="1"/>
  <c r="Q1150" i="1"/>
  <c r="P1150" i="1"/>
  <c r="O1150" i="1"/>
  <c r="N1150" i="1"/>
  <c r="M1150" i="1"/>
  <c r="L1150" i="1"/>
  <c r="I1150" i="1"/>
  <c r="H1150" i="1"/>
  <c r="Q1149" i="1"/>
  <c r="P1149" i="1"/>
  <c r="O1149" i="1"/>
  <c r="N1149" i="1"/>
  <c r="M1149" i="1"/>
  <c r="L1149" i="1"/>
  <c r="I1149" i="1"/>
  <c r="H1149" i="1"/>
  <c r="Q1148" i="1"/>
  <c r="P1148" i="1"/>
  <c r="O1148" i="1"/>
  <c r="N1148" i="1"/>
  <c r="M1148" i="1"/>
  <c r="L1148" i="1"/>
  <c r="I1148" i="1"/>
  <c r="H1148" i="1"/>
  <c r="Q1147" i="1"/>
  <c r="P1147" i="1"/>
  <c r="O1147" i="1"/>
  <c r="N1147" i="1"/>
  <c r="M1147" i="1"/>
  <c r="L1147" i="1"/>
  <c r="I1147" i="1"/>
  <c r="H1147" i="1"/>
  <c r="Q1146" i="1"/>
  <c r="P1146" i="1"/>
  <c r="O1146" i="1"/>
  <c r="N1146" i="1"/>
  <c r="M1146" i="1"/>
  <c r="L1146" i="1"/>
  <c r="I1146" i="1"/>
  <c r="H1146" i="1"/>
  <c r="Q1145" i="1"/>
  <c r="P1145" i="1"/>
  <c r="O1145" i="1"/>
  <c r="N1145" i="1"/>
  <c r="M1145" i="1"/>
  <c r="L1145" i="1"/>
  <c r="I1145" i="1"/>
  <c r="H1145" i="1"/>
  <c r="Q1144" i="1"/>
  <c r="P1144" i="1"/>
  <c r="O1144" i="1"/>
  <c r="N1144" i="1"/>
  <c r="M1144" i="1"/>
  <c r="L1144" i="1"/>
  <c r="I1144" i="1"/>
  <c r="H1144" i="1"/>
  <c r="Q1143" i="1"/>
  <c r="P1143" i="1"/>
  <c r="O1143" i="1"/>
  <c r="N1143" i="1"/>
  <c r="M1143" i="1"/>
  <c r="L1143" i="1"/>
  <c r="I1143" i="1"/>
  <c r="H1143" i="1"/>
  <c r="Q1142" i="1"/>
  <c r="P1142" i="1"/>
  <c r="O1142" i="1"/>
  <c r="N1142" i="1"/>
  <c r="M1142" i="1"/>
  <c r="L1142" i="1"/>
  <c r="I1142" i="1"/>
  <c r="H1142" i="1"/>
  <c r="Q1141" i="1"/>
  <c r="P1141" i="1"/>
  <c r="O1141" i="1"/>
  <c r="N1141" i="1"/>
  <c r="M1141" i="1"/>
  <c r="L1141" i="1"/>
  <c r="I1141" i="1"/>
  <c r="H1141" i="1"/>
  <c r="Q1140" i="1"/>
  <c r="P1140" i="1"/>
  <c r="O1140" i="1"/>
  <c r="N1140" i="1"/>
  <c r="M1140" i="1"/>
  <c r="L1140" i="1"/>
  <c r="I1140" i="1"/>
  <c r="H1140" i="1"/>
  <c r="Q1139" i="1"/>
  <c r="P1139" i="1"/>
  <c r="O1139" i="1"/>
  <c r="N1139" i="1"/>
  <c r="M1139" i="1"/>
  <c r="L1139" i="1"/>
  <c r="I1139" i="1"/>
  <c r="H1139" i="1"/>
  <c r="Q1138" i="1"/>
  <c r="P1138" i="1"/>
  <c r="O1138" i="1"/>
  <c r="N1138" i="1"/>
  <c r="M1138" i="1"/>
  <c r="L1138" i="1"/>
  <c r="I1138" i="1"/>
  <c r="H1138" i="1"/>
  <c r="Q1137" i="1"/>
  <c r="P1137" i="1"/>
  <c r="O1137" i="1"/>
  <c r="N1137" i="1"/>
  <c r="M1137" i="1"/>
  <c r="L1137" i="1"/>
  <c r="I1137" i="1"/>
  <c r="H1137" i="1"/>
  <c r="Q1136" i="1"/>
  <c r="P1136" i="1"/>
  <c r="O1136" i="1"/>
  <c r="N1136" i="1"/>
  <c r="M1136" i="1"/>
  <c r="L1136" i="1"/>
  <c r="I1136" i="1"/>
  <c r="H1136" i="1"/>
  <c r="Q1135" i="1"/>
  <c r="P1135" i="1"/>
  <c r="O1135" i="1"/>
  <c r="N1135" i="1"/>
  <c r="M1135" i="1"/>
  <c r="L1135" i="1"/>
  <c r="I1135" i="1"/>
  <c r="H1135" i="1"/>
  <c r="Q1134" i="1"/>
  <c r="P1134" i="1"/>
  <c r="O1134" i="1"/>
  <c r="N1134" i="1"/>
  <c r="M1134" i="1"/>
  <c r="L1134" i="1"/>
  <c r="I1134" i="1"/>
  <c r="H1134" i="1"/>
  <c r="Q1133" i="1"/>
  <c r="P1133" i="1"/>
  <c r="O1133" i="1"/>
  <c r="N1133" i="1"/>
  <c r="M1133" i="1"/>
  <c r="L1133" i="1"/>
  <c r="I1133" i="1"/>
  <c r="H1133" i="1"/>
  <c r="Q1132" i="1"/>
  <c r="P1132" i="1"/>
  <c r="O1132" i="1"/>
  <c r="N1132" i="1"/>
  <c r="M1132" i="1"/>
  <c r="L1132" i="1"/>
  <c r="I1132" i="1"/>
  <c r="H1132" i="1"/>
  <c r="Q1131" i="1"/>
  <c r="P1131" i="1"/>
  <c r="O1131" i="1"/>
  <c r="N1131" i="1"/>
  <c r="M1131" i="1"/>
  <c r="L1131" i="1"/>
  <c r="I1131" i="1"/>
  <c r="H1131" i="1"/>
  <c r="Q1130" i="1"/>
  <c r="P1130" i="1"/>
  <c r="O1130" i="1"/>
  <c r="N1130" i="1"/>
  <c r="M1130" i="1"/>
  <c r="L1130" i="1"/>
  <c r="I1130" i="1"/>
  <c r="H1130" i="1"/>
  <c r="Q1129" i="1"/>
  <c r="P1129" i="1"/>
  <c r="O1129" i="1"/>
  <c r="N1129" i="1"/>
  <c r="M1129" i="1"/>
  <c r="L1129" i="1"/>
  <c r="I1129" i="1"/>
  <c r="H1129" i="1"/>
  <c r="Q1128" i="1"/>
  <c r="P1128" i="1"/>
  <c r="O1128" i="1"/>
  <c r="N1128" i="1"/>
  <c r="M1128" i="1"/>
  <c r="L1128" i="1"/>
  <c r="I1128" i="1"/>
  <c r="H1128" i="1"/>
  <c r="Q1127" i="1"/>
  <c r="P1127" i="1"/>
  <c r="O1127" i="1"/>
  <c r="N1127" i="1"/>
  <c r="M1127" i="1"/>
  <c r="L1127" i="1"/>
  <c r="I1127" i="1"/>
  <c r="H1127" i="1"/>
  <c r="Q1126" i="1"/>
  <c r="P1126" i="1"/>
  <c r="O1126" i="1"/>
  <c r="N1126" i="1"/>
  <c r="M1126" i="1"/>
  <c r="L1126" i="1"/>
  <c r="I1126" i="1"/>
  <c r="H1126" i="1"/>
  <c r="Q1125" i="1"/>
  <c r="P1125" i="1"/>
  <c r="O1125" i="1"/>
  <c r="N1125" i="1"/>
  <c r="M1125" i="1"/>
  <c r="L1125" i="1"/>
  <c r="I1125" i="1"/>
  <c r="H1125" i="1"/>
  <c r="Q1124" i="1"/>
  <c r="P1124" i="1"/>
  <c r="O1124" i="1"/>
  <c r="N1124" i="1"/>
  <c r="M1124" i="1"/>
  <c r="L1124" i="1"/>
  <c r="I1124" i="1"/>
  <c r="H1124" i="1"/>
  <c r="Q1123" i="1"/>
  <c r="P1123" i="1"/>
  <c r="O1123" i="1"/>
  <c r="N1123" i="1"/>
  <c r="M1123" i="1"/>
  <c r="L1123" i="1"/>
  <c r="I1123" i="1"/>
  <c r="H1123" i="1"/>
  <c r="Q1122" i="1"/>
  <c r="P1122" i="1"/>
  <c r="O1122" i="1"/>
  <c r="N1122" i="1"/>
  <c r="M1122" i="1"/>
  <c r="L1122" i="1"/>
  <c r="I1122" i="1"/>
  <c r="H1122" i="1"/>
  <c r="Q1121" i="1"/>
  <c r="P1121" i="1"/>
  <c r="O1121" i="1"/>
  <c r="N1121" i="1"/>
  <c r="M1121" i="1"/>
  <c r="L1121" i="1"/>
  <c r="I1121" i="1"/>
  <c r="H1121" i="1"/>
  <c r="Q1120" i="1"/>
  <c r="P1120" i="1"/>
  <c r="O1120" i="1"/>
  <c r="N1120" i="1"/>
  <c r="M1120" i="1"/>
  <c r="L1120" i="1"/>
  <c r="I1120" i="1"/>
  <c r="H1120" i="1"/>
  <c r="Q1119" i="1"/>
  <c r="P1119" i="1"/>
  <c r="N1119" i="1"/>
  <c r="L1119" i="1"/>
  <c r="I1119" i="1"/>
  <c r="H1119" i="1"/>
  <c r="E1119" i="1"/>
  <c r="O1119" i="1" s="1"/>
  <c r="O1118" i="1"/>
  <c r="N1118" i="1"/>
  <c r="M1118" i="1"/>
  <c r="L1118" i="1"/>
  <c r="I1118" i="1"/>
  <c r="P1118" i="1" s="1"/>
  <c r="H1118" i="1"/>
  <c r="O1117" i="1"/>
  <c r="N1117" i="1"/>
  <c r="Q1117" i="1" s="1"/>
  <c r="M1117" i="1"/>
  <c r="L1117" i="1"/>
  <c r="I1117" i="1"/>
  <c r="P1117" i="1" s="1"/>
  <c r="H1117" i="1"/>
  <c r="O1116" i="1"/>
  <c r="N1116" i="1"/>
  <c r="M1116" i="1"/>
  <c r="L1116" i="1"/>
  <c r="I1116" i="1"/>
  <c r="P1116" i="1" s="1"/>
  <c r="H1116" i="1"/>
  <c r="O1115" i="1"/>
  <c r="N1115" i="1"/>
  <c r="Q1115" i="1" s="1"/>
  <c r="M1115" i="1"/>
  <c r="L1115" i="1"/>
  <c r="I1115" i="1"/>
  <c r="P1115" i="1" s="1"/>
  <c r="H1115" i="1"/>
  <c r="O1114" i="1"/>
  <c r="N1114" i="1"/>
  <c r="M1114" i="1"/>
  <c r="L1114" i="1"/>
  <c r="I1114" i="1"/>
  <c r="P1114" i="1" s="1"/>
  <c r="H1114" i="1"/>
  <c r="O1113" i="1"/>
  <c r="N1113" i="1"/>
  <c r="Q1113" i="1" s="1"/>
  <c r="M1113" i="1"/>
  <c r="L1113" i="1"/>
  <c r="I1113" i="1"/>
  <c r="P1113" i="1" s="1"/>
  <c r="H1113" i="1"/>
  <c r="O1112" i="1"/>
  <c r="N1112" i="1"/>
  <c r="M1112" i="1"/>
  <c r="L1112" i="1"/>
  <c r="I1112" i="1"/>
  <c r="P1112" i="1" s="1"/>
  <c r="H1112" i="1"/>
  <c r="O1111" i="1"/>
  <c r="N1111" i="1"/>
  <c r="Q1111" i="1" s="1"/>
  <c r="M1111" i="1"/>
  <c r="L1111" i="1"/>
  <c r="I1111" i="1"/>
  <c r="P1111" i="1" s="1"/>
  <c r="H1111" i="1"/>
  <c r="O1110" i="1"/>
  <c r="N1110" i="1"/>
  <c r="M1110" i="1"/>
  <c r="L1110" i="1"/>
  <c r="I1110" i="1"/>
  <c r="P1110" i="1" s="1"/>
  <c r="H1110" i="1"/>
  <c r="O1109" i="1"/>
  <c r="N1109" i="1"/>
  <c r="Q1109" i="1" s="1"/>
  <c r="M1109" i="1"/>
  <c r="L1109" i="1"/>
  <c r="I1109" i="1"/>
  <c r="P1109" i="1" s="1"/>
  <c r="H1109" i="1"/>
  <c r="O1108" i="1"/>
  <c r="N1108" i="1"/>
  <c r="M1108" i="1"/>
  <c r="L1108" i="1"/>
  <c r="I1108" i="1"/>
  <c r="P1108" i="1" s="1"/>
  <c r="H1108" i="1"/>
  <c r="O1107" i="1"/>
  <c r="N1107" i="1"/>
  <c r="Q1107" i="1" s="1"/>
  <c r="M1107" i="1"/>
  <c r="L1107" i="1"/>
  <c r="I1107" i="1"/>
  <c r="P1107" i="1" s="1"/>
  <c r="H1107" i="1"/>
  <c r="O1106" i="1"/>
  <c r="N1106" i="1"/>
  <c r="M1106" i="1"/>
  <c r="L1106" i="1"/>
  <c r="I1106" i="1"/>
  <c r="P1106" i="1" s="1"/>
  <c r="H1106" i="1"/>
  <c r="O1105" i="1"/>
  <c r="N1105" i="1"/>
  <c r="Q1105" i="1" s="1"/>
  <c r="M1105" i="1"/>
  <c r="L1105" i="1"/>
  <c r="I1105" i="1"/>
  <c r="P1105" i="1" s="1"/>
  <c r="H1105" i="1"/>
  <c r="O1104" i="1"/>
  <c r="N1104" i="1"/>
  <c r="M1104" i="1"/>
  <c r="L1104" i="1"/>
  <c r="I1104" i="1"/>
  <c r="P1104" i="1" s="1"/>
  <c r="H1104" i="1"/>
  <c r="O1103" i="1"/>
  <c r="N1103" i="1"/>
  <c r="Q1103" i="1" s="1"/>
  <c r="M1103" i="1"/>
  <c r="L1103" i="1"/>
  <c r="I1103" i="1"/>
  <c r="P1103" i="1" s="1"/>
  <c r="H1103" i="1"/>
  <c r="O1102" i="1"/>
  <c r="N1102" i="1"/>
  <c r="M1102" i="1"/>
  <c r="L1102" i="1"/>
  <c r="I1102" i="1"/>
  <c r="P1102" i="1" s="1"/>
  <c r="H1102" i="1"/>
  <c r="O1101" i="1"/>
  <c r="N1101" i="1"/>
  <c r="Q1101" i="1" s="1"/>
  <c r="M1101" i="1"/>
  <c r="L1101" i="1"/>
  <c r="I1101" i="1"/>
  <c r="P1101" i="1" s="1"/>
  <c r="H1101" i="1"/>
  <c r="O1100" i="1"/>
  <c r="N1100" i="1"/>
  <c r="M1100" i="1"/>
  <c r="L1100" i="1"/>
  <c r="I1100" i="1"/>
  <c r="P1100" i="1" s="1"/>
  <c r="H1100" i="1"/>
  <c r="O1099" i="1"/>
  <c r="N1099" i="1"/>
  <c r="Q1099" i="1" s="1"/>
  <c r="M1099" i="1"/>
  <c r="L1099" i="1"/>
  <c r="I1099" i="1"/>
  <c r="P1099" i="1" s="1"/>
  <c r="H1099" i="1"/>
  <c r="O1098" i="1"/>
  <c r="N1098" i="1"/>
  <c r="M1098" i="1"/>
  <c r="L1098" i="1"/>
  <c r="I1098" i="1"/>
  <c r="P1098" i="1" s="1"/>
  <c r="H1098" i="1"/>
  <c r="O1097" i="1"/>
  <c r="N1097" i="1"/>
  <c r="Q1097" i="1" s="1"/>
  <c r="M1097" i="1"/>
  <c r="L1097" i="1"/>
  <c r="I1097" i="1"/>
  <c r="P1097" i="1" s="1"/>
  <c r="H1097" i="1"/>
  <c r="O1096" i="1"/>
  <c r="N1096" i="1"/>
  <c r="M1096" i="1"/>
  <c r="L1096" i="1"/>
  <c r="I1096" i="1"/>
  <c r="P1096" i="1" s="1"/>
  <c r="H1096" i="1"/>
  <c r="O1095" i="1"/>
  <c r="N1095" i="1"/>
  <c r="Q1095" i="1" s="1"/>
  <c r="M1095" i="1"/>
  <c r="L1095" i="1"/>
  <c r="I1095" i="1"/>
  <c r="P1095" i="1" s="1"/>
  <c r="H1095" i="1"/>
  <c r="O1094" i="1"/>
  <c r="N1094" i="1"/>
  <c r="M1094" i="1"/>
  <c r="L1094" i="1"/>
  <c r="I1094" i="1"/>
  <c r="P1094" i="1" s="1"/>
  <c r="H1094" i="1"/>
  <c r="O1093" i="1"/>
  <c r="N1093" i="1"/>
  <c r="Q1093" i="1" s="1"/>
  <c r="M1093" i="1"/>
  <c r="L1093" i="1"/>
  <c r="I1093" i="1"/>
  <c r="P1093" i="1" s="1"/>
  <c r="H1093" i="1"/>
  <c r="O1092" i="1"/>
  <c r="N1092" i="1"/>
  <c r="M1092" i="1"/>
  <c r="L1092" i="1"/>
  <c r="I1092" i="1"/>
  <c r="P1092" i="1" s="1"/>
  <c r="H1092" i="1"/>
  <c r="O1091" i="1"/>
  <c r="N1091" i="1"/>
  <c r="Q1091" i="1" s="1"/>
  <c r="M1091" i="1"/>
  <c r="L1091" i="1"/>
  <c r="I1091" i="1"/>
  <c r="P1091" i="1" s="1"/>
  <c r="H1091" i="1"/>
  <c r="O1090" i="1"/>
  <c r="N1090" i="1"/>
  <c r="M1090" i="1"/>
  <c r="L1090" i="1"/>
  <c r="I1090" i="1"/>
  <c r="P1090" i="1" s="1"/>
  <c r="H1090" i="1"/>
  <c r="O1089" i="1"/>
  <c r="N1089" i="1"/>
  <c r="Q1089" i="1" s="1"/>
  <c r="M1089" i="1"/>
  <c r="L1089" i="1"/>
  <c r="I1089" i="1"/>
  <c r="P1089" i="1" s="1"/>
  <c r="H1089" i="1"/>
  <c r="O1088" i="1"/>
  <c r="N1088" i="1"/>
  <c r="M1088" i="1"/>
  <c r="L1088" i="1"/>
  <c r="I1088" i="1"/>
  <c r="P1088" i="1" s="1"/>
  <c r="H1088" i="1"/>
  <c r="O1087" i="1"/>
  <c r="N1087" i="1"/>
  <c r="Q1087" i="1" s="1"/>
  <c r="M1087" i="1"/>
  <c r="L1087" i="1"/>
  <c r="I1087" i="1"/>
  <c r="P1087" i="1" s="1"/>
  <c r="H1087" i="1"/>
  <c r="O1086" i="1"/>
  <c r="N1086" i="1"/>
  <c r="L1086" i="1"/>
  <c r="I1086" i="1"/>
  <c r="P1086" i="1" s="1"/>
  <c r="H1086" i="1"/>
  <c r="E1086" i="1"/>
  <c r="M1086" i="1" s="1"/>
  <c r="O1085" i="1"/>
  <c r="M1085" i="1"/>
  <c r="L1085" i="1"/>
  <c r="N1085" i="1" s="1"/>
  <c r="Q1085" i="1" s="1"/>
  <c r="I1085" i="1"/>
  <c r="P1085" i="1" s="1"/>
  <c r="H1085" i="1"/>
  <c r="O1084" i="1"/>
  <c r="M1084" i="1"/>
  <c r="L1084" i="1"/>
  <c r="N1084" i="1" s="1"/>
  <c r="I1084" i="1"/>
  <c r="P1084" i="1" s="1"/>
  <c r="H1084" i="1"/>
  <c r="O1083" i="1"/>
  <c r="M1083" i="1"/>
  <c r="L1083" i="1"/>
  <c r="N1083" i="1" s="1"/>
  <c r="I1083" i="1"/>
  <c r="P1083" i="1" s="1"/>
  <c r="H1083" i="1"/>
  <c r="O1082" i="1"/>
  <c r="M1082" i="1"/>
  <c r="L1082" i="1"/>
  <c r="N1082" i="1" s="1"/>
  <c r="I1082" i="1"/>
  <c r="P1082" i="1" s="1"/>
  <c r="H1082" i="1"/>
  <c r="O1081" i="1"/>
  <c r="M1081" i="1"/>
  <c r="L1081" i="1"/>
  <c r="N1081" i="1" s="1"/>
  <c r="Q1081" i="1" s="1"/>
  <c r="I1081" i="1"/>
  <c r="P1081" i="1" s="1"/>
  <c r="H1081" i="1"/>
  <c r="O1080" i="1"/>
  <c r="L1080" i="1"/>
  <c r="N1080" i="1" s="1"/>
  <c r="Q1080" i="1" s="1"/>
  <c r="I1080" i="1"/>
  <c r="P1080" i="1" s="1"/>
  <c r="H1080" i="1"/>
  <c r="E1080" i="1"/>
  <c r="M1080" i="1" s="1"/>
  <c r="P1079" i="1"/>
  <c r="O1079" i="1"/>
  <c r="M1079" i="1"/>
  <c r="L1079" i="1"/>
  <c r="N1079" i="1" s="1"/>
  <c r="I1079" i="1"/>
  <c r="H1079" i="1"/>
  <c r="P1078" i="1"/>
  <c r="O1078" i="1"/>
  <c r="M1078" i="1"/>
  <c r="L1078" i="1"/>
  <c r="N1078" i="1" s="1"/>
  <c r="Q1078" i="1" s="1"/>
  <c r="I1078" i="1"/>
  <c r="H1078" i="1"/>
  <c r="P1077" i="1"/>
  <c r="O1077" i="1"/>
  <c r="M1077" i="1"/>
  <c r="L1077" i="1"/>
  <c r="N1077" i="1" s="1"/>
  <c r="I1077" i="1"/>
  <c r="H1077" i="1"/>
  <c r="P1076" i="1"/>
  <c r="O1076" i="1"/>
  <c r="M1076" i="1"/>
  <c r="L1076" i="1"/>
  <c r="N1076" i="1" s="1"/>
  <c r="Q1076" i="1" s="1"/>
  <c r="I1076" i="1"/>
  <c r="H1076" i="1"/>
  <c r="P1075" i="1"/>
  <c r="O1075" i="1"/>
  <c r="M1075" i="1"/>
  <c r="L1075" i="1"/>
  <c r="N1075" i="1" s="1"/>
  <c r="I1075" i="1"/>
  <c r="H1075" i="1"/>
  <c r="P1074" i="1"/>
  <c r="O1074" i="1"/>
  <c r="M1074" i="1"/>
  <c r="L1074" i="1"/>
  <c r="N1074" i="1" s="1"/>
  <c r="Q1074" i="1" s="1"/>
  <c r="I1074" i="1"/>
  <c r="H1074" i="1"/>
  <c r="P1073" i="1"/>
  <c r="L1073" i="1"/>
  <c r="N1073" i="1" s="1"/>
  <c r="I1073" i="1"/>
  <c r="H1073" i="1"/>
  <c r="E1073" i="1"/>
  <c r="O1073" i="1" s="1"/>
  <c r="Q1072" i="1"/>
  <c r="P1072" i="1"/>
  <c r="O1072" i="1"/>
  <c r="N1072" i="1"/>
  <c r="M1072" i="1"/>
  <c r="L1072" i="1"/>
  <c r="I1072" i="1"/>
  <c r="H1072" i="1"/>
  <c r="Q1071" i="1"/>
  <c r="P1071" i="1"/>
  <c r="O1071" i="1"/>
  <c r="N1071" i="1"/>
  <c r="M1071" i="1"/>
  <c r="L1071" i="1"/>
  <c r="I1071" i="1"/>
  <c r="H1071" i="1"/>
  <c r="Q1070" i="1"/>
  <c r="P1070" i="1"/>
  <c r="O1070" i="1"/>
  <c r="N1070" i="1"/>
  <c r="M1070" i="1"/>
  <c r="L1070" i="1"/>
  <c r="I1070" i="1"/>
  <c r="H1070" i="1"/>
  <c r="Q1069" i="1"/>
  <c r="P1069" i="1"/>
  <c r="O1069" i="1"/>
  <c r="N1069" i="1"/>
  <c r="M1069" i="1"/>
  <c r="L1069" i="1"/>
  <c r="I1069" i="1"/>
  <c r="H1069" i="1"/>
  <c r="Q1068" i="1"/>
  <c r="P1068" i="1"/>
  <c r="O1068" i="1"/>
  <c r="N1068" i="1"/>
  <c r="M1068" i="1"/>
  <c r="L1068" i="1"/>
  <c r="I1068" i="1"/>
  <c r="H1068" i="1"/>
  <c r="P1067" i="1"/>
  <c r="N1067" i="1"/>
  <c r="L1067" i="1"/>
  <c r="I1067" i="1"/>
  <c r="H1067" i="1"/>
  <c r="E1067" i="1"/>
  <c r="O1067" i="1" s="1"/>
  <c r="Q1067" i="1" s="1"/>
  <c r="O1066" i="1"/>
  <c r="N1066" i="1"/>
  <c r="M1066" i="1"/>
  <c r="L1066" i="1"/>
  <c r="I1066" i="1"/>
  <c r="P1066" i="1" s="1"/>
  <c r="H1066" i="1"/>
  <c r="O1065" i="1"/>
  <c r="N1065" i="1"/>
  <c r="Q1065" i="1" s="1"/>
  <c r="M1065" i="1"/>
  <c r="L1065" i="1"/>
  <c r="I1065" i="1"/>
  <c r="P1065" i="1" s="1"/>
  <c r="H1065" i="1"/>
  <c r="O1064" i="1"/>
  <c r="N1064" i="1"/>
  <c r="M1064" i="1"/>
  <c r="L1064" i="1"/>
  <c r="I1064" i="1"/>
  <c r="P1064" i="1" s="1"/>
  <c r="H1064" i="1"/>
  <c r="O1063" i="1"/>
  <c r="N1063" i="1"/>
  <c r="Q1063" i="1" s="1"/>
  <c r="M1063" i="1"/>
  <c r="L1063" i="1"/>
  <c r="I1063" i="1"/>
  <c r="P1063" i="1" s="1"/>
  <c r="H1063" i="1"/>
  <c r="O1062" i="1"/>
  <c r="N1062" i="1"/>
  <c r="M1062" i="1"/>
  <c r="L1062" i="1"/>
  <c r="I1062" i="1"/>
  <c r="P1062" i="1" s="1"/>
  <c r="H1062" i="1"/>
  <c r="O1061" i="1"/>
  <c r="N1061" i="1"/>
  <c r="Q1061" i="1" s="1"/>
  <c r="M1061" i="1"/>
  <c r="L1061" i="1"/>
  <c r="I1061" i="1"/>
  <c r="P1061" i="1" s="1"/>
  <c r="H1061" i="1"/>
  <c r="O1060" i="1"/>
  <c r="N1060" i="1"/>
  <c r="L1060" i="1"/>
  <c r="I1060" i="1"/>
  <c r="P1060" i="1" s="1"/>
  <c r="H1060" i="1"/>
  <c r="E1060" i="1"/>
  <c r="M1060" i="1" s="1"/>
  <c r="O1059" i="1"/>
  <c r="M1059" i="1"/>
  <c r="L1059" i="1"/>
  <c r="N1059" i="1" s="1"/>
  <c r="Q1059" i="1" s="1"/>
  <c r="I1059" i="1"/>
  <c r="P1059" i="1" s="1"/>
  <c r="H1059" i="1"/>
  <c r="O1058" i="1"/>
  <c r="M1058" i="1"/>
  <c r="L1058" i="1"/>
  <c r="N1058" i="1" s="1"/>
  <c r="I1058" i="1"/>
  <c r="P1058" i="1" s="1"/>
  <c r="H1058" i="1"/>
  <c r="O1057" i="1"/>
  <c r="M1057" i="1"/>
  <c r="L1057" i="1"/>
  <c r="N1057" i="1" s="1"/>
  <c r="I1057" i="1"/>
  <c r="P1057" i="1" s="1"/>
  <c r="H1057" i="1"/>
  <c r="O1056" i="1"/>
  <c r="M1056" i="1"/>
  <c r="L1056" i="1"/>
  <c r="N1056" i="1" s="1"/>
  <c r="Q1056" i="1" s="1"/>
  <c r="I1056" i="1"/>
  <c r="P1056" i="1" s="1"/>
  <c r="H1056" i="1"/>
  <c r="O1055" i="1"/>
  <c r="M1055" i="1"/>
  <c r="L1055" i="1"/>
  <c r="N1055" i="1" s="1"/>
  <c r="Q1055" i="1" s="1"/>
  <c r="I1055" i="1"/>
  <c r="P1055" i="1" s="1"/>
  <c r="H1055" i="1"/>
  <c r="O1054" i="1"/>
  <c r="L1054" i="1"/>
  <c r="N1054" i="1" s="1"/>
  <c r="I1054" i="1"/>
  <c r="P1054" i="1" s="1"/>
  <c r="H1054" i="1"/>
  <c r="E1054" i="1"/>
  <c r="M1054" i="1" s="1"/>
  <c r="P1053" i="1"/>
  <c r="O1053" i="1"/>
  <c r="M1053" i="1"/>
  <c r="L1053" i="1"/>
  <c r="N1053" i="1" s="1"/>
  <c r="Q1053" i="1" s="1"/>
  <c r="I1053" i="1"/>
  <c r="H1053" i="1"/>
  <c r="P1052" i="1"/>
  <c r="O1052" i="1"/>
  <c r="M1052" i="1"/>
  <c r="L1052" i="1"/>
  <c r="N1052" i="1" s="1"/>
  <c r="I1052" i="1"/>
  <c r="H1052" i="1"/>
  <c r="P1051" i="1"/>
  <c r="O1051" i="1"/>
  <c r="M1051" i="1"/>
  <c r="L1051" i="1"/>
  <c r="N1051" i="1" s="1"/>
  <c r="Q1051" i="1" s="1"/>
  <c r="I1051" i="1"/>
  <c r="H1051" i="1"/>
  <c r="P1050" i="1"/>
  <c r="O1050" i="1"/>
  <c r="M1050" i="1"/>
  <c r="L1050" i="1"/>
  <c r="N1050" i="1" s="1"/>
  <c r="I1050" i="1"/>
  <c r="H1050" i="1"/>
  <c r="P1049" i="1"/>
  <c r="O1049" i="1"/>
  <c r="M1049" i="1"/>
  <c r="L1049" i="1"/>
  <c r="N1049" i="1" s="1"/>
  <c r="Q1049" i="1" s="1"/>
  <c r="I1049" i="1"/>
  <c r="H1049" i="1"/>
  <c r="P1048" i="1"/>
  <c r="O1048" i="1"/>
  <c r="M1048" i="1"/>
  <c r="L1048" i="1"/>
  <c r="N1048" i="1" s="1"/>
  <c r="I1048" i="1"/>
  <c r="H1048" i="1"/>
  <c r="P1047" i="1"/>
  <c r="L1047" i="1"/>
  <c r="N1047" i="1" s="1"/>
  <c r="I1047" i="1"/>
  <c r="H1047" i="1"/>
  <c r="E1047" i="1"/>
  <c r="O1047" i="1" s="1"/>
  <c r="Q1046" i="1"/>
  <c r="P1046" i="1"/>
  <c r="O1046" i="1"/>
  <c r="N1046" i="1"/>
  <c r="M1046" i="1"/>
  <c r="L1046" i="1"/>
  <c r="I1046" i="1"/>
  <c r="H1046" i="1"/>
  <c r="Q1045" i="1"/>
  <c r="P1045" i="1"/>
  <c r="O1045" i="1"/>
  <c r="N1045" i="1"/>
  <c r="M1045" i="1"/>
  <c r="L1045" i="1"/>
  <c r="I1045" i="1"/>
  <c r="H1045" i="1"/>
  <c r="Q1044" i="1"/>
  <c r="P1044" i="1"/>
  <c r="O1044" i="1"/>
  <c r="N1044" i="1"/>
  <c r="M1044" i="1"/>
  <c r="L1044" i="1"/>
  <c r="I1044" i="1"/>
  <c r="H1044" i="1"/>
  <c r="Q1043" i="1"/>
  <c r="P1043" i="1"/>
  <c r="O1043" i="1"/>
  <c r="N1043" i="1"/>
  <c r="M1043" i="1"/>
  <c r="L1043" i="1"/>
  <c r="I1043" i="1"/>
  <c r="H1043" i="1"/>
  <c r="Q1042" i="1"/>
  <c r="P1042" i="1"/>
  <c r="O1042" i="1"/>
  <c r="N1042" i="1"/>
  <c r="M1042" i="1"/>
  <c r="L1042" i="1"/>
  <c r="I1042" i="1"/>
  <c r="H1042" i="1"/>
  <c r="P1041" i="1"/>
  <c r="N1041" i="1"/>
  <c r="L1041" i="1"/>
  <c r="I1041" i="1"/>
  <c r="H1041" i="1"/>
  <c r="E1041" i="1"/>
  <c r="O1041" i="1" s="1"/>
  <c r="Q1041" i="1" s="1"/>
  <c r="O1040" i="1"/>
  <c r="N1040" i="1"/>
  <c r="Q1040" i="1" s="1"/>
  <c r="M1040" i="1"/>
  <c r="L1040" i="1"/>
  <c r="I1040" i="1"/>
  <c r="P1040" i="1" s="1"/>
  <c r="H1040" i="1"/>
  <c r="O1039" i="1"/>
  <c r="N1039" i="1"/>
  <c r="M1039" i="1"/>
  <c r="L1039" i="1"/>
  <c r="I1039" i="1"/>
  <c r="P1039" i="1" s="1"/>
  <c r="H1039" i="1"/>
  <c r="O1038" i="1"/>
  <c r="N1038" i="1"/>
  <c r="Q1038" i="1" s="1"/>
  <c r="M1038" i="1"/>
  <c r="L1038" i="1"/>
  <c r="I1038" i="1"/>
  <c r="P1038" i="1" s="1"/>
  <c r="H1038" i="1"/>
  <c r="O1037" i="1"/>
  <c r="N1037" i="1"/>
  <c r="M1037" i="1"/>
  <c r="L1037" i="1"/>
  <c r="I1037" i="1"/>
  <c r="P1037" i="1" s="1"/>
  <c r="H1037" i="1"/>
  <c r="O1036" i="1"/>
  <c r="N1036" i="1"/>
  <c r="Q1036" i="1" s="1"/>
  <c r="M1036" i="1"/>
  <c r="L1036" i="1"/>
  <c r="I1036" i="1"/>
  <c r="P1036" i="1" s="1"/>
  <c r="H1036" i="1"/>
  <c r="O1035" i="1"/>
  <c r="N1035" i="1"/>
  <c r="M1035" i="1"/>
  <c r="L1035" i="1"/>
  <c r="I1035" i="1"/>
  <c r="P1035" i="1" s="1"/>
  <c r="H1035" i="1"/>
  <c r="O1034" i="1"/>
  <c r="N1034" i="1"/>
  <c r="L1034" i="1"/>
  <c r="I1034" i="1"/>
  <c r="P1034" i="1" s="1"/>
  <c r="H1034" i="1"/>
  <c r="E1034" i="1"/>
  <c r="M1034" i="1" s="1"/>
  <c r="O1033" i="1"/>
  <c r="M1033" i="1"/>
  <c r="L1033" i="1"/>
  <c r="N1033" i="1" s="1"/>
  <c r="I1033" i="1"/>
  <c r="P1033" i="1" s="1"/>
  <c r="H1033" i="1"/>
  <c r="O1032" i="1"/>
  <c r="M1032" i="1"/>
  <c r="L1032" i="1"/>
  <c r="N1032" i="1" s="1"/>
  <c r="I1032" i="1"/>
  <c r="P1032" i="1" s="1"/>
  <c r="H1032" i="1"/>
  <c r="O1031" i="1"/>
  <c r="M1031" i="1"/>
  <c r="L1031" i="1"/>
  <c r="N1031" i="1" s="1"/>
  <c r="Q1031" i="1" s="1"/>
  <c r="I1031" i="1"/>
  <c r="P1031" i="1" s="1"/>
  <c r="H1031" i="1"/>
  <c r="O1030" i="1"/>
  <c r="M1030" i="1"/>
  <c r="L1030" i="1"/>
  <c r="N1030" i="1" s="1"/>
  <c r="Q1030" i="1" s="1"/>
  <c r="I1030" i="1"/>
  <c r="P1030" i="1" s="1"/>
  <c r="H1030" i="1"/>
  <c r="O1029" i="1"/>
  <c r="M1029" i="1"/>
  <c r="L1029" i="1"/>
  <c r="N1029" i="1" s="1"/>
  <c r="I1029" i="1"/>
  <c r="P1029" i="1" s="1"/>
  <c r="H1029" i="1"/>
  <c r="O1028" i="1"/>
  <c r="L1028" i="1"/>
  <c r="N1028" i="1" s="1"/>
  <c r="I1028" i="1"/>
  <c r="P1028" i="1" s="1"/>
  <c r="H1028" i="1"/>
  <c r="E1028" i="1"/>
  <c r="M1028" i="1" s="1"/>
  <c r="P1027" i="1"/>
  <c r="O1027" i="1"/>
  <c r="M1027" i="1"/>
  <c r="L1027" i="1"/>
  <c r="N1027" i="1" s="1"/>
  <c r="Q1027" i="1" s="1"/>
  <c r="I1027" i="1"/>
  <c r="H1027" i="1"/>
  <c r="P1026" i="1"/>
  <c r="O1026" i="1"/>
  <c r="M1026" i="1"/>
  <c r="L1026" i="1"/>
  <c r="N1026" i="1" s="1"/>
  <c r="I1026" i="1"/>
  <c r="H1026" i="1"/>
  <c r="P1025" i="1"/>
  <c r="O1025" i="1"/>
  <c r="M1025" i="1"/>
  <c r="L1025" i="1"/>
  <c r="N1025" i="1" s="1"/>
  <c r="Q1025" i="1" s="1"/>
  <c r="I1025" i="1"/>
  <c r="H1025" i="1"/>
  <c r="P1024" i="1"/>
  <c r="O1024" i="1"/>
  <c r="M1024" i="1"/>
  <c r="L1024" i="1"/>
  <c r="N1024" i="1" s="1"/>
  <c r="I1024" i="1"/>
  <c r="H1024" i="1"/>
  <c r="P1023" i="1"/>
  <c r="O1023" i="1"/>
  <c r="M1023" i="1"/>
  <c r="L1023" i="1"/>
  <c r="N1023" i="1" s="1"/>
  <c r="Q1023" i="1" s="1"/>
  <c r="I1023" i="1"/>
  <c r="H1023" i="1"/>
  <c r="P1022" i="1"/>
  <c r="O1022" i="1"/>
  <c r="M1022" i="1"/>
  <c r="L1022" i="1"/>
  <c r="N1022" i="1" s="1"/>
  <c r="I1022" i="1"/>
  <c r="H1022" i="1"/>
  <c r="P1021" i="1"/>
  <c r="L1021" i="1"/>
  <c r="N1021" i="1" s="1"/>
  <c r="Q1021" i="1" s="1"/>
  <c r="I1021" i="1"/>
  <c r="H1021" i="1"/>
  <c r="E1021" i="1"/>
  <c r="O1021" i="1" s="1"/>
  <c r="Q1020" i="1"/>
  <c r="P1020" i="1"/>
  <c r="O1020" i="1"/>
  <c r="N1020" i="1"/>
  <c r="M1020" i="1"/>
  <c r="L1020" i="1"/>
  <c r="I1020" i="1"/>
  <c r="H1020" i="1"/>
  <c r="Q1019" i="1"/>
  <c r="P1019" i="1"/>
  <c r="O1019" i="1"/>
  <c r="N1019" i="1"/>
  <c r="M1019" i="1"/>
  <c r="L1019" i="1"/>
  <c r="I1019" i="1"/>
  <c r="H1019" i="1"/>
  <c r="Q1018" i="1"/>
  <c r="P1018" i="1"/>
  <c r="O1018" i="1"/>
  <c r="N1018" i="1"/>
  <c r="M1018" i="1"/>
  <c r="L1018" i="1"/>
  <c r="I1018" i="1"/>
  <c r="H1018" i="1"/>
  <c r="Q1017" i="1"/>
  <c r="P1017" i="1"/>
  <c r="O1017" i="1"/>
  <c r="N1017" i="1"/>
  <c r="M1017" i="1"/>
  <c r="L1017" i="1"/>
  <c r="I1017" i="1"/>
  <c r="H1017" i="1"/>
  <c r="Q1016" i="1"/>
  <c r="P1016" i="1"/>
  <c r="O1016" i="1"/>
  <c r="N1016" i="1"/>
  <c r="M1016" i="1"/>
  <c r="L1016" i="1"/>
  <c r="I1016" i="1"/>
  <c r="H1016" i="1"/>
  <c r="Q1015" i="1"/>
  <c r="P1015" i="1"/>
  <c r="N1015" i="1"/>
  <c r="L1015" i="1"/>
  <c r="I1015" i="1"/>
  <c r="H1015" i="1"/>
  <c r="E1015" i="1"/>
  <c r="O1015" i="1" s="1"/>
  <c r="O1014" i="1"/>
  <c r="N1014" i="1"/>
  <c r="Q1014" i="1" s="1"/>
  <c r="M1014" i="1"/>
  <c r="L1014" i="1"/>
  <c r="I1014" i="1"/>
  <c r="P1014" i="1" s="1"/>
  <c r="H1014" i="1"/>
  <c r="O1013" i="1"/>
  <c r="N1013" i="1"/>
  <c r="M1013" i="1"/>
  <c r="L1013" i="1"/>
  <c r="I1013" i="1"/>
  <c r="P1013" i="1" s="1"/>
  <c r="H1013" i="1"/>
  <c r="O1012" i="1"/>
  <c r="N1012" i="1"/>
  <c r="Q1012" i="1" s="1"/>
  <c r="M1012" i="1"/>
  <c r="L1012" i="1"/>
  <c r="I1012" i="1"/>
  <c r="P1012" i="1" s="1"/>
  <c r="H1012" i="1"/>
  <c r="O1011" i="1"/>
  <c r="N1011" i="1"/>
  <c r="M1011" i="1"/>
  <c r="L1011" i="1"/>
  <c r="I1011" i="1"/>
  <c r="P1011" i="1" s="1"/>
  <c r="H1011" i="1"/>
  <c r="O1010" i="1"/>
  <c r="N1010" i="1"/>
  <c r="Q1010" i="1" s="1"/>
  <c r="M1010" i="1"/>
  <c r="L1010" i="1"/>
  <c r="I1010" i="1"/>
  <c r="P1010" i="1" s="1"/>
  <c r="H1010" i="1"/>
  <c r="O1009" i="1"/>
  <c r="N1009" i="1"/>
  <c r="M1009" i="1"/>
  <c r="L1009" i="1"/>
  <c r="I1009" i="1"/>
  <c r="P1009" i="1" s="1"/>
  <c r="H1009" i="1"/>
  <c r="O1008" i="1"/>
  <c r="N1008" i="1"/>
  <c r="Q1008" i="1" s="1"/>
  <c r="L1008" i="1"/>
  <c r="I1008" i="1"/>
  <c r="P1008" i="1" s="1"/>
  <c r="H1008" i="1"/>
  <c r="E1008" i="1"/>
  <c r="M1008" i="1" s="1"/>
  <c r="O1007" i="1"/>
  <c r="M1007" i="1"/>
  <c r="L1007" i="1"/>
  <c r="N1007" i="1" s="1"/>
  <c r="I1007" i="1"/>
  <c r="P1007" i="1" s="1"/>
  <c r="H1007" i="1"/>
  <c r="O1006" i="1"/>
  <c r="M1006" i="1"/>
  <c r="L1006" i="1"/>
  <c r="N1006" i="1" s="1"/>
  <c r="Q1006" i="1" s="1"/>
  <c r="I1006" i="1"/>
  <c r="P1006" i="1" s="1"/>
  <c r="H1006" i="1"/>
  <c r="O1005" i="1"/>
  <c r="M1005" i="1"/>
  <c r="L1005" i="1"/>
  <c r="N1005" i="1" s="1"/>
  <c r="I1005" i="1"/>
  <c r="P1005" i="1" s="1"/>
  <c r="H1005" i="1"/>
  <c r="O1004" i="1"/>
  <c r="M1004" i="1"/>
  <c r="L1004" i="1"/>
  <c r="N1004" i="1" s="1"/>
  <c r="I1004" i="1"/>
  <c r="P1004" i="1" s="1"/>
  <c r="H1004" i="1"/>
  <c r="O1003" i="1"/>
  <c r="M1003" i="1"/>
  <c r="L1003" i="1"/>
  <c r="N1003" i="1" s="1"/>
  <c r="I1003" i="1"/>
  <c r="P1003" i="1" s="1"/>
  <c r="H1003" i="1"/>
  <c r="O1002" i="1"/>
  <c r="L1002" i="1"/>
  <c r="N1002" i="1" s="1"/>
  <c r="I1002" i="1"/>
  <c r="P1002" i="1" s="1"/>
  <c r="H1002" i="1"/>
  <c r="E1002" i="1"/>
  <c r="M1002" i="1" s="1"/>
  <c r="P1001" i="1"/>
  <c r="O1001" i="1"/>
  <c r="M1001" i="1"/>
  <c r="L1001" i="1"/>
  <c r="N1001" i="1" s="1"/>
  <c r="I1001" i="1"/>
  <c r="H1001" i="1"/>
  <c r="P1000" i="1"/>
  <c r="O1000" i="1"/>
  <c r="M1000" i="1"/>
  <c r="L1000" i="1"/>
  <c r="N1000" i="1" s="1"/>
  <c r="Q1000" i="1" s="1"/>
  <c r="I1000" i="1"/>
  <c r="H1000" i="1"/>
  <c r="P999" i="1"/>
  <c r="O999" i="1"/>
  <c r="M999" i="1"/>
  <c r="L999" i="1"/>
  <c r="N999" i="1" s="1"/>
  <c r="I999" i="1"/>
  <c r="H999" i="1"/>
  <c r="P998" i="1"/>
  <c r="O998" i="1"/>
  <c r="M998" i="1"/>
  <c r="L998" i="1"/>
  <c r="N998" i="1" s="1"/>
  <c r="Q998" i="1" s="1"/>
  <c r="I998" i="1"/>
  <c r="H998" i="1"/>
  <c r="P997" i="1"/>
  <c r="O997" i="1"/>
  <c r="M997" i="1"/>
  <c r="L997" i="1"/>
  <c r="N997" i="1" s="1"/>
  <c r="I997" i="1"/>
  <c r="H997" i="1"/>
  <c r="P996" i="1"/>
  <c r="O996" i="1"/>
  <c r="M996" i="1"/>
  <c r="L996" i="1"/>
  <c r="N996" i="1" s="1"/>
  <c r="Q996" i="1" s="1"/>
  <c r="I996" i="1"/>
  <c r="H996" i="1"/>
  <c r="P995" i="1"/>
  <c r="L995" i="1"/>
  <c r="N995" i="1" s="1"/>
  <c r="Q995" i="1" s="1"/>
  <c r="I995" i="1"/>
  <c r="H995" i="1"/>
  <c r="E995" i="1"/>
  <c r="O995" i="1" s="1"/>
  <c r="Q994" i="1"/>
  <c r="P994" i="1"/>
  <c r="O994" i="1"/>
  <c r="N994" i="1"/>
  <c r="M994" i="1"/>
  <c r="L994" i="1"/>
  <c r="I994" i="1"/>
  <c r="H994" i="1"/>
  <c r="N993" i="1"/>
  <c r="M993" i="1"/>
  <c r="L993" i="1"/>
  <c r="F993" i="1"/>
  <c r="O992" i="1"/>
  <c r="N992" i="1"/>
  <c r="M992" i="1"/>
  <c r="L992" i="1"/>
  <c r="I992" i="1"/>
  <c r="P992" i="1" s="1"/>
  <c r="H992" i="1"/>
  <c r="O991" i="1"/>
  <c r="N991" i="1"/>
  <c r="Q991" i="1" s="1"/>
  <c r="M991" i="1"/>
  <c r="L991" i="1"/>
  <c r="I991" i="1"/>
  <c r="P991" i="1" s="1"/>
  <c r="H991" i="1"/>
  <c r="O990" i="1"/>
  <c r="N990" i="1"/>
  <c r="M990" i="1"/>
  <c r="L990" i="1"/>
  <c r="I990" i="1"/>
  <c r="P990" i="1" s="1"/>
  <c r="H990" i="1"/>
  <c r="O989" i="1"/>
  <c r="N989" i="1"/>
  <c r="Q989" i="1" s="1"/>
  <c r="L989" i="1"/>
  <c r="I989" i="1"/>
  <c r="P989" i="1" s="1"/>
  <c r="H989" i="1"/>
  <c r="E989" i="1"/>
  <c r="M989" i="1" s="1"/>
  <c r="O988" i="1"/>
  <c r="M988" i="1"/>
  <c r="L988" i="1"/>
  <c r="N988" i="1" s="1"/>
  <c r="I988" i="1"/>
  <c r="P988" i="1" s="1"/>
  <c r="H988" i="1"/>
  <c r="F988" i="1"/>
  <c r="P987" i="1"/>
  <c r="O987" i="1"/>
  <c r="M987" i="1"/>
  <c r="L987" i="1"/>
  <c r="N987" i="1" s="1"/>
  <c r="I987" i="1"/>
  <c r="H987" i="1"/>
  <c r="M986" i="1"/>
  <c r="L986" i="1"/>
  <c r="N986" i="1" s="1"/>
  <c r="F986" i="1"/>
  <c r="O986" i="1" s="1"/>
  <c r="N985" i="1"/>
  <c r="M985" i="1"/>
  <c r="L985" i="1"/>
  <c r="F985" i="1"/>
  <c r="O984" i="1"/>
  <c r="N984" i="1"/>
  <c r="Q984" i="1" s="1"/>
  <c r="M984" i="1"/>
  <c r="L984" i="1"/>
  <c r="I984" i="1"/>
  <c r="P984" i="1" s="1"/>
  <c r="H984" i="1"/>
  <c r="F984" i="1"/>
  <c r="O983" i="1"/>
  <c r="M983" i="1"/>
  <c r="L983" i="1"/>
  <c r="N983" i="1" s="1"/>
  <c r="I983" i="1"/>
  <c r="P983" i="1" s="1"/>
  <c r="H983" i="1"/>
  <c r="F983" i="1"/>
  <c r="L982" i="1"/>
  <c r="N982" i="1" s="1"/>
  <c r="F982" i="1"/>
  <c r="O982" i="1" s="1"/>
  <c r="E982" i="1"/>
  <c r="M982" i="1" s="1"/>
  <c r="O981" i="1"/>
  <c r="N981" i="1"/>
  <c r="Q981" i="1" s="1"/>
  <c r="M981" i="1"/>
  <c r="L981" i="1"/>
  <c r="I981" i="1"/>
  <c r="P981" i="1" s="1"/>
  <c r="H981" i="1"/>
  <c r="F981" i="1"/>
  <c r="O980" i="1"/>
  <c r="M980" i="1"/>
  <c r="L980" i="1"/>
  <c r="N980" i="1" s="1"/>
  <c r="Q980" i="1" s="1"/>
  <c r="I980" i="1"/>
  <c r="P980" i="1" s="1"/>
  <c r="H980" i="1"/>
  <c r="O979" i="1"/>
  <c r="M979" i="1"/>
  <c r="L979" i="1"/>
  <c r="N979" i="1" s="1"/>
  <c r="I979" i="1"/>
  <c r="P979" i="1" s="1"/>
  <c r="H979" i="1"/>
  <c r="O978" i="1"/>
  <c r="M978" i="1"/>
  <c r="L978" i="1"/>
  <c r="N978" i="1" s="1"/>
  <c r="I978" i="1"/>
  <c r="P978" i="1" s="1"/>
  <c r="H978" i="1"/>
  <c r="O977" i="1"/>
  <c r="M977" i="1"/>
  <c r="L977" i="1"/>
  <c r="N977" i="1" s="1"/>
  <c r="I977" i="1"/>
  <c r="P977" i="1" s="1"/>
  <c r="H977" i="1"/>
  <c r="O976" i="1"/>
  <c r="L976" i="1"/>
  <c r="N976" i="1" s="1"/>
  <c r="I976" i="1"/>
  <c r="P976" i="1" s="1"/>
  <c r="H976" i="1"/>
  <c r="E976" i="1"/>
  <c r="M976" i="1" s="1"/>
  <c r="P975" i="1"/>
  <c r="O975" i="1"/>
  <c r="M975" i="1"/>
  <c r="L975" i="1"/>
  <c r="N975" i="1" s="1"/>
  <c r="I975" i="1"/>
  <c r="H975" i="1"/>
  <c r="P974" i="1"/>
  <c r="O974" i="1"/>
  <c r="M974" i="1"/>
  <c r="L974" i="1"/>
  <c r="N974" i="1" s="1"/>
  <c r="Q974" i="1" s="1"/>
  <c r="I974" i="1"/>
  <c r="H974" i="1"/>
  <c r="P973" i="1"/>
  <c r="O973" i="1"/>
  <c r="M973" i="1"/>
  <c r="L973" i="1"/>
  <c r="N973" i="1" s="1"/>
  <c r="I973" i="1"/>
  <c r="H973" i="1"/>
  <c r="P972" i="1"/>
  <c r="O972" i="1"/>
  <c r="M972" i="1"/>
  <c r="L972" i="1"/>
  <c r="N972" i="1" s="1"/>
  <c r="Q972" i="1" s="1"/>
  <c r="I972" i="1"/>
  <c r="H972" i="1"/>
  <c r="P971" i="1"/>
  <c r="O971" i="1"/>
  <c r="M971" i="1"/>
  <c r="L971" i="1"/>
  <c r="N971" i="1" s="1"/>
  <c r="I971" i="1"/>
  <c r="H971" i="1"/>
  <c r="P970" i="1"/>
  <c r="O970" i="1"/>
  <c r="M970" i="1"/>
  <c r="L970" i="1"/>
  <c r="N970" i="1" s="1"/>
  <c r="Q970" i="1" s="1"/>
  <c r="I970" i="1"/>
  <c r="H970" i="1"/>
  <c r="P969" i="1"/>
  <c r="L969" i="1"/>
  <c r="N969" i="1" s="1"/>
  <c r="Q969" i="1" s="1"/>
  <c r="I969" i="1"/>
  <c r="H969" i="1"/>
  <c r="E969" i="1"/>
  <c r="O969" i="1" s="1"/>
  <c r="Q968" i="1"/>
  <c r="P968" i="1"/>
  <c r="O968" i="1"/>
  <c r="N968" i="1"/>
  <c r="M968" i="1"/>
  <c r="L968" i="1"/>
  <c r="I968" i="1"/>
  <c r="H968" i="1"/>
  <c r="Q967" i="1"/>
  <c r="P967" i="1"/>
  <c r="O967" i="1"/>
  <c r="N967" i="1"/>
  <c r="M967" i="1"/>
  <c r="L967" i="1"/>
  <c r="I967" i="1"/>
  <c r="H967" i="1"/>
  <c r="Q966" i="1"/>
  <c r="P966" i="1"/>
  <c r="O966" i="1"/>
  <c r="N966" i="1"/>
  <c r="M966" i="1"/>
  <c r="L966" i="1"/>
  <c r="I966" i="1"/>
  <c r="H966" i="1"/>
  <c r="Q965" i="1"/>
  <c r="P965" i="1"/>
  <c r="O965" i="1"/>
  <c r="N965" i="1"/>
  <c r="M965" i="1"/>
  <c r="L965" i="1"/>
  <c r="I965" i="1"/>
  <c r="H965" i="1"/>
  <c r="Q964" i="1"/>
  <c r="P964" i="1"/>
  <c r="O964" i="1"/>
  <c r="N964" i="1"/>
  <c r="M964" i="1"/>
  <c r="L964" i="1"/>
  <c r="I964" i="1"/>
  <c r="H964" i="1"/>
  <c r="Q963" i="1"/>
  <c r="P963" i="1"/>
  <c r="N963" i="1"/>
  <c r="L963" i="1"/>
  <c r="I963" i="1"/>
  <c r="H963" i="1"/>
  <c r="E963" i="1"/>
  <c r="O963" i="1" s="1"/>
  <c r="O962" i="1"/>
  <c r="N962" i="1"/>
  <c r="M962" i="1"/>
  <c r="L962" i="1"/>
  <c r="I962" i="1"/>
  <c r="P962" i="1" s="1"/>
  <c r="H962" i="1"/>
  <c r="O961" i="1"/>
  <c r="N961" i="1"/>
  <c r="Q961" i="1" s="1"/>
  <c r="M961" i="1"/>
  <c r="L961" i="1"/>
  <c r="I961" i="1"/>
  <c r="P961" i="1" s="1"/>
  <c r="H961" i="1"/>
  <c r="O960" i="1"/>
  <c r="N960" i="1"/>
  <c r="M960" i="1"/>
  <c r="L960" i="1"/>
  <c r="I960" i="1"/>
  <c r="P960" i="1" s="1"/>
  <c r="H960" i="1"/>
  <c r="O959" i="1"/>
  <c r="N959" i="1"/>
  <c r="Q959" i="1" s="1"/>
  <c r="M959" i="1"/>
  <c r="L959" i="1"/>
  <c r="I959" i="1"/>
  <c r="P959" i="1" s="1"/>
  <c r="H959" i="1"/>
  <c r="O958" i="1"/>
  <c r="N958" i="1"/>
  <c r="M958" i="1"/>
  <c r="L958" i="1"/>
  <c r="I958" i="1"/>
  <c r="P958" i="1" s="1"/>
  <c r="H958" i="1"/>
  <c r="O957" i="1"/>
  <c r="N957" i="1"/>
  <c r="Q957" i="1" s="1"/>
  <c r="M957" i="1"/>
  <c r="L957" i="1"/>
  <c r="I957" i="1"/>
  <c r="P957" i="1" s="1"/>
  <c r="H957" i="1"/>
  <c r="O956" i="1"/>
  <c r="N956" i="1"/>
  <c r="L956" i="1"/>
  <c r="I956" i="1"/>
  <c r="P956" i="1" s="1"/>
  <c r="H956" i="1"/>
  <c r="E956" i="1"/>
  <c r="M956" i="1" s="1"/>
  <c r="O955" i="1"/>
  <c r="M955" i="1"/>
  <c r="L955" i="1"/>
  <c r="N955" i="1" s="1"/>
  <c r="Q955" i="1" s="1"/>
  <c r="I955" i="1"/>
  <c r="P955" i="1" s="1"/>
  <c r="H955" i="1"/>
  <c r="O954" i="1"/>
  <c r="M954" i="1"/>
  <c r="L954" i="1"/>
  <c r="N954" i="1" s="1"/>
  <c r="I954" i="1"/>
  <c r="P954" i="1" s="1"/>
  <c r="H954" i="1"/>
  <c r="O953" i="1"/>
  <c r="M953" i="1"/>
  <c r="L953" i="1"/>
  <c r="N953" i="1" s="1"/>
  <c r="I953" i="1"/>
  <c r="P953" i="1" s="1"/>
  <c r="H953" i="1"/>
  <c r="O952" i="1"/>
  <c r="M952" i="1"/>
  <c r="L952" i="1"/>
  <c r="N952" i="1" s="1"/>
  <c r="I952" i="1"/>
  <c r="P952" i="1" s="1"/>
  <c r="H952" i="1"/>
  <c r="O951" i="1"/>
  <c r="M951" i="1"/>
  <c r="L951" i="1"/>
  <c r="N951" i="1" s="1"/>
  <c r="Q951" i="1" s="1"/>
  <c r="I951" i="1"/>
  <c r="P951" i="1" s="1"/>
  <c r="H951" i="1"/>
  <c r="O950" i="1"/>
  <c r="L950" i="1"/>
  <c r="N950" i="1" s="1"/>
  <c r="Q950" i="1" s="1"/>
  <c r="I950" i="1"/>
  <c r="P950" i="1" s="1"/>
  <c r="H950" i="1"/>
  <c r="E950" i="1"/>
  <c r="M950" i="1" s="1"/>
  <c r="P949" i="1"/>
  <c r="O949" i="1"/>
  <c r="M949" i="1"/>
  <c r="L949" i="1"/>
  <c r="N949" i="1" s="1"/>
  <c r="I949" i="1"/>
  <c r="H949" i="1"/>
  <c r="P948" i="1"/>
  <c r="O948" i="1"/>
  <c r="M948" i="1"/>
  <c r="L948" i="1"/>
  <c r="N948" i="1" s="1"/>
  <c r="Q948" i="1" s="1"/>
  <c r="I948" i="1"/>
  <c r="H948" i="1"/>
  <c r="P947" i="1"/>
  <c r="O947" i="1"/>
  <c r="M947" i="1"/>
  <c r="L947" i="1"/>
  <c r="N947" i="1" s="1"/>
  <c r="I947" i="1"/>
  <c r="H947" i="1"/>
  <c r="P946" i="1"/>
  <c r="O946" i="1"/>
  <c r="M946" i="1"/>
  <c r="L946" i="1"/>
  <c r="N946" i="1" s="1"/>
  <c r="Q946" i="1" s="1"/>
  <c r="I946" i="1"/>
  <c r="H946" i="1"/>
  <c r="P945" i="1"/>
  <c r="O945" i="1"/>
  <c r="M945" i="1"/>
  <c r="L945" i="1"/>
  <c r="N945" i="1" s="1"/>
  <c r="I945" i="1"/>
  <c r="H945" i="1"/>
  <c r="P944" i="1"/>
  <c r="O944" i="1"/>
  <c r="M944" i="1"/>
  <c r="L944" i="1"/>
  <c r="N944" i="1" s="1"/>
  <c r="Q944" i="1" s="1"/>
  <c r="I944" i="1"/>
  <c r="H944" i="1"/>
  <c r="P943" i="1"/>
  <c r="L943" i="1"/>
  <c r="N943" i="1" s="1"/>
  <c r="I943" i="1"/>
  <c r="H943" i="1"/>
  <c r="E943" i="1"/>
  <c r="O943" i="1" s="1"/>
  <c r="Q942" i="1"/>
  <c r="P942" i="1"/>
  <c r="O942" i="1"/>
  <c r="N942" i="1"/>
  <c r="M942" i="1"/>
  <c r="L942" i="1"/>
  <c r="I942" i="1"/>
  <c r="H942" i="1"/>
  <c r="Q941" i="1"/>
  <c r="P941" i="1"/>
  <c r="O941" i="1"/>
  <c r="N941" i="1"/>
  <c r="M941" i="1"/>
  <c r="L941" i="1"/>
  <c r="I941" i="1"/>
  <c r="H941" i="1"/>
  <c r="Q940" i="1"/>
  <c r="P940" i="1"/>
  <c r="O940" i="1"/>
  <c r="N940" i="1"/>
  <c r="M940" i="1"/>
  <c r="L940" i="1"/>
  <c r="I940" i="1"/>
  <c r="H940" i="1"/>
  <c r="Q939" i="1"/>
  <c r="P939" i="1"/>
  <c r="O939" i="1"/>
  <c r="N939" i="1"/>
  <c r="M939" i="1"/>
  <c r="L939" i="1"/>
  <c r="I939" i="1"/>
  <c r="H939" i="1"/>
  <c r="Q938" i="1"/>
  <c r="P938" i="1"/>
  <c r="O938" i="1"/>
  <c r="N938" i="1"/>
  <c r="M938" i="1"/>
  <c r="L938" i="1"/>
  <c r="I938" i="1"/>
  <c r="H938" i="1"/>
  <c r="P937" i="1"/>
  <c r="N937" i="1"/>
  <c r="L937" i="1"/>
  <c r="I937" i="1"/>
  <c r="H937" i="1"/>
  <c r="E937" i="1"/>
  <c r="O937" i="1" s="1"/>
  <c r="Q937" i="1" s="1"/>
  <c r="O936" i="1"/>
  <c r="N936" i="1"/>
  <c r="M936" i="1"/>
  <c r="L936" i="1"/>
  <c r="I936" i="1"/>
  <c r="P936" i="1" s="1"/>
  <c r="H936" i="1"/>
  <c r="O935" i="1"/>
  <c r="N935" i="1"/>
  <c r="Q935" i="1" s="1"/>
  <c r="M935" i="1"/>
  <c r="L935" i="1"/>
  <c r="I935" i="1"/>
  <c r="P935" i="1" s="1"/>
  <c r="H935" i="1"/>
  <c r="O934" i="1"/>
  <c r="N934" i="1"/>
  <c r="M934" i="1"/>
  <c r="L934" i="1"/>
  <c r="I934" i="1"/>
  <c r="P934" i="1" s="1"/>
  <c r="H934" i="1"/>
  <c r="O933" i="1"/>
  <c r="N933" i="1"/>
  <c r="Q933" i="1" s="1"/>
  <c r="M933" i="1"/>
  <c r="L933" i="1"/>
  <c r="I933" i="1"/>
  <c r="P933" i="1" s="1"/>
  <c r="H933" i="1"/>
  <c r="O932" i="1"/>
  <c r="N932" i="1"/>
  <c r="M932" i="1"/>
  <c r="L932" i="1"/>
  <c r="I932" i="1"/>
  <c r="P932" i="1" s="1"/>
  <c r="H932" i="1"/>
  <c r="O931" i="1"/>
  <c r="N931" i="1"/>
  <c r="Q931" i="1" s="1"/>
  <c r="M931" i="1"/>
  <c r="L931" i="1"/>
  <c r="I931" i="1"/>
  <c r="P931" i="1" s="1"/>
  <c r="H931" i="1"/>
  <c r="O930" i="1"/>
  <c r="N930" i="1"/>
  <c r="L930" i="1"/>
  <c r="I930" i="1"/>
  <c r="P930" i="1" s="1"/>
  <c r="H930" i="1"/>
  <c r="E930" i="1"/>
  <c r="M930" i="1" s="1"/>
  <c r="O929" i="1"/>
  <c r="M929" i="1"/>
  <c r="L929" i="1"/>
  <c r="N929" i="1" s="1"/>
  <c r="I929" i="1"/>
  <c r="P929" i="1" s="1"/>
  <c r="H929" i="1"/>
  <c r="O928" i="1"/>
  <c r="M928" i="1"/>
  <c r="L928" i="1"/>
  <c r="N928" i="1" s="1"/>
  <c r="I928" i="1"/>
  <c r="P928" i="1" s="1"/>
  <c r="H928" i="1"/>
  <c r="F928" i="1"/>
  <c r="P927" i="1"/>
  <c r="O927" i="1"/>
  <c r="M927" i="1"/>
  <c r="L927" i="1"/>
  <c r="N927" i="1" s="1"/>
  <c r="Q927" i="1" s="1"/>
  <c r="I927" i="1"/>
  <c r="H927" i="1"/>
  <c r="M926" i="1"/>
  <c r="L926" i="1"/>
  <c r="N926" i="1" s="1"/>
  <c r="K926" i="1"/>
  <c r="F926" i="1"/>
  <c r="O925" i="1"/>
  <c r="N925" i="1"/>
  <c r="M925" i="1"/>
  <c r="L925" i="1"/>
  <c r="I925" i="1"/>
  <c r="P925" i="1" s="1"/>
  <c r="H925" i="1"/>
  <c r="F925" i="1"/>
  <c r="O924" i="1"/>
  <c r="L924" i="1"/>
  <c r="N924" i="1" s="1"/>
  <c r="I924" i="1"/>
  <c r="P924" i="1" s="1"/>
  <c r="H924" i="1"/>
  <c r="E924" i="1"/>
  <c r="M924" i="1" s="1"/>
  <c r="M923" i="1"/>
  <c r="L923" i="1"/>
  <c r="N923" i="1" s="1"/>
  <c r="F923" i="1"/>
  <c r="O923" i="1" s="1"/>
  <c r="Q922" i="1"/>
  <c r="P922" i="1"/>
  <c r="O922" i="1"/>
  <c r="N922" i="1"/>
  <c r="M922" i="1"/>
  <c r="L922" i="1"/>
  <c r="I922" i="1"/>
  <c r="H922" i="1"/>
  <c r="N921" i="1"/>
  <c r="M921" i="1"/>
  <c r="L921" i="1"/>
  <c r="F921" i="1"/>
  <c r="O920" i="1"/>
  <c r="N920" i="1"/>
  <c r="Q920" i="1" s="1"/>
  <c r="M920" i="1"/>
  <c r="L920" i="1"/>
  <c r="I920" i="1"/>
  <c r="P920" i="1" s="1"/>
  <c r="H920" i="1"/>
  <c r="F920" i="1"/>
  <c r="O919" i="1"/>
  <c r="M919" i="1"/>
  <c r="L919" i="1"/>
  <c r="N919" i="1" s="1"/>
  <c r="I919" i="1"/>
  <c r="P919" i="1" s="1"/>
  <c r="H919" i="1"/>
  <c r="O918" i="1"/>
  <c r="M918" i="1"/>
  <c r="L918" i="1"/>
  <c r="N918" i="1" s="1"/>
  <c r="Q918" i="1" s="1"/>
  <c r="I918" i="1"/>
  <c r="P918" i="1" s="1"/>
  <c r="H918" i="1"/>
  <c r="F918" i="1"/>
  <c r="L917" i="1"/>
  <c r="N917" i="1" s="1"/>
  <c r="F917" i="1"/>
  <c r="E917" i="1"/>
  <c r="M917" i="1" s="1"/>
  <c r="O916" i="1"/>
  <c r="N916" i="1"/>
  <c r="M916" i="1"/>
  <c r="L916" i="1"/>
  <c r="I916" i="1"/>
  <c r="P916" i="1" s="1"/>
  <c r="H916" i="1"/>
  <c r="F916" i="1"/>
  <c r="O915" i="1"/>
  <c r="M915" i="1"/>
  <c r="L915" i="1"/>
  <c r="N915" i="1" s="1"/>
  <c r="Q915" i="1" s="1"/>
  <c r="I915" i="1"/>
  <c r="P915" i="1" s="1"/>
  <c r="H915" i="1"/>
  <c r="O914" i="1"/>
  <c r="M914" i="1"/>
  <c r="L914" i="1"/>
  <c r="N914" i="1" s="1"/>
  <c r="I914" i="1"/>
  <c r="P914" i="1" s="1"/>
  <c r="H914" i="1"/>
  <c r="O913" i="1"/>
  <c r="M913" i="1"/>
  <c r="L913" i="1"/>
  <c r="N913" i="1" s="1"/>
  <c r="I913" i="1"/>
  <c r="P913" i="1" s="1"/>
  <c r="H913" i="1"/>
  <c r="O912" i="1"/>
  <c r="M912" i="1"/>
  <c r="L912" i="1"/>
  <c r="N912" i="1" s="1"/>
  <c r="Q912" i="1" s="1"/>
  <c r="I912" i="1"/>
  <c r="P912" i="1" s="1"/>
  <c r="H912" i="1"/>
  <c r="O911" i="1"/>
  <c r="L911" i="1"/>
  <c r="N911" i="1" s="1"/>
  <c r="Q911" i="1" s="1"/>
  <c r="I911" i="1"/>
  <c r="P911" i="1" s="1"/>
  <c r="H911" i="1"/>
  <c r="E911" i="1"/>
  <c r="M911" i="1" s="1"/>
  <c r="P910" i="1"/>
  <c r="O910" i="1"/>
  <c r="M910" i="1"/>
  <c r="L910" i="1"/>
  <c r="N910" i="1" s="1"/>
  <c r="Q910" i="1" s="1"/>
  <c r="I910" i="1"/>
  <c r="H910" i="1"/>
  <c r="P909" i="1"/>
  <c r="O909" i="1"/>
  <c r="M909" i="1"/>
  <c r="L909" i="1"/>
  <c r="N909" i="1" s="1"/>
  <c r="Q909" i="1" s="1"/>
  <c r="I909" i="1"/>
  <c r="H909" i="1"/>
  <c r="P908" i="1"/>
  <c r="O908" i="1"/>
  <c r="M908" i="1"/>
  <c r="L908" i="1"/>
  <c r="N908" i="1" s="1"/>
  <c r="Q908" i="1" s="1"/>
  <c r="I908" i="1"/>
  <c r="H908" i="1"/>
  <c r="P907" i="1"/>
  <c r="O907" i="1"/>
  <c r="M907" i="1"/>
  <c r="L907" i="1"/>
  <c r="N907" i="1" s="1"/>
  <c r="Q907" i="1" s="1"/>
  <c r="I907" i="1"/>
  <c r="H907" i="1"/>
  <c r="P906" i="1"/>
  <c r="O906" i="1"/>
  <c r="M906" i="1"/>
  <c r="L906" i="1"/>
  <c r="N906" i="1" s="1"/>
  <c r="Q906" i="1" s="1"/>
  <c r="I906" i="1"/>
  <c r="H906" i="1"/>
  <c r="P905" i="1"/>
  <c r="O905" i="1"/>
  <c r="M905" i="1"/>
  <c r="L905" i="1"/>
  <c r="N905" i="1" s="1"/>
  <c r="I905" i="1"/>
  <c r="H905" i="1"/>
  <c r="P904" i="1"/>
  <c r="L904" i="1"/>
  <c r="N904" i="1" s="1"/>
  <c r="Q904" i="1" s="1"/>
  <c r="I904" i="1"/>
  <c r="H904" i="1"/>
  <c r="E904" i="1"/>
  <c r="O904" i="1" s="1"/>
  <c r="O903" i="1"/>
  <c r="N903" i="1"/>
  <c r="Q903" i="1" s="1"/>
  <c r="M903" i="1"/>
  <c r="L903" i="1"/>
  <c r="I903" i="1"/>
  <c r="P903" i="1" s="1"/>
  <c r="H903" i="1"/>
  <c r="Q902" i="1"/>
  <c r="O902" i="1"/>
  <c r="N902" i="1"/>
  <c r="M902" i="1"/>
  <c r="L902" i="1"/>
  <c r="I902" i="1"/>
  <c r="P902" i="1" s="1"/>
  <c r="H902" i="1"/>
  <c r="O901" i="1"/>
  <c r="N901" i="1"/>
  <c r="M901" i="1"/>
  <c r="L901" i="1"/>
  <c r="I901" i="1"/>
  <c r="P901" i="1" s="1"/>
  <c r="Q901" i="1" s="1"/>
  <c r="H901" i="1"/>
  <c r="O900" i="1"/>
  <c r="N900" i="1"/>
  <c r="Q900" i="1" s="1"/>
  <c r="M900" i="1"/>
  <c r="L900" i="1"/>
  <c r="I900" i="1"/>
  <c r="P900" i="1" s="1"/>
  <c r="H900" i="1"/>
  <c r="O899" i="1"/>
  <c r="N899" i="1"/>
  <c r="Q899" i="1" s="1"/>
  <c r="M899" i="1"/>
  <c r="L899" i="1"/>
  <c r="I899" i="1"/>
  <c r="P899" i="1" s="1"/>
  <c r="H899" i="1"/>
  <c r="N898" i="1"/>
  <c r="L898" i="1"/>
  <c r="I898" i="1"/>
  <c r="P898" i="1" s="1"/>
  <c r="Q898" i="1" s="1"/>
  <c r="H898" i="1"/>
  <c r="E898" i="1"/>
  <c r="O898" i="1" s="1"/>
  <c r="O897" i="1"/>
  <c r="N897" i="1"/>
  <c r="Q897" i="1" s="1"/>
  <c r="M897" i="1"/>
  <c r="L897" i="1"/>
  <c r="I897" i="1"/>
  <c r="P897" i="1" s="1"/>
  <c r="H897" i="1"/>
  <c r="O896" i="1"/>
  <c r="N896" i="1"/>
  <c r="M896" i="1"/>
  <c r="L896" i="1"/>
  <c r="I896" i="1"/>
  <c r="P896" i="1" s="1"/>
  <c r="H896" i="1"/>
  <c r="O895" i="1"/>
  <c r="N895" i="1"/>
  <c r="Q895" i="1" s="1"/>
  <c r="M895" i="1"/>
  <c r="L895" i="1"/>
  <c r="I895" i="1"/>
  <c r="P895" i="1" s="1"/>
  <c r="H895" i="1"/>
  <c r="O894" i="1"/>
  <c r="N894" i="1"/>
  <c r="M894" i="1"/>
  <c r="L894" i="1"/>
  <c r="I894" i="1"/>
  <c r="P894" i="1" s="1"/>
  <c r="H894" i="1"/>
  <c r="O893" i="1"/>
  <c r="N893" i="1"/>
  <c r="Q893" i="1" s="1"/>
  <c r="M893" i="1"/>
  <c r="L893" i="1"/>
  <c r="I893" i="1"/>
  <c r="P893" i="1" s="1"/>
  <c r="H893" i="1"/>
  <c r="O892" i="1"/>
  <c r="N892" i="1"/>
  <c r="M892" i="1"/>
  <c r="L892" i="1"/>
  <c r="I892" i="1"/>
  <c r="P892" i="1" s="1"/>
  <c r="H892" i="1"/>
  <c r="O891" i="1"/>
  <c r="N891" i="1"/>
  <c r="Q891" i="1" s="1"/>
  <c r="L891" i="1"/>
  <c r="I891" i="1"/>
  <c r="P891" i="1" s="1"/>
  <c r="H891" i="1"/>
  <c r="E891" i="1"/>
  <c r="M891" i="1" s="1"/>
  <c r="O890" i="1"/>
  <c r="M890" i="1"/>
  <c r="L890" i="1"/>
  <c r="N890" i="1" s="1"/>
  <c r="I890" i="1"/>
  <c r="P890" i="1" s="1"/>
  <c r="H890" i="1"/>
  <c r="O889" i="1"/>
  <c r="M889" i="1"/>
  <c r="L889" i="1"/>
  <c r="N889" i="1" s="1"/>
  <c r="I889" i="1"/>
  <c r="P889" i="1" s="1"/>
  <c r="H889" i="1"/>
  <c r="O888" i="1"/>
  <c r="M888" i="1"/>
  <c r="L888" i="1"/>
  <c r="N888" i="1" s="1"/>
  <c r="I888" i="1"/>
  <c r="P888" i="1" s="1"/>
  <c r="H888" i="1"/>
  <c r="O887" i="1"/>
  <c r="M887" i="1"/>
  <c r="L887" i="1"/>
  <c r="N887" i="1" s="1"/>
  <c r="I887" i="1"/>
  <c r="P887" i="1" s="1"/>
  <c r="H887" i="1"/>
  <c r="O886" i="1"/>
  <c r="M886" i="1"/>
  <c r="L886" i="1"/>
  <c r="N886" i="1" s="1"/>
  <c r="I886" i="1"/>
  <c r="P886" i="1" s="1"/>
  <c r="H886" i="1"/>
  <c r="P885" i="1"/>
  <c r="O885" i="1"/>
  <c r="L885" i="1"/>
  <c r="N885" i="1" s="1"/>
  <c r="I885" i="1"/>
  <c r="H885" i="1"/>
  <c r="E885" i="1"/>
  <c r="M885" i="1" s="1"/>
  <c r="P884" i="1"/>
  <c r="O884" i="1"/>
  <c r="M884" i="1"/>
  <c r="L884" i="1"/>
  <c r="N884" i="1" s="1"/>
  <c r="Q884" i="1" s="1"/>
  <c r="I884" i="1"/>
  <c r="H884" i="1"/>
  <c r="P883" i="1"/>
  <c r="O883" i="1"/>
  <c r="M883" i="1"/>
  <c r="L883" i="1"/>
  <c r="N883" i="1" s="1"/>
  <c r="Q883" i="1" s="1"/>
  <c r="I883" i="1"/>
  <c r="H883" i="1"/>
  <c r="P882" i="1"/>
  <c r="O882" i="1"/>
  <c r="M882" i="1"/>
  <c r="L882" i="1"/>
  <c r="N882" i="1" s="1"/>
  <c r="Q882" i="1" s="1"/>
  <c r="I882" i="1"/>
  <c r="H882" i="1"/>
  <c r="P881" i="1"/>
  <c r="O881" i="1"/>
  <c r="M881" i="1"/>
  <c r="L881" i="1"/>
  <c r="N881" i="1" s="1"/>
  <c r="Q881" i="1" s="1"/>
  <c r="I881" i="1"/>
  <c r="H881" i="1"/>
  <c r="P880" i="1"/>
  <c r="O880" i="1"/>
  <c r="M880" i="1"/>
  <c r="L880" i="1"/>
  <c r="N880" i="1" s="1"/>
  <c r="Q880" i="1" s="1"/>
  <c r="I880" i="1"/>
  <c r="H880" i="1"/>
  <c r="P879" i="1"/>
  <c r="O879" i="1"/>
  <c r="M879" i="1"/>
  <c r="L879" i="1"/>
  <c r="N879" i="1" s="1"/>
  <c r="Q879" i="1" s="1"/>
  <c r="I879" i="1"/>
  <c r="H879" i="1"/>
  <c r="P878" i="1"/>
  <c r="L878" i="1"/>
  <c r="N878" i="1" s="1"/>
  <c r="I878" i="1"/>
  <c r="H878" i="1"/>
  <c r="E878" i="1"/>
  <c r="O878" i="1" s="1"/>
  <c r="Q878" i="1" s="1"/>
  <c r="O877" i="1"/>
  <c r="N877" i="1"/>
  <c r="Q877" i="1" s="1"/>
  <c r="M877" i="1"/>
  <c r="L877" i="1"/>
  <c r="I877" i="1"/>
  <c r="P877" i="1" s="1"/>
  <c r="H877" i="1"/>
  <c r="Q876" i="1"/>
  <c r="O876" i="1"/>
  <c r="N876" i="1"/>
  <c r="M876" i="1"/>
  <c r="L876" i="1"/>
  <c r="I876" i="1"/>
  <c r="P876" i="1" s="1"/>
  <c r="H876" i="1"/>
  <c r="Q875" i="1"/>
  <c r="O875" i="1"/>
  <c r="N875" i="1"/>
  <c r="M875" i="1"/>
  <c r="L875" i="1"/>
  <c r="I875" i="1"/>
  <c r="P875" i="1" s="1"/>
  <c r="H875" i="1"/>
  <c r="O874" i="1"/>
  <c r="N874" i="1"/>
  <c r="Q874" i="1" s="1"/>
  <c r="M874" i="1"/>
  <c r="L874" i="1"/>
  <c r="I874" i="1"/>
  <c r="P874" i="1" s="1"/>
  <c r="H874" i="1"/>
  <c r="O873" i="1"/>
  <c r="N873" i="1"/>
  <c r="Q873" i="1" s="1"/>
  <c r="M873" i="1"/>
  <c r="L873" i="1"/>
  <c r="I873" i="1"/>
  <c r="P873" i="1" s="1"/>
  <c r="H873" i="1"/>
  <c r="N872" i="1"/>
  <c r="L872" i="1"/>
  <c r="I872" i="1"/>
  <c r="P872" i="1" s="1"/>
  <c r="Q872" i="1" s="1"/>
  <c r="H872" i="1"/>
  <c r="E872" i="1"/>
  <c r="O872" i="1" s="1"/>
  <c r="O871" i="1"/>
  <c r="N871" i="1"/>
  <c r="M871" i="1"/>
  <c r="L871" i="1"/>
  <c r="I871" i="1"/>
  <c r="P871" i="1" s="1"/>
  <c r="H871" i="1"/>
  <c r="O870" i="1"/>
  <c r="N870" i="1"/>
  <c r="Q870" i="1" s="1"/>
  <c r="M870" i="1"/>
  <c r="L870" i="1"/>
  <c r="I870" i="1"/>
  <c r="P870" i="1" s="1"/>
  <c r="H870" i="1"/>
  <c r="O869" i="1"/>
  <c r="N869" i="1"/>
  <c r="M869" i="1"/>
  <c r="L869" i="1"/>
  <c r="I869" i="1"/>
  <c r="P869" i="1" s="1"/>
  <c r="H869" i="1"/>
  <c r="O868" i="1"/>
  <c r="N868" i="1"/>
  <c r="Q868" i="1" s="1"/>
  <c r="M868" i="1"/>
  <c r="L868" i="1"/>
  <c r="I868" i="1"/>
  <c r="P868" i="1" s="1"/>
  <c r="H868" i="1"/>
  <c r="O867" i="1"/>
  <c r="N867" i="1"/>
  <c r="M867" i="1"/>
  <c r="L867" i="1"/>
  <c r="I867" i="1"/>
  <c r="P867" i="1" s="1"/>
  <c r="H867" i="1"/>
  <c r="O866" i="1"/>
  <c r="N866" i="1"/>
  <c r="Q866" i="1" s="1"/>
  <c r="M866" i="1"/>
  <c r="L866" i="1"/>
  <c r="I866" i="1"/>
  <c r="P866" i="1" s="1"/>
  <c r="H866" i="1"/>
  <c r="O865" i="1"/>
  <c r="N865" i="1"/>
  <c r="M865" i="1"/>
  <c r="L865" i="1"/>
  <c r="I865" i="1"/>
  <c r="P865" i="1" s="1"/>
  <c r="H865" i="1"/>
  <c r="O864" i="1"/>
  <c r="N864" i="1"/>
  <c r="Q864" i="1" s="1"/>
  <c r="M864" i="1"/>
  <c r="L864" i="1"/>
  <c r="I864" i="1"/>
  <c r="P864" i="1" s="1"/>
  <c r="H864" i="1"/>
  <c r="O863" i="1"/>
  <c r="N863" i="1"/>
  <c r="M863" i="1"/>
  <c r="L863" i="1"/>
  <c r="I863" i="1"/>
  <c r="P863" i="1" s="1"/>
  <c r="H863" i="1"/>
  <c r="O862" i="1"/>
  <c r="N862" i="1"/>
  <c r="Q862" i="1" s="1"/>
  <c r="M862" i="1"/>
  <c r="L862" i="1"/>
  <c r="I862" i="1"/>
  <c r="P862" i="1" s="1"/>
  <c r="H862" i="1"/>
  <c r="O861" i="1"/>
  <c r="N861" i="1"/>
  <c r="M861" i="1"/>
  <c r="L861" i="1"/>
  <c r="I861" i="1"/>
  <c r="P861" i="1" s="1"/>
  <c r="H861" i="1"/>
  <c r="O860" i="1"/>
  <c r="N860" i="1"/>
  <c r="L860" i="1"/>
  <c r="I860" i="1"/>
  <c r="P860" i="1" s="1"/>
  <c r="H860" i="1"/>
  <c r="E860" i="1"/>
  <c r="M860" i="1" s="1"/>
  <c r="O859" i="1"/>
  <c r="M859" i="1"/>
  <c r="L859" i="1"/>
  <c r="N859" i="1" s="1"/>
  <c r="I859" i="1"/>
  <c r="P859" i="1" s="1"/>
  <c r="H859" i="1"/>
  <c r="O858" i="1"/>
  <c r="M858" i="1"/>
  <c r="L858" i="1"/>
  <c r="N858" i="1" s="1"/>
  <c r="I858" i="1"/>
  <c r="P858" i="1" s="1"/>
  <c r="H858" i="1"/>
  <c r="O857" i="1"/>
  <c r="M857" i="1"/>
  <c r="L857" i="1"/>
  <c r="N857" i="1" s="1"/>
  <c r="I857" i="1"/>
  <c r="P857" i="1" s="1"/>
  <c r="H857" i="1"/>
  <c r="O856" i="1"/>
  <c r="M856" i="1"/>
  <c r="L856" i="1"/>
  <c r="N856" i="1" s="1"/>
  <c r="I856" i="1"/>
  <c r="P856" i="1" s="1"/>
  <c r="H856" i="1"/>
  <c r="O855" i="1"/>
  <c r="M855" i="1"/>
  <c r="L855" i="1"/>
  <c r="N855" i="1" s="1"/>
  <c r="I855" i="1"/>
  <c r="P855" i="1" s="1"/>
  <c r="H855" i="1"/>
  <c r="O854" i="1"/>
  <c r="M854" i="1"/>
  <c r="L854" i="1"/>
  <c r="N854" i="1" s="1"/>
  <c r="I854" i="1"/>
  <c r="P854" i="1" s="1"/>
  <c r="H854" i="1"/>
  <c r="O853" i="1"/>
  <c r="M853" i="1"/>
  <c r="L853" i="1"/>
  <c r="N853" i="1" s="1"/>
  <c r="I853" i="1"/>
  <c r="P853" i="1" s="1"/>
  <c r="H853" i="1"/>
  <c r="O852" i="1"/>
  <c r="M852" i="1"/>
  <c r="L852" i="1"/>
  <c r="N852" i="1" s="1"/>
  <c r="I852" i="1"/>
  <c r="P852" i="1" s="1"/>
  <c r="H852" i="1"/>
  <c r="O851" i="1"/>
  <c r="M851" i="1"/>
  <c r="L851" i="1"/>
  <c r="N851" i="1" s="1"/>
  <c r="I851" i="1"/>
  <c r="P851" i="1" s="1"/>
  <c r="H851" i="1"/>
  <c r="O850" i="1"/>
  <c r="M850" i="1"/>
  <c r="L850" i="1"/>
  <c r="N850" i="1" s="1"/>
  <c r="I850" i="1"/>
  <c r="P850" i="1" s="1"/>
  <c r="H850" i="1"/>
  <c r="O849" i="1"/>
  <c r="M849" i="1"/>
  <c r="L849" i="1"/>
  <c r="N849" i="1" s="1"/>
  <c r="I849" i="1"/>
  <c r="P849" i="1" s="1"/>
  <c r="H849" i="1"/>
  <c r="O848" i="1"/>
  <c r="L848" i="1"/>
  <c r="N848" i="1" s="1"/>
  <c r="Q848" i="1" s="1"/>
  <c r="I848" i="1"/>
  <c r="P848" i="1" s="1"/>
  <c r="H848" i="1"/>
  <c r="E848" i="1"/>
  <c r="M848" i="1" s="1"/>
  <c r="P847" i="1"/>
  <c r="O847" i="1"/>
  <c r="M847" i="1"/>
  <c r="L847" i="1"/>
  <c r="N847" i="1" s="1"/>
  <c r="Q847" i="1" s="1"/>
  <c r="I847" i="1"/>
  <c r="H847" i="1"/>
  <c r="P846" i="1"/>
  <c r="O846" i="1"/>
  <c r="M846" i="1"/>
  <c r="L846" i="1"/>
  <c r="N846" i="1" s="1"/>
  <c r="Q846" i="1" s="1"/>
  <c r="I846" i="1"/>
  <c r="H846" i="1"/>
  <c r="P845" i="1"/>
  <c r="O845" i="1"/>
  <c r="M845" i="1"/>
  <c r="L845" i="1"/>
  <c r="N845" i="1" s="1"/>
  <c r="Q845" i="1" s="1"/>
  <c r="I845" i="1"/>
  <c r="H845" i="1"/>
  <c r="P844" i="1"/>
  <c r="O844" i="1"/>
  <c r="M844" i="1"/>
  <c r="L844" i="1"/>
  <c r="N844" i="1" s="1"/>
  <c r="Q844" i="1" s="1"/>
  <c r="I844" i="1"/>
  <c r="H844" i="1"/>
  <c r="P843" i="1"/>
  <c r="O843" i="1"/>
  <c r="M843" i="1"/>
  <c r="L843" i="1"/>
  <c r="N843" i="1" s="1"/>
  <c r="Q843" i="1" s="1"/>
  <c r="I843" i="1"/>
  <c r="H843" i="1"/>
  <c r="P842" i="1"/>
  <c r="O842" i="1"/>
  <c r="M842" i="1"/>
  <c r="L842" i="1"/>
  <c r="N842" i="1" s="1"/>
  <c r="I842" i="1"/>
  <c r="H842" i="1"/>
  <c r="P841" i="1"/>
  <c r="O841" i="1"/>
  <c r="M841" i="1"/>
  <c r="L841" i="1"/>
  <c r="N841" i="1" s="1"/>
  <c r="Q841" i="1" s="1"/>
  <c r="I841" i="1"/>
  <c r="H841" i="1"/>
  <c r="P840" i="1"/>
  <c r="O840" i="1"/>
  <c r="M840" i="1"/>
  <c r="L840" i="1"/>
  <c r="N840" i="1" s="1"/>
  <c r="Q840" i="1" s="1"/>
  <c r="I840" i="1"/>
  <c r="H840" i="1"/>
  <c r="P839" i="1"/>
  <c r="O839" i="1"/>
  <c r="M839" i="1"/>
  <c r="L839" i="1"/>
  <c r="N839" i="1" s="1"/>
  <c r="Q839" i="1" s="1"/>
  <c r="I839" i="1"/>
  <c r="H839" i="1"/>
  <c r="P838" i="1"/>
  <c r="O838" i="1"/>
  <c r="M838" i="1"/>
  <c r="L838" i="1"/>
  <c r="N838" i="1" s="1"/>
  <c r="Q838" i="1" s="1"/>
  <c r="I838" i="1"/>
  <c r="H838" i="1"/>
  <c r="P837" i="1"/>
  <c r="O837" i="1"/>
  <c r="M837" i="1"/>
  <c r="L837" i="1"/>
  <c r="N837" i="1" s="1"/>
  <c r="Q837" i="1" s="1"/>
  <c r="I837" i="1"/>
  <c r="H837" i="1"/>
  <c r="P836" i="1"/>
  <c r="L836" i="1"/>
  <c r="N836" i="1" s="1"/>
  <c r="Q836" i="1" s="1"/>
  <c r="I836" i="1"/>
  <c r="H836" i="1"/>
  <c r="E836" i="1"/>
  <c r="O836" i="1" s="1"/>
  <c r="Q835" i="1"/>
  <c r="O835" i="1"/>
  <c r="N835" i="1"/>
  <c r="M835" i="1"/>
  <c r="L835" i="1"/>
  <c r="I835" i="1"/>
  <c r="P835" i="1" s="1"/>
  <c r="H835" i="1"/>
  <c r="O834" i="1"/>
  <c r="N834" i="1"/>
  <c r="Q834" i="1" s="1"/>
  <c r="M834" i="1"/>
  <c r="L834" i="1"/>
  <c r="I834" i="1"/>
  <c r="P834" i="1" s="1"/>
  <c r="H834" i="1"/>
  <c r="O833" i="1"/>
  <c r="N833" i="1"/>
  <c r="Q833" i="1" s="1"/>
  <c r="M833" i="1"/>
  <c r="L833" i="1"/>
  <c r="I833" i="1"/>
  <c r="P833" i="1" s="1"/>
  <c r="H833" i="1"/>
  <c r="Q832" i="1"/>
  <c r="O832" i="1"/>
  <c r="N832" i="1"/>
  <c r="M832" i="1"/>
  <c r="L832" i="1"/>
  <c r="I832" i="1"/>
  <c r="P832" i="1" s="1"/>
  <c r="H832" i="1"/>
  <c r="Q831" i="1"/>
  <c r="O831" i="1"/>
  <c r="N831" i="1"/>
  <c r="M831" i="1"/>
  <c r="L831" i="1"/>
  <c r="I831" i="1"/>
  <c r="P831" i="1" s="1"/>
  <c r="H831" i="1"/>
  <c r="O830" i="1"/>
  <c r="N830" i="1"/>
  <c r="Q830" i="1" s="1"/>
  <c r="M830" i="1"/>
  <c r="L830" i="1"/>
  <c r="I830" i="1"/>
  <c r="P830" i="1" s="1"/>
  <c r="H830" i="1"/>
  <c r="O829" i="1"/>
  <c r="N829" i="1"/>
  <c r="Q829" i="1" s="1"/>
  <c r="M829" i="1"/>
  <c r="L829" i="1"/>
  <c r="I829" i="1"/>
  <c r="P829" i="1" s="1"/>
  <c r="H829" i="1"/>
  <c r="Q828" i="1"/>
  <c r="O828" i="1"/>
  <c r="N828" i="1"/>
  <c r="M828" i="1"/>
  <c r="L828" i="1"/>
  <c r="I828" i="1"/>
  <c r="P828" i="1" s="1"/>
  <c r="H828" i="1"/>
  <c r="Q827" i="1"/>
  <c r="O827" i="1"/>
  <c r="N827" i="1"/>
  <c r="M827" i="1"/>
  <c r="L827" i="1"/>
  <c r="I827" i="1"/>
  <c r="P827" i="1" s="1"/>
  <c r="H827" i="1"/>
  <c r="O826" i="1"/>
  <c r="N826" i="1"/>
  <c r="Q826" i="1" s="1"/>
  <c r="M826" i="1"/>
  <c r="L826" i="1"/>
  <c r="I826" i="1"/>
  <c r="P826" i="1" s="1"/>
  <c r="H826" i="1"/>
  <c r="O825" i="1"/>
  <c r="N825" i="1"/>
  <c r="Q825" i="1" s="1"/>
  <c r="M825" i="1"/>
  <c r="L825" i="1"/>
  <c r="I825" i="1"/>
  <c r="P825" i="1" s="1"/>
  <c r="H825" i="1"/>
  <c r="N824" i="1"/>
  <c r="L824" i="1"/>
  <c r="I824" i="1"/>
  <c r="P824" i="1" s="1"/>
  <c r="Q824" i="1" s="1"/>
  <c r="H824" i="1"/>
  <c r="E824" i="1"/>
  <c r="O824" i="1" s="1"/>
  <c r="O823" i="1"/>
  <c r="N823" i="1"/>
  <c r="M823" i="1"/>
  <c r="L823" i="1"/>
  <c r="I823" i="1"/>
  <c r="P823" i="1" s="1"/>
  <c r="H823" i="1"/>
  <c r="O822" i="1"/>
  <c r="N822" i="1"/>
  <c r="Q822" i="1" s="1"/>
  <c r="M822" i="1"/>
  <c r="L822" i="1"/>
  <c r="I822" i="1"/>
  <c r="P822" i="1" s="1"/>
  <c r="H822" i="1"/>
  <c r="O821" i="1"/>
  <c r="N821" i="1"/>
  <c r="M821" i="1"/>
  <c r="L821" i="1"/>
  <c r="I821" i="1"/>
  <c r="P821" i="1" s="1"/>
  <c r="H821" i="1"/>
  <c r="O820" i="1"/>
  <c r="N820" i="1"/>
  <c r="Q820" i="1" s="1"/>
  <c r="M820" i="1"/>
  <c r="L820" i="1"/>
  <c r="I820" i="1"/>
  <c r="P820" i="1" s="1"/>
  <c r="H820" i="1"/>
  <c r="O819" i="1"/>
  <c r="N819" i="1"/>
  <c r="M819" i="1"/>
  <c r="L819" i="1"/>
  <c r="I819" i="1"/>
  <c r="P819" i="1" s="1"/>
  <c r="H819" i="1"/>
  <c r="O818" i="1"/>
  <c r="N818" i="1"/>
  <c r="Q818" i="1" s="1"/>
  <c r="M818" i="1"/>
  <c r="L818" i="1"/>
  <c r="I818" i="1"/>
  <c r="P818" i="1" s="1"/>
  <c r="H818" i="1"/>
  <c r="O817" i="1"/>
  <c r="N817" i="1"/>
  <c r="M817" i="1"/>
  <c r="L817" i="1"/>
  <c r="I817" i="1"/>
  <c r="P817" i="1" s="1"/>
  <c r="H817" i="1"/>
  <c r="O816" i="1"/>
  <c r="N816" i="1"/>
  <c r="Q816" i="1" s="1"/>
  <c r="M816" i="1"/>
  <c r="L816" i="1"/>
  <c r="I816" i="1"/>
  <c r="P816" i="1" s="1"/>
  <c r="H816" i="1"/>
  <c r="O815" i="1"/>
  <c r="N815" i="1"/>
  <c r="M815" i="1"/>
  <c r="L815" i="1"/>
  <c r="I815" i="1"/>
  <c r="P815" i="1" s="1"/>
  <c r="H815" i="1"/>
  <c r="O814" i="1"/>
  <c r="N814" i="1"/>
  <c r="Q814" i="1" s="1"/>
  <c r="M814" i="1"/>
  <c r="L814" i="1"/>
  <c r="I814" i="1"/>
  <c r="P814" i="1" s="1"/>
  <c r="H814" i="1"/>
  <c r="O813" i="1"/>
  <c r="N813" i="1"/>
  <c r="M813" i="1"/>
  <c r="L813" i="1"/>
  <c r="I813" i="1"/>
  <c r="P813" i="1" s="1"/>
  <c r="H813" i="1"/>
  <c r="O812" i="1"/>
  <c r="N812" i="1"/>
  <c r="L812" i="1"/>
  <c r="I812" i="1"/>
  <c r="P812" i="1" s="1"/>
  <c r="H812" i="1"/>
  <c r="E812" i="1"/>
  <c r="M812" i="1" s="1"/>
  <c r="O811" i="1"/>
  <c r="M811" i="1"/>
  <c r="L811" i="1"/>
  <c r="N811" i="1" s="1"/>
  <c r="I811" i="1"/>
  <c r="P811" i="1" s="1"/>
  <c r="H811" i="1"/>
  <c r="O810" i="1"/>
  <c r="M810" i="1"/>
  <c r="L810" i="1"/>
  <c r="N810" i="1" s="1"/>
  <c r="I810" i="1"/>
  <c r="P810" i="1" s="1"/>
  <c r="H810" i="1"/>
  <c r="O809" i="1"/>
  <c r="M809" i="1"/>
  <c r="L809" i="1"/>
  <c r="N809" i="1" s="1"/>
  <c r="I809" i="1"/>
  <c r="P809" i="1" s="1"/>
  <c r="H809" i="1"/>
  <c r="O808" i="1"/>
  <c r="M808" i="1"/>
  <c r="L808" i="1"/>
  <c r="N808" i="1" s="1"/>
  <c r="I808" i="1"/>
  <c r="P808" i="1" s="1"/>
  <c r="H808" i="1"/>
  <c r="O807" i="1"/>
  <c r="M807" i="1"/>
  <c r="L807" i="1"/>
  <c r="N807" i="1" s="1"/>
  <c r="I807" i="1"/>
  <c r="P807" i="1" s="1"/>
  <c r="H807" i="1"/>
  <c r="O806" i="1"/>
  <c r="M806" i="1"/>
  <c r="L806" i="1"/>
  <c r="N806" i="1" s="1"/>
  <c r="Q806" i="1" s="1"/>
  <c r="I806" i="1"/>
  <c r="P806" i="1" s="1"/>
  <c r="H806" i="1"/>
  <c r="O805" i="1"/>
  <c r="M805" i="1"/>
  <c r="L805" i="1"/>
  <c r="N805" i="1" s="1"/>
  <c r="I805" i="1"/>
  <c r="P805" i="1" s="1"/>
  <c r="H805" i="1"/>
  <c r="O804" i="1"/>
  <c r="M804" i="1"/>
  <c r="L804" i="1"/>
  <c r="N804" i="1" s="1"/>
  <c r="I804" i="1"/>
  <c r="P804" i="1" s="1"/>
  <c r="H804" i="1"/>
  <c r="O803" i="1"/>
  <c r="M803" i="1"/>
  <c r="L803" i="1"/>
  <c r="N803" i="1" s="1"/>
  <c r="I803" i="1"/>
  <c r="P803" i="1" s="1"/>
  <c r="H803" i="1"/>
  <c r="O802" i="1"/>
  <c r="M802" i="1"/>
  <c r="L802" i="1"/>
  <c r="N802" i="1" s="1"/>
  <c r="Q802" i="1" s="1"/>
  <c r="I802" i="1"/>
  <c r="P802" i="1" s="1"/>
  <c r="H802" i="1"/>
  <c r="O801" i="1"/>
  <c r="M801" i="1"/>
  <c r="L801" i="1"/>
  <c r="N801" i="1" s="1"/>
  <c r="I801" i="1"/>
  <c r="P801" i="1" s="1"/>
  <c r="H801" i="1"/>
  <c r="O800" i="1"/>
  <c r="L800" i="1"/>
  <c r="N800" i="1" s="1"/>
  <c r="Q800" i="1" s="1"/>
  <c r="I800" i="1"/>
  <c r="P800" i="1" s="1"/>
  <c r="H800" i="1"/>
  <c r="E800" i="1"/>
  <c r="M800" i="1" s="1"/>
  <c r="P799" i="1"/>
  <c r="O799" i="1"/>
  <c r="M799" i="1"/>
  <c r="L799" i="1"/>
  <c r="N799" i="1" s="1"/>
  <c r="Q799" i="1" s="1"/>
  <c r="I799" i="1"/>
  <c r="H799" i="1"/>
  <c r="P798" i="1"/>
  <c r="O798" i="1"/>
  <c r="M798" i="1"/>
  <c r="L798" i="1"/>
  <c r="N798" i="1" s="1"/>
  <c r="Q798" i="1" s="1"/>
  <c r="I798" i="1"/>
  <c r="H798" i="1"/>
  <c r="P797" i="1"/>
  <c r="O797" i="1"/>
  <c r="M797" i="1"/>
  <c r="L797" i="1"/>
  <c r="N797" i="1" s="1"/>
  <c r="I797" i="1"/>
  <c r="H797" i="1"/>
  <c r="P796" i="1"/>
  <c r="O796" i="1"/>
  <c r="M796" i="1"/>
  <c r="L796" i="1"/>
  <c r="N796" i="1" s="1"/>
  <c r="Q796" i="1" s="1"/>
  <c r="I796" i="1"/>
  <c r="H796" i="1"/>
  <c r="P795" i="1"/>
  <c r="O795" i="1"/>
  <c r="M795" i="1"/>
  <c r="L795" i="1"/>
  <c r="N795" i="1" s="1"/>
  <c r="Q795" i="1" s="1"/>
  <c r="I795" i="1"/>
  <c r="H795" i="1"/>
  <c r="P794" i="1"/>
  <c r="O794" i="1"/>
  <c r="M794" i="1"/>
  <c r="L794" i="1"/>
  <c r="N794" i="1" s="1"/>
  <c r="Q794" i="1" s="1"/>
  <c r="I794" i="1"/>
  <c r="H794" i="1"/>
  <c r="P793" i="1"/>
  <c r="O793" i="1"/>
  <c r="M793" i="1"/>
  <c r="L793" i="1"/>
  <c r="N793" i="1" s="1"/>
  <c r="Q793" i="1" s="1"/>
  <c r="I793" i="1"/>
  <c r="H793" i="1"/>
  <c r="P792" i="1"/>
  <c r="O792" i="1"/>
  <c r="M792" i="1"/>
  <c r="L792" i="1"/>
  <c r="N792" i="1" s="1"/>
  <c r="Q792" i="1" s="1"/>
  <c r="I792" i="1"/>
  <c r="H792" i="1"/>
  <c r="P791" i="1"/>
  <c r="O791" i="1"/>
  <c r="M791" i="1"/>
  <c r="L791" i="1"/>
  <c r="N791" i="1" s="1"/>
  <c r="Q791" i="1" s="1"/>
  <c r="I791" i="1"/>
  <c r="H791" i="1"/>
  <c r="P790" i="1"/>
  <c r="O790" i="1"/>
  <c r="M790" i="1"/>
  <c r="L790" i="1"/>
  <c r="N790" i="1" s="1"/>
  <c r="Q790" i="1" s="1"/>
  <c r="I790" i="1"/>
  <c r="H790" i="1"/>
  <c r="P789" i="1"/>
  <c r="O789" i="1"/>
  <c r="M789" i="1"/>
  <c r="L789" i="1"/>
  <c r="N789" i="1" s="1"/>
  <c r="I789" i="1"/>
  <c r="H789" i="1"/>
  <c r="Q788" i="1"/>
  <c r="P788" i="1"/>
  <c r="L788" i="1"/>
  <c r="N788" i="1" s="1"/>
  <c r="I788" i="1"/>
  <c r="H788" i="1"/>
  <c r="E788" i="1"/>
  <c r="O788" i="1" s="1"/>
  <c r="O787" i="1"/>
  <c r="N787" i="1"/>
  <c r="M787" i="1"/>
  <c r="L787" i="1"/>
  <c r="I787" i="1"/>
  <c r="P787" i="1" s="1"/>
  <c r="Q787" i="1" s="1"/>
  <c r="H787" i="1"/>
  <c r="O786" i="1"/>
  <c r="N786" i="1"/>
  <c r="Q786" i="1" s="1"/>
  <c r="M786" i="1"/>
  <c r="L786" i="1"/>
  <c r="I786" i="1"/>
  <c r="P786" i="1" s="1"/>
  <c r="H786" i="1"/>
  <c r="O785" i="1"/>
  <c r="N785" i="1"/>
  <c r="Q785" i="1" s="1"/>
  <c r="M785" i="1"/>
  <c r="L785" i="1"/>
  <c r="I785" i="1"/>
  <c r="P785" i="1" s="1"/>
  <c r="H785" i="1"/>
  <c r="O784" i="1"/>
  <c r="N784" i="1"/>
  <c r="Q784" i="1" s="1"/>
  <c r="M784" i="1"/>
  <c r="L784" i="1"/>
  <c r="I784" i="1"/>
  <c r="P784" i="1" s="1"/>
  <c r="H784" i="1"/>
  <c r="Q783" i="1"/>
  <c r="O783" i="1"/>
  <c r="N783" i="1"/>
  <c r="M783" i="1"/>
  <c r="L783" i="1"/>
  <c r="I783" i="1"/>
  <c r="P783" i="1" s="1"/>
  <c r="H783" i="1"/>
  <c r="O782" i="1"/>
  <c r="N782" i="1"/>
  <c r="M782" i="1"/>
  <c r="L782" i="1"/>
  <c r="I782" i="1"/>
  <c r="P782" i="1" s="1"/>
  <c r="Q782" i="1" s="1"/>
  <c r="H782" i="1"/>
  <c r="O781" i="1"/>
  <c r="N781" i="1"/>
  <c r="M781" i="1"/>
  <c r="L781" i="1"/>
  <c r="I781" i="1"/>
  <c r="P781" i="1" s="1"/>
  <c r="H781" i="1"/>
  <c r="O780" i="1"/>
  <c r="N780" i="1"/>
  <c r="Q780" i="1" s="1"/>
  <c r="M780" i="1"/>
  <c r="L780" i="1"/>
  <c r="I780" i="1"/>
  <c r="P780" i="1" s="1"/>
  <c r="H780" i="1"/>
  <c r="O779" i="1"/>
  <c r="N779" i="1"/>
  <c r="M779" i="1"/>
  <c r="L779" i="1"/>
  <c r="I779" i="1"/>
  <c r="P779" i="1" s="1"/>
  <c r="Q779" i="1" s="1"/>
  <c r="H779" i="1"/>
  <c r="Q778" i="1"/>
  <c r="O778" i="1"/>
  <c r="N778" i="1"/>
  <c r="M778" i="1"/>
  <c r="L778" i="1"/>
  <c r="I778" i="1"/>
  <c r="P778" i="1" s="1"/>
  <c r="H778" i="1"/>
  <c r="O777" i="1"/>
  <c r="N777" i="1"/>
  <c r="Q777" i="1" s="1"/>
  <c r="M777" i="1"/>
  <c r="L777" i="1"/>
  <c r="I777" i="1"/>
  <c r="P777" i="1" s="1"/>
  <c r="H777" i="1"/>
  <c r="N776" i="1"/>
  <c r="L776" i="1"/>
  <c r="I776" i="1"/>
  <c r="P776" i="1" s="1"/>
  <c r="Q776" i="1" s="1"/>
  <c r="H776" i="1"/>
  <c r="E776" i="1"/>
  <c r="O776" i="1" s="1"/>
  <c r="O775" i="1"/>
  <c r="N775" i="1"/>
  <c r="M775" i="1"/>
  <c r="L775" i="1"/>
  <c r="I775" i="1"/>
  <c r="P775" i="1" s="1"/>
  <c r="H775" i="1"/>
  <c r="O774" i="1"/>
  <c r="N774" i="1"/>
  <c r="Q774" i="1" s="1"/>
  <c r="M774" i="1"/>
  <c r="L774" i="1"/>
  <c r="I774" i="1"/>
  <c r="P774" i="1" s="1"/>
  <c r="H774" i="1"/>
  <c r="O773" i="1"/>
  <c r="N773" i="1"/>
  <c r="M773" i="1"/>
  <c r="L773" i="1"/>
  <c r="I773" i="1"/>
  <c r="P773" i="1" s="1"/>
  <c r="H773" i="1"/>
  <c r="O772" i="1"/>
  <c r="N772" i="1"/>
  <c r="Q772" i="1" s="1"/>
  <c r="M772" i="1"/>
  <c r="L772" i="1"/>
  <c r="I772" i="1"/>
  <c r="P772" i="1" s="1"/>
  <c r="H772" i="1"/>
  <c r="O771" i="1"/>
  <c r="N771" i="1"/>
  <c r="M771" i="1"/>
  <c r="L771" i="1"/>
  <c r="I771" i="1"/>
  <c r="P771" i="1" s="1"/>
  <c r="H771" i="1"/>
  <c r="O770" i="1"/>
  <c r="N770" i="1"/>
  <c r="Q770" i="1" s="1"/>
  <c r="M770" i="1"/>
  <c r="L770" i="1"/>
  <c r="I770" i="1"/>
  <c r="P770" i="1" s="1"/>
  <c r="H770" i="1"/>
  <c r="O769" i="1"/>
  <c r="N769" i="1"/>
  <c r="M769" i="1"/>
  <c r="L769" i="1"/>
  <c r="I769" i="1"/>
  <c r="P769" i="1" s="1"/>
  <c r="H769" i="1"/>
  <c r="O768" i="1"/>
  <c r="N768" i="1"/>
  <c r="Q768" i="1" s="1"/>
  <c r="M768" i="1"/>
  <c r="L768" i="1"/>
  <c r="I768" i="1"/>
  <c r="P768" i="1" s="1"/>
  <c r="H768" i="1"/>
  <c r="O767" i="1"/>
  <c r="N767" i="1"/>
  <c r="M767" i="1"/>
  <c r="L767" i="1"/>
  <c r="I767" i="1"/>
  <c r="P767" i="1" s="1"/>
  <c r="H767" i="1"/>
  <c r="O766" i="1"/>
  <c r="N766" i="1"/>
  <c r="Q766" i="1" s="1"/>
  <c r="M766" i="1"/>
  <c r="L766" i="1"/>
  <c r="I766" i="1"/>
  <c r="P766" i="1" s="1"/>
  <c r="H766" i="1"/>
  <c r="O765" i="1"/>
  <c r="N765" i="1"/>
  <c r="M765" i="1"/>
  <c r="L765" i="1"/>
  <c r="I765" i="1"/>
  <c r="P765" i="1" s="1"/>
  <c r="H765" i="1"/>
  <c r="O764" i="1"/>
  <c r="N764" i="1"/>
  <c r="L764" i="1"/>
  <c r="I764" i="1"/>
  <c r="P764" i="1" s="1"/>
  <c r="H764" i="1"/>
  <c r="E764" i="1"/>
  <c r="M764" i="1" s="1"/>
  <c r="O763" i="1"/>
  <c r="M763" i="1"/>
  <c r="L763" i="1"/>
  <c r="N763" i="1" s="1"/>
  <c r="I763" i="1"/>
  <c r="P763" i="1" s="1"/>
  <c r="H763" i="1"/>
  <c r="O762" i="1"/>
  <c r="M762" i="1"/>
  <c r="L762" i="1"/>
  <c r="N762" i="1" s="1"/>
  <c r="Q762" i="1" s="1"/>
  <c r="I762" i="1"/>
  <c r="P762" i="1" s="1"/>
  <c r="H762" i="1"/>
  <c r="O761" i="1"/>
  <c r="M761" i="1"/>
  <c r="L761" i="1"/>
  <c r="N761" i="1" s="1"/>
  <c r="I761" i="1"/>
  <c r="P761" i="1" s="1"/>
  <c r="H761" i="1"/>
  <c r="O760" i="1"/>
  <c r="M760" i="1"/>
  <c r="L760" i="1"/>
  <c r="N760" i="1" s="1"/>
  <c r="I760" i="1"/>
  <c r="P760" i="1" s="1"/>
  <c r="H760" i="1"/>
  <c r="O759" i="1"/>
  <c r="M759" i="1"/>
  <c r="L759" i="1"/>
  <c r="N759" i="1" s="1"/>
  <c r="I759" i="1"/>
  <c r="P759" i="1" s="1"/>
  <c r="H759" i="1"/>
  <c r="O758" i="1"/>
  <c r="M758" i="1"/>
  <c r="L758" i="1"/>
  <c r="N758" i="1" s="1"/>
  <c r="I758" i="1"/>
  <c r="P758" i="1" s="1"/>
  <c r="H758" i="1"/>
  <c r="O757" i="1"/>
  <c r="M757" i="1"/>
  <c r="L757" i="1"/>
  <c r="N757" i="1" s="1"/>
  <c r="I757" i="1"/>
  <c r="P757" i="1" s="1"/>
  <c r="H757" i="1"/>
  <c r="O756" i="1"/>
  <c r="M756" i="1"/>
  <c r="L756" i="1"/>
  <c r="N756" i="1" s="1"/>
  <c r="I756" i="1"/>
  <c r="P756" i="1" s="1"/>
  <c r="H756" i="1"/>
  <c r="O755" i="1"/>
  <c r="M755" i="1"/>
  <c r="L755" i="1"/>
  <c r="N755" i="1" s="1"/>
  <c r="I755" i="1"/>
  <c r="P755" i="1" s="1"/>
  <c r="H755" i="1"/>
  <c r="O754" i="1"/>
  <c r="M754" i="1"/>
  <c r="L754" i="1"/>
  <c r="N754" i="1" s="1"/>
  <c r="Q754" i="1" s="1"/>
  <c r="I754" i="1"/>
  <c r="P754" i="1" s="1"/>
  <c r="H754" i="1"/>
  <c r="O753" i="1"/>
  <c r="M753" i="1"/>
  <c r="L753" i="1"/>
  <c r="N753" i="1" s="1"/>
  <c r="I753" i="1"/>
  <c r="P753" i="1" s="1"/>
  <c r="H753" i="1"/>
  <c r="O752" i="1"/>
  <c r="L752" i="1"/>
  <c r="N752" i="1" s="1"/>
  <c r="Q752" i="1" s="1"/>
  <c r="I752" i="1"/>
  <c r="P752" i="1" s="1"/>
  <c r="H752" i="1"/>
  <c r="E752" i="1"/>
  <c r="M752" i="1" s="1"/>
  <c r="P751" i="1"/>
  <c r="O751" i="1"/>
  <c r="M751" i="1"/>
  <c r="L751" i="1"/>
  <c r="N751" i="1" s="1"/>
  <c r="Q751" i="1" s="1"/>
  <c r="I751" i="1"/>
  <c r="H751" i="1"/>
  <c r="P750" i="1"/>
  <c r="O750" i="1"/>
  <c r="M750" i="1"/>
  <c r="L750" i="1"/>
  <c r="N750" i="1" s="1"/>
  <c r="Q750" i="1" s="1"/>
  <c r="I750" i="1"/>
  <c r="H750" i="1"/>
  <c r="P749" i="1"/>
  <c r="O749" i="1"/>
  <c r="M749" i="1"/>
  <c r="L749" i="1"/>
  <c r="N749" i="1" s="1"/>
  <c r="I749" i="1"/>
  <c r="H749" i="1"/>
  <c r="P748" i="1"/>
  <c r="O748" i="1"/>
  <c r="M748" i="1"/>
  <c r="L748" i="1"/>
  <c r="N748" i="1" s="1"/>
  <c r="Q748" i="1" s="1"/>
  <c r="I748" i="1"/>
  <c r="H748" i="1"/>
  <c r="P747" i="1"/>
  <c r="O747" i="1"/>
  <c r="M747" i="1"/>
  <c r="L747" i="1"/>
  <c r="N747" i="1" s="1"/>
  <c r="Q747" i="1" s="1"/>
  <c r="I747" i="1"/>
  <c r="H747" i="1"/>
  <c r="P746" i="1"/>
  <c r="O746" i="1"/>
  <c r="M746" i="1"/>
  <c r="L746" i="1"/>
  <c r="N746" i="1" s="1"/>
  <c r="Q746" i="1" s="1"/>
  <c r="I746" i="1"/>
  <c r="H746" i="1"/>
  <c r="P745" i="1"/>
  <c r="O745" i="1"/>
  <c r="M745" i="1"/>
  <c r="L745" i="1"/>
  <c r="N745" i="1" s="1"/>
  <c r="Q745" i="1" s="1"/>
  <c r="I745" i="1"/>
  <c r="H745" i="1"/>
  <c r="P744" i="1"/>
  <c r="O744" i="1"/>
  <c r="M744" i="1"/>
  <c r="L744" i="1"/>
  <c r="N744" i="1" s="1"/>
  <c r="Q744" i="1" s="1"/>
  <c r="I744" i="1"/>
  <c r="H744" i="1"/>
  <c r="P743" i="1"/>
  <c r="O743" i="1"/>
  <c r="M743" i="1"/>
  <c r="L743" i="1"/>
  <c r="N743" i="1" s="1"/>
  <c r="Q743" i="1" s="1"/>
  <c r="I743" i="1"/>
  <c r="H743" i="1"/>
  <c r="P742" i="1"/>
  <c r="O742" i="1"/>
  <c r="M742" i="1"/>
  <c r="L742" i="1"/>
  <c r="N742" i="1" s="1"/>
  <c r="Q742" i="1" s="1"/>
  <c r="I742" i="1"/>
  <c r="H742" i="1"/>
  <c r="P741" i="1"/>
  <c r="O741" i="1"/>
  <c r="M741" i="1"/>
  <c r="L741" i="1"/>
  <c r="N741" i="1" s="1"/>
  <c r="I741" i="1"/>
  <c r="H741" i="1"/>
  <c r="Q740" i="1"/>
  <c r="P740" i="1"/>
  <c r="L740" i="1"/>
  <c r="N740" i="1" s="1"/>
  <c r="I740" i="1"/>
  <c r="H740" i="1"/>
  <c r="E740" i="1"/>
  <c r="O740" i="1" s="1"/>
  <c r="O739" i="1"/>
  <c r="N739" i="1"/>
  <c r="M739" i="1"/>
  <c r="L739" i="1"/>
  <c r="I739" i="1"/>
  <c r="P739" i="1" s="1"/>
  <c r="Q739" i="1" s="1"/>
  <c r="H739" i="1"/>
  <c r="O738" i="1"/>
  <c r="N738" i="1"/>
  <c r="Q738" i="1" s="1"/>
  <c r="M738" i="1"/>
  <c r="L738" i="1"/>
  <c r="I738" i="1"/>
  <c r="P738" i="1" s="1"/>
  <c r="H738" i="1"/>
  <c r="O737" i="1"/>
  <c r="N737" i="1"/>
  <c r="Q737" i="1" s="1"/>
  <c r="M737" i="1"/>
  <c r="L737" i="1"/>
  <c r="I737" i="1"/>
  <c r="P737" i="1" s="1"/>
  <c r="H737" i="1"/>
  <c r="O736" i="1"/>
  <c r="N736" i="1"/>
  <c r="Q736" i="1" s="1"/>
  <c r="M736" i="1"/>
  <c r="L736" i="1"/>
  <c r="I736" i="1"/>
  <c r="P736" i="1" s="1"/>
  <c r="H736" i="1"/>
  <c r="Q735" i="1"/>
  <c r="O735" i="1"/>
  <c r="N735" i="1"/>
  <c r="M735" i="1"/>
  <c r="L735" i="1"/>
  <c r="I735" i="1"/>
  <c r="P735" i="1" s="1"/>
  <c r="H735" i="1"/>
  <c r="O734" i="1"/>
  <c r="N734" i="1"/>
  <c r="M734" i="1"/>
  <c r="L734" i="1"/>
  <c r="I734" i="1"/>
  <c r="P734" i="1" s="1"/>
  <c r="Q734" i="1" s="1"/>
  <c r="H734" i="1"/>
  <c r="O733" i="1"/>
  <c r="N733" i="1"/>
  <c r="M733" i="1"/>
  <c r="L733" i="1"/>
  <c r="I733" i="1"/>
  <c r="P733" i="1" s="1"/>
  <c r="H733" i="1"/>
  <c r="O732" i="1"/>
  <c r="N732" i="1"/>
  <c r="Q732" i="1" s="1"/>
  <c r="M732" i="1"/>
  <c r="L732" i="1"/>
  <c r="I732" i="1"/>
  <c r="P732" i="1" s="1"/>
  <c r="H732" i="1"/>
  <c r="O731" i="1"/>
  <c r="N731" i="1"/>
  <c r="M731" i="1"/>
  <c r="L731" i="1"/>
  <c r="I731" i="1"/>
  <c r="P731" i="1" s="1"/>
  <c r="Q731" i="1" s="1"/>
  <c r="H731" i="1"/>
  <c r="Q730" i="1"/>
  <c r="O730" i="1"/>
  <c r="N730" i="1"/>
  <c r="M730" i="1"/>
  <c r="L730" i="1"/>
  <c r="I730" i="1"/>
  <c r="P730" i="1" s="1"/>
  <c r="H730" i="1"/>
  <c r="O729" i="1"/>
  <c r="N729" i="1"/>
  <c r="Q729" i="1" s="1"/>
  <c r="M729" i="1"/>
  <c r="L729" i="1"/>
  <c r="I729" i="1"/>
  <c r="P729" i="1" s="1"/>
  <c r="H729" i="1"/>
  <c r="N728" i="1"/>
  <c r="L728" i="1"/>
  <c r="I728" i="1"/>
  <c r="P728" i="1" s="1"/>
  <c r="Q728" i="1" s="1"/>
  <c r="H728" i="1"/>
  <c r="E728" i="1"/>
  <c r="O728" i="1" s="1"/>
  <c r="O727" i="1"/>
  <c r="N727" i="1"/>
  <c r="M727" i="1"/>
  <c r="L727" i="1"/>
  <c r="I727" i="1"/>
  <c r="P727" i="1" s="1"/>
  <c r="H727" i="1"/>
  <c r="O726" i="1"/>
  <c r="N726" i="1"/>
  <c r="Q726" i="1" s="1"/>
  <c r="M726" i="1"/>
  <c r="L726" i="1"/>
  <c r="I726" i="1"/>
  <c r="P726" i="1" s="1"/>
  <c r="H726" i="1"/>
  <c r="O725" i="1"/>
  <c r="N725" i="1"/>
  <c r="M725" i="1"/>
  <c r="L725" i="1"/>
  <c r="I725" i="1"/>
  <c r="P725" i="1" s="1"/>
  <c r="H725" i="1"/>
  <c r="O724" i="1"/>
  <c r="N724" i="1"/>
  <c r="Q724" i="1" s="1"/>
  <c r="M724" i="1"/>
  <c r="L724" i="1"/>
  <c r="I724" i="1"/>
  <c r="P724" i="1" s="1"/>
  <c r="H724" i="1"/>
  <c r="O723" i="1"/>
  <c r="N723" i="1"/>
  <c r="M723" i="1"/>
  <c r="L723" i="1"/>
  <c r="I723" i="1"/>
  <c r="P723" i="1" s="1"/>
  <c r="H723" i="1"/>
  <c r="O722" i="1"/>
  <c r="N722" i="1"/>
  <c r="Q722" i="1" s="1"/>
  <c r="M722" i="1"/>
  <c r="L722" i="1"/>
  <c r="I722" i="1"/>
  <c r="P722" i="1" s="1"/>
  <c r="H722" i="1"/>
  <c r="O721" i="1"/>
  <c r="N721" i="1"/>
  <c r="M721" i="1"/>
  <c r="L721" i="1"/>
  <c r="I721" i="1"/>
  <c r="P721" i="1" s="1"/>
  <c r="H721" i="1"/>
  <c r="O720" i="1"/>
  <c r="N720" i="1"/>
  <c r="Q720" i="1" s="1"/>
  <c r="M720" i="1"/>
  <c r="L720" i="1"/>
  <c r="I720" i="1"/>
  <c r="P720" i="1" s="1"/>
  <c r="H720" i="1"/>
  <c r="O719" i="1"/>
  <c r="N719" i="1"/>
  <c r="M719" i="1"/>
  <c r="L719" i="1"/>
  <c r="I719" i="1"/>
  <c r="P719" i="1" s="1"/>
  <c r="H719" i="1"/>
  <c r="O718" i="1"/>
  <c r="N718" i="1"/>
  <c r="Q718" i="1" s="1"/>
  <c r="M718" i="1"/>
  <c r="L718" i="1"/>
  <c r="I718" i="1"/>
  <c r="P718" i="1" s="1"/>
  <c r="H718" i="1"/>
  <c r="O717" i="1"/>
  <c r="N717" i="1"/>
  <c r="M717" i="1"/>
  <c r="L717" i="1"/>
  <c r="I717" i="1"/>
  <c r="P717" i="1" s="1"/>
  <c r="H717" i="1"/>
  <c r="N716" i="1"/>
  <c r="L716" i="1"/>
  <c r="I716" i="1"/>
  <c r="P716" i="1" s="1"/>
  <c r="H716" i="1"/>
  <c r="E716" i="1"/>
  <c r="O715" i="1"/>
  <c r="M715" i="1"/>
  <c r="L715" i="1"/>
  <c r="N715" i="1" s="1"/>
  <c r="I715" i="1"/>
  <c r="P715" i="1" s="1"/>
  <c r="H715" i="1"/>
  <c r="O714" i="1"/>
  <c r="M714" i="1"/>
  <c r="L714" i="1"/>
  <c r="N714" i="1" s="1"/>
  <c r="Q714" i="1" s="1"/>
  <c r="I714" i="1"/>
  <c r="P714" i="1" s="1"/>
  <c r="H714" i="1"/>
  <c r="O713" i="1"/>
  <c r="M713" i="1"/>
  <c r="L713" i="1"/>
  <c r="N713" i="1" s="1"/>
  <c r="I713" i="1"/>
  <c r="P713" i="1" s="1"/>
  <c r="H713" i="1"/>
  <c r="O712" i="1"/>
  <c r="M712" i="1"/>
  <c r="L712" i="1"/>
  <c r="N712" i="1" s="1"/>
  <c r="Q712" i="1" s="1"/>
  <c r="I712" i="1"/>
  <c r="P712" i="1" s="1"/>
  <c r="H712" i="1"/>
  <c r="O711" i="1"/>
  <c r="M711" i="1"/>
  <c r="L711" i="1"/>
  <c r="N711" i="1" s="1"/>
  <c r="Q711" i="1" s="1"/>
  <c r="I711" i="1"/>
  <c r="P711" i="1" s="1"/>
  <c r="H711" i="1"/>
  <c r="O710" i="1"/>
  <c r="M710" i="1"/>
  <c r="L710" i="1"/>
  <c r="N710" i="1" s="1"/>
  <c r="Q710" i="1" s="1"/>
  <c r="I710" i="1"/>
  <c r="P710" i="1" s="1"/>
  <c r="H710" i="1"/>
  <c r="O709" i="1"/>
  <c r="M709" i="1"/>
  <c r="L709" i="1"/>
  <c r="N709" i="1" s="1"/>
  <c r="I709" i="1"/>
  <c r="P709" i="1" s="1"/>
  <c r="H709" i="1"/>
  <c r="O708" i="1"/>
  <c r="M708" i="1"/>
  <c r="L708" i="1"/>
  <c r="N708" i="1" s="1"/>
  <c r="I708" i="1"/>
  <c r="P708" i="1" s="1"/>
  <c r="H708" i="1"/>
  <c r="O707" i="1"/>
  <c r="M707" i="1"/>
  <c r="L707" i="1"/>
  <c r="N707" i="1" s="1"/>
  <c r="Q707" i="1" s="1"/>
  <c r="I707" i="1"/>
  <c r="P707" i="1" s="1"/>
  <c r="H707" i="1"/>
  <c r="O706" i="1"/>
  <c r="M706" i="1"/>
  <c r="L706" i="1"/>
  <c r="N706" i="1" s="1"/>
  <c r="Q706" i="1" s="1"/>
  <c r="I706" i="1"/>
  <c r="P706" i="1" s="1"/>
  <c r="H706" i="1"/>
  <c r="O705" i="1"/>
  <c r="M705" i="1"/>
  <c r="L705" i="1"/>
  <c r="N705" i="1" s="1"/>
  <c r="I705" i="1"/>
  <c r="P705" i="1" s="1"/>
  <c r="H705" i="1"/>
  <c r="O704" i="1"/>
  <c r="L704" i="1"/>
  <c r="N704" i="1" s="1"/>
  <c r="I704" i="1"/>
  <c r="P704" i="1" s="1"/>
  <c r="H704" i="1"/>
  <c r="E704" i="1"/>
  <c r="M704" i="1" s="1"/>
  <c r="P703" i="1"/>
  <c r="O703" i="1"/>
  <c r="M703" i="1"/>
  <c r="L703" i="1"/>
  <c r="N703" i="1" s="1"/>
  <c r="Q703" i="1" s="1"/>
  <c r="I703" i="1"/>
  <c r="H703" i="1"/>
  <c r="P702" i="1"/>
  <c r="O702" i="1"/>
  <c r="M702" i="1"/>
  <c r="L702" i="1"/>
  <c r="N702" i="1" s="1"/>
  <c r="Q702" i="1" s="1"/>
  <c r="I702" i="1"/>
  <c r="H702" i="1"/>
  <c r="P701" i="1"/>
  <c r="O701" i="1"/>
  <c r="M701" i="1"/>
  <c r="L701" i="1"/>
  <c r="N701" i="1" s="1"/>
  <c r="Q701" i="1" s="1"/>
  <c r="I701" i="1"/>
  <c r="H701" i="1"/>
  <c r="P700" i="1"/>
  <c r="O700" i="1"/>
  <c r="M700" i="1"/>
  <c r="L700" i="1"/>
  <c r="N700" i="1" s="1"/>
  <c r="Q700" i="1" s="1"/>
  <c r="I700" i="1"/>
  <c r="H700" i="1"/>
  <c r="P699" i="1"/>
  <c r="O699" i="1"/>
  <c r="M699" i="1"/>
  <c r="L699" i="1"/>
  <c r="N699" i="1" s="1"/>
  <c r="Q699" i="1" s="1"/>
  <c r="I699" i="1"/>
  <c r="H699" i="1"/>
  <c r="P698" i="1"/>
  <c r="O698" i="1"/>
  <c r="M698" i="1"/>
  <c r="L698" i="1"/>
  <c r="N698" i="1" s="1"/>
  <c r="Q698" i="1" s="1"/>
  <c r="I698" i="1"/>
  <c r="H698" i="1"/>
  <c r="P697" i="1"/>
  <c r="O697" i="1"/>
  <c r="M697" i="1"/>
  <c r="L697" i="1"/>
  <c r="N697" i="1" s="1"/>
  <c r="Q697" i="1" s="1"/>
  <c r="I697" i="1"/>
  <c r="H697" i="1"/>
  <c r="P696" i="1"/>
  <c r="O696" i="1"/>
  <c r="M696" i="1"/>
  <c r="L696" i="1"/>
  <c r="N696" i="1" s="1"/>
  <c r="Q696" i="1" s="1"/>
  <c r="I696" i="1"/>
  <c r="H696" i="1"/>
  <c r="P695" i="1"/>
  <c r="O695" i="1"/>
  <c r="M695" i="1"/>
  <c r="L695" i="1"/>
  <c r="N695" i="1" s="1"/>
  <c r="Q695" i="1" s="1"/>
  <c r="I695" i="1"/>
  <c r="H695" i="1"/>
  <c r="P694" i="1"/>
  <c r="O694" i="1"/>
  <c r="M694" i="1"/>
  <c r="L694" i="1"/>
  <c r="N694" i="1" s="1"/>
  <c r="Q694" i="1" s="1"/>
  <c r="I694" i="1"/>
  <c r="H694" i="1"/>
  <c r="P693" i="1"/>
  <c r="O693" i="1"/>
  <c r="M693" i="1"/>
  <c r="L693" i="1"/>
  <c r="N693" i="1" s="1"/>
  <c r="Q693" i="1" s="1"/>
  <c r="I693" i="1"/>
  <c r="H693" i="1"/>
  <c r="P692" i="1"/>
  <c r="L692" i="1"/>
  <c r="N692" i="1" s="1"/>
  <c r="Q692" i="1" s="1"/>
  <c r="I692" i="1"/>
  <c r="H692" i="1"/>
  <c r="E692" i="1"/>
  <c r="O692" i="1" s="1"/>
  <c r="O691" i="1"/>
  <c r="Q691" i="1" s="1"/>
  <c r="N691" i="1"/>
  <c r="M691" i="1"/>
  <c r="L691" i="1"/>
  <c r="I691" i="1"/>
  <c r="P691" i="1" s="1"/>
  <c r="H691" i="1"/>
  <c r="O690" i="1"/>
  <c r="N690" i="1"/>
  <c r="Q690" i="1" s="1"/>
  <c r="M690" i="1"/>
  <c r="L690" i="1"/>
  <c r="I690" i="1"/>
  <c r="P690" i="1" s="1"/>
  <c r="H690" i="1"/>
  <c r="O689" i="1"/>
  <c r="N689" i="1"/>
  <c r="Q689" i="1" s="1"/>
  <c r="M689" i="1"/>
  <c r="L689" i="1"/>
  <c r="I689" i="1"/>
  <c r="P689" i="1" s="1"/>
  <c r="H689" i="1"/>
  <c r="Q688" i="1"/>
  <c r="O688" i="1"/>
  <c r="N688" i="1"/>
  <c r="M688" i="1"/>
  <c r="L688" i="1"/>
  <c r="I688" i="1"/>
  <c r="P688" i="1" s="1"/>
  <c r="H688" i="1"/>
  <c r="O687" i="1"/>
  <c r="Q687" i="1" s="1"/>
  <c r="N687" i="1"/>
  <c r="M687" i="1"/>
  <c r="L687" i="1"/>
  <c r="I687" i="1"/>
  <c r="P687" i="1" s="1"/>
  <c r="H687" i="1"/>
  <c r="O686" i="1"/>
  <c r="N686" i="1"/>
  <c r="Q686" i="1" s="1"/>
  <c r="M686" i="1"/>
  <c r="L686" i="1"/>
  <c r="I686" i="1"/>
  <c r="P686" i="1" s="1"/>
  <c r="H686" i="1"/>
  <c r="O685" i="1"/>
  <c r="N685" i="1"/>
  <c r="Q685" i="1" s="1"/>
  <c r="M685" i="1"/>
  <c r="L685" i="1"/>
  <c r="I685" i="1"/>
  <c r="P685" i="1" s="1"/>
  <c r="H685" i="1"/>
  <c r="Q684" i="1"/>
  <c r="O684" i="1"/>
  <c r="N684" i="1"/>
  <c r="M684" i="1"/>
  <c r="L684" i="1"/>
  <c r="I684" i="1"/>
  <c r="P684" i="1" s="1"/>
  <c r="H684" i="1"/>
  <c r="O683" i="1"/>
  <c r="Q683" i="1" s="1"/>
  <c r="N683" i="1"/>
  <c r="M683" i="1"/>
  <c r="L683" i="1"/>
  <c r="I683" i="1"/>
  <c r="P683" i="1" s="1"/>
  <c r="H683" i="1"/>
  <c r="O682" i="1"/>
  <c r="N682" i="1"/>
  <c r="Q682" i="1" s="1"/>
  <c r="M682" i="1"/>
  <c r="L682" i="1"/>
  <c r="I682" i="1"/>
  <c r="P682" i="1" s="1"/>
  <c r="H682" i="1"/>
  <c r="O681" i="1"/>
  <c r="N681" i="1"/>
  <c r="Q681" i="1" s="1"/>
  <c r="M681" i="1"/>
  <c r="L681" i="1"/>
  <c r="I681" i="1"/>
  <c r="P681" i="1" s="1"/>
  <c r="H681" i="1"/>
  <c r="N680" i="1"/>
  <c r="L680" i="1"/>
  <c r="I680" i="1"/>
  <c r="P680" i="1" s="1"/>
  <c r="H680" i="1"/>
  <c r="E680" i="1"/>
  <c r="O680" i="1" s="1"/>
  <c r="Q680" i="1" s="1"/>
  <c r="P679" i="1"/>
  <c r="O679" i="1"/>
  <c r="M679" i="1"/>
  <c r="L679" i="1"/>
  <c r="N679" i="1" s="1"/>
  <c r="Q679" i="1" s="1"/>
  <c r="I679" i="1"/>
  <c r="H679" i="1"/>
  <c r="O678" i="1"/>
  <c r="M678" i="1"/>
  <c r="L678" i="1"/>
  <c r="N678" i="1" s="1"/>
  <c r="I678" i="1"/>
  <c r="P678" i="1" s="1"/>
  <c r="H678" i="1"/>
  <c r="P677" i="1"/>
  <c r="O677" i="1"/>
  <c r="N677" i="1"/>
  <c r="Q677" i="1" s="1"/>
  <c r="M677" i="1"/>
  <c r="L677" i="1"/>
  <c r="I677" i="1"/>
  <c r="H677" i="1"/>
  <c r="O676" i="1"/>
  <c r="N676" i="1"/>
  <c r="M676" i="1"/>
  <c r="L676" i="1"/>
  <c r="I676" i="1"/>
  <c r="P676" i="1" s="1"/>
  <c r="H676" i="1"/>
  <c r="P675" i="1"/>
  <c r="O675" i="1"/>
  <c r="M675" i="1"/>
  <c r="L675" i="1"/>
  <c r="N675" i="1" s="1"/>
  <c r="Q675" i="1" s="1"/>
  <c r="I675" i="1"/>
  <c r="H675" i="1"/>
  <c r="O674" i="1"/>
  <c r="M674" i="1"/>
  <c r="L674" i="1"/>
  <c r="N674" i="1" s="1"/>
  <c r="I674" i="1"/>
  <c r="P674" i="1" s="1"/>
  <c r="H674" i="1"/>
  <c r="P673" i="1"/>
  <c r="O673" i="1"/>
  <c r="N673" i="1"/>
  <c r="Q673" i="1" s="1"/>
  <c r="M673" i="1"/>
  <c r="L673" i="1"/>
  <c r="I673" i="1"/>
  <c r="H673" i="1"/>
  <c r="O672" i="1"/>
  <c r="N672" i="1"/>
  <c r="M672" i="1"/>
  <c r="L672" i="1"/>
  <c r="I672" i="1"/>
  <c r="P672" i="1" s="1"/>
  <c r="H672" i="1"/>
  <c r="P671" i="1"/>
  <c r="O671" i="1"/>
  <c r="M671" i="1"/>
  <c r="L671" i="1"/>
  <c r="N671" i="1" s="1"/>
  <c r="Q671" i="1" s="1"/>
  <c r="I671" i="1"/>
  <c r="H671" i="1"/>
  <c r="O670" i="1"/>
  <c r="M670" i="1"/>
  <c r="L670" i="1"/>
  <c r="N670" i="1" s="1"/>
  <c r="I670" i="1"/>
  <c r="P670" i="1" s="1"/>
  <c r="H670" i="1"/>
  <c r="P669" i="1"/>
  <c r="O669" i="1"/>
  <c r="N669" i="1"/>
  <c r="Q669" i="1" s="1"/>
  <c r="M669" i="1"/>
  <c r="L669" i="1"/>
  <c r="I669" i="1"/>
  <c r="H669" i="1"/>
  <c r="O668" i="1"/>
  <c r="L668" i="1"/>
  <c r="N668" i="1" s="1"/>
  <c r="Q668" i="1" s="1"/>
  <c r="I668" i="1"/>
  <c r="P668" i="1" s="1"/>
  <c r="H668" i="1"/>
  <c r="E668" i="1"/>
  <c r="M668" i="1" s="1"/>
  <c r="O667" i="1"/>
  <c r="M667" i="1"/>
  <c r="L667" i="1"/>
  <c r="N667" i="1" s="1"/>
  <c r="Q667" i="1" s="1"/>
  <c r="I667" i="1"/>
  <c r="P667" i="1" s="1"/>
  <c r="H667" i="1"/>
  <c r="O666" i="1"/>
  <c r="M666" i="1"/>
  <c r="L666" i="1"/>
  <c r="N666" i="1" s="1"/>
  <c r="Q666" i="1" s="1"/>
  <c r="I666" i="1"/>
  <c r="P666" i="1" s="1"/>
  <c r="H666" i="1"/>
  <c r="O665" i="1"/>
  <c r="M665" i="1"/>
  <c r="L665" i="1"/>
  <c r="N665" i="1" s="1"/>
  <c r="Q665" i="1" s="1"/>
  <c r="I665" i="1"/>
  <c r="P665" i="1" s="1"/>
  <c r="H665" i="1"/>
  <c r="O664" i="1"/>
  <c r="M664" i="1"/>
  <c r="L664" i="1"/>
  <c r="N664" i="1" s="1"/>
  <c r="I664" i="1"/>
  <c r="P664" i="1" s="1"/>
  <c r="H664" i="1"/>
  <c r="O663" i="1"/>
  <c r="M663" i="1"/>
  <c r="L663" i="1"/>
  <c r="N663" i="1" s="1"/>
  <c r="Q663" i="1" s="1"/>
  <c r="I663" i="1"/>
  <c r="P663" i="1" s="1"/>
  <c r="H663" i="1"/>
  <c r="O662" i="1"/>
  <c r="M662" i="1"/>
  <c r="L662" i="1"/>
  <c r="N662" i="1" s="1"/>
  <c r="Q662" i="1" s="1"/>
  <c r="I662" i="1"/>
  <c r="P662" i="1" s="1"/>
  <c r="H662" i="1"/>
  <c r="O661" i="1"/>
  <c r="M661" i="1"/>
  <c r="L661" i="1"/>
  <c r="N661" i="1" s="1"/>
  <c r="Q661" i="1" s="1"/>
  <c r="I661" i="1"/>
  <c r="P661" i="1" s="1"/>
  <c r="H661" i="1"/>
  <c r="O660" i="1"/>
  <c r="M660" i="1"/>
  <c r="L660" i="1"/>
  <c r="N660" i="1" s="1"/>
  <c r="I660" i="1"/>
  <c r="P660" i="1" s="1"/>
  <c r="H660" i="1"/>
  <c r="O659" i="1"/>
  <c r="M659" i="1"/>
  <c r="L659" i="1"/>
  <c r="N659" i="1" s="1"/>
  <c r="Q659" i="1" s="1"/>
  <c r="I659" i="1"/>
  <c r="P659" i="1" s="1"/>
  <c r="H659" i="1"/>
  <c r="O658" i="1"/>
  <c r="M658" i="1"/>
  <c r="L658" i="1"/>
  <c r="N658" i="1" s="1"/>
  <c r="Q658" i="1" s="1"/>
  <c r="I658" i="1"/>
  <c r="P658" i="1" s="1"/>
  <c r="H658" i="1"/>
  <c r="O657" i="1"/>
  <c r="M657" i="1"/>
  <c r="L657" i="1"/>
  <c r="N657" i="1" s="1"/>
  <c r="Q657" i="1" s="1"/>
  <c r="I657" i="1"/>
  <c r="P657" i="1" s="1"/>
  <c r="H657" i="1"/>
  <c r="O656" i="1"/>
  <c r="L656" i="1"/>
  <c r="N656" i="1" s="1"/>
  <c r="Q656" i="1" s="1"/>
  <c r="I656" i="1"/>
  <c r="P656" i="1" s="1"/>
  <c r="H656" i="1"/>
  <c r="E656" i="1"/>
  <c r="M656" i="1" s="1"/>
  <c r="P655" i="1"/>
  <c r="O655" i="1"/>
  <c r="M655" i="1"/>
  <c r="L655" i="1"/>
  <c r="N655" i="1" s="1"/>
  <c r="Q655" i="1" s="1"/>
  <c r="I655" i="1"/>
  <c r="H655" i="1"/>
  <c r="P654" i="1"/>
  <c r="O654" i="1"/>
  <c r="M654" i="1"/>
  <c r="L654" i="1"/>
  <c r="N654" i="1" s="1"/>
  <c r="Q654" i="1" s="1"/>
  <c r="I654" i="1"/>
  <c r="H654" i="1"/>
  <c r="P653" i="1"/>
  <c r="O653" i="1"/>
  <c r="M653" i="1"/>
  <c r="L653" i="1"/>
  <c r="N653" i="1" s="1"/>
  <c r="Q653" i="1" s="1"/>
  <c r="I653" i="1"/>
  <c r="H653" i="1"/>
  <c r="P652" i="1"/>
  <c r="O652" i="1"/>
  <c r="M652" i="1"/>
  <c r="L652" i="1"/>
  <c r="N652" i="1" s="1"/>
  <c r="Q652" i="1" s="1"/>
  <c r="I652" i="1"/>
  <c r="H652" i="1"/>
  <c r="P651" i="1"/>
  <c r="O651" i="1"/>
  <c r="M651" i="1"/>
  <c r="L651" i="1"/>
  <c r="N651" i="1" s="1"/>
  <c r="Q651" i="1" s="1"/>
  <c r="H651" i="1"/>
  <c r="P650" i="1"/>
  <c r="O650" i="1"/>
  <c r="M650" i="1"/>
  <c r="L650" i="1"/>
  <c r="N650" i="1" s="1"/>
  <c r="Q650" i="1" s="1"/>
  <c r="H650" i="1"/>
  <c r="O649" i="1"/>
  <c r="N649" i="1"/>
  <c r="M649" i="1"/>
  <c r="L649" i="1"/>
  <c r="I649" i="1"/>
  <c r="P649" i="1" s="1"/>
  <c r="H649" i="1"/>
  <c r="O648" i="1"/>
  <c r="N648" i="1"/>
  <c r="M648" i="1"/>
  <c r="L648" i="1"/>
  <c r="I648" i="1"/>
  <c r="P648" i="1" s="1"/>
  <c r="H648" i="1"/>
  <c r="O647" i="1"/>
  <c r="N647" i="1"/>
  <c r="M647" i="1"/>
  <c r="L647" i="1"/>
  <c r="I647" i="1"/>
  <c r="P647" i="1" s="1"/>
  <c r="H647" i="1"/>
  <c r="O646" i="1"/>
  <c r="N646" i="1"/>
  <c r="M646" i="1"/>
  <c r="L646" i="1"/>
  <c r="I646" i="1"/>
  <c r="P646" i="1" s="1"/>
  <c r="H646" i="1"/>
  <c r="O645" i="1"/>
  <c r="N645" i="1"/>
  <c r="M645" i="1"/>
  <c r="L645" i="1"/>
  <c r="I645" i="1"/>
  <c r="P645" i="1" s="1"/>
  <c r="H645" i="1"/>
  <c r="L644" i="1"/>
  <c r="E644" i="1"/>
  <c r="P643" i="1"/>
  <c r="O643" i="1"/>
  <c r="M643" i="1"/>
  <c r="L643" i="1"/>
  <c r="N643" i="1" s="1"/>
  <c r="Q643" i="1" s="1"/>
  <c r="I643" i="1"/>
  <c r="H643" i="1"/>
  <c r="L642" i="1"/>
  <c r="O641" i="1"/>
  <c r="N641" i="1"/>
  <c r="M641" i="1"/>
  <c r="L641" i="1"/>
  <c r="I641" i="1"/>
  <c r="P641" i="1" s="1"/>
  <c r="Q641" i="1" s="1"/>
  <c r="H641" i="1"/>
  <c r="O640" i="1"/>
  <c r="N640" i="1"/>
  <c r="M640" i="1"/>
  <c r="L640" i="1"/>
  <c r="I640" i="1"/>
  <c r="P640" i="1" s="1"/>
  <c r="Q640" i="1" s="1"/>
  <c r="H640" i="1"/>
  <c r="O639" i="1"/>
  <c r="N639" i="1"/>
  <c r="M639" i="1"/>
  <c r="L639" i="1"/>
  <c r="I639" i="1"/>
  <c r="P639" i="1" s="1"/>
  <c r="Q639" i="1" s="1"/>
  <c r="H639" i="1"/>
  <c r="O638" i="1"/>
  <c r="N638" i="1"/>
  <c r="M638" i="1"/>
  <c r="L638" i="1"/>
  <c r="I638" i="1"/>
  <c r="P638" i="1" s="1"/>
  <c r="Q638" i="1" s="1"/>
  <c r="H638" i="1"/>
  <c r="O637" i="1"/>
  <c r="N637" i="1"/>
  <c r="M637" i="1"/>
  <c r="L637" i="1"/>
  <c r="I637" i="1"/>
  <c r="P637" i="1" s="1"/>
  <c r="Q637" i="1" s="1"/>
  <c r="H637" i="1"/>
  <c r="O636" i="1"/>
  <c r="N636" i="1"/>
  <c r="M636" i="1"/>
  <c r="L636" i="1"/>
  <c r="I636" i="1"/>
  <c r="P636" i="1" s="1"/>
  <c r="Q636" i="1" s="1"/>
  <c r="H636" i="1"/>
  <c r="O635" i="1"/>
  <c r="N635" i="1"/>
  <c r="M635" i="1"/>
  <c r="L635" i="1"/>
  <c r="I635" i="1"/>
  <c r="P635" i="1" s="1"/>
  <c r="Q635" i="1" s="1"/>
  <c r="H635" i="1"/>
  <c r="O634" i="1"/>
  <c r="N634" i="1"/>
  <c r="M634" i="1"/>
  <c r="L634" i="1"/>
  <c r="I634" i="1"/>
  <c r="P634" i="1" s="1"/>
  <c r="Q634" i="1" s="1"/>
  <c r="H634" i="1"/>
  <c r="O633" i="1"/>
  <c r="N633" i="1"/>
  <c r="M633" i="1"/>
  <c r="L633" i="1"/>
  <c r="I633" i="1"/>
  <c r="P633" i="1" s="1"/>
  <c r="Q633" i="1" s="1"/>
  <c r="H633" i="1"/>
  <c r="L632" i="1"/>
  <c r="E632" i="1"/>
  <c r="O631" i="1"/>
  <c r="M631" i="1"/>
  <c r="L631" i="1"/>
  <c r="N631" i="1" s="1"/>
  <c r="Q631" i="1" s="1"/>
  <c r="I631" i="1"/>
  <c r="P631" i="1" s="1"/>
  <c r="H631" i="1"/>
  <c r="L630" i="1"/>
  <c r="P629" i="1"/>
  <c r="O629" i="1"/>
  <c r="M629" i="1"/>
  <c r="L629" i="1"/>
  <c r="N629" i="1" s="1"/>
  <c r="Q629" i="1" s="1"/>
  <c r="I629" i="1"/>
  <c r="H629" i="1"/>
  <c r="P628" i="1"/>
  <c r="O628" i="1"/>
  <c r="M628" i="1"/>
  <c r="L628" i="1"/>
  <c r="N628" i="1" s="1"/>
  <c r="Q628" i="1" s="1"/>
  <c r="I628" i="1"/>
  <c r="H628" i="1"/>
  <c r="P627" i="1"/>
  <c r="O627" i="1"/>
  <c r="M627" i="1"/>
  <c r="L627" i="1"/>
  <c r="N627" i="1" s="1"/>
  <c r="Q627" i="1" s="1"/>
  <c r="I627" i="1"/>
  <c r="H627" i="1"/>
  <c r="P626" i="1"/>
  <c r="O626" i="1"/>
  <c r="M626" i="1"/>
  <c r="L626" i="1"/>
  <c r="N626" i="1" s="1"/>
  <c r="Q626" i="1" s="1"/>
  <c r="I626" i="1"/>
  <c r="H626" i="1"/>
  <c r="P625" i="1"/>
  <c r="O625" i="1"/>
  <c r="M625" i="1"/>
  <c r="L625" i="1"/>
  <c r="N625" i="1" s="1"/>
  <c r="Q625" i="1" s="1"/>
  <c r="I625" i="1"/>
  <c r="H625" i="1"/>
  <c r="P624" i="1"/>
  <c r="O624" i="1"/>
  <c r="M624" i="1"/>
  <c r="L624" i="1"/>
  <c r="N624" i="1" s="1"/>
  <c r="Q624" i="1" s="1"/>
  <c r="I624" i="1"/>
  <c r="H624" i="1"/>
  <c r="P623" i="1"/>
  <c r="O623" i="1"/>
  <c r="M623" i="1"/>
  <c r="L623" i="1"/>
  <c r="N623" i="1" s="1"/>
  <c r="Q623" i="1" s="1"/>
  <c r="I623" i="1"/>
  <c r="H623" i="1"/>
  <c r="P622" i="1"/>
  <c r="O622" i="1"/>
  <c r="M622" i="1"/>
  <c r="L622" i="1"/>
  <c r="N622" i="1" s="1"/>
  <c r="Q622" i="1" s="1"/>
  <c r="I622" i="1"/>
  <c r="H622" i="1"/>
  <c r="P621" i="1"/>
  <c r="O621" i="1"/>
  <c r="M621" i="1"/>
  <c r="L621" i="1"/>
  <c r="N621" i="1" s="1"/>
  <c r="Q621" i="1" s="1"/>
  <c r="I621" i="1"/>
  <c r="H621" i="1"/>
  <c r="L620" i="1"/>
  <c r="E620" i="1"/>
  <c r="O619" i="1"/>
  <c r="N619" i="1"/>
  <c r="M619" i="1"/>
  <c r="L619" i="1"/>
  <c r="I619" i="1"/>
  <c r="P619" i="1" s="1"/>
  <c r="H619" i="1"/>
  <c r="L618" i="1"/>
  <c r="O617" i="1"/>
  <c r="M617" i="1"/>
  <c r="L617" i="1"/>
  <c r="N617" i="1" s="1"/>
  <c r="Q617" i="1" s="1"/>
  <c r="I617" i="1"/>
  <c r="P617" i="1" s="1"/>
  <c r="H617" i="1"/>
  <c r="O616" i="1"/>
  <c r="M616" i="1"/>
  <c r="L616" i="1"/>
  <c r="N616" i="1" s="1"/>
  <c r="I616" i="1"/>
  <c r="P616" i="1" s="1"/>
  <c r="H616" i="1"/>
  <c r="O615" i="1"/>
  <c r="M615" i="1"/>
  <c r="L615" i="1"/>
  <c r="N615" i="1" s="1"/>
  <c r="Q615" i="1" s="1"/>
  <c r="I615" i="1"/>
  <c r="P615" i="1" s="1"/>
  <c r="H615" i="1"/>
  <c r="O614" i="1"/>
  <c r="M614" i="1"/>
  <c r="L614" i="1"/>
  <c r="N614" i="1" s="1"/>
  <c r="Q614" i="1" s="1"/>
  <c r="I614" i="1"/>
  <c r="P614" i="1" s="1"/>
  <c r="H614" i="1"/>
  <c r="O613" i="1"/>
  <c r="M613" i="1"/>
  <c r="L613" i="1"/>
  <c r="N613" i="1" s="1"/>
  <c r="Q613" i="1" s="1"/>
  <c r="I613" i="1"/>
  <c r="P613" i="1" s="1"/>
  <c r="H613" i="1"/>
  <c r="O612" i="1"/>
  <c r="M612" i="1"/>
  <c r="L612" i="1"/>
  <c r="N612" i="1" s="1"/>
  <c r="I612" i="1"/>
  <c r="P612" i="1" s="1"/>
  <c r="H612" i="1"/>
  <c r="O611" i="1"/>
  <c r="M611" i="1"/>
  <c r="L611" i="1"/>
  <c r="N611" i="1" s="1"/>
  <c r="Q611" i="1" s="1"/>
  <c r="I611" i="1"/>
  <c r="P611" i="1" s="1"/>
  <c r="H611" i="1"/>
  <c r="O610" i="1"/>
  <c r="M610" i="1"/>
  <c r="L610" i="1"/>
  <c r="N610" i="1" s="1"/>
  <c r="Q610" i="1" s="1"/>
  <c r="I610" i="1"/>
  <c r="P610" i="1" s="1"/>
  <c r="H610" i="1"/>
  <c r="O609" i="1"/>
  <c r="M609" i="1"/>
  <c r="L609" i="1"/>
  <c r="N609" i="1" s="1"/>
  <c r="Q609" i="1" s="1"/>
  <c r="I609" i="1"/>
  <c r="P609" i="1" s="1"/>
  <c r="H609" i="1"/>
  <c r="L608" i="1"/>
  <c r="E608" i="1"/>
  <c r="O607" i="1"/>
  <c r="N607" i="1"/>
  <c r="M607" i="1"/>
  <c r="L607" i="1"/>
  <c r="I607" i="1"/>
  <c r="P607" i="1" s="1"/>
  <c r="Q607" i="1" s="1"/>
  <c r="H607" i="1"/>
  <c r="L606" i="1"/>
  <c r="O605" i="1"/>
  <c r="N605" i="1"/>
  <c r="M605" i="1"/>
  <c r="L605" i="1"/>
  <c r="I605" i="1"/>
  <c r="P605" i="1" s="1"/>
  <c r="H605" i="1"/>
  <c r="O604" i="1"/>
  <c r="N604" i="1"/>
  <c r="M604" i="1"/>
  <c r="L604" i="1"/>
  <c r="I604" i="1"/>
  <c r="P604" i="1" s="1"/>
  <c r="H604" i="1"/>
  <c r="O603" i="1"/>
  <c r="N603" i="1"/>
  <c r="M603" i="1"/>
  <c r="L603" i="1"/>
  <c r="I603" i="1"/>
  <c r="P603" i="1" s="1"/>
  <c r="H603" i="1"/>
  <c r="O602" i="1"/>
  <c r="N602" i="1"/>
  <c r="M602" i="1"/>
  <c r="L602" i="1"/>
  <c r="I602" i="1"/>
  <c r="P602" i="1" s="1"/>
  <c r="H602" i="1"/>
  <c r="O601" i="1"/>
  <c r="N601" i="1"/>
  <c r="M601" i="1"/>
  <c r="L601" i="1"/>
  <c r="I601" i="1"/>
  <c r="P601" i="1" s="1"/>
  <c r="H601" i="1"/>
  <c r="O600" i="1"/>
  <c r="N600" i="1"/>
  <c r="M600" i="1"/>
  <c r="L600" i="1"/>
  <c r="I600" i="1"/>
  <c r="P600" i="1" s="1"/>
  <c r="H600" i="1"/>
  <c r="O599" i="1"/>
  <c r="N599" i="1"/>
  <c r="M599" i="1"/>
  <c r="L599" i="1"/>
  <c r="I599" i="1"/>
  <c r="P599" i="1" s="1"/>
  <c r="H599" i="1"/>
  <c r="O598" i="1"/>
  <c r="N598" i="1"/>
  <c r="M598" i="1"/>
  <c r="L598" i="1"/>
  <c r="I598" i="1"/>
  <c r="P598" i="1" s="1"/>
  <c r="H598" i="1"/>
  <c r="O597" i="1"/>
  <c r="N597" i="1"/>
  <c r="M597" i="1"/>
  <c r="L597" i="1"/>
  <c r="I597" i="1"/>
  <c r="P597" i="1" s="1"/>
  <c r="H597" i="1"/>
  <c r="L596" i="1"/>
  <c r="E596" i="1"/>
  <c r="P595" i="1"/>
  <c r="O595" i="1"/>
  <c r="M595" i="1"/>
  <c r="L595" i="1"/>
  <c r="N595" i="1" s="1"/>
  <c r="Q595" i="1" s="1"/>
  <c r="I595" i="1"/>
  <c r="H595" i="1"/>
  <c r="L594" i="1"/>
  <c r="O593" i="1"/>
  <c r="N593" i="1"/>
  <c r="M593" i="1"/>
  <c r="L593" i="1"/>
  <c r="I593" i="1"/>
  <c r="P593" i="1" s="1"/>
  <c r="Q593" i="1" s="1"/>
  <c r="H593" i="1"/>
  <c r="O592" i="1"/>
  <c r="N592" i="1"/>
  <c r="M592" i="1"/>
  <c r="L592" i="1"/>
  <c r="I592" i="1"/>
  <c r="P592" i="1" s="1"/>
  <c r="Q592" i="1" s="1"/>
  <c r="H592" i="1"/>
  <c r="O591" i="1"/>
  <c r="N591" i="1"/>
  <c r="M591" i="1"/>
  <c r="L591" i="1"/>
  <c r="I591" i="1"/>
  <c r="P591" i="1" s="1"/>
  <c r="Q591" i="1" s="1"/>
  <c r="H591" i="1"/>
  <c r="O590" i="1"/>
  <c r="N590" i="1"/>
  <c r="M590" i="1"/>
  <c r="L590" i="1"/>
  <c r="I590" i="1"/>
  <c r="P590" i="1" s="1"/>
  <c r="Q590" i="1" s="1"/>
  <c r="H590" i="1"/>
  <c r="O589" i="1"/>
  <c r="N589" i="1"/>
  <c r="M589" i="1"/>
  <c r="L589" i="1"/>
  <c r="I589" i="1"/>
  <c r="P589" i="1" s="1"/>
  <c r="Q589" i="1" s="1"/>
  <c r="H589" i="1"/>
  <c r="O588" i="1"/>
  <c r="N588" i="1"/>
  <c r="M588" i="1"/>
  <c r="L588" i="1"/>
  <c r="I588" i="1"/>
  <c r="P588" i="1" s="1"/>
  <c r="Q588" i="1" s="1"/>
  <c r="H588" i="1"/>
  <c r="O587" i="1"/>
  <c r="N587" i="1"/>
  <c r="M587" i="1"/>
  <c r="L587" i="1"/>
  <c r="I587" i="1"/>
  <c r="P587" i="1" s="1"/>
  <c r="Q587" i="1" s="1"/>
  <c r="H587" i="1"/>
  <c r="O586" i="1"/>
  <c r="N586" i="1"/>
  <c r="M586" i="1"/>
  <c r="L586" i="1"/>
  <c r="I586" i="1"/>
  <c r="P586" i="1" s="1"/>
  <c r="Q586" i="1" s="1"/>
  <c r="H586" i="1"/>
  <c r="O585" i="1"/>
  <c r="N585" i="1"/>
  <c r="M585" i="1"/>
  <c r="L585" i="1"/>
  <c r="I585" i="1"/>
  <c r="P585" i="1" s="1"/>
  <c r="Q585" i="1" s="1"/>
  <c r="H585" i="1"/>
  <c r="L584" i="1"/>
  <c r="E584" i="1"/>
  <c r="O583" i="1"/>
  <c r="M583" i="1"/>
  <c r="L583" i="1"/>
  <c r="N583" i="1" s="1"/>
  <c r="I583" i="1"/>
  <c r="P583" i="1" s="1"/>
  <c r="H583" i="1"/>
  <c r="L582" i="1"/>
  <c r="P581" i="1"/>
  <c r="O581" i="1"/>
  <c r="M581" i="1"/>
  <c r="L581" i="1"/>
  <c r="N581" i="1" s="1"/>
  <c r="Q581" i="1" s="1"/>
  <c r="I581" i="1"/>
  <c r="H581" i="1"/>
  <c r="P580" i="1"/>
  <c r="O580" i="1"/>
  <c r="M580" i="1"/>
  <c r="L580" i="1"/>
  <c r="N580" i="1" s="1"/>
  <c r="Q580" i="1" s="1"/>
  <c r="I580" i="1"/>
  <c r="H580" i="1"/>
  <c r="P579" i="1"/>
  <c r="O579" i="1"/>
  <c r="M579" i="1"/>
  <c r="L579" i="1"/>
  <c r="N579" i="1" s="1"/>
  <c r="Q579" i="1" s="1"/>
  <c r="I579" i="1"/>
  <c r="H579" i="1"/>
  <c r="P578" i="1"/>
  <c r="O578" i="1"/>
  <c r="M578" i="1"/>
  <c r="L578" i="1"/>
  <c r="N578" i="1" s="1"/>
  <c r="Q578" i="1" s="1"/>
  <c r="I578" i="1"/>
  <c r="H578" i="1"/>
  <c r="P577" i="1"/>
  <c r="O577" i="1"/>
  <c r="M577" i="1"/>
  <c r="L577" i="1"/>
  <c r="N577" i="1" s="1"/>
  <c r="Q577" i="1" s="1"/>
  <c r="I577" i="1"/>
  <c r="H577" i="1"/>
  <c r="P576" i="1"/>
  <c r="O576" i="1"/>
  <c r="M576" i="1"/>
  <c r="L576" i="1"/>
  <c r="N576" i="1" s="1"/>
  <c r="Q576" i="1" s="1"/>
  <c r="I576" i="1"/>
  <c r="H576" i="1"/>
  <c r="P575" i="1"/>
  <c r="O575" i="1"/>
  <c r="M575" i="1"/>
  <c r="L575" i="1"/>
  <c r="N575" i="1" s="1"/>
  <c r="Q575" i="1" s="1"/>
  <c r="I575" i="1"/>
  <c r="H575" i="1"/>
  <c r="P574" i="1"/>
  <c r="O574" i="1"/>
  <c r="M574" i="1"/>
  <c r="L574" i="1"/>
  <c r="N574" i="1" s="1"/>
  <c r="Q574" i="1" s="1"/>
  <c r="I574" i="1"/>
  <c r="H574" i="1"/>
  <c r="P573" i="1"/>
  <c r="O573" i="1"/>
  <c r="M573" i="1"/>
  <c r="L573" i="1"/>
  <c r="N573" i="1" s="1"/>
  <c r="Q573" i="1" s="1"/>
  <c r="I573" i="1"/>
  <c r="H573" i="1"/>
  <c r="L572" i="1"/>
  <c r="E572" i="1"/>
  <c r="O571" i="1"/>
  <c r="N571" i="1"/>
  <c r="Q571" i="1" s="1"/>
  <c r="M571" i="1"/>
  <c r="L571" i="1"/>
  <c r="I571" i="1"/>
  <c r="P571" i="1" s="1"/>
  <c r="H571" i="1"/>
  <c r="L570" i="1"/>
  <c r="O569" i="1"/>
  <c r="M569" i="1"/>
  <c r="L569" i="1"/>
  <c r="N569" i="1" s="1"/>
  <c r="Q569" i="1" s="1"/>
  <c r="I569" i="1"/>
  <c r="P569" i="1" s="1"/>
  <c r="H569" i="1"/>
  <c r="O568" i="1"/>
  <c r="M568" i="1"/>
  <c r="L568" i="1"/>
  <c r="N568" i="1" s="1"/>
  <c r="Q568" i="1" s="1"/>
  <c r="I568" i="1"/>
  <c r="P568" i="1" s="1"/>
  <c r="H568" i="1"/>
  <c r="O567" i="1"/>
  <c r="M567" i="1"/>
  <c r="L567" i="1"/>
  <c r="N567" i="1" s="1"/>
  <c r="Q567" i="1" s="1"/>
  <c r="I567" i="1"/>
  <c r="P567" i="1" s="1"/>
  <c r="H567" i="1"/>
  <c r="O566" i="1"/>
  <c r="M566" i="1"/>
  <c r="L566" i="1"/>
  <c r="N566" i="1" s="1"/>
  <c r="I566" i="1"/>
  <c r="P566" i="1" s="1"/>
  <c r="H566" i="1"/>
  <c r="O565" i="1"/>
  <c r="M565" i="1"/>
  <c r="L565" i="1"/>
  <c r="N565" i="1" s="1"/>
  <c r="Q565" i="1" s="1"/>
  <c r="I565" i="1"/>
  <c r="P565" i="1" s="1"/>
  <c r="H565" i="1"/>
  <c r="O564" i="1"/>
  <c r="M564" i="1"/>
  <c r="L564" i="1"/>
  <c r="N564" i="1" s="1"/>
  <c r="Q564" i="1" s="1"/>
  <c r="I564" i="1"/>
  <c r="P564" i="1" s="1"/>
  <c r="H564" i="1"/>
  <c r="O563" i="1"/>
  <c r="M563" i="1"/>
  <c r="L563" i="1"/>
  <c r="N563" i="1" s="1"/>
  <c r="Q563" i="1" s="1"/>
  <c r="I563" i="1"/>
  <c r="P563" i="1" s="1"/>
  <c r="H563" i="1"/>
  <c r="O562" i="1"/>
  <c r="M562" i="1"/>
  <c r="L562" i="1"/>
  <c r="N562" i="1" s="1"/>
  <c r="I562" i="1"/>
  <c r="P562" i="1" s="1"/>
  <c r="H562" i="1"/>
  <c r="O561" i="1"/>
  <c r="M561" i="1"/>
  <c r="L561" i="1"/>
  <c r="N561" i="1" s="1"/>
  <c r="Q561" i="1" s="1"/>
  <c r="I561" i="1"/>
  <c r="P561" i="1" s="1"/>
  <c r="H561" i="1"/>
  <c r="L560" i="1"/>
  <c r="E560" i="1"/>
  <c r="O559" i="1"/>
  <c r="N559" i="1"/>
  <c r="M559" i="1"/>
  <c r="L559" i="1"/>
  <c r="I559" i="1"/>
  <c r="P559" i="1" s="1"/>
  <c r="Q559" i="1" s="1"/>
  <c r="H559" i="1"/>
  <c r="L558" i="1"/>
  <c r="O557" i="1"/>
  <c r="N557" i="1"/>
  <c r="M557" i="1"/>
  <c r="L557" i="1"/>
  <c r="I557" i="1"/>
  <c r="P557" i="1" s="1"/>
  <c r="H557" i="1"/>
  <c r="O556" i="1"/>
  <c r="N556" i="1"/>
  <c r="M556" i="1"/>
  <c r="L556" i="1"/>
  <c r="I556" i="1"/>
  <c r="P556" i="1" s="1"/>
  <c r="H556" i="1"/>
  <c r="O555" i="1"/>
  <c r="N555" i="1"/>
  <c r="M555" i="1"/>
  <c r="L555" i="1"/>
  <c r="I555" i="1"/>
  <c r="P555" i="1" s="1"/>
  <c r="H555" i="1"/>
  <c r="O554" i="1"/>
  <c r="N554" i="1"/>
  <c r="M554" i="1"/>
  <c r="L554" i="1"/>
  <c r="I554" i="1"/>
  <c r="P554" i="1" s="1"/>
  <c r="H554" i="1"/>
  <c r="O553" i="1"/>
  <c r="N553" i="1"/>
  <c r="M553" i="1"/>
  <c r="L553" i="1"/>
  <c r="I553" i="1"/>
  <c r="P553" i="1" s="1"/>
  <c r="H553" i="1"/>
  <c r="O552" i="1"/>
  <c r="N552" i="1"/>
  <c r="M552" i="1"/>
  <c r="L552" i="1"/>
  <c r="I552" i="1"/>
  <c r="P552" i="1" s="1"/>
  <c r="H552" i="1"/>
  <c r="O551" i="1"/>
  <c r="N551" i="1"/>
  <c r="M551" i="1"/>
  <c r="L551" i="1"/>
  <c r="I551" i="1"/>
  <c r="P551" i="1" s="1"/>
  <c r="H551" i="1"/>
  <c r="O550" i="1"/>
  <c r="N550" i="1"/>
  <c r="M550" i="1"/>
  <c r="L550" i="1"/>
  <c r="I550" i="1"/>
  <c r="P550" i="1" s="1"/>
  <c r="H550" i="1"/>
  <c r="O549" i="1"/>
  <c r="N549" i="1"/>
  <c r="M549" i="1"/>
  <c r="L549" i="1"/>
  <c r="I549" i="1"/>
  <c r="P549" i="1" s="1"/>
  <c r="H549" i="1"/>
  <c r="L548" i="1"/>
  <c r="E548" i="1"/>
  <c r="P547" i="1"/>
  <c r="O547" i="1"/>
  <c r="M547" i="1"/>
  <c r="L547" i="1"/>
  <c r="N547" i="1" s="1"/>
  <c r="Q547" i="1" s="1"/>
  <c r="I547" i="1"/>
  <c r="H547" i="1"/>
  <c r="L546" i="1"/>
  <c r="O545" i="1"/>
  <c r="N545" i="1"/>
  <c r="M545" i="1"/>
  <c r="L545" i="1"/>
  <c r="I545" i="1"/>
  <c r="P545" i="1" s="1"/>
  <c r="Q545" i="1" s="1"/>
  <c r="H545" i="1"/>
  <c r="O544" i="1"/>
  <c r="N544" i="1"/>
  <c r="M544" i="1"/>
  <c r="L544" i="1"/>
  <c r="I544" i="1"/>
  <c r="P544" i="1" s="1"/>
  <c r="Q544" i="1" s="1"/>
  <c r="H544" i="1"/>
  <c r="O543" i="1"/>
  <c r="N543" i="1"/>
  <c r="M543" i="1"/>
  <c r="L543" i="1"/>
  <c r="I543" i="1"/>
  <c r="P543" i="1" s="1"/>
  <c r="Q543" i="1" s="1"/>
  <c r="H543" i="1"/>
  <c r="O542" i="1"/>
  <c r="N542" i="1"/>
  <c r="M542" i="1"/>
  <c r="L542" i="1"/>
  <c r="I542" i="1"/>
  <c r="P542" i="1" s="1"/>
  <c r="Q542" i="1" s="1"/>
  <c r="H542" i="1"/>
  <c r="O541" i="1"/>
  <c r="N541" i="1"/>
  <c r="M541" i="1"/>
  <c r="L541" i="1"/>
  <c r="I541" i="1"/>
  <c r="P541" i="1" s="1"/>
  <c r="Q541" i="1" s="1"/>
  <c r="H541" i="1"/>
  <c r="O540" i="1"/>
  <c r="N540" i="1"/>
  <c r="M540" i="1"/>
  <c r="L540" i="1"/>
  <c r="I540" i="1"/>
  <c r="P540" i="1" s="1"/>
  <c r="Q540" i="1" s="1"/>
  <c r="H540" i="1"/>
  <c r="O539" i="1"/>
  <c r="N539" i="1"/>
  <c r="M539" i="1"/>
  <c r="L539" i="1"/>
  <c r="I539" i="1"/>
  <c r="P539" i="1" s="1"/>
  <c r="Q539" i="1" s="1"/>
  <c r="H539" i="1"/>
  <c r="O538" i="1"/>
  <c r="N538" i="1"/>
  <c r="M538" i="1"/>
  <c r="L538" i="1"/>
  <c r="I538" i="1"/>
  <c r="P538" i="1" s="1"/>
  <c r="Q538" i="1" s="1"/>
  <c r="H538" i="1"/>
  <c r="O537" i="1"/>
  <c r="N537" i="1"/>
  <c r="M537" i="1"/>
  <c r="L537" i="1"/>
  <c r="I537" i="1"/>
  <c r="P537" i="1" s="1"/>
  <c r="Q537" i="1" s="1"/>
  <c r="H537" i="1"/>
  <c r="L536" i="1"/>
  <c r="E536" i="1"/>
  <c r="O535" i="1"/>
  <c r="M535" i="1"/>
  <c r="L535" i="1"/>
  <c r="N535" i="1" s="1"/>
  <c r="Q535" i="1" s="1"/>
  <c r="I535" i="1"/>
  <c r="P535" i="1" s="1"/>
  <c r="H535" i="1"/>
  <c r="L534" i="1"/>
  <c r="P533" i="1"/>
  <c r="O533" i="1"/>
  <c r="M533" i="1"/>
  <c r="L533" i="1"/>
  <c r="N533" i="1" s="1"/>
  <c r="Q533" i="1" s="1"/>
  <c r="I533" i="1"/>
  <c r="H533" i="1"/>
  <c r="P532" i="1"/>
  <c r="O532" i="1"/>
  <c r="M532" i="1"/>
  <c r="L532" i="1"/>
  <c r="N532" i="1" s="1"/>
  <c r="Q532" i="1" s="1"/>
  <c r="I532" i="1"/>
  <c r="H532" i="1"/>
  <c r="P531" i="1"/>
  <c r="O531" i="1"/>
  <c r="M531" i="1"/>
  <c r="L531" i="1"/>
  <c r="N531" i="1" s="1"/>
  <c r="Q531" i="1" s="1"/>
  <c r="I531" i="1"/>
  <c r="H531" i="1"/>
  <c r="P530" i="1"/>
  <c r="O530" i="1"/>
  <c r="M530" i="1"/>
  <c r="L530" i="1"/>
  <c r="N530" i="1" s="1"/>
  <c r="Q530" i="1" s="1"/>
  <c r="I530" i="1"/>
  <c r="H530" i="1"/>
  <c r="P529" i="1"/>
  <c r="O529" i="1"/>
  <c r="M529" i="1"/>
  <c r="L529" i="1"/>
  <c r="N529" i="1" s="1"/>
  <c r="Q529" i="1" s="1"/>
  <c r="I529" i="1"/>
  <c r="H529" i="1"/>
  <c r="P528" i="1"/>
  <c r="O528" i="1"/>
  <c r="M528" i="1"/>
  <c r="L528" i="1"/>
  <c r="N528" i="1" s="1"/>
  <c r="Q528" i="1" s="1"/>
  <c r="I528" i="1"/>
  <c r="H528" i="1"/>
  <c r="P527" i="1"/>
  <c r="O527" i="1"/>
  <c r="M527" i="1"/>
  <c r="L527" i="1"/>
  <c r="N527" i="1" s="1"/>
  <c r="Q527" i="1" s="1"/>
  <c r="I527" i="1"/>
  <c r="H527" i="1"/>
  <c r="P526" i="1"/>
  <c r="O526" i="1"/>
  <c r="M526" i="1"/>
  <c r="L526" i="1"/>
  <c r="N526" i="1" s="1"/>
  <c r="Q526" i="1" s="1"/>
  <c r="I526" i="1"/>
  <c r="H526" i="1"/>
  <c r="P525" i="1"/>
  <c r="O525" i="1"/>
  <c r="M525" i="1"/>
  <c r="L525" i="1"/>
  <c r="N525" i="1" s="1"/>
  <c r="Q525" i="1" s="1"/>
  <c r="I525" i="1"/>
  <c r="H525" i="1"/>
  <c r="L524" i="1"/>
  <c r="E524" i="1"/>
  <c r="O523" i="1"/>
  <c r="N523" i="1"/>
  <c r="M523" i="1"/>
  <c r="L523" i="1"/>
  <c r="I523" i="1"/>
  <c r="P523" i="1" s="1"/>
  <c r="H523" i="1"/>
  <c r="L522" i="1"/>
  <c r="O521" i="1"/>
  <c r="M521" i="1"/>
  <c r="L521" i="1"/>
  <c r="N521" i="1" s="1"/>
  <c r="Q521" i="1" s="1"/>
  <c r="I521" i="1"/>
  <c r="P521" i="1" s="1"/>
  <c r="H521" i="1"/>
  <c r="O520" i="1"/>
  <c r="M520" i="1"/>
  <c r="L520" i="1"/>
  <c r="N520" i="1" s="1"/>
  <c r="I520" i="1"/>
  <c r="P520" i="1" s="1"/>
  <c r="H520" i="1"/>
  <c r="O519" i="1"/>
  <c r="M519" i="1"/>
  <c r="L519" i="1"/>
  <c r="N519" i="1" s="1"/>
  <c r="Q519" i="1" s="1"/>
  <c r="I519" i="1"/>
  <c r="P519" i="1" s="1"/>
  <c r="H519" i="1"/>
  <c r="O518" i="1"/>
  <c r="M518" i="1"/>
  <c r="L518" i="1"/>
  <c r="N518" i="1" s="1"/>
  <c r="Q518" i="1" s="1"/>
  <c r="I518" i="1"/>
  <c r="P518" i="1" s="1"/>
  <c r="H518" i="1"/>
  <c r="O517" i="1"/>
  <c r="M517" i="1"/>
  <c r="L517" i="1"/>
  <c r="N517" i="1" s="1"/>
  <c r="Q517" i="1" s="1"/>
  <c r="I517" i="1"/>
  <c r="P517" i="1" s="1"/>
  <c r="H517" i="1"/>
  <c r="O516" i="1"/>
  <c r="M516" i="1"/>
  <c r="L516" i="1"/>
  <c r="N516" i="1" s="1"/>
  <c r="I516" i="1"/>
  <c r="P516" i="1" s="1"/>
  <c r="H516" i="1"/>
  <c r="O515" i="1"/>
  <c r="M515" i="1"/>
  <c r="L515" i="1"/>
  <c r="N515" i="1" s="1"/>
  <c r="Q515" i="1" s="1"/>
  <c r="I515" i="1"/>
  <c r="P515" i="1" s="1"/>
  <c r="H515" i="1"/>
  <c r="O514" i="1"/>
  <c r="M514" i="1"/>
  <c r="L514" i="1"/>
  <c r="N514" i="1" s="1"/>
  <c r="Q514" i="1" s="1"/>
  <c r="I514" i="1"/>
  <c r="P514" i="1" s="1"/>
  <c r="H514" i="1"/>
  <c r="O513" i="1"/>
  <c r="M513" i="1"/>
  <c r="L513" i="1"/>
  <c r="N513" i="1" s="1"/>
  <c r="Q513" i="1" s="1"/>
  <c r="I513" i="1"/>
  <c r="P513" i="1" s="1"/>
  <c r="H513" i="1"/>
  <c r="L512" i="1"/>
  <c r="E512" i="1"/>
  <c r="O511" i="1"/>
  <c r="N511" i="1"/>
  <c r="M511" i="1"/>
  <c r="L511" i="1"/>
  <c r="I511" i="1"/>
  <c r="P511" i="1" s="1"/>
  <c r="Q511" i="1" s="1"/>
  <c r="H511" i="1"/>
  <c r="L510" i="1"/>
  <c r="O509" i="1"/>
  <c r="N509" i="1"/>
  <c r="M509" i="1"/>
  <c r="L509" i="1"/>
  <c r="I509" i="1"/>
  <c r="P509" i="1" s="1"/>
  <c r="H509" i="1"/>
  <c r="O508" i="1"/>
  <c r="N508" i="1"/>
  <c r="M508" i="1"/>
  <c r="L508" i="1"/>
  <c r="I508" i="1"/>
  <c r="P508" i="1" s="1"/>
  <c r="H508" i="1"/>
  <c r="O507" i="1"/>
  <c r="N507" i="1"/>
  <c r="M507" i="1"/>
  <c r="L507" i="1"/>
  <c r="I507" i="1"/>
  <c r="P507" i="1" s="1"/>
  <c r="H507" i="1"/>
  <c r="O506" i="1"/>
  <c r="N506" i="1"/>
  <c r="M506" i="1"/>
  <c r="L506" i="1"/>
  <c r="I506" i="1"/>
  <c r="P506" i="1" s="1"/>
  <c r="H506" i="1"/>
  <c r="O505" i="1"/>
  <c r="N505" i="1"/>
  <c r="M505" i="1"/>
  <c r="L505" i="1"/>
  <c r="I505" i="1"/>
  <c r="P505" i="1" s="1"/>
  <c r="H505" i="1"/>
  <c r="O504" i="1"/>
  <c r="N504" i="1"/>
  <c r="M504" i="1"/>
  <c r="L504" i="1"/>
  <c r="I504" i="1"/>
  <c r="P504" i="1" s="1"/>
  <c r="H504" i="1"/>
  <c r="O503" i="1"/>
  <c r="N503" i="1"/>
  <c r="M503" i="1"/>
  <c r="L503" i="1"/>
  <c r="I503" i="1"/>
  <c r="P503" i="1" s="1"/>
  <c r="H503" i="1"/>
  <c r="O502" i="1"/>
  <c r="N502" i="1"/>
  <c r="M502" i="1"/>
  <c r="L502" i="1"/>
  <c r="I502" i="1"/>
  <c r="P502" i="1" s="1"/>
  <c r="H502" i="1"/>
  <c r="O501" i="1"/>
  <c r="N501" i="1"/>
  <c r="M501" i="1"/>
  <c r="L501" i="1"/>
  <c r="I501" i="1"/>
  <c r="P501" i="1" s="1"/>
  <c r="H501" i="1"/>
  <c r="L500" i="1"/>
  <c r="E500" i="1"/>
  <c r="P499" i="1"/>
  <c r="O499" i="1"/>
  <c r="M499" i="1"/>
  <c r="L499" i="1"/>
  <c r="N499" i="1" s="1"/>
  <c r="Q499" i="1" s="1"/>
  <c r="I499" i="1"/>
  <c r="H499" i="1"/>
  <c r="L498" i="1"/>
  <c r="O497" i="1"/>
  <c r="N497" i="1"/>
  <c r="M497" i="1"/>
  <c r="L497" i="1"/>
  <c r="I497" i="1"/>
  <c r="P497" i="1" s="1"/>
  <c r="Q497" i="1" s="1"/>
  <c r="H497" i="1"/>
  <c r="O496" i="1"/>
  <c r="N496" i="1"/>
  <c r="M496" i="1"/>
  <c r="L496" i="1"/>
  <c r="I496" i="1"/>
  <c r="P496" i="1" s="1"/>
  <c r="Q496" i="1" s="1"/>
  <c r="H496" i="1"/>
  <c r="O495" i="1"/>
  <c r="N495" i="1"/>
  <c r="M495" i="1"/>
  <c r="L495" i="1"/>
  <c r="I495" i="1"/>
  <c r="P495" i="1" s="1"/>
  <c r="Q495" i="1" s="1"/>
  <c r="H495" i="1"/>
  <c r="O494" i="1"/>
  <c r="N494" i="1"/>
  <c r="M494" i="1"/>
  <c r="L494" i="1"/>
  <c r="I494" i="1"/>
  <c r="P494" i="1" s="1"/>
  <c r="Q494" i="1" s="1"/>
  <c r="H494" i="1"/>
  <c r="O493" i="1"/>
  <c r="N493" i="1"/>
  <c r="M493" i="1"/>
  <c r="L493" i="1"/>
  <c r="I493" i="1"/>
  <c r="P493" i="1" s="1"/>
  <c r="Q493" i="1" s="1"/>
  <c r="H493" i="1"/>
  <c r="O492" i="1"/>
  <c r="N492" i="1"/>
  <c r="M492" i="1"/>
  <c r="L492" i="1"/>
  <c r="I492" i="1"/>
  <c r="P492" i="1" s="1"/>
  <c r="Q492" i="1" s="1"/>
  <c r="H492" i="1"/>
  <c r="O491" i="1"/>
  <c r="N491" i="1"/>
  <c r="M491" i="1"/>
  <c r="L491" i="1"/>
  <c r="I491" i="1"/>
  <c r="P491" i="1" s="1"/>
  <c r="Q491" i="1" s="1"/>
  <c r="H491" i="1"/>
  <c r="O490" i="1"/>
  <c r="N490" i="1"/>
  <c r="M490" i="1"/>
  <c r="L490" i="1"/>
  <c r="I490" i="1"/>
  <c r="P490" i="1" s="1"/>
  <c r="Q490" i="1" s="1"/>
  <c r="H490" i="1"/>
  <c r="O489" i="1"/>
  <c r="N489" i="1"/>
  <c r="M489" i="1"/>
  <c r="L489" i="1"/>
  <c r="I489" i="1"/>
  <c r="P489" i="1" s="1"/>
  <c r="Q489" i="1" s="1"/>
  <c r="H489" i="1"/>
  <c r="L488" i="1"/>
  <c r="E488" i="1"/>
  <c r="O487" i="1"/>
  <c r="M487" i="1"/>
  <c r="L487" i="1"/>
  <c r="N487" i="1" s="1"/>
  <c r="I487" i="1"/>
  <c r="P487" i="1" s="1"/>
  <c r="H487" i="1"/>
  <c r="L486" i="1"/>
  <c r="P485" i="1"/>
  <c r="O485" i="1"/>
  <c r="M485" i="1"/>
  <c r="L485" i="1"/>
  <c r="N485" i="1" s="1"/>
  <c r="Q485" i="1" s="1"/>
  <c r="I485" i="1"/>
  <c r="H485" i="1"/>
  <c r="P484" i="1"/>
  <c r="O484" i="1"/>
  <c r="M484" i="1"/>
  <c r="L484" i="1"/>
  <c r="N484" i="1" s="1"/>
  <c r="Q484" i="1" s="1"/>
  <c r="I484" i="1"/>
  <c r="H484" i="1"/>
  <c r="P483" i="1"/>
  <c r="O483" i="1"/>
  <c r="M483" i="1"/>
  <c r="L483" i="1"/>
  <c r="N483" i="1" s="1"/>
  <c r="Q483" i="1" s="1"/>
  <c r="I483" i="1"/>
  <c r="H483" i="1"/>
  <c r="P482" i="1"/>
  <c r="O482" i="1"/>
  <c r="M482" i="1"/>
  <c r="L482" i="1"/>
  <c r="N482" i="1" s="1"/>
  <c r="Q482" i="1" s="1"/>
  <c r="I482" i="1"/>
  <c r="H482" i="1"/>
  <c r="P481" i="1"/>
  <c r="O481" i="1"/>
  <c r="M481" i="1"/>
  <c r="L481" i="1"/>
  <c r="N481" i="1" s="1"/>
  <c r="Q481" i="1" s="1"/>
  <c r="I481" i="1"/>
  <c r="H481" i="1"/>
  <c r="P480" i="1"/>
  <c r="O480" i="1"/>
  <c r="M480" i="1"/>
  <c r="L480" i="1"/>
  <c r="N480" i="1" s="1"/>
  <c r="Q480" i="1" s="1"/>
  <c r="I480" i="1"/>
  <c r="H480" i="1"/>
  <c r="P479" i="1"/>
  <c r="O479" i="1"/>
  <c r="M479" i="1"/>
  <c r="L479" i="1"/>
  <c r="N479" i="1" s="1"/>
  <c r="Q479" i="1" s="1"/>
  <c r="I479" i="1"/>
  <c r="H479" i="1"/>
  <c r="P478" i="1"/>
  <c r="O478" i="1"/>
  <c r="M478" i="1"/>
  <c r="L478" i="1"/>
  <c r="N478" i="1" s="1"/>
  <c r="Q478" i="1" s="1"/>
  <c r="I478" i="1"/>
  <c r="H478" i="1"/>
  <c r="P477" i="1"/>
  <c r="O477" i="1"/>
  <c r="M477" i="1"/>
  <c r="L477" i="1"/>
  <c r="N477" i="1" s="1"/>
  <c r="Q477" i="1" s="1"/>
  <c r="I477" i="1"/>
  <c r="H477" i="1"/>
  <c r="L476" i="1"/>
  <c r="E476" i="1"/>
  <c r="O475" i="1"/>
  <c r="N475" i="1"/>
  <c r="Q475" i="1" s="1"/>
  <c r="M475" i="1"/>
  <c r="L475" i="1"/>
  <c r="I475" i="1"/>
  <c r="P475" i="1" s="1"/>
  <c r="H475" i="1"/>
  <c r="L474" i="1"/>
  <c r="O473" i="1"/>
  <c r="M473" i="1"/>
  <c r="L473" i="1"/>
  <c r="N473" i="1" s="1"/>
  <c r="Q473" i="1" s="1"/>
  <c r="I473" i="1"/>
  <c r="P473" i="1" s="1"/>
  <c r="H473" i="1"/>
  <c r="O472" i="1"/>
  <c r="M472" i="1"/>
  <c r="L472" i="1"/>
  <c r="N472" i="1" s="1"/>
  <c r="Q472" i="1" s="1"/>
  <c r="I472" i="1"/>
  <c r="P472" i="1" s="1"/>
  <c r="H472" i="1"/>
  <c r="O471" i="1"/>
  <c r="M471" i="1"/>
  <c r="L471" i="1"/>
  <c r="N471" i="1" s="1"/>
  <c r="Q471" i="1" s="1"/>
  <c r="I471" i="1"/>
  <c r="P471" i="1" s="1"/>
  <c r="H471" i="1"/>
  <c r="O470" i="1"/>
  <c r="M470" i="1"/>
  <c r="L470" i="1"/>
  <c r="N470" i="1" s="1"/>
  <c r="I470" i="1"/>
  <c r="P470" i="1" s="1"/>
  <c r="H470" i="1"/>
  <c r="O469" i="1"/>
  <c r="M469" i="1"/>
  <c r="L469" i="1"/>
  <c r="N469" i="1" s="1"/>
  <c r="Q469" i="1" s="1"/>
  <c r="I469" i="1"/>
  <c r="P469" i="1" s="1"/>
  <c r="H469" i="1"/>
  <c r="O468" i="1"/>
  <c r="M468" i="1"/>
  <c r="L468" i="1"/>
  <c r="N468" i="1" s="1"/>
  <c r="Q468" i="1" s="1"/>
  <c r="I468" i="1"/>
  <c r="P468" i="1" s="1"/>
  <c r="H468" i="1"/>
  <c r="O467" i="1"/>
  <c r="M467" i="1"/>
  <c r="L467" i="1"/>
  <c r="N467" i="1" s="1"/>
  <c r="Q467" i="1" s="1"/>
  <c r="I467" i="1"/>
  <c r="P467" i="1" s="1"/>
  <c r="H467" i="1"/>
  <c r="O466" i="1"/>
  <c r="M466" i="1"/>
  <c r="L466" i="1"/>
  <c r="N466" i="1" s="1"/>
  <c r="I466" i="1"/>
  <c r="P466" i="1" s="1"/>
  <c r="H466" i="1"/>
  <c r="O465" i="1"/>
  <c r="M465" i="1"/>
  <c r="L465" i="1"/>
  <c r="N465" i="1" s="1"/>
  <c r="Q465" i="1" s="1"/>
  <c r="I465" i="1"/>
  <c r="P465" i="1" s="1"/>
  <c r="H465" i="1"/>
  <c r="L464" i="1"/>
  <c r="E464" i="1"/>
  <c r="O463" i="1"/>
  <c r="N463" i="1"/>
  <c r="M463" i="1"/>
  <c r="L463" i="1"/>
  <c r="I463" i="1"/>
  <c r="P463" i="1" s="1"/>
  <c r="Q463" i="1" s="1"/>
  <c r="H463" i="1"/>
  <c r="L462" i="1"/>
  <c r="O461" i="1"/>
  <c r="N461" i="1"/>
  <c r="Q461" i="1" s="1"/>
  <c r="M461" i="1"/>
  <c r="L461" i="1"/>
  <c r="I461" i="1"/>
  <c r="P461" i="1" s="1"/>
  <c r="H461" i="1"/>
  <c r="O460" i="1"/>
  <c r="N460" i="1"/>
  <c r="M460" i="1"/>
  <c r="L460" i="1"/>
  <c r="I460" i="1"/>
  <c r="P460" i="1" s="1"/>
  <c r="H460" i="1"/>
  <c r="O459" i="1"/>
  <c r="N459" i="1"/>
  <c r="Q459" i="1" s="1"/>
  <c r="M459" i="1"/>
  <c r="L459" i="1"/>
  <c r="I459" i="1"/>
  <c r="P459" i="1" s="1"/>
  <c r="H459" i="1"/>
  <c r="O458" i="1"/>
  <c r="N458" i="1"/>
  <c r="M458" i="1"/>
  <c r="L458" i="1"/>
  <c r="I458" i="1"/>
  <c r="P458" i="1" s="1"/>
  <c r="H458" i="1"/>
  <c r="O457" i="1"/>
  <c r="N457" i="1"/>
  <c r="Q457" i="1" s="1"/>
  <c r="M457" i="1"/>
  <c r="L457" i="1"/>
  <c r="I457" i="1"/>
  <c r="P457" i="1" s="1"/>
  <c r="H457" i="1"/>
  <c r="O456" i="1"/>
  <c r="N456" i="1"/>
  <c r="M456" i="1"/>
  <c r="L456" i="1"/>
  <c r="I456" i="1"/>
  <c r="P456" i="1" s="1"/>
  <c r="H456" i="1"/>
  <c r="O455" i="1"/>
  <c r="N455" i="1"/>
  <c r="Q455" i="1" s="1"/>
  <c r="M455" i="1"/>
  <c r="L455" i="1"/>
  <c r="I455" i="1"/>
  <c r="P455" i="1" s="1"/>
  <c r="H455" i="1"/>
  <c r="O454" i="1"/>
  <c r="N454" i="1"/>
  <c r="M454" i="1"/>
  <c r="L454" i="1"/>
  <c r="I454" i="1"/>
  <c r="P454" i="1" s="1"/>
  <c r="H454" i="1"/>
  <c r="O453" i="1"/>
  <c r="N453" i="1"/>
  <c r="Q453" i="1" s="1"/>
  <c r="M453" i="1"/>
  <c r="L453" i="1"/>
  <c r="I453" i="1"/>
  <c r="P453" i="1" s="1"/>
  <c r="H453" i="1"/>
  <c r="L452" i="1"/>
  <c r="E452" i="1"/>
  <c r="P451" i="1"/>
  <c r="O451" i="1"/>
  <c r="M451" i="1"/>
  <c r="L451" i="1"/>
  <c r="N451" i="1" s="1"/>
  <c r="I451" i="1"/>
  <c r="H451" i="1"/>
  <c r="L450" i="1"/>
  <c r="O449" i="1"/>
  <c r="N449" i="1"/>
  <c r="M449" i="1"/>
  <c r="L449" i="1"/>
  <c r="I449" i="1"/>
  <c r="P449" i="1" s="1"/>
  <c r="Q449" i="1" s="1"/>
  <c r="H449" i="1"/>
  <c r="Q448" i="1"/>
  <c r="O448" i="1"/>
  <c r="N448" i="1"/>
  <c r="M448" i="1"/>
  <c r="L448" i="1"/>
  <c r="I448" i="1"/>
  <c r="P448" i="1" s="1"/>
  <c r="H448" i="1"/>
  <c r="Q447" i="1"/>
  <c r="O447" i="1"/>
  <c r="N447" i="1"/>
  <c r="M447" i="1"/>
  <c r="L447" i="1"/>
  <c r="I447" i="1"/>
  <c r="P447" i="1" s="1"/>
  <c r="H447" i="1"/>
  <c r="O446" i="1"/>
  <c r="N446" i="1"/>
  <c r="M446" i="1"/>
  <c r="L446" i="1"/>
  <c r="I446" i="1"/>
  <c r="P446" i="1" s="1"/>
  <c r="Q446" i="1" s="1"/>
  <c r="H446" i="1"/>
  <c r="O445" i="1"/>
  <c r="N445" i="1"/>
  <c r="M445" i="1"/>
  <c r="L445" i="1"/>
  <c r="I445" i="1"/>
  <c r="P445" i="1" s="1"/>
  <c r="Q445" i="1" s="1"/>
  <c r="H445" i="1"/>
  <c r="Q444" i="1"/>
  <c r="O444" i="1"/>
  <c r="N444" i="1"/>
  <c r="M444" i="1"/>
  <c r="L444" i="1"/>
  <c r="I444" i="1"/>
  <c r="P444" i="1" s="1"/>
  <c r="H444" i="1"/>
  <c r="Q443" i="1"/>
  <c r="O443" i="1"/>
  <c r="N443" i="1"/>
  <c r="M443" i="1"/>
  <c r="L443" i="1"/>
  <c r="I443" i="1"/>
  <c r="P443" i="1" s="1"/>
  <c r="H443" i="1"/>
  <c r="O442" i="1"/>
  <c r="N442" i="1"/>
  <c r="M442" i="1"/>
  <c r="L442" i="1"/>
  <c r="I442" i="1"/>
  <c r="P442" i="1" s="1"/>
  <c r="Q442" i="1" s="1"/>
  <c r="H442" i="1"/>
  <c r="O441" i="1"/>
  <c r="N441" i="1"/>
  <c r="M441" i="1"/>
  <c r="L441" i="1"/>
  <c r="I441" i="1"/>
  <c r="P441" i="1" s="1"/>
  <c r="Q441" i="1" s="1"/>
  <c r="H441" i="1"/>
  <c r="L440" i="1"/>
  <c r="E440" i="1"/>
  <c r="O439" i="1"/>
  <c r="M439" i="1"/>
  <c r="L439" i="1"/>
  <c r="N439" i="1" s="1"/>
  <c r="I439" i="1"/>
  <c r="P439" i="1" s="1"/>
  <c r="H439" i="1"/>
  <c r="L438" i="1"/>
  <c r="P437" i="1"/>
  <c r="O437" i="1"/>
  <c r="M437" i="1"/>
  <c r="L437" i="1"/>
  <c r="N437" i="1" s="1"/>
  <c r="Q437" i="1" s="1"/>
  <c r="I437" i="1"/>
  <c r="H437" i="1"/>
  <c r="P436" i="1"/>
  <c r="O436" i="1"/>
  <c r="M436" i="1"/>
  <c r="L436" i="1"/>
  <c r="N436" i="1" s="1"/>
  <c r="I436" i="1"/>
  <c r="H436" i="1"/>
  <c r="P435" i="1"/>
  <c r="O435" i="1"/>
  <c r="M435" i="1"/>
  <c r="L435" i="1"/>
  <c r="N435" i="1" s="1"/>
  <c r="Q435" i="1" s="1"/>
  <c r="I435" i="1"/>
  <c r="H435" i="1"/>
  <c r="P434" i="1"/>
  <c r="O434" i="1"/>
  <c r="M434" i="1"/>
  <c r="L434" i="1"/>
  <c r="N434" i="1" s="1"/>
  <c r="I434" i="1"/>
  <c r="H434" i="1"/>
  <c r="P433" i="1"/>
  <c r="O433" i="1"/>
  <c r="M433" i="1"/>
  <c r="L433" i="1"/>
  <c r="N433" i="1" s="1"/>
  <c r="Q433" i="1" s="1"/>
  <c r="I433" i="1"/>
  <c r="H433" i="1"/>
  <c r="P432" i="1"/>
  <c r="O432" i="1"/>
  <c r="M432" i="1"/>
  <c r="L432" i="1"/>
  <c r="N432" i="1" s="1"/>
  <c r="I432" i="1"/>
  <c r="H432" i="1"/>
  <c r="P431" i="1"/>
  <c r="O431" i="1"/>
  <c r="M431" i="1"/>
  <c r="L431" i="1"/>
  <c r="N431" i="1" s="1"/>
  <c r="Q431" i="1" s="1"/>
  <c r="I431" i="1"/>
  <c r="H431" i="1"/>
  <c r="P430" i="1"/>
  <c r="O430" i="1"/>
  <c r="M430" i="1"/>
  <c r="L430" i="1"/>
  <c r="N430" i="1" s="1"/>
  <c r="I430" i="1"/>
  <c r="H430" i="1"/>
  <c r="P429" i="1"/>
  <c r="O429" i="1"/>
  <c r="M429" i="1"/>
  <c r="L429" i="1"/>
  <c r="N429" i="1" s="1"/>
  <c r="Q429" i="1" s="1"/>
  <c r="I429" i="1"/>
  <c r="H429" i="1"/>
  <c r="L428" i="1"/>
  <c r="E428" i="1"/>
  <c r="O427" i="1"/>
  <c r="N427" i="1"/>
  <c r="M427" i="1"/>
  <c r="L427" i="1"/>
  <c r="I427" i="1"/>
  <c r="P427" i="1" s="1"/>
  <c r="H427" i="1"/>
  <c r="L426" i="1"/>
  <c r="O425" i="1"/>
  <c r="M425" i="1"/>
  <c r="L425" i="1"/>
  <c r="N425" i="1" s="1"/>
  <c r="I425" i="1"/>
  <c r="P425" i="1" s="1"/>
  <c r="H425" i="1"/>
  <c r="O424" i="1"/>
  <c r="M424" i="1"/>
  <c r="L424" i="1"/>
  <c r="N424" i="1" s="1"/>
  <c r="I424" i="1"/>
  <c r="P424" i="1" s="1"/>
  <c r="H424" i="1"/>
  <c r="O423" i="1"/>
  <c r="M423" i="1"/>
  <c r="L423" i="1"/>
  <c r="N423" i="1" s="1"/>
  <c r="Q423" i="1" s="1"/>
  <c r="I423" i="1"/>
  <c r="P423" i="1" s="1"/>
  <c r="H423" i="1"/>
  <c r="O422" i="1"/>
  <c r="M422" i="1"/>
  <c r="L422" i="1"/>
  <c r="N422" i="1" s="1"/>
  <c r="I422" i="1"/>
  <c r="P422" i="1" s="1"/>
  <c r="H422" i="1"/>
  <c r="O421" i="1"/>
  <c r="M421" i="1"/>
  <c r="L421" i="1"/>
  <c r="N421" i="1" s="1"/>
  <c r="I421" i="1"/>
  <c r="P421" i="1" s="1"/>
  <c r="H421" i="1"/>
  <c r="O420" i="1"/>
  <c r="M420" i="1"/>
  <c r="L420" i="1"/>
  <c r="N420" i="1" s="1"/>
  <c r="I420" i="1"/>
  <c r="P420" i="1" s="1"/>
  <c r="H420" i="1"/>
  <c r="O419" i="1"/>
  <c r="M419" i="1"/>
  <c r="L419" i="1"/>
  <c r="N419" i="1" s="1"/>
  <c r="Q419" i="1" s="1"/>
  <c r="I419" i="1"/>
  <c r="P419" i="1" s="1"/>
  <c r="H419" i="1"/>
  <c r="O418" i="1"/>
  <c r="M418" i="1"/>
  <c r="L418" i="1"/>
  <c r="N418" i="1" s="1"/>
  <c r="I418" i="1"/>
  <c r="P418" i="1" s="1"/>
  <c r="H418" i="1"/>
  <c r="O417" i="1"/>
  <c r="M417" i="1"/>
  <c r="L417" i="1"/>
  <c r="N417" i="1" s="1"/>
  <c r="I417" i="1"/>
  <c r="P417" i="1" s="1"/>
  <c r="H417" i="1"/>
  <c r="L416" i="1"/>
  <c r="E416" i="1"/>
  <c r="O415" i="1"/>
  <c r="N415" i="1"/>
  <c r="M415" i="1"/>
  <c r="L415" i="1"/>
  <c r="I415" i="1"/>
  <c r="P415" i="1" s="1"/>
  <c r="Q415" i="1" s="1"/>
  <c r="H415" i="1"/>
  <c r="L414" i="1"/>
  <c r="O413" i="1"/>
  <c r="N413" i="1"/>
  <c r="Q413" i="1" s="1"/>
  <c r="M413" i="1"/>
  <c r="L413" i="1"/>
  <c r="I413" i="1"/>
  <c r="P413" i="1" s="1"/>
  <c r="H413" i="1"/>
  <c r="O412" i="1"/>
  <c r="N412" i="1"/>
  <c r="M412" i="1"/>
  <c r="L412" i="1"/>
  <c r="I412" i="1"/>
  <c r="P412" i="1" s="1"/>
  <c r="H412" i="1"/>
  <c r="O411" i="1"/>
  <c r="N411" i="1"/>
  <c r="Q411" i="1" s="1"/>
  <c r="M411" i="1"/>
  <c r="L411" i="1"/>
  <c r="I411" i="1"/>
  <c r="P411" i="1" s="1"/>
  <c r="H411" i="1"/>
  <c r="O410" i="1"/>
  <c r="N410" i="1"/>
  <c r="M410" i="1"/>
  <c r="L410" i="1"/>
  <c r="I410" i="1"/>
  <c r="P410" i="1" s="1"/>
  <c r="H410" i="1"/>
  <c r="O409" i="1"/>
  <c r="N409" i="1"/>
  <c r="Q409" i="1" s="1"/>
  <c r="M409" i="1"/>
  <c r="L409" i="1"/>
  <c r="I409" i="1"/>
  <c r="P409" i="1" s="1"/>
  <c r="H409" i="1"/>
  <c r="O408" i="1"/>
  <c r="N408" i="1"/>
  <c r="M408" i="1"/>
  <c r="L408" i="1"/>
  <c r="I408" i="1"/>
  <c r="P408" i="1" s="1"/>
  <c r="H408" i="1"/>
  <c r="O407" i="1"/>
  <c r="N407" i="1"/>
  <c r="Q407" i="1" s="1"/>
  <c r="M407" i="1"/>
  <c r="L407" i="1"/>
  <c r="I407" i="1"/>
  <c r="P407" i="1" s="1"/>
  <c r="H407" i="1"/>
  <c r="O406" i="1"/>
  <c r="N406" i="1"/>
  <c r="M406" i="1"/>
  <c r="L406" i="1"/>
  <c r="I406" i="1"/>
  <c r="P406" i="1" s="1"/>
  <c r="H406" i="1"/>
  <c r="O405" i="1"/>
  <c r="N405" i="1"/>
  <c r="Q405" i="1" s="1"/>
  <c r="M405" i="1"/>
  <c r="L405" i="1"/>
  <c r="I405" i="1"/>
  <c r="P405" i="1" s="1"/>
  <c r="H405" i="1"/>
  <c r="L404" i="1"/>
  <c r="E404" i="1"/>
  <c r="P403" i="1"/>
  <c r="O403" i="1"/>
  <c r="M403" i="1"/>
  <c r="L403" i="1"/>
  <c r="N403" i="1" s="1"/>
  <c r="I403" i="1"/>
  <c r="H403" i="1"/>
  <c r="P402" i="1"/>
  <c r="O402" i="1"/>
  <c r="M402" i="1"/>
  <c r="L402" i="1"/>
  <c r="N402" i="1" s="1"/>
  <c r="Q402" i="1" s="1"/>
  <c r="I402" i="1"/>
  <c r="H402" i="1"/>
  <c r="P401" i="1"/>
  <c r="O401" i="1"/>
  <c r="M401" i="1"/>
  <c r="L401" i="1"/>
  <c r="N401" i="1" s="1"/>
  <c r="Q401" i="1" s="1"/>
  <c r="I401" i="1"/>
  <c r="H401" i="1"/>
  <c r="P400" i="1"/>
  <c r="O400" i="1"/>
  <c r="M400" i="1"/>
  <c r="L400" i="1"/>
  <c r="N400" i="1" s="1"/>
  <c r="Q400" i="1" s="1"/>
  <c r="I400" i="1"/>
  <c r="H400" i="1"/>
  <c r="P399" i="1"/>
  <c r="O399" i="1"/>
  <c r="M399" i="1"/>
  <c r="L399" i="1"/>
  <c r="N399" i="1" s="1"/>
  <c r="Q399" i="1" s="1"/>
  <c r="I399" i="1"/>
  <c r="H399" i="1"/>
  <c r="P398" i="1"/>
  <c r="O398" i="1"/>
  <c r="M398" i="1"/>
  <c r="L398" i="1"/>
  <c r="N398" i="1" s="1"/>
  <c r="Q398" i="1" s="1"/>
  <c r="I398" i="1"/>
  <c r="H398" i="1"/>
  <c r="P397" i="1"/>
  <c r="O397" i="1"/>
  <c r="M397" i="1"/>
  <c r="L397" i="1"/>
  <c r="N397" i="1" s="1"/>
  <c r="Q397" i="1" s="1"/>
  <c r="I397" i="1"/>
  <c r="H397" i="1"/>
  <c r="P396" i="1"/>
  <c r="O396" i="1"/>
  <c r="M396" i="1"/>
  <c r="L396" i="1"/>
  <c r="N396" i="1" s="1"/>
  <c r="Q396" i="1" s="1"/>
  <c r="I396" i="1"/>
  <c r="H396" i="1"/>
  <c r="P395" i="1"/>
  <c r="O395" i="1"/>
  <c r="M395" i="1"/>
  <c r="L395" i="1"/>
  <c r="N395" i="1" s="1"/>
  <c r="Q395" i="1" s="1"/>
  <c r="I395" i="1"/>
  <c r="H395" i="1"/>
  <c r="P394" i="1"/>
  <c r="O394" i="1"/>
  <c r="M394" i="1"/>
  <c r="L394" i="1"/>
  <c r="N394" i="1" s="1"/>
  <c r="Q394" i="1" s="1"/>
  <c r="I394" i="1"/>
  <c r="H394" i="1"/>
  <c r="L393" i="1"/>
  <c r="E393" i="1"/>
  <c r="O392" i="1"/>
  <c r="N392" i="1"/>
  <c r="Q392" i="1" s="1"/>
  <c r="M392" i="1"/>
  <c r="L392" i="1"/>
  <c r="I392" i="1"/>
  <c r="P392" i="1" s="1"/>
  <c r="H392" i="1"/>
  <c r="O391" i="1"/>
  <c r="N391" i="1"/>
  <c r="M391" i="1"/>
  <c r="L391" i="1"/>
  <c r="I391" i="1"/>
  <c r="P391" i="1" s="1"/>
  <c r="H391" i="1"/>
  <c r="O390" i="1"/>
  <c r="N390" i="1"/>
  <c r="Q390" i="1" s="1"/>
  <c r="M390" i="1"/>
  <c r="L390" i="1"/>
  <c r="I390" i="1"/>
  <c r="P390" i="1" s="1"/>
  <c r="H390" i="1"/>
  <c r="O389" i="1"/>
  <c r="N389" i="1"/>
  <c r="M389" i="1"/>
  <c r="L389" i="1"/>
  <c r="I389" i="1"/>
  <c r="P389" i="1" s="1"/>
  <c r="H389" i="1"/>
  <c r="O388" i="1"/>
  <c r="N388" i="1"/>
  <c r="Q388" i="1" s="1"/>
  <c r="M388" i="1"/>
  <c r="L388" i="1"/>
  <c r="I388" i="1"/>
  <c r="P388" i="1" s="1"/>
  <c r="H388" i="1"/>
  <c r="O387" i="1"/>
  <c r="N387" i="1"/>
  <c r="M387" i="1"/>
  <c r="L387" i="1"/>
  <c r="I387" i="1"/>
  <c r="P387" i="1" s="1"/>
  <c r="H387" i="1"/>
  <c r="O386" i="1"/>
  <c r="N386" i="1"/>
  <c r="Q386" i="1" s="1"/>
  <c r="M386" i="1"/>
  <c r="L386" i="1"/>
  <c r="I386" i="1"/>
  <c r="P386" i="1" s="1"/>
  <c r="H386" i="1"/>
  <c r="O385" i="1"/>
  <c r="N385" i="1"/>
  <c r="M385" i="1"/>
  <c r="L385" i="1"/>
  <c r="I385" i="1"/>
  <c r="P385" i="1" s="1"/>
  <c r="H385" i="1"/>
  <c r="O384" i="1"/>
  <c r="N384" i="1"/>
  <c r="Q384" i="1" s="1"/>
  <c r="M384" i="1"/>
  <c r="L384" i="1"/>
  <c r="I384" i="1"/>
  <c r="P384" i="1" s="1"/>
  <c r="H384" i="1"/>
  <c r="O383" i="1"/>
  <c r="N383" i="1"/>
  <c r="M383" i="1"/>
  <c r="L383" i="1"/>
  <c r="I383" i="1"/>
  <c r="P383" i="1" s="1"/>
  <c r="H383" i="1"/>
  <c r="L382" i="1"/>
  <c r="E382" i="1"/>
  <c r="P381" i="1"/>
  <c r="O381" i="1"/>
  <c r="M381" i="1"/>
  <c r="L381" i="1"/>
  <c r="N381" i="1" s="1"/>
  <c r="Q381" i="1" s="1"/>
  <c r="I381" i="1"/>
  <c r="H381" i="1"/>
  <c r="P380" i="1"/>
  <c r="O380" i="1"/>
  <c r="M380" i="1"/>
  <c r="L380" i="1"/>
  <c r="N380" i="1" s="1"/>
  <c r="Q380" i="1" s="1"/>
  <c r="I380" i="1"/>
  <c r="H380" i="1"/>
  <c r="O379" i="1"/>
  <c r="M379" i="1"/>
  <c r="L379" i="1"/>
  <c r="N379" i="1" s="1"/>
  <c r="I379" i="1"/>
  <c r="P379" i="1" s="1"/>
  <c r="H379" i="1"/>
  <c r="O378" i="1"/>
  <c r="N378" i="1"/>
  <c r="M378" i="1"/>
  <c r="L378" i="1"/>
  <c r="I378" i="1"/>
  <c r="P378" i="1" s="1"/>
  <c r="H378" i="1"/>
  <c r="O377" i="1"/>
  <c r="N377" i="1"/>
  <c r="M377" i="1"/>
  <c r="L377" i="1"/>
  <c r="I377" i="1"/>
  <c r="P377" i="1" s="1"/>
  <c r="H377" i="1"/>
  <c r="O376" i="1"/>
  <c r="N376" i="1"/>
  <c r="M376" i="1"/>
  <c r="L376" i="1"/>
  <c r="I376" i="1"/>
  <c r="P376" i="1" s="1"/>
  <c r="H376" i="1"/>
  <c r="O375" i="1"/>
  <c r="N375" i="1"/>
  <c r="M375" i="1"/>
  <c r="L375" i="1"/>
  <c r="I375" i="1"/>
  <c r="P375" i="1" s="1"/>
  <c r="H375" i="1"/>
  <c r="O374" i="1"/>
  <c r="N374" i="1"/>
  <c r="M374" i="1"/>
  <c r="L374" i="1"/>
  <c r="I374" i="1"/>
  <c r="P374" i="1" s="1"/>
  <c r="H374" i="1"/>
  <c r="O373" i="1"/>
  <c r="N373" i="1"/>
  <c r="M373" i="1"/>
  <c r="L373" i="1"/>
  <c r="I373" i="1"/>
  <c r="P373" i="1" s="1"/>
  <c r="H373" i="1"/>
  <c r="O372" i="1"/>
  <c r="N372" i="1"/>
  <c r="M372" i="1"/>
  <c r="L372" i="1"/>
  <c r="I372" i="1"/>
  <c r="P372" i="1" s="1"/>
  <c r="H372" i="1"/>
  <c r="L371" i="1"/>
  <c r="E371" i="1"/>
  <c r="P370" i="1"/>
  <c r="O370" i="1"/>
  <c r="M370" i="1"/>
  <c r="L370" i="1"/>
  <c r="N370" i="1" s="1"/>
  <c r="Q370" i="1" s="1"/>
  <c r="I370" i="1"/>
  <c r="H370" i="1"/>
  <c r="P369" i="1"/>
  <c r="O369" i="1"/>
  <c r="M369" i="1"/>
  <c r="L369" i="1"/>
  <c r="N369" i="1" s="1"/>
  <c r="Q369" i="1" s="1"/>
  <c r="I369" i="1"/>
  <c r="H369" i="1"/>
  <c r="P368" i="1"/>
  <c r="O368" i="1"/>
  <c r="M368" i="1"/>
  <c r="L368" i="1"/>
  <c r="N368" i="1" s="1"/>
  <c r="Q368" i="1" s="1"/>
  <c r="I368" i="1"/>
  <c r="H368" i="1"/>
  <c r="P367" i="1"/>
  <c r="O367" i="1"/>
  <c r="M367" i="1"/>
  <c r="L367" i="1"/>
  <c r="N367" i="1" s="1"/>
  <c r="Q367" i="1" s="1"/>
  <c r="I367" i="1"/>
  <c r="H367" i="1"/>
  <c r="P366" i="1"/>
  <c r="O366" i="1"/>
  <c r="M366" i="1"/>
  <c r="L366" i="1"/>
  <c r="N366" i="1" s="1"/>
  <c r="Q366" i="1" s="1"/>
  <c r="I366" i="1"/>
  <c r="H366" i="1"/>
  <c r="P365" i="1"/>
  <c r="O365" i="1"/>
  <c r="M365" i="1"/>
  <c r="L365" i="1"/>
  <c r="N365" i="1" s="1"/>
  <c r="Q365" i="1" s="1"/>
  <c r="I365" i="1"/>
  <c r="H365" i="1"/>
  <c r="P364" i="1"/>
  <c r="O364" i="1"/>
  <c r="M364" i="1"/>
  <c r="L364" i="1"/>
  <c r="N364" i="1" s="1"/>
  <c r="Q364" i="1" s="1"/>
  <c r="I364" i="1"/>
  <c r="H364" i="1"/>
  <c r="P363" i="1"/>
  <c r="O363" i="1"/>
  <c r="M363" i="1"/>
  <c r="L363" i="1"/>
  <c r="N363" i="1" s="1"/>
  <c r="Q363" i="1" s="1"/>
  <c r="I363" i="1"/>
  <c r="H363" i="1"/>
  <c r="P362" i="1"/>
  <c r="O362" i="1"/>
  <c r="M362" i="1"/>
  <c r="L362" i="1"/>
  <c r="N362" i="1" s="1"/>
  <c r="Q362" i="1" s="1"/>
  <c r="I362" i="1"/>
  <c r="H362" i="1"/>
  <c r="P361" i="1"/>
  <c r="O361" i="1"/>
  <c r="M361" i="1"/>
  <c r="L361" i="1"/>
  <c r="N361" i="1" s="1"/>
  <c r="Q361" i="1" s="1"/>
  <c r="I361" i="1"/>
  <c r="H361" i="1"/>
  <c r="L360" i="1"/>
  <c r="E360" i="1"/>
  <c r="O359" i="1"/>
  <c r="N359" i="1"/>
  <c r="M359" i="1"/>
  <c r="L359" i="1"/>
  <c r="I359" i="1"/>
  <c r="P359" i="1" s="1"/>
  <c r="H359" i="1"/>
  <c r="O358" i="1"/>
  <c r="N358" i="1"/>
  <c r="M358" i="1"/>
  <c r="L358" i="1"/>
  <c r="I358" i="1"/>
  <c r="P358" i="1" s="1"/>
  <c r="H358" i="1"/>
  <c r="O357" i="1"/>
  <c r="N357" i="1"/>
  <c r="M357" i="1"/>
  <c r="L357" i="1"/>
  <c r="I357" i="1"/>
  <c r="P357" i="1" s="1"/>
  <c r="H357" i="1"/>
  <c r="O356" i="1"/>
  <c r="N356" i="1"/>
  <c r="M356" i="1"/>
  <c r="L356" i="1"/>
  <c r="I356" i="1"/>
  <c r="P356" i="1" s="1"/>
  <c r="H356" i="1"/>
  <c r="O355" i="1"/>
  <c r="N355" i="1"/>
  <c r="M355" i="1"/>
  <c r="L355" i="1"/>
  <c r="I355" i="1"/>
  <c r="P355" i="1" s="1"/>
  <c r="H355" i="1"/>
  <c r="O354" i="1"/>
  <c r="N354" i="1"/>
  <c r="M354" i="1"/>
  <c r="L354" i="1"/>
  <c r="I354" i="1"/>
  <c r="P354" i="1" s="1"/>
  <c r="H354" i="1"/>
  <c r="O353" i="1"/>
  <c r="N353" i="1"/>
  <c r="M353" i="1"/>
  <c r="L353" i="1"/>
  <c r="I353" i="1"/>
  <c r="P353" i="1" s="1"/>
  <c r="H353" i="1"/>
  <c r="O352" i="1"/>
  <c r="N352" i="1"/>
  <c r="M352" i="1"/>
  <c r="L352" i="1"/>
  <c r="I352" i="1"/>
  <c r="P352" i="1" s="1"/>
  <c r="H352" i="1"/>
  <c r="O351" i="1"/>
  <c r="N351" i="1"/>
  <c r="M351" i="1"/>
  <c r="L351" i="1"/>
  <c r="I351" i="1"/>
  <c r="P351" i="1" s="1"/>
  <c r="H351" i="1"/>
  <c r="O350" i="1"/>
  <c r="N350" i="1"/>
  <c r="M350" i="1"/>
  <c r="L350" i="1"/>
  <c r="I350" i="1"/>
  <c r="P350" i="1" s="1"/>
  <c r="H350" i="1"/>
  <c r="L349" i="1"/>
  <c r="E349" i="1"/>
  <c r="P348" i="1"/>
  <c r="O348" i="1"/>
  <c r="M348" i="1"/>
  <c r="L348" i="1"/>
  <c r="N348" i="1" s="1"/>
  <c r="Q348" i="1" s="1"/>
  <c r="I348" i="1"/>
  <c r="H348" i="1"/>
  <c r="P347" i="1"/>
  <c r="O347" i="1"/>
  <c r="M347" i="1"/>
  <c r="L347" i="1"/>
  <c r="N347" i="1" s="1"/>
  <c r="Q347" i="1" s="1"/>
  <c r="I347" i="1"/>
  <c r="H347" i="1"/>
  <c r="P346" i="1"/>
  <c r="O346" i="1"/>
  <c r="M346" i="1"/>
  <c r="L346" i="1"/>
  <c r="N346" i="1" s="1"/>
  <c r="Q346" i="1" s="1"/>
  <c r="I346" i="1"/>
  <c r="H346" i="1"/>
  <c r="P345" i="1"/>
  <c r="O345" i="1"/>
  <c r="M345" i="1"/>
  <c r="L345" i="1"/>
  <c r="N345" i="1" s="1"/>
  <c r="Q345" i="1" s="1"/>
  <c r="I345" i="1"/>
  <c r="H345" i="1"/>
  <c r="P344" i="1"/>
  <c r="O344" i="1"/>
  <c r="M344" i="1"/>
  <c r="L344" i="1"/>
  <c r="N344" i="1" s="1"/>
  <c r="Q344" i="1" s="1"/>
  <c r="I344" i="1"/>
  <c r="H344" i="1"/>
  <c r="P343" i="1"/>
  <c r="O343" i="1"/>
  <c r="M343" i="1"/>
  <c r="L343" i="1"/>
  <c r="N343" i="1" s="1"/>
  <c r="Q343" i="1" s="1"/>
  <c r="I343" i="1"/>
  <c r="H343" i="1"/>
  <c r="P342" i="1"/>
  <c r="O342" i="1"/>
  <c r="M342" i="1"/>
  <c r="L342" i="1"/>
  <c r="N342" i="1" s="1"/>
  <c r="Q342" i="1" s="1"/>
  <c r="I342" i="1"/>
  <c r="H342" i="1"/>
  <c r="P341" i="1"/>
  <c r="O341" i="1"/>
  <c r="M341" i="1"/>
  <c r="L341" i="1"/>
  <c r="N341" i="1" s="1"/>
  <c r="Q341" i="1" s="1"/>
  <c r="I341" i="1"/>
  <c r="H341" i="1"/>
  <c r="P340" i="1"/>
  <c r="O340" i="1"/>
  <c r="M340" i="1"/>
  <c r="L340" i="1"/>
  <c r="N340" i="1" s="1"/>
  <c r="Q340" i="1" s="1"/>
  <c r="I340" i="1"/>
  <c r="H340" i="1"/>
  <c r="P339" i="1"/>
  <c r="O339" i="1"/>
  <c r="M339" i="1"/>
  <c r="L339" i="1"/>
  <c r="N339" i="1" s="1"/>
  <c r="Q339" i="1" s="1"/>
  <c r="I339" i="1"/>
  <c r="H339" i="1"/>
  <c r="L338" i="1"/>
  <c r="E338" i="1"/>
  <c r="O337" i="1"/>
  <c r="N337" i="1"/>
  <c r="Q337" i="1" s="1"/>
  <c r="M337" i="1"/>
  <c r="L337" i="1"/>
  <c r="I337" i="1"/>
  <c r="P337" i="1" s="1"/>
  <c r="H337" i="1"/>
  <c r="O336" i="1"/>
  <c r="N336" i="1"/>
  <c r="Q336" i="1" s="1"/>
  <c r="M336" i="1"/>
  <c r="L336" i="1"/>
  <c r="I336" i="1"/>
  <c r="P336" i="1" s="1"/>
  <c r="H336" i="1"/>
  <c r="O335" i="1"/>
  <c r="N335" i="1"/>
  <c r="Q335" i="1" s="1"/>
  <c r="M335" i="1"/>
  <c r="L335" i="1"/>
  <c r="I335" i="1"/>
  <c r="P335" i="1" s="1"/>
  <c r="H335" i="1"/>
  <c r="O334" i="1"/>
  <c r="N334" i="1"/>
  <c r="Q334" i="1" s="1"/>
  <c r="M334" i="1"/>
  <c r="L334" i="1"/>
  <c r="I334" i="1"/>
  <c r="P334" i="1" s="1"/>
  <c r="H334" i="1"/>
  <c r="O333" i="1"/>
  <c r="N333" i="1"/>
  <c r="Q333" i="1" s="1"/>
  <c r="M333" i="1"/>
  <c r="L333" i="1"/>
  <c r="I333" i="1"/>
  <c r="P333" i="1" s="1"/>
  <c r="H333" i="1"/>
  <c r="O332" i="1"/>
  <c r="N332" i="1"/>
  <c r="Q332" i="1" s="1"/>
  <c r="M332" i="1"/>
  <c r="L332" i="1"/>
  <c r="I332" i="1"/>
  <c r="P332" i="1" s="1"/>
  <c r="H332" i="1"/>
  <c r="O331" i="1"/>
  <c r="N331" i="1"/>
  <c r="Q331" i="1" s="1"/>
  <c r="M331" i="1"/>
  <c r="L331" i="1"/>
  <c r="I331" i="1"/>
  <c r="P331" i="1" s="1"/>
  <c r="H331" i="1"/>
  <c r="O330" i="1"/>
  <c r="N330" i="1"/>
  <c r="Q330" i="1" s="1"/>
  <c r="M330" i="1"/>
  <c r="L330" i="1"/>
  <c r="I330" i="1"/>
  <c r="P330" i="1" s="1"/>
  <c r="H330" i="1"/>
  <c r="O329" i="1"/>
  <c r="N329" i="1"/>
  <c r="Q329" i="1" s="1"/>
  <c r="M329" i="1"/>
  <c r="L329" i="1"/>
  <c r="I329" i="1"/>
  <c r="P329" i="1" s="1"/>
  <c r="H329" i="1"/>
  <c r="O328" i="1"/>
  <c r="N328" i="1"/>
  <c r="Q328" i="1" s="1"/>
  <c r="M328" i="1"/>
  <c r="L328" i="1"/>
  <c r="I328" i="1"/>
  <c r="P328" i="1" s="1"/>
  <c r="H328" i="1"/>
  <c r="L327" i="1"/>
  <c r="E327" i="1"/>
  <c r="P326" i="1"/>
  <c r="O326" i="1"/>
  <c r="M326" i="1"/>
  <c r="L326" i="1"/>
  <c r="N326" i="1" s="1"/>
  <c r="Q326" i="1" s="1"/>
  <c r="I326" i="1"/>
  <c r="H326" i="1"/>
  <c r="P325" i="1"/>
  <c r="O325" i="1"/>
  <c r="M325" i="1"/>
  <c r="L325" i="1"/>
  <c r="N325" i="1" s="1"/>
  <c r="Q325" i="1" s="1"/>
  <c r="I325" i="1"/>
  <c r="H325" i="1"/>
  <c r="P324" i="1"/>
  <c r="O324" i="1"/>
  <c r="M324" i="1"/>
  <c r="L324" i="1"/>
  <c r="N324" i="1" s="1"/>
  <c r="Q324" i="1" s="1"/>
  <c r="I324" i="1"/>
  <c r="H324" i="1"/>
  <c r="P323" i="1"/>
  <c r="O323" i="1"/>
  <c r="M323" i="1"/>
  <c r="L323" i="1"/>
  <c r="N323" i="1" s="1"/>
  <c r="Q323" i="1" s="1"/>
  <c r="I323" i="1"/>
  <c r="H323" i="1"/>
  <c r="P322" i="1"/>
  <c r="O322" i="1"/>
  <c r="M322" i="1"/>
  <c r="L322" i="1"/>
  <c r="N322" i="1" s="1"/>
  <c r="Q322" i="1" s="1"/>
  <c r="I322" i="1"/>
  <c r="H322" i="1"/>
  <c r="P321" i="1"/>
  <c r="O321" i="1"/>
  <c r="M321" i="1"/>
  <c r="L321" i="1"/>
  <c r="N321" i="1" s="1"/>
  <c r="Q321" i="1" s="1"/>
  <c r="I321" i="1"/>
  <c r="H321" i="1"/>
  <c r="P320" i="1"/>
  <c r="O320" i="1"/>
  <c r="M320" i="1"/>
  <c r="L320" i="1"/>
  <c r="N320" i="1" s="1"/>
  <c r="Q320" i="1" s="1"/>
  <c r="I320" i="1"/>
  <c r="H320" i="1"/>
  <c r="P319" i="1"/>
  <c r="O319" i="1"/>
  <c r="M319" i="1"/>
  <c r="L319" i="1"/>
  <c r="N319" i="1" s="1"/>
  <c r="Q319" i="1" s="1"/>
  <c r="I319" i="1"/>
  <c r="H319" i="1"/>
  <c r="P318" i="1"/>
  <c r="O318" i="1"/>
  <c r="M318" i="1"/>
  <c r="L318" i="1"/>
  <c r="N318" i="1" s="1"/>
  <c r="Q318" i="1" s="1"/>
  <c r="I318" i="1"/>
  <c r="H318" i="1"/>
  <c r="P317" i="1"/>
  <c r="O317" i="1"/>
  <c r="M317" i="1"/>
  <c r="L317" i="1"/>
  <c r="N317" i="1" s="1"/>
  <c r="Q317" i="1" s="1"/>
  <c r="I317" i="1"/>
  <c r="H317" i="1"/>
  <c r="L316" i="1"/>
  <c r="E316" i="1"/>
  <c r="O315" i="1"/>
  <c r="N315" i="1"/>
  <c r="Q315" i="1" s="1"/>
  <c r="M315" i="1"/>
  <c r="L315" i="1"/>
  <c r="I315" i="1"/>
  <c r="P315" i="1" s="1"/>
  <c r="H315" i="1"/>
  <c r="O314" i="1"/>
  <c r="N314" i="1"/>
  <c r="Q314" i="1" s="1"/>
  <c r="M314" i="1"/>
  <c r="L314" i="1"/>
  <c r="I314" i="1"/>
  <c r="P314" i="1" s="1"/>
  <c r="H314" i="1"/>
  <c r="O313" i="1"/>
  <c r="N313" i="1"/>
  <c r="Q313" i="1" s="1"/>
  <c r="M313" i="1"/>
  <c r="L313" i="1"/>
  <c r="I313" i="1"/>
  <c r="P313" i="1" s="1"/>
  <c r="H313" i="1"/>
  <c r="O312" i="1"/>
  <c r="N312" i="1"/>
  <c r="Q312" i="1" s="1"/>
  <c r="M312" i="1"/>
  <c r="L312" i="1"/>
  <c r="I312" i="1"/>
  <c r="P312" i="1" s="1"/>
  <c r="H312" i="1"/>
  <c r="O311" i="1"/>
  <c r="N311" i="1"/>
  <c r="Q311" i="1" s="1"/>
  <c r="M311" i="1"/>
  <c r="L311" i="1"/>
  <c r="I311" i="1"/>
  <c r="P311" i="1" s="1"/>
  <c r="H311" i="1"/>
  <c r="O310" i="1"/>
  <c r="N310" i="1"/>
  <c r="Q310" i="1" s="1"/>
  <c r="M310" i="1"/>
  <c r="L310" i="1"/>
  <c r="I310" i="1"/>
  <c r="P310" i="1" s="1"/>
  <c r="H310" i="1"/>
  <c r="O309" i="1"/>
  <c r="N309" i="1"/>
  <c r="Q309" i="1" s="1"/>
  <c r="M309" i="1"/>
  <c r="L309" i="1"/>
  <c r="I309" i="1"/>
  <c r="P309" i="1" s="1"/>
  <c r="H309" i="1"/>
  <c r="O308" i="1"/>
  <c r="N308" i="1"/>
  <c r="Q308" i="1" s="1"/>
  <c r="M308" i="1"/>
  <c r="L308" i="1"/>
  <c r="I308" i="1"/>
  <c r="P308" i="1" s="1"/>
  <c r="H308" i="1"/>
  <c r="O307" i="1"/>
  <c r="N307" i="1"/>
  <c r="Q307" i="1" s="1"/>
  <c r="M307" i="1"/>
  <c r="L307" i="1"/>
  <c r="I307" i="1"/>
  <c r="P307" i="1" s="1"/>
  <c r="H307" i="1"/>
  <c r="O306" i="1"/>
  <c r="N306" i="1"/>
  <c r="Q306" i="1" s="1"/>
  <c r="M306" i="1"/>
  <c r="L306" i="1"/>
  <c r="I306" i="1"/>
  <c r="P306" i="1" s="1"/>
  <c r="H306" i="1"/>
  <c r="L305" i="1"/>
  <c r="E305" i="1"/>
  <c r="P304" i="1"/>
  <c r="O304" i="1"/>
  <c r="M304" i="1"/>
  <c r="L304" i="1"/>
  <c r="N304" i="1" s="1"/>
  <c r="Q304" i="1" s="1"/>
  <c r="I304" i="1"/>
  <c r="H304" i="1"/>
  <c r="P303" i="1"/>
  <c r="O303" i="1"/>
  <c r="M303" i="1"/>
  <c r="L303" i="1"/>
  <c r="N303" i="1" s="1"/>
  <c r="Q303" i="1" s="1"/>
  <c r="I303" i="1"/>
  <c r="H303" i="1"/>
  <c r="P302" i="1"/>
  <c r="O302" i="1"/>
  <c r="M302" i="1"/>
  <c r="L302" i="1"/>
  <c r="N302" i="1" s="1"/>
  <c r="Q302" i="1" s="1"/>
  <c r="I302" i="1"/>
  <c r="H302" i="1"/>
  <c r="P301" i="1"/>
  <c r="O301" i="1"/>
  <c r="M301" i="1"/>
  <c r="L301" i="1"/>
  <c r="N301" i="1" s="1"/>
  <c r="Q301" i="1" s="1"/>
  <c r="I301" i="1"/>
  <c r="H301" i="1"/>
  <c r="P300" i="1"/>
  <c r="O300" i="1"/>
  <c r="M300" i="1"/>
  <c r="L300" i="1"/>
  <c r="N300" i="1" s="1"/>
  <c r="Q300" i="1" s="1"/>
  <c r="I300" i="1"/>
  <c r="H300" i="1"/>
  <c r="P299" i="1"/>
  <c r="O299" i="1"/>
  <c r="M299" i="1"/>
  <c r="L299" i="1"/>
  <c r="N299" i="1" s="1"/>
  <c r="Q299" i="1" s="1"/>
  <c r="I299" i="1"/>
  <c r="H299" i="1"/>
  <c r="P298" i="1"/>
  <c r="O298" i="1"/>
  <c r="M298" i="1"/>
  <c r="L298" i="1"/>
  <c r="N298" i="1" s="1"/>
  <c r="Q298" i="1" s="1"/>
  <c r="I298" i="1"/>
  <c r="H298" i="1"/>
  <c r="P297" i="1"/>
  <c r="O297" i="1"/>
  <c r="M297" i="1"/>
  <c r="L297" i="1"/>
  <c r="N297" i="1" s="1"/>
  <c r="Q297" i="1" s="1"/>
  <c r="I297" i="1"/>
  <c r="H297" i="1"/>
  <c r="P296" i="1"/>
  <c r="O296" i="1"/>
  <c r="M296" i="1"/>
  <c r="L296" i="1"/>
  <c r="N296" i="1" s="1"/>
  <c r="Q296" i="1" s="1"/>
  <c r="I296" i="1"/>
  <c r="H296" i="1"/>
  <c r="P295" i="1"/>
  <c r="O295" i="1"/>
  <c r="M295" i="1"/>
  <c r="L295" i="1"/>
  <c r="N295" i="1" s="1"/>
  <c r="Q295" i="1" s="1"/>
  <c r="I295" i="1"/>
  <c r="H295" i="1"/>
  <c r="L294" i="1"/>
  <c r="E294" i="1"/>
  <c r="O293" i="1"/>
  <c r="N293" i="1"/>
  <c r="Q293" i="1" s="1"/>
  <c r="M293" i="1"/>
  <c r="L293" i="1"/>
  <c r="I293" i="1"/>
  <c r="P293" i="1" s="1"/>
  <c r="H293" i="1"/>
  <c r="O292" i="1"/>
  <c r="N292" i="1"/>
  <c r="Q292" i="1" s="1"/>
  <c r="M292" i="1"/>
  <c r="L292" i="1"/>
  <c r="I292" i="1"/>
  <c r="P292" i="1" s="1"/>
  <c r="H292" i="1"/>
  <c r="O291" i="1"/>
  <c r="N291" i="1"/>
  <c r="Q291" i="1" s="1"/>
  <c r="M291" i="1"/>
  <c r="L291" i="1"/>
  <c r="I291" i="1"/>
  <c r="P291" i="1" s="1"/>
  <c r="H291" i="1"/>
  <c r="O290" i="1"/>
  <c r="N290" i="1"/>
  <c r="Q290" i="1" s="1"/>
  <c r="M290" i="1"/>
  <c r="L290" i="1"/>
  <c r="I290" i="1"/>
  <c r="P290" i="1" s="1"/>
  <c r="H290" i="1"/>
  <c r="O289" i="1"/>
  <c r="N289" i="1"/>
  <c r="Q289" i="1" s="1"/>
  <c r="M289" i="1"/>
  <c r="L289" i="1"/>
  <c r="I289" i="1"/>
  <c r="P289" i="1" s="1"/>
  <c r="H289" i="1"/>
  <c r="O288" i="1"/>
  <c r="N288" i="1"/>
  <c r="Q288" i="1" s="1"/>
  <c r="M288" i="1"/>
  <c r="L288" i="1"/>
  <c r="I288" i="1"/>
  <c r="P288" i="1" s="1"/>
  <c r="H288" i="1"/>
  <c r="O287" i="1"/>
  <c r="N287" i="1"/>
  <c r="Q287" i="1" s="1"/>
  <c r="M287" i="1"/>
  <c r="L287" i="1"/>
  <c r="I287" i="1"/>
  <c r="P287" i="1" s="1"/>
  <c r="H287" i="1"/>
  <c r="O286" i="1"/>
  <c r="N286" i="1"/>
  <c r="Q286" i="1" s="1"/>
  <c r="M286" i="1"/>
  <c r="L286" i="1"/>
  <c r="I286" i="1"/>
  <c r="P286" i="1" s="1"/>
  <c r="H286" i="1"/>
  <c r="O285" i="1"/>
  <c r="N285" i="1"/>
  <c r="Q285" i="1" s="1"/>
  <c r="M285" i="1"/>
  <c r="L285" i="1"/>
  <c r="I285" i="1"/>
  <c r="P285" i="1" s="1"/>
  <c r="H285" i="1"/>
  <c r="O284" i="1"/>
  <c r="N284" i="1"/>
  <c r="Q284" i="1" s="1"/>
  <c r="M284" i="1"/>
  <c r="L284" i="1"/>
  <c r="I284" i="1"/>
  <c r="P284" i="1" s="1"/>
  <c r="H284" i="1"/>
  <c r="L283" i="1"/>
  <c r="E283" i="1"/>
  <c r="P282" i="1"/>
  <c r="O282" i="1"/>
  <c r="M282" i="1"/>
  <c r="L282" i="1"/>
  <c r="N282" i="1" s="1"/>
  <c r="Q282" i="1" s="1"/>
  <c r="I282" i="1"/>
  <c r="H282" i="1"/>
  <c r="P281" i="1"/>
  <c r="O281" i="1"/>
  <c r="M281" i="1"/>
  <c r="L281" i="1"/>
  <c r="N281" i="1" s="1"/>
  <c r="Q281" i="1" s="1"/>
  <c r="I281" i="1"/>
  <c r="H281" i="1"/>
  <c r="P280" i="1"/>
  <c r="O280" i="1"/>
  <c r="M280" i="1"/>
  <c r="L280" i="1"/>
  <c r="N280" i="1" s="1"/>
  <c r="Q280" i="1" s="1"/>
  <c r="I280" i="1"/>
  <c r="H280" i="1"/>
  <c r="P279" i="1"/>
  <c r="O279" i="1"/>
  <c r="M279" i="1"/>
  <c r="L279" i="1"/>
  <c r="N279" i="1" s="1"/>
  <c r="Q279" i="1" s="1"/>
  <c r="I279" i="1"/>
  <c r="H279" i="1"/>
  <c r="P278" i="1"/>
  <c r="O278" i="1"/>
  <c r="M278" i="1"/>
  <c r="L278" i="1"/>
  <c r="N278" i="1" s="1"/>
  <c r="Q278" i="1" s="1"/>
  <c r="I278" i="1"/>
  <c r="H278" i="1"/>
  <c r="P277" i="1"/>
  <c r="O277" i="1"/>
  <c r="M277" i="1"/>
  <c r="L277" i="1"/>
  <c r="N277" i="1" s="1"/>
  <c r="Q277" i="1" s="1"/>
  <c r="I277" i="1"/>
  <c r="H277" i="1"/>
  <c r="P276" i="1"/>
  <c r="O276" i="1"/>
  <c r="M276" i="1"/>
  <c r="L276" i="1"/>
  <c r="N276" i="1" s="1"/>
  <c r="Q276" i="1" s="1"/>
  <c r="I276" i="1"/>
  <c r="H276" i="1"/>
  <c r="P275" i="1"/>
  <c r="O275" i="1"/>
  <c r="M275" i="1"/>
  <c r="L275" i="1"/>
  <c r="N275" i="1" s="1"/>
  <c r="Q275" i="1" s="1"/>
  <c r="I275" i="1"/>
  <c r="H275" i="1"/>
  <c r="P274" i="1"/>
  <c r="O274" i="1"/>
  <c r="M274" i="1"/>
  <c r="L274" i="1"/>
  <c r="N274" i="1" s="1"/>
  <c r="Q274" i="1" s="1"/>
  <c r="I274" i="1"/>
  <c r="H274" i="1"/>
  <c r="P273" i="1"/>
  <c r="O273" i="1"/>
  <c r="M273" i="1"/>
  <c r="L273" i="1"/>
  <c r="N273" i="1" s="1"/>
  <c r="Q273" i="1" s="1"/>
  <c r="I273" i="1"/>
  <c r="H273" i="1"/>
  <c r="L272" i="1"/>
  <c r="E272" i="1"/>
  <c r="O271" i="1"/>
  <c r="N271" i="1"/>
  <c r="Q271" i="1" s="1"/>
  <c r="M271" i="1"/>
  <c r="L271" i="1"/>
  <c r="I271" i="1"/>
  <c r="P271" i="1" s="1"/>
  <c r="H271" i="1"/>
  <c r="O270" i="1"/>
  <c r="N270" i="1"/>
  <c r="Q270" i="1" s="1"/>
  <c r="M270" i="1"/>
  <c r="L270" i="1"/>
  <c r="I270" i="1"/>
  <c r="P270" i="1" s="1"/>
  <c r="H270" i="1"/>
  <c r="O269" i="1"/>
  <c r="N269" i="1"/>
  <c r="Q269" i="1" s="1"/>
  <c r="M269" i="1"/>
  <c r="L269" i="1"/>
  <c r="I269" i="1"/>
  <c r="P269" i="1" s="1"/>
  <c r="H269" i="1"/>
  <c r="O268" i="1"/>
  <c r="N268" i="1"/>
  <c r="Q268" i="1" s="1"/>
  <c r="M268" i="1"/>
  <c r="L268" i="1"/>
  <c r="I268" i="1"/>
  <c r="P268" i="1" s="1"/>
  <c r="H268" i="1"/>
  <c r="O267" i="1"/>
  <c r="N267" i="1"/>
  <c r="Q267" i="1" s="1"/>
  <c r="M267" i="1"/>
  <c r="L267" i="1"/>
  <c r="I267" i="1"/>
  <c r="P267" i="1" s="1"/>
  <c r="H267" i="1"/>
  <c r="O266" i="1"/>
  <c r="N266" i="1"/>
  <c r="Q266" i="1" s="1"/>
  <c r="M266" i="1"/>
  <c r="L266" i="1"/>
  <c r="I266" i="1"/>
  <c r="P266" i="1" s="1"/>
  <c r="H266" i="1"/>
  <c r="O265" i="1"/>
  <c r="N265" i="1"/>
  <c r="Q265" i="1" s="1"/>
  <c r="M265" i="1"/>
  <c r="L265" i="1"/>
  <c r="I265" i="1"/>
  <c r="P265" i="1" s="1"/>
  <c r="H265" i="1"/>
  <c r="O264" i="1"/>
  <c r="N264" i="1"/>
  <c r="Q264" i="1" s="1"/>
  <c r="M264" i="1"/>
  <c r="L264" i="1"/>
  <c r="I264" i="1"/>
  <c r="P264" i="1" s="1"/>
  <c r="H264" i="1"/>
  <c r="O263" i="1"/>
  <c r="N263" i="1"/>
  <c r="Q263" i="1" s="1"/>
  <c r="M263" i="1"/>
  <c r="L263" i="1"/>
  <c r="I263" i="1"/>
  <c r="P263" i="1" s="1"/>
  <c r="H263" i="1"/>
  <c r="O262" i="1"/>
  <c r="N262" i="1"/>
  <c r="Q262" i="1" s="1"/>
  <c r="M262" i="1"/>
  <c r="L262" i="1"/>
  <c r="I262" i="1"/>
  <c r="P262" i="1" s="1"/>
  <c r="H262" i="1"/>
  <c r="L261" i="1"/>
  <c r="E261" i="1"/>
  <c r="P260" i="1"/>
  <c r="O260" i="1"/>
  <c r="M260" i="1"/>
  <c r="L260" i="1"/>
  <c r="N260" i="1" s="1"/>
  <c r="Q260" i="1" s="1"/>
  <c r="I260" i="1"/>
  <c r="H260" i="1"/>
  <c r="P259" i="1"/>
  <c r="O259" i="1"/>
  <c r="M259" i="1"/>
  <c r="L259" i="1"/>
  <c r="N259" i="1" s="1"/>
  <c r="Q259" i="1" s="1"/>
  <c r="I259" i="1"/>
  <c r="H259" i="1"/>
  <c r="P258" i="1"/>
  <c r="O258" i="1"/>
  <c r="M258" i="1"/>
  <c r="L258" i="1"/>
  <c r="N258" i="1" s="1"/>
  <c r="Q258" i="1" s="1"/>
  <c r="I258" i="1"/>
  <c r="H258" i="1"/>
  <c r="P257" i="1"/>
  <c r="O257" i="1"/>
  <c r="M257" i="1"/>
  <c r="L257" i="1"/>
  <c r="N257" i="1" s="1"/>
  <c r="Q257" i="1" s="1"/>
  <c r="I257" i="1"/>
  <c r="H257" i="1"/>
  <c r="P256" i="1"/>
  <c r="O256" i="1"/>
  <c r="M256" i="1"/>
  <c r="L256" i="1"/>
  <c r="N256" i="1" s="1"/>
  <c r="Q256" i="1" s="1"/>
  <c r="I256" i="1"/>
  <c r="H256" i="1"/>
  <c r="P255" i="1"/>
  <c r="O255" i="1"/>
  <c r="M255" i="1"/>
  <c r="L255" i="1"/>
  <c r="N255" i="1" s="1"/>
  <c r="Q255" i="1" s="1"/>
  <c r="I255" i="1"/>
  <c r="H255" i="1"/>
  <c r="P254" i="1"/>
  <c r="O254" i="1"/>
  <c r="M254" i="1"/>
  <c r="L254" i="1"/>
  <c r="N254" i="1" s="1"/>
  <c r="Q254" i="1" s="1"/>
  <c r="I254" i="1"/>
  <c r="H254" i="1"/>
  <c r="P253" i="1"/>
  <c r="O253" i="1"/>
  <c r="M253" i="1"/>
  <c r="L253" i="1"/>
  <c r="N253" i="1" s="1"/>
  <c r="Q253" i="1" s="1"/>
  <c r="I253" i="1"/>
  <c r="H253" i="1"/>
  <c r="P252" i="1"/>
  <c r="O252" i="1"/>
  <c r="M252" i="1"/>
  <c r="L252" i="1"/>
  <c r="N252" i="1" s="1"/>
  <c r="Q252" i="1" s="1"/>
  <c r="I252" i="1"/>
  <c r="H252" i="1"/>
  <c r="P251" i="1"/>
  <c r="O251" i="1"/>
  <c r="M251" i="1"/>
  <c r="L251" i="1"/>
  <c r="N251" i="1" s="1"/>
  <c r="Q251" i="1" s="1"/>
  <c r="I251" i="1"/>
  <c r="H251" i="1"/>
  <c r="L250" i="1"/>
  <c r="E250" i="1"/>
  <c r="O249" i="1"/>
  <c r="N249" i="1"/>
  <c r="Q249" i="1" s="1"/>
  <c r="M249" i="1"/>
  <c r="L249" i="1"/>
  <c r="I249" i="1"/>
  <c r="P249" i="1" s="1"/>
  <c r="H249" i="1"/>
  <c r="O248" i="1"/>
  <c r="N248" i="1"/>
  <c r="Q248" i="1" s="1"/>
  <c r="M248" i="1"/>
  <c r="L248" i="1"/>
  <c r="I248" i="1"/>
  <c r="P248" i="1" s="1"/>
  <c r="H248" i="1"/>
  <c r="O247" i="1"/>
  <c r="N247" i="1"/>
  <c r="Q247" i="1" s="1"/>
  <c r="M247" i="1"/>
  <c r="L247" i="1"/>
  <c r="I247" i="1"/>
  <c r="P247" i="1" s="1"/>
  <c r="H247" i="1"/>
  <c r="O246" i="1"/>
  <c r="N246" i="1"/>
  <c r="Q246" i="1" s="1"/>
  <c r="M246" i="1"/>
  <c r="L246" i="1"/>
  <c r="I246" i="1"/>
  <c r="P246" i="1" s="1"/>
  <c r="H246" i="1"/>
  <c r="O245" i="1"/>
  <c r="N245" i="1"/>
  <c r="Q245" i="1" s="1"/>
  <c r="M245" i="1"/>
  <c r="L245" i="1"/>
  <c r="I245" i="1"/>
  <c r="P245" i="1" s="1"/>
  <c r="H245" i="1"/>
  <c r="O244" i="1"/>
  <c r="N244" i="1"/>
  <c r="Q244" i="1" s="1"/>
  <c r="M244" i="1"/>
  <c r="L244" i="1"/>
  <c r="I244" i="1"/>
  <c r="P244" i="1" s="1"/>
  <c r="H244" i="1"/>
  <c r="O243" i="1"/>
  <c r="N243" i="1"/>
  <c r="Q243" i="1" s="1"/>
  <c r="M243" i="1"/>
  <c r="L243" i="1"/>
  <c r="I243" i="1"/>
  <c r="P243" i="1" s="1"/>
  <c r="H243" i="1"/>
  <c r="O242" i="1"/>
  <c r="N242" i="1"/>
  <c r="Q242" i="1" s="1"/>
  <c r="M242" i="1"/>
  <c r="L242" i="1"/>
  <c r="I242" i="1"/>
  <c r="P242" i="1" s="1"/>
  <c r="H242" i="1"/>
  <c r="O241" i="1"/>
  <c r="N241" i="1"/>
  <c r="Q241" i="1" s="1"/>
  <c r="M241" i="1"/>
  <c r="L241" i="1"/>
  <c r="I241" i="1"/>
  <c r="P241" i="1" s="1"/>
  <c r="H241" i="1"/>
  <c r="O240" i="1"/>
  <c r="N240" i="1"/>
  <c r="Q240" i="1" s="1"/>
  <c r="M240" i="1"/>
  <c r="L240" i="1"/>
  <c r="I240" i="1"/>
  <c r="P240" i="1" s="1"/>
  <c r="H240" i="1"/>
  <c r="L239" i="1"/>
  <c r="E239" i="1"/>
  <c r="P238" i="1"/>
  <c r="O238" i="1"/>
  <c r="M238" i="1"/>
  <c r="L238" i="1"/>
  <c r="N238" i="1" s="1"/>
  <c r="Q238" i="1" s="1"/>
  <c r="I238" i="1"/>
  <c r="H238" i="1"/>
  <c r="P237" i="1"/>
  <c r="O237" i="1"/>
  <c r="M237" i="1"/>
  <c r="L237" i="1"/>
  <c r="N237" i="1" s="1"/>
  <c r="Q237" i="1" s="1"/>
  <c r="I237" i="1"/>
  <c r="H237" i="1"/>
  <c r="P236" i="1"/>
  <c r="O236" i="1"/>
  <c r="M236" i="1"/>
  <c r="L236" i="1"/>
  <c r="N236" i="1" s="1"/>
  <c r="Q236" i="1" s="1"/>
  <c r="I236" i="1"/>
  <c r="H236" i="1"/>
  <c r="P235" i="1"/>
  <c r="O235" i="1"/>
  <c r="M235" i="1"/>
  <c r="L235" i="1"/>
  <c r="N235" i="1" s="1"/>
  <c r="Q235" i="1" s="1"/>
  <c r="I235" i="1"/>
  <c r="H235" i="1"/>
  <c r="P234" i="1"/>
  <c r="O234" i="1"/>
  <c r="M234" i="1"/>
  <c r="L234" i="1"/>
  <c r="N234" i="1" s="1"/>
  <c r="Q234" i="1" s="1"/>
  <c r="I234" i="1"/>
  <c r="H234" i="1"/>
  <c r="P233" i="1"/>
  <c r="O233" i="1"/>
  <c r="M233" i="1"/>
  <c r="L233" i="1"/>
  <c r="N233" i="1" s="1"/>
  <c r="Q233" i="1" s="1"/>
  <c r="I233" i="1"/>
  <c r="H233" i="1"/>
  <c r="P232" i="1"/>
  <c r="O232" i="1"/>
  <c r="M232" i="1"/>
  <c r="L232" i="1"/>
  <c r="N232" i="1" s="1"/>
  <c r="Q232" i="1" s="1"/>
  <c r="I232" i="1"/>
  <c r="H232" i="1"/>
  <c r="P231" i="1"/>
  <c r="O231" i="1"/>
  <c r="M231" i="1"/>
  <c r="L231" i="1"/>
  <c r="N231" i="1" s="1"/>
  <c r="Q231" i="1" s="1"/>
  <c r="I231" i="1"/>
  <c r="H231" i="1"/>
  <c r="P230" i="1"/>
  <c r="O230" i="1"/>
  <c r="M230" i="1"/>
  <c r="L230" i="1"/>
  <c r="N230" i="1" s="1"/>
  <c r="Q230" i="1" s="1"/>
  <c r="I230" i="1"/>
  <c r="H230" i="1"/>
  <c r="P229" i="1"/>
  <c r="O229" i="1"/>
  <c r="M229" i="1"/>
  <c r="L229" i="1"/>
  <c r="N229" i="1" s="1"/>
  <c r="Q229" i="1" s="1"/>
  <c r="I229" i="1"/>
  <c r="H229" i="1"/>
  <c r="L228" i="1"/>
  <c r="E228" i="1"/>
  <c r="O227" i="1"/>
  <c r="N227" i="1"/>
  <c r="Q227" i="1" s="1"/>
  <c r="M227" i="1"/>
  <c r="L227" i="1"/>
  <c r="I227" i="1"/>
  <c r="P227" i="1" s="1"/>
  <c r="H227" i="1"/>
  <c r="O226" i="1"/>
  <c r="N226" i="1"/>
  <c r="Q226" i="1" s="1"/>
  <c r="M226" i="1"/>
  <c r="L226" i="1"/>
  <c r="I226" i="1"/>
  <c r="P226" i="1" s="1"/>
  <c r="H226" i="1"/>
  <c r="O225" i="1"/>
  <c r="N225" i="1"/>
  <c r="Q225" i="1" s="1"/>
  <c r="M225" i="1"/>
  <c r="L225" i="1"/>
  <c r="I225" i="1"/>
  <c r="P225" i="1" s="1"/>
  <c r="H225" i="1"/>
  <c r="O224" i="1"/>
  <c r="N224" i="1"/>
  <c r="Q224" i="1" s="1"/>
  <c r="M224" i="1"/>
  <c r="L224" i="1"/>
  <c r="I224" i="1"/>
  <c r="P224" i="1" s="1"/>
  <c r="H224" i="1"/>
  <c r="O223" i="1"/>
  <c r="N223" i="1"/>
  <c r="Q223" i="1" s="1"/>
  <c r="M223" i="1"/>
  <c r="L223" i="1"/>
  <c r="I223" i="1"/>
  <c r="P223" i="1" s="1"/>
  <c r="H223" i="1"/>
  <c r="O222" i="1"/>
  <c r="N222" i="1"/>
  <c r="Q222" i="1" s="1"/>
  <c r="M222" i="1"/>
  <c r="L222" i="1"/>
  <c r="I222" i="1"/>
  <c r="P222" i="1" s="1"/>
  <c r="H222" i="1"/>
  <c r="O221" i="1"/>
  <c r="N221" i="1"/>
  <c r="Q221" i="1" s="1"/>
  <c r="M221" i="1"/>
  <c r="L221" i="1"/>
  <c r="I221" i="1"/>
  <c r="P221" i="1" s="1"/>
  <c r="H221" i="1"/>
  <c r="O220" i="1"/>
  <c r="N220" i="1"/>
  <c r="Q220" i="1" s="1"/>
  <c r="M220" i="1"/>
  <c r="L220" i="1"/>
  <c r="I220" i="1"/>
  <c r="P220" i="1" s="1"/>
  <c r="H220" i="1"/>
  <c r="O219" i="1"/>
  <c r="N219" i="1"/>
  <c r="Q219" i="1" s="1"/>
  <c r="M219" i="1"/>
  <c r="L219" i="1"/>
  <c r="I219" i="1"/>
  <c r="P219" i="1" s="1"/>
  <c r="H219" i="1"/>
  <c r="O218" i="1"/>
  <c r="N218" i="1"/>
  <c r="Q218" i="1" s="1"/>
  <c r="M218" i="1"/>
  <c r="L218" i="1"/>
  <c r="I218" i="1"/>
  <c r="P218" i="1" s="1"/>
  <c r="H218" i="1"/>
  <c r="L217" i="1"/>
  <c r="E217" i="1"/>
  <c r="P216" i="1"/>
  <c r="O216" i="1"/>
  <c r="M216" i="1"/>
  <c r="L216" i="1"/>
  <c r="N216" i="1" s="1"/>
  <c r="Q216" i="1" s="1"/>
  <c r="I216" i="1"/>
  <c r="H216" i="1"/>
  <c r="P215" i="1"/>
  <c r="O215" i="1"/>
  <c r="M215" i="1"/>
  <c r="L215" i="1"/>
  <c r="N215" i="1" s="1"/>
  <c r="Q215" i="1" s="1"/>
  <c r="I215" i="1"/>
  <c r="H215" i="1"/>
  <c r="P214" i="1"/>
  <c r="O214" i="1"/>
  <c r="M214" i="1"/>
  <c r="L214" i="1"/>
  <c r="N214" i="1" s="1"/>
  <c r="Q214" i="1" s="1"/>
  <c r="I214" i="1"/>
  <c r="H214" i="1"/>
  <c r="P213" i="1"/>
  <c r="O213" i="1"/>
  <c r="M213" i="1"/>
  <c r="L213" i="1"/>
  <c r="N213" i="1" s="1"/>
  <c r="Q213" i="1" s="1"/>
  <c r="I213" i="1"/>
  <c r="H213" i="1"/>
  <c r="P212" i="1"/>
  <c r="O212" i="1"/>
  <c r="M212" i="1"/>
  <c r="L212" i="1"/>
  <c r="N212" i="1" s="1"/>
  <c r="Q212" i="1" s="1"/>
  <c r="I212" i="1"/>
  <c r="H212" i="1"/>
  <c r="P211" i="1"/>
  <c r="O211" i="1"/>
  <c r="M211" i="1"/>
  <c r="L211" i="1"/>
  <c r="N211" i="1" s="1"/>
  <c r="Q211" i="1" s="1"/>
  <c r="I211" i="1"/>
  <c r="H211" i="1"/>
  <c r="P210" i="1"/>
  <c r="O210" i="1"/>
  <c r="M210" i="1"/>
  <c r="L210" i="1"/>
  <c r="N210" i="1" s="1"/>
  <c r="Q210" i="1" s="1"/>
  <c r="I210" i="1"/>
  <c r="H210" i="1"/>
  <c r="P209" i="1"/>
  <c r="O209" i="1"/>
  <c r="M209" i="1"/>
  <c r="L209" i="1"/>
  <c r="N209" i="1" s="1"/>
  <c r="Q209" i="1" s="1"/>
  <c r="I209" i="1"/>
  <c r="H209" i="1"/>
  <c r="P208" i="1"/>
  <c r="O208" i="1"/>
  <c r="M208" i="1"/>
  <c r="L208" i="1"/>
  <c r="N208" i="1" s="1"/>
  <c r="Q208" i="1" s="1"/>
  <c r="I208" i="1"/>
  <c r="H208" i="1"/>
  <c r="P207" i="1"/>
  <c r="O207" i="1"/>
  <c r="M207" i="1"/>
  <c r="L207" i="1"/>
  <c r="N207" i="1" s="1"/>
  <c r="Q207" i="1" s="1"/>
  <c r="I207" i="1"/>
  <c r="H207" i="1"/>
  <c r="L206" i="1"/>
  <c r="E206" i="1"/>
  <c r="O205" i="1"/>
  <c r="N205" i="1"/>
  <c r="Q205" i="1" s="1"/>
  <c r="M205" i="1"/>
  <c r="L205" i="1"/>
  <c r="I205" i="1"/>
  <c r="P205" i="1" s="1"/>
  <c r="H205" i="1"/>
  <c r="O204" i="1"/>
  <c r="N204" i="1"/>
  <c r="Q204" i="1" s="1"/>
  <c r="M204" i="1"/>
  <c r="L204" i="1"/>
  <c r="I204" i="1"/>
  <c r="P204" i="1" s="1"/>
  <c r="H204" i="1"/>
  <c r="O203" i="1"/>
  <c r="N203" i="1"/>
  <c r="Q203" i="1" s="1"/>
  <c r="M203" i="1"/>
  <c r="L203" i="1"/>
  <c r="I203" i="1"/>
  <c r="P203" i="1" s="1"/>
  <c r="H203" i="1"/>
  <c r="O202" i="1"/>
  <c r="N202" i="1"/>
  <c r="Q202" i="1" s="1"/>
  <c r="M202" i="1"/>
  <c r="L202" i="1"/>
  <c r="I202" i="1"/>
  <c r="P202" i="1" s="1"/>
  <c r="H202" i="1"/>
  <c r="O201" i="1"/>
  <c r="N201" i="1"/>
  <c r="Q201" i="1" s="1"/>
  <c r="M201" i="1"/>
  <c r="L201" i="1"/>
  <c r="I201" i="1"/>
  <c r="P201" i="1" s="1"/>
  <c r="H201" i="1"/>
  <c r="O200" i="1"/>
  <c r="N200" i="1"/>
  <c r="Q200" i="1" s="1"/>
  <c r="M200" i="1"/>
  <c r="L200" i="1"/>
  <c r="I200" i="1"/>
  <c r="P200" i="1" s="1"/>
  <c r="H200" i="1"/>
  <c r="O199" i="1"/>
  <c r="N199" i="1"/>
  <c r="Q199" i="1" s="1"/>
  <c r="M199" i="1"/>
  <c r="L199" i="1"/>
  <c r="I199" i="1"/>
  <c r="P199" i="1" s="1"/>
  <c r="H199" i="1"/>
  <c r="O198" i="1"/>
  <c r="N198" i="1"/>
  <c r="Q198" i="1" s="1"/>
  <c r="M198" i="1"/>
  <c r="L198" i="1"/>
  <c r="I198" i="1"/>
  <c r="P198" i="1" s="1"/>
  <c r="H198" i="1"/>
  <c r="O197" i="1"/>
  <c r="N197" i="1"/>
  <c r="Q197" i="1" s="1"/>
  <c r="M197" i="1"/>
  <c r="L197" i="1"/>
  <c r="I197" i="1"/>
  <c r="P197" i="1" s="1"/>
  <c r="H197" i="1"/>
  <c r="O196" i="1"/>
  <c r="N196" i="1"/>
  <c r="Q196" i="1" s="1"/>
  <c r="M196" i="1"/>
  <c r="L196" i="1"/>
  <c r="I196" i="1"/>
  <c r="P196" i="1" s="1"/>
  <c r="H196" i="1"/>
  <c r="L195" i="1"/>
  <c r="E195" i="1"/>
  <c r="P194" i="1"/>
  <c r="O194" i="1"/>
  <c r="M194" i="1"/>
  <c r="L194" i="1"/>
  <c r="N194" i="1" s="1"/>
  <c r="Q194" i="1" s="1"/>
  <c r="I194" i="1"/>
  <c r="H194" i="1"/>
  <c r="P193" i="1"/>
  <c r="O193" i="1"/>
  <c r="M193" i="1"/>
  <c r="L193" i="1"/>
  <c r="N193" i="1" s="1"/>
  <c r="Q193" i="1" s="1"/>
  <c r="I193" i="1"/>
  <c r="H193" i="1"/>
  <c r="P192" i="1"/>
  <c r="O192" i="1"/>
  <c r="M192" i="1"/>
  <c r="L192" i="1"/>
  <c r="N192" i="1" s="1"/>
  <c r="Q192" i="1" s="1"/>
  <c r="I192" i="1"/>
  <c r="H192" i="1"/>
  <c r="P191" i="1"/>
  <c r="O191" i="1"/>
  <c r="M191" i="1"/>
  <c r="L191" i="1"/>
  <c r="N191" i="1" s="1"/>
  <c r="Q191" i="1" s="1"/>
  <c r="I191" i="1"/>
  <c r="H191" i="1"/>
  <c r="P190" i="1"/>
  <c r="O190" i="1"/>
  <c r="M190" i="1"/>
  <c r="L190" i="1"/>
  <c r="N190" i="1" s="1"/>
  <c r="Q190" i="1" s="1"/>
  <c r="I190" i="1"/>
  <c r="H190" i="1"/>
  <c r="P189" i="1"/>
  <c r="O189" i="1"/>
  <c r="M189" i="1"/>
  <c r="L189" i="1"/>
  <c r="N189" i="1" s="1"/>
  <c r="Q189" i="1" s="1"/>
  <c r="I189" i="1"/>
  <c r="H189" i="1"/>
  <c r="P188" i="1"/>
  <c r="O188" i="1"/>
  <c r="M188" i="1"/>
  <c r="L188" i="1"/>
  <c r="N188" i="1" s="1"/>
  <c r="Q188" i="1" s="1"/>
  <c r="I188" i="1"/>
  <c r="H188" i="1"/>
  <c r="P187" i="1"/>
  <c r="O187" i="1"/>
  <c r="M187" i="1"/>
  <c r="L187" i="1"/>
  <c r="N187" i="1" s="1"/>
  <c r="Q187" i="1" s="1"/>
  <c r="I187" i="1"/>
  <c r="H187" i="1"/>
  <c r="P186" i="1"/>
  <c r="O186" i="1"/>
  <c r="M186" i="1"/>
  <c r="L186" i="1"/>
  <c r="N186" i="1" s="1"/>
  <c r="Q186" i="1" s="1"/>
  <c r="I186" i="1"/>
  <c r="H186" i="1"/>
  <c r="P185" i="1"/>
  <c r="O185" i="1"/>
  <c r="M185" i="1"/>
  <c r="L185" i="1"/>
  <c r="N185" i="1" s="1"/>
  <c r="Q185" i="1" s="1"/>
  <c r="I185" i="1"/>
  <c r="H185" i="1"/>
  <c r="L184" i="1"/>
  <c r="E184" i="1"/>
  <c r="O183" i="1"/>
  <c r="N183" i="1"/>
  <c r="Q183" i="1" s="1"/>
  <c r="M183" i="1"/>
  <c r="L183" i="1"/>
  <c r="I183" i="1"/>
  <c r="P183" i="1" s="1"/>
  <c r="H183" i="1"/>
  <c r="O182" i="1"/>
  <c r="N182" i="1"/>
  <c r="Q182" i="1" s="1"/>
  <c r="M182" i="1"/>
  <c r="L182" i="1"/>
  <c r="I182" i="1"/>
  <c r="P182" i="1" s="1"/>
  <c r="H182" i="1"/>
  <c r="O181" i="1"/>
  <c r="N181" i="1"/>
  <c r="Q181" i="1" s="1"/>
  <c r="M181" i="1"/>
  <c r="L181" i="1"/>
  <c r="I181" i="1"/>
  <c r="P181" i="1" s="1"/>
  <c r="H181" i="1"/>
  <c r="O180" i="1"/>
  <c r="N180" i="1"/>
  <c r="Q180" i="1" s="1"/>
  <c r="M180" i="1"/>
  <c r="L180" i="1"/>
  <c r="I180" i="1"/>
  <c r="P180" i="1" s="1"/>
  <c r="H180" i="1"/>
  <c r="O179" i="1"/>
  <c r="N179" i="1"/>
  <c r="Q179" i="1" s="1"/>
  <c r="M179" i="1"/>
  <c r="L179" i="1"/>
  <c r="I179" i="1"/>
  <c r="P179" i="1" s="1"/>
  <c r="H179" i="1"/>
  <c r="O178" i="1"/>
  <c r="N178" i="1"/>
  <c r="Q178" i="1" s="1"/>
  <c r="M178" i="1"/>
  <c r="L178" i="1"/>
  <c r="I178" i="1"/>
  <c r="P178" i="1" s="1"/>
  <c r="H178" i="1"/>
  <c r="O177" i="1"/>
  <c r="N177" i="1"/>
  <c r="Q177" i="1" s="1"/>
  <c r="M177" i="1"/>
  <c r="L177" i="1"/>
  <c r="I177" i="1"/>
  <c r="P177" i="1" s="1"/>
  <c r="H177" i="1"/>
  <c r="O176" i="1"/>
  <c r="N176" i="1"/>
  <c r="Q176" i="1" s="1"/>
  <c r="M176" i="1"/>
  <c r="L176" i="1"/>
  <c r="I176" i="1"/>
  <c r="P176" i="1" s="1"/>
  <c r="H176" i="1"/>
  <c r="O175" i="1"/>
  <c r="N175" i="1"/>
  <c r="Q175" i="1" s="1"/>
  <c r="M175" i="1"/>
  <c r="L175" i="1"/>
  <c r="I175" i="1"/>
  <c r="P175" i="1" s="1"/>
  <c r="H175" i="1"/>
  <c r="O174" i="1"/>
  <c r="N174" i="1"/>
  <c r="Q174" i="1" s="1"/>
  <c r="M174" i="1"/>
  <c r="L174" i="1"/>
  <c r="I174" i="1"/>
  <c r="P174" i="1" s="1"/>
  <c r="H174" i="1"/>
  <c r="L173" i="1"/>
  <c r="E173" i="1"/>
  <c r="P172" i="1"/>
  <c r="O172" i="1"/>
  <c r="M172" i="1"/>
  <c r="L172" i="1"/>
  <c r="N172" i="1" s="1"/>
  <c r="Q172" i="1" s="1"/>
  <c r="I172" i="1"/>
  <c r="H172" i="1"/>
  <c r="P171" i="1"/>
  <c r="O171" i="1"/>
  <c r="M171" i="1"/>
  <c r="L171" i="1"/>
  <c r="N171" i="1" s="1"/>
  <c r="Q171" i="1" s="1"/>
  <c r="I171" i="1"/>
  <c r="H171" i="1"/>
  <c r="P170" i="1"/>
  <c r="O170" i="1"/>
  <c r="M170" i="1"/>
  <c r="L170" i="1"/>
  <c r="N170" i="1" s="1"/>
  <c r="Q170" i="1" s="1"/>
  <c r="I170" i="1"/>
  <c r="H170" i="1"/>
  <c r="P169" i="1"/>
  <c r="O169" i="1"/>
  <c r="M169" i="1"/>
  <c r="L169" i="1"/>
  <c r="N169" i="1" s="1"/>
  <c r="Q169" i="1" s="1"/>
  <c r="I169" i="1"/>
  <c r="H169" i="1"/>
  <c r="P168" i="1"/>
  <c r="O168" i="1"/>
  <c r="M168" i="1"/>
  <c r="L168" i="1"/>
  <c r="N168" i="1" s="1"/>
  <c r="Q168" i="1" s="1"/>
  <c r="I168" i="1"/>
  <c r="H168" i="1"/>
  <c r="P167" i="1"/>
  <c r="O167" i="1"/>
  <c r="M167" i="1"/>
  <c r="L167" i="1"/>
  <c r="N167" i="1" s="1"/>
  <c r="Q167" i="1" s="1"/>
  <c r="I167" i="1"/>
  <c r="H167" i="1"/>
  <c r="P166" i="1"/>
  <c r="O166" i="1"/>
  <c r="M166" i="1"/>
  <c r="L166" i="1"/>
  <c r="N166" i="1" s="1"/>
  <c r="Q166" i="1" s="1"/>
  <c r="I166" i="1"/>
  <c r="H166" i="1"/>
  <c r="P165" i="1"/>
  <c r="O165" i="1"/>
  <c r="M165" i="1"/>
  <c r="L165" i="1"/>
  <c r="N165" i="1" s="1"/>
  <c r="Q165" i="1" s="1"/>
  <c r="I165" i="1"/>
  <c r="H165" i="1"/>
  <c r="P164" i="1"/>
  <c r="O164" i="1"/>
  <c r="M164" i="1"/>
  <c r="L164" i="1"/>
  <c r="N164" i="1" s="1"/>
  <c r="Q164" i="1" s="1"/>
  <c r="I164" i="1"/>
  <c r="H164" i="1"/>
  <c r="P163" i="1"/>
  <c r="O163" i="1"/>
  <c r="M163" i="1"/>
  <c r="L163" i="1"/>
  <c r="N163" i="1" s="1"/>
  <c r="Q163" i="1" s="1"/>
  <c r="I163" i="1"/>
  <c r="H163" i="1"/>
  <c r="L162" i="1"/>
  <c r="E162" i="1"/>
  <c r="O161" i="1"/>
  <c r="N161" i="1"/>
  <c r="Q161" i="1" s="1"/>
  <c r="M161" i="1"/>
  <c r="L161" i="1"/>
  <c r="I161" i="1"/>
  <c r="P161" i="1" s="1"/>
  <c r="H161" i="1"/>
  <c r="O160" i="1"/>
  <c r="N160" i="1"/>
  <c r="Q160" i="1" s="1"/>
  <c r="M160" i="1"/>
  <c r="L160" i="1"/>
  <c r="I160" i="1"/>
  <c r="P160" i="1" s="1"/>
  <c r="H160" i="1"/>
  <c r="O159" i="1"/>
  <c r="N159" i="1"/>
  <c r="Q159" i="1" s="1"/>
  <c r="M159" i="1"/>
  <c r="L159" i="1"/>
  <c r="I159" i="1"/>
  <c r="P159" i="1" s="1"/>
  <c r="H159" i="1"/>
  <c r="O158" i="1"/>
  <c r="N158" i="1"/>
  <c r="Q158" i="1" s="1"/>
  <c r="M158" i="1"/>
  <c r="L158" i="1"/>
  <c r="I158" i="1"/>
  <c r="P158" i="1" s="1"/>
  <c r="H158" i="1"/>
  <c r="O157" i="1"/>
  <c r="N157" i="1"/>
  <c r="Q157" i="1" s="1"/>
  <c r="M157" i="1"/>
  <c r="L157" i="1"/>
  <c r="I157" i="1"/>
  <c r="P157" i="1" s="1"/>
  <c r="H157" i="1"/>
  <c r="O156" i="1"/>
  <c r="N156" i="1"/>
  <c r="Q156" i="1" s="1"/>
  <c r="M156" i="1"/>
  <c r="L156" i="1"/>
  <c r="I156" i="1"/>
  <c r="P156" i="1" s="1"/>
  <c r="H156" i="1"/>
  <c r="O155" i="1"/>
  <c r="N155" i="1"/>
  <c r="Q155" i="1" s="1"/>
  <c r="M155" i="1"/>
  <c r="L155" i="1"/>
  <c r="I155" i="1"/>
  <c r="P155" i="1" s="1"/>
  <c r="H155" i="1"/>
  <c r="O154" i="1"/>
  <c r="N154" i="1"/>
  <c r="Q154" i="1" s="1"/>
  <c r="M154" i="1"/>
  <c r="L154" i="1"/>
  <c r="I154" i="1"/>
  <c r="P154" i="1" s="1"/>
  <c r="H154" i="1"/>
  <c r="O153" i="1"/>
  <c r="N153" i="1"/>
  <c r="Q153" i="1" s="1"/>
  <c r="M153" i="1"/>
  <c r="L153" i="1"/>
  <c r="I153" i="1"/>
  <c r="P153" i="1" s="1"/>
  <c r="H153" i="1"/>
  <c r="O152" i="1"/>
  <c r="N152" i="1"/>
  <c r="Q152" i="1" s="1"/>
  <c r="M152" i="1"/>
  <c r="L152" i="1"/>
  <c r="I152" i="1"/>
  <c r="P152" i="1" s="1"/>
  <c r="H152" i="1"/>
  <c r="L151" i="1"/>
  <c r="E151" i="1"/>
  <c r="P150" i="1"/>
  <c r="O150" i="1"/>
  <c r="M150" i="1"/>
  <c r="L150" i="1"/>
  <c r="N150" i="1" s="1"/>
  <c r="Q150" i="1" s="1"/>
  <c r="I150" i="1"/>
  <c r="H150" i="1"/>
  <c r="P149" i="1"/>
  <c r="O149" i="1"/>
  <c r="M149" i="1"/>
  <c r="L149" i="1"/>
  <c r="N149" i="1" s="1"/>
  <c r="Q149" i="1" s="1"/>
  <c r="I149" i="1"/>
  <c r="H149" i="1"/>
  <c r="P148" i="1"/>
  <c r="O148" i="1"/>
  <c r="M148" i="1"/>
  <c r="L148" i="1"/>
  <c r="N148" i="1" s="1"/>
  <c r="Q148" i="1" s="1"/>
  <c r="I148" i="1"/>
  <c r="H148" i="1"/>
  <c r="P147" i="1"/>
  <c r="O147" i="1"/>
  <c r="M147" i="1"/>
  <c r="L147" i="1"/>
  <c r="N147" i="1" s="1"/>
  <c r="Q147" i="1" s="1"/>
  <c r="I147" i="1"/>
  <c r="H147" i="1"/>
  <c r="P146" i="1"/>
  <c r="O146" i="1"/>
  <c r="M146" i="1"/>
  <c r="L146" i="1"/>
  <c r="N146" i="1" s="1"/>
  <c r="Q146" i="1" s="1"/>
  <c r="I146" i="1"/>
  <c r="H146" i="1"/>
  <c r="P145" i="1"/>
  <c r="O145" i="1"/>
  <c r="M145" i="1"/>
  <c r="L145" i="1"/>
  <c r="N145" i="1" s="1"/>
  <c r="Q145" i="1" s="1"/>
  <c r="I145" i="1"/>
  <c r="H145" i="1"/>
  <c r="P144" i="1"/>
  <c r="O144" i="1"/>
  <c r="M144" i="1"/>
  <c r="L144" i="1"/>
  <c r="N144" i="1" s="1"/>
  <c r="Q144" i="1" s="1"/>
  <c r="I144" i="1"/>
  <c r="H144" i="1"/>
  <c r="P143" i="1"/>
  <c r="O143" i="1"/>
  <c r="M143" i="1"/>
  <c r="L143" i="1"/>
  <c r="N143" i="1" s="1"/>
  <c r="Q143" i="1" s="1"/>
  <c r="I143" i="1"/>
  <c r="H143" i="1"/>
  <c r="P142" i="1"/>
  <c r="O142" i="1"/>
  <c r="M142" i="1"/>
  <c r="L142" i="1"/>
  <c r="N142" i="1" s="1"/>
  <c r="Q142" i="1" s="1"/>
  <c r="I142" i="1"/>
  <c r="H142" i="1"/>
  <c r="P141" i="1"/>
  <c r="O141" i="1"/>
  <c r="M141" i="1"/>
  <c r="L141" i="1"/>
  <c r="N141" i="1" s="1"/>
  <c r="Q141" i="1" s="1"/>
  <c r="I141" i="1"/>
  <c r="H141" i="1"/>
  <c r="L140" i="1"/>
  <c r="E140" i="1"/>
  <c r="O139" i="1"/>
  <c r="N139" i="1"/>
  <c r="Q139" i="1" s="1"/>
  <c r="M139" i="1"/>
  <c r="L139" i="1"/>
  <c r="I139" i="1"/>
  <c r="P139" i="1" s="1"/>
  <c r="H139" i="1"/>
  <c r="O138" i="1"/>
  <c r="N138" i="1"/>
  <c r="Q138" i="1" s="1"/>
  <c r="M138" i="1"/>
  <c r="L138" i="1"/>
  <c r="I138" i="1"/>
  <c r="P138" i="1" s="1"/>
  <c r="H138" i="1"/>
  <c r="O137" i="1"/>
  <c r="N137" i="1"/>
  <c r="Q137" i="1" s="1"/>
  <c r="M137" i="1"/>
  <c r="L137" i="1"/>
  <c r="I137" i="1"/>
  <c r="P137" i="1" s="1"/>
  <c r="H137" i="1"/>
  <c r="O136" i="1"/>
  <c r="N136" i="1"/>
  <c r="Q136" i="1" s="1"/>
  <c r="M136" i="1"/>
  <c r="L136" i="1"/>
  <c r="I136" i="1"/>
  <c r="P136" i="1" s="1"/>
  <c r="H136" i="1"/>
  <c r="O135" i="1"/>
  <c r="N135" i="1"/>
  <c r="Q135" i="1" s="1"/>
  <c r="M135" i="1"/>
  <c r="L135" i="1"/>
  <c r="I135" i="1"/>
  <c r="P135" i="1" s="1"/>
  <c r="H135" i="1"/>
  <c r="O134" i="1"/>
  <c r="N134" i="1"/>
  <c r="Q134" i="1" s="1"/>
  <c r="M134" i="1"/>
  <c r="L134" i="1"/>
  <c r="I134" i="1"/>
  <c r="P134" i="1" s="1"/>
  <c r="H134" i="1"/>
  <c r="O133" i="1"/>
  <c r="N133" i="1"/>
  <c r="Q133" i="1" s="1"/>
  <c r="M133" i="1"/>
  <c r="L133" i="1"/>
  <c r="I133" i="1"/>
  <c r="P133" i="1" s="1"/>
  <c r="H133" i="1"/>
  <c r="O132" i="1"/>
  <c r="N132" i="1"/>
  <c r="Q132" i="1" s="1"/>
  <c r="M132" i="1"/>
  <c r="L132" i="1"/>
  <c r="I132" i="1"/>
  <c r="P132" i="1" s="1"/>
  <c r="H132" i="1"/>
  <c r="O131" i="1"/>
  <c r="N131" i="1"/>
  <c r="Q131" i="1" s="1"/>
  <c r="M131" i="1"/>
  <c r="L131" i="1"/>
  <c r="I131" i="1"/>
  <c r="P131" i="1" s="1"/>
  <c r="H131" i="1"/>
  <c r="O130" i="1"/>
  <c r="N130" i="1"/>
  <c r="Q130" i="1" s="1"/>
  <c r="M130" i="1"/>
  <c r="L130" i="1"/>
  <c r="I130" i="1"/>
  <c r="P130" i="1" s="1"/>
  <c r="H130" i="1"/>
  <c r="L129" i="1"/>
  <c r="E129" i="1"/>
  <c r="P128" i="1"/>
  <c r="O128" i="1"/>
  <c r="M128" i="1"/>
  <c r="L128" i="1"/>
  <c r="N128" i="1" s="1"/>
  <c r="Q128" i="1" s="1"/>
  <c r="I128" i="1"/>
  <c r="H128" i="1"/>
  <c r="P127" i="1"/>
  <c r="O127" i="1"/>
  <c r="M127" i="1"/>
  <c r="L127" i="1"/>
  <c r="N127" i="1" s="1"/>
  <c r="Q127" i="1" s="1"/>
  <c r="I127" i="1"/>
  <c r="H127" i="1"/>
  <c r="P126" i="1"/>
  <c r="O126" i="1"/>
  <c r="M126" i="1"/>
  <c r="L126" i="1"/>
  <c r="N126" i="1" s="1"/>
  <c r="Q126" i="1" s="1"/>
  <c r="I126" i="1"/>
  <c r="H126" i="1"/>
  <c r="P125" i="1"/>
  <c r="O125" i="1"/>
  <c r="M125" i="1"/>
  <c r="L125" i="1"/>
  <c r="N125" i="1" s="1"/>
  <c r="Q125" i="1" s="1"/>
  <c r="I125" i="1"/>
  <c r="H125" i="1"/>
  <c r="P124" i="1"/>
  <c r="O124" i="1"/>
  <c r="M124" i="1"/>
  <c r="L124" i="1"/>
  <c r="N124" i="1" s="1"/>
  <c r="Q124" i="1" s="1"/>
  <c r="I124" i="1"/>
  <c r="H124" i="1"/>
  <c r="P123" i="1"/>
  <c r="O123" i="1"/>
  <c r="M123" i="1"/>
  <c r="L123" i="1"/>
  <c r="N123" i="1" s="1"/>
  <c r="Q123" i="1" s="1"/>
  <c r="I123" i="1"/>
  <c r="H123" i="1"/>
  <c r="P122" i="1"/>
  <c r="O122" i="1"/>
  <c r="M122" i="1"/>
  <c r="L122" i="1"/>
  <c r="N122" i="1" s="1"/>
  <c r="Q122" i="1" s="1"/>
  <c r="I122" i="1"/>
  <c r="H122" i="1"/>
  <c r="P121" i="1"/>
  <c r="O121" i="1"/>
  <c r="M121" i="1"/>
  <c r="L121" i="1"/>
  <c r="N121" i="1" s="1"/>
  <c r="Q121" i="1" s="1"/>
  <c r="I121" i="1"/>
  <c r="H121" i="1"/>
  <c r="P120" i="1"/>
  <c r="O120" i="1"/>
  <c r="M120" i="1"/>
  <c r="L120" i="1"/>
  <c r="N120" i="1" s="1"/>
  <c r="Q120" i="1" s="1"/>
  <c r="I120" i="1"/>
  <c r="H120" i="1"/>
  <c r="P119" i="1"/>
  <c r="O119" i="1"/>
  <c r="M119" i="1"/>
  <c r="L119" i="1"/>
  <c r="N119" i="1" s="1"/>
  <c r="Q119" i="1" s="1"/>
  <c r="I119" i="1"/>
  <c r="H119" i="1"/>
  <c r="L118" i="1"/>
  <c r="E118" i="1"/>
  <c r="O117" i="1"/>
  <c r="N117" i="1"/>
  <c r="Q117" i="1" s="1"/>
  <c r="M117" i="1"/>
  <c r="L117" i="1"/>
  <c r="I117" i="1"/>
  <c r="P117" i="1" s="1"/>
  <c r="H117" i="1"/>
  <c r="O116" i="1"/>
  <c r="N116" i="1"/>
  <c r="Q116" i="1" s="1"/>
  <c r="M116" i="1"/>
  <c r="L116" i="1"/>
  <c r="I116" i="1"/>
  <c r="P116" i="1" s="1"/>
  <c r="H116" i="1"/>
  <c r="O115" i="1"/>
  <c r="N115" i="1"/>
  <c r="Q115" i="1" s="1"/>
  <c r="M115" i="1"/>
  <c r="L115" i="1"/>
  <c r="I115" i="1"/>
  <c r="P115" i="1" s="1"/>
  <c r="H115" i="1"/>
  <c r="O114" i="1"/>
  <c r="N114" i="1"/>
  <c r="Q114" i="1" s="1"/>
  <c r="M114" i="1"/>
  <c r="L114" i="1"/>
  <c r="I114" i="1"/>
  <c r="P114" i="1" s="1"/>
  <c r="H114" i="1"/>
  <c r="O113" i="1"/>
  <c r="N113" i="1"/>
  <c r="Q113" i="1" s="1"/>
  <c r="M113" i="1"/>
  <c r="L113" i="1"/>
  <c r="I113" i="1"/>
  <c r="P113" i="1" s="1"/>
  <c r="H113" i="1"/>
  <c r="O112" i="1"/>
  <c r="N112" i="1"/>
  <c r="Q112" i="1" s="1"/>
  <c r="M112" i="1"/>
  <c r="L112" i="1"/>
  <c r="I112" i="1"/>
  <c r="P112" i="1" s="1"/>
  <c r="H112" i="1"/>
  <c r="O111" i="1"/>
  <c r="N111" i="1"/>
  <c r="Q111" i="1" s="1"/>
  <c r="M111" i="1"/>
  <c r="L111" i="1"/>
  <c r="I111" i="1"/>
  <c r="P111" i="1" s="1"/>
  <c r="H111" i="1"/>
  <c r="O110" i="1"/>
  <c r="N110" i="1"/>
  <c r="Q110" i="1" s="1"/>
  <c r="M110" i="1"/>
  <c r="L110" i="1"/>
  <c r="I110" i="1"/>
  <c r="P110" i="1" s="1"/>
  <c r="H110" i="1"/>
  <c r="O109" i="1"/>
  <c r="N109" i="1"/>
  <c r="Q109" i="1" s="1"/>
  <c r="M109" i="1"/>
  <c r="L109" i="1"/>
  <c r="I109" i="1"/>
  <c r="P109" i="1" s="1"/>
  <c r="H109" i="1"/>
  <c r="O108" i="1"/>
  <c r="N108" i="1"/>
  <c r="Q108" i="1" s="1"/>
  <c r="M108" i="1"/>
  <c r="L108" i="1"/>
  <c r="I108" i="1"/>
  <c r="P108" i="1" s="1"/>
  <c r="H108" i="1"/>
  <c r="L107" i="1"/>
  <c r="E107" i="1"/>
  <c r="P106" i="1"/>
  <c r="O106" i="1"/>
  <c r="M106" i="1"/>
  <c r="L106" i="1"/>
  <c r="N106" i="1" s="1"/>
  <c r="Q106" i="1" s="1"/>
  <c r="I106" i="1"/>
  <c r="H106" i="1"/>
  <c r="P105" i="1"/>
  <c r="O105" i="1"/>
  <c r="M105" i="1"/>
  <c r="L105" i="1"/>
  <c r="N105" i="1" s="1"/>
  <c r="Q105" i="1" s="1"/>
  <c r="I105" i="1"/>
  <c r="H105" i="1"/>
  <c r="P104" i="1"/>
  <c r="O104" i="1"/>
  <c r="M104" i="1"/>
  <c r="L104" i="1"/>
  <c r="N104" i="1" s="1"/>
  <c r="Q104" i="1" s="1"/>
  <c r="I104" i="1"/>
  <c r="H104" i="1"/>
  <c r="P103" i="1"/>
  <c r="O103" i="1"/>
  <c r="M103" i="1"/>
  <c r="L103" i="1"/>
  <c r="N103" i="1" s="1"/>
  <c r="Q103" i="1" s="1"/>
  <c r="I103" i="1"/>
  <c r="H103" i="1"/>
  <c r="P102" i="1"/>
  <c r="O102" i="1"/>
  <c r="M102" i="1"/>
  <c r="L102" i="1"/>
  <c r="N102" i="1" s="1"/>
  <c r="Q102" i="1" s="1"/>
  <c r="I102" i="1"/>
  <c r="H102" i="1"/>
  <c r="P101" i="1"/>
  <c r="O101" i="1"/>
  <c r="M101" i="1"/>
  <c r="L101" i="1"/>
  <c r="N101" i="1" s="1"/>
  <c r="Q101" i="1" s="1"/>
  <c r="I101" i="1"/>
  <c r="H101" i="1"/>
  <c r="P100" i="1"/>
  <c r="O100" i="1"/>
  <c r="M100" i="1"/>
  <c r="L100" i="1"/>
  <c r="N100" i="1" s="1"/>
  <c r="Q100" i="1" s="1"/>
  <c r="I100" i="1"/>
  <c r="H100" i="1"/>
  <c r="P99" i="1"/>
  <c r="O99" i="1"/>
  <c r="M99" i="1"/>
  <c r="L99" i="1"/>
  <c r="N99" i="1" s="1"/>
  <c r="Q99" i="1" s="1"/>
  <c r="I99" i="1"/>
  <c r="H99" i="1"/>
  <c r="P98" i="1"/>
  <c r="O98" i="1"/>
  <c r="M98" i="1"/>
  <c r="L98" i="1"/>
  <c r="N98" i="1" s="1"/>
  <c r="Q98" i="1" s="1"/>
  <c r="I98" i="1"/>
  <c r="H98" i="1"/>
  <c r="P97" i="1"/>
  <c r="O97" i="1"/>
  <c r="M97" i="1"/>
  <c r="L97" i="1"/>
  <c r="N97" i="1" s="1"/>
  <c r="Q97" i="1" s="1"/>
  <c r="I97" i="1"/>
  <c r="H97" i="1"/>
  <c r="L96" i="1"/>
  <c r="E96" i="1"/>
  <c r="O95" i="1"/>
  <c r="N95" i="1"/>
  <c r="M95" i="1"/>
  <c r="L95" i="1"/>
  <c r="I95" i="1"/>
  <c r="P95" i="1" s="1"/>
  <c r="H95" i="1"/>
  <c r="O94" i="1"/>
  <c r="N94" i="1"/>
  <c r="M94" i="1"/>
  <c r="L94" i="1"/>
  <c r="I94" i="1"/>
  <c r="P94" i="1" s="1"/>
  <c r="H94" i="1"/>
  <c r="O93" i="1"/>
  <c r="N93" i="1"/>
  <c r="M93" i="1"/>
  <c r="L93" i="1"/>
  <c r="I93" i="1"/>
  <c r="P93" i="1" s="1"/>
  <c r="H93" i="1"/>
  <c r="O92" i="1"/>
  <c r="N92" i="1"/>
  <c r="M92" i="1"/>
  <c r="L92" i="1"/>
  <c r="I92" i="1"/>
  <c r="P92" i="1" s="1"/>
  <c r="H92" i="1"/>
  <c r="O91" i="1"/>
  <c r="N91" i="1"/>
  <c r="M91" i="1"/>
  <c r="L91" i="1"/>
  <c r="I91" i="1"/>
  <c r="P91" i="1" s="1"/>
  <c r="H91" i="1"/>
  <c r="O90" i="1"/>
  <c r="N90" i="1"/>
  <c r="M90" i="1"/>
  <c r="L90" i="1"/>
  <c r="I90" i="1"/>
  <c r="P90" i="1" s="1"/>
  <c r="H90" i="1"/>
  <c r="O89" i="1"/>
  <c r="N89" i="1"/>
  <c r="M89" i="1"/>
  <c r="L89" i="1"/>
  <c r="I89" i="1"/>
  <c r="P89" i="1" s="1"/>
  <c r="H89" i="1"/>
  <c r="O88" i="1"/>
  <c r="N88" i="1"/>
  <c r="M88" i="1"/>
  <c r="L88" i="1"/>
  <c r="I88" i="1"/>
  <c r="P88" i="1" s="1"/>
  <c r="H88" i="1"/>
  <c r="O87" i="1"/>
  <c r="N87" i="1"/>
  <c r="M87" i="1"/>
  <c r="L87" i="1"/>
  <c r="I87" i="1"/>
  <c r="P87" i="1" s="1"/>
  <c r="H87" i="1"/>
  <c r="O86" i="1"/>
  <c r="N86" i="1"/>
  <c r="M86" i="1"/>
  <c r="L86" i="1"/>
  <c r="I86" i="1"/>
  <c r="P86" i="1" s="1"/>
  <c r="H86" i="1"/>
  <c r="L85" i="1"/>
  <c r="E85" i="1"/>
  <c r="P84" i="1"/>
  <c r="O84" i="1"/>
  <c r="M84" i="1"/>
  <c r="L84" i="1"/>
  <c r="N84" i="1" s="1"/>
  <c r="Q84" i="1" s="1"/>
  <c r="I84" i="1"/>
  <c r="H84" i="1"/>
  <c r="P83" i="1"/>
  <c r="O83" i="1"/>
  <c r="M83" i="1"/>
  <c r="L83" i="1"/>
  <c r="N83" i="1" s="1"/>
  <c r="Q83" i="1" s="1"/>
  <c r="I83" i="1"/>
  <c r="H83" i="1"/>
  <c r="P82" i="1"/>
  <c r="O82" i="1"/>
  <c r="M82" i="1"/>
  <c r="L82" i="1"/>
  <c r="N82" i="1" s="1"/>
  <c r="Q82" i="1" s="1"/>
  <c r="I82" i="1"/>
  <c r="H82" i="1"/>
  <c r="P81" i="1"/>
  <c r="O81" i="1"/>
  <c r="M81" i="1"/>
  <c r="L81" i="1"/>
  <c r="N81" i="1" s="1"/>
  <c r="Q81" i="1" s="1"/>
  <c r="I81" i="1"/>
  <c r="H81" i="1"/>
  <c r="P80" i="1"/>
  <c r="O80" i="1"/>
  <c r="M80" i="1"/>
  <c r="L80" i="1"/>
  <c r="N80" i="1" s="1"/>
  <c r="Q80" i="1" s="1"/>
  <c r="I80" i="1"/>
  <c r="H80" i="1"/>
  <c r="P79" i="1"/>
  <c r="O79" i="1"/>
  <c r="M79" i="1"/>
  <c r="L79" i="1"/>
  <c r="N79" i="1" s="1"/>
  <c r="Q79" i="1" s="1"/>
  <c r="I79" i="1"/>
  <c r="H79" i="1"/>
  <c r="P78" i="1"/>
  <c r="O78" i="1"/>
  <c r="M78" i="1"/>
  <c r="L78" i="1"/>
  <c r="N78" i="1" s="1"/>
  <c r="Q78" i="1" s="1"/>
  <c r="I78" i="1"/>
  <c r="H78" i="1"/>
  <c r="P77" i="1"/>
  <c r="O77" i="1"/>
  <c r="M77" i="1"/>
  <c r="L77" i="1"/>
  <c r="N77" i="1" s="1"/>
  <c r="Q77" i="1" s="1"/>
  <c r="I77" i="1"/>
  <c r="H77" i="1"/>
  <c r="P76" i="1"/>
  <c r="O76" i="1"/>
  <c r="M76" i="1"/>
  <c r="L76" i="1"/>
  <c r="N76" i="1" s="1"/>
  <c r="Q76" i="1" s="1"/>
  <c r="I76" i="1"/>
  <c r="H76" i="1"/>
  <c r="P75" i="1"/>
  <c r="O75" i="1"/>
  <c r="M75" i="1"/>
  <c r="L75" i="1"/>
  <c r="N75" i="1" s="1"/>
  <c r="Q75" i="1" s="1"/>
  <c r="I75" i="1"/>
  <c r="H75" i="1"/>
  <c r="L74" i="1"/>
  <c r="E74" i="1"/>
  <c r="O73" i="1"/>
  <c r="N73" i="1"/>
  <c r="M73" i="1"/>
  <c r="L73" i="1"/>
  <c r="I73" i="1"/>
  <c r="P73" i="1" s="1"/>
  <c r="H73" i="1"/>
  <c r="O72" i="1"/>
  <c r="N72" i="1"/>
  <c r="M72" i="1"/>
  <c r="L72" i="1"/>
  <c r="I72" i="1"/>
  <c r="P72" i="1" s="1"/>
  <c r="H72" i="1"/>
  <c r="O71" i="1"/>
  <c r="N71" i="1"/>
  <c r="M71" i="1"/>
  <c r="L71" i="1"/>
  <c r="I71" i="1"/>
  <c r="P71" i="1" s="1"/>
  <c r="H71" i="1"/>
  <c r="Q70" i="1"/>
  <c r="O70" i="1"/>
  <c r="N70" i="1"/>
  <c r="M70" i="1"/>
  <c r="L70" i="1"/>
  <c r="I70" i="1"/>
  <c r="P70" i="1" s="1"/>
  <c r="H70" i="1"/>
  <c r="O69" i="1"/>
  <c r="N69" i="1"/>
  <c r="Q69" i="1" s="1"/>
  <c r="M69" i="1"/>
  <c r="L69" i="1"/>
  <c r="I69" i="1"/>
  <c r="P69" i="1" s="1"/>
  <c r="H69" i="1"/>
  <c r="O68" i="1"/>
  <c r="N68" i="1"/>
  <c r="M68" i="1"/>
  <c r="L68" i="1"/>
  <c r="I68" i="1"/>
  <c r="P68" i="1" s="1"/>
  <c r="H68" i="1"/>
  <c r="O67" i="1"/>
  <c r="N67" i="1"/>
  <c r="M67" i="1"/>
  <c r="L67" i="1"/>
  <c r="I67" i="1"/>
  <c r="P67" i="1" s="1"/>
  <c r="H67" i="1"/>
  <c r="O66" i="1"/>
  <c r="N66" i="1"/>
  <c r="M66" i="1"/>
  <c r="L66" i="1"/>
  <c r="I66" i="1"/>
  <c r="P66" i="1" s="1"/>
  <c r="H66" i="1"/>
  <c r="O65" i="1"/>
  <c r="N65" i="1"/>
  <c r="M65" i="1"/>
  <c r="L65" i="1"/>
  <c r="I65" i="1"/>
  <c r="P65" i="1" s="1"/>
  <c r="H65" i="1"/>
  <c r="O64" i="1"/>
  <c r="N64" i="1"/>
  <c r="M64" i="1"/>
  <c r="L64" i="1"/>
  <c r="I64" i="1"/>
  <c r="P64" i="1" s="1"/>
  <c r="H64" i="1"/>
  <c r="L63" i="1"/>
  <c r="E63" i="1"/>
  <c r="O62" i="1"/>
  <c r="M62" i="1"/>
  <c r="L62" i="1"/>
  <c r="N62" i="1" s="1"/>
  <c r="Q62" i="1" s="1"/>
  <c r="I62" i="1"/>
  <c r="P62" i="1" s="1"/>
  <c r="H62" i="1"/>
  <c r="O61" i="1"/>
  <c r="M61" i="1"/>
  <c r="L61" i="1"/>
  <c r="N61" i="1" s="1"/>
  <c r="I61" i="1"/>
  <c r="P61" i="1" s="1"/>
  <c r="H61" i="1"/>
  <c r="O60" i="1"/>
  <c r="M60" i="1"/>
  <c r="L60" i="1"/>
  <c r="N60" i="1" s="1"/>
  <c r="Q60" i="1" s="1"/>
  <c r="I60" i="1"/>
  <c r="P60" i="1" s="1"/>
  <c r="H60" i="1"/>
  <c r="O59" i="1"/>
  <c r="M59" i="1"/>
  <c r="L59" i="1"/>
  <c r="N59" i="1" s="1"/>
  <c r="I59" i="1"/>
  <c r="P59" i="1" s="1"/>
  <c r="H59" i="1"/>
  <c r="O58" i="1"/>
  <c r="M58" i="1"/>
  <c r="L58" i="1"/>
  <c r="N58" i="1" s="1"/>
  <c r="Q58" i="1" s="1"/>
  <c r="I58" i="1"/>
  <c r="P58" i="1" s="1"/>
  <c r="H58" i="1"/>
  <c r="O57" i="1"/>
  <c r="M57" i="1"/>
  <c r="L57" i="1"/>
  <c r="N57" i="1" s="1"/>
  <c r="I57" i="1"/>
  <c r="P57" i="1" s="1"/>
  <c r="H57" i="1"/>
  <c r="O56" i="1"/>
  <c r="M56" i="1"/>
  <c r="L56" i="1"/>
  <c r="N56" i="1" s="1"/>
  <c r="Q56" i="1" s="1"/>
  <c r="I56" i="1"/>
  <c r="P56" i="1" s="1"/>
  <c r="H56" i="1"/>
  <c r="O55" i="1"/>
  <c r="M55" i="1"/>
  <c r="L55" i="1"/>
  <c r="N55" i="1" s="1"/>
  <c r="I55" i="1"/>
  <c r="P55" i="1" s="1"/>
  <c r="H55" i="1"/>
  <c r="O54" i="1"/>
  <c r="M54" i="1"/>
  <c r="L54" i="1"/>
  <c r="N54" i="1" s="1"/>
  <c r="Q54" i="1" s="1"/>
  <c r="I54" i="1"/>
  <c r="P54" i="1" s="1"/>
  <c r="H54" i="1"/>
  <c r="O53" i="1"/>
  <c r="M53" i="1"/>
  <c r="L53" i="1"/>
  <c r="N53" i="1" s="1"/>
  <c r="I53" i="1"/>
  <c r="P53" i="1" s="1"/>
  <c r="H53" i="1"/>
  <c r="L52" i="1"/>
  <c r="E52" i="1"/>
  <c r="O51" i="1"/>
  <c r="N51" i="1"/>
  <c r="M51" i="1"/>
  <c r="L51" i="1"/>
  <c r="I51" i="1"/>
  <c r="P51" i="1" s="1"/>
  <c r="H51" i="1"/>
  <c r="O50" i="1"/>
  <c r="N50" i="1"/>
  <c r="M50" i="1"/>
  <c r="L50" i="1"/>
  <c r="I50" i="1"/>
  <c r="P50" i="1" s="1"/>
  <c r="H50" i="1"/>
  <c r="O49" i="1"/>
  <c r="N49" i="1"/>
  <c r="M49" i="1"/>
  <c r="L49" i="1"/>
  <c r="I49" i="1"/>
  <c r="P49" i="1" s="1"/>
  <c r="H49" i="1"/>
  <c r="O48" i="1"/>
  <c r="N48" i="1"/>
  <c r="M48" i="1"/>
  <c r="L48" i="1"/>
  <c r="I48" i="1"/>
  <c r="P48" i="1" s="1"/>
  <c r="H48" i="1"/>
  <c r="O47" i="1"/>
  <c r="N47" i="1"/>
  <c r="M47" i="1"/>
  <c r="L47" i="1"/>
  <c r="I47" i="1"/>
  <c r="P47" i="1" s="1"/>
  <c r="H47" i="1"/>
  <c r="O46" i="1"/>
  <c r="N46" i="1"/>
  <c r="M46" i="1"/>
  <c r="L46" i="1"/>
  <c r="I46" i="1"/>
  <c r="P46" i="1" s="1"/>
  <c r="H46" i="1"/>
  <c r="O45" i="1"/>
  <c r="N45" i="1"/>
  <c r="M45" i="1"/>
  <c r="L45" i="1"/>
  <c r="I45" i="1"/>
  <c r="P45" i="1" s="1"/>
  <c r="H45" i="1"/>
  <c r="O44" i="1"/>
  <c r="N44" i="1"/>
  <c r="M44" i="1"/>
  <c r="L44" i="1"/>
  <c r="I44" i="1"/>
  <c r="P44" i="1" s="1"/>
  <c r="H44" i="1"/>
  <c r="O43" i="1"/>
  <c r="N43" i="1"/>
  <c r="M43" i="1"/>
  <c r="L43" i="1"/>
  <c r="I43" i="1"/>
  <c r="P43" i="1" s="1"/>
  <c r="H43" i="1"/>
  <c r="O42" i="1"/>
  <c r="Q42" i="1" s="1"/>
  <c r="N42" i="1"/>
  <c r="M42" i="1"/>
  <c r="L42" i="1"/>
  <c r="I42" i="1"/>
  <c r="P42" i="1" s="1"/>
  <c r="H42" i="1"/>
  <c r="L41" i="1"/>
  <c r="E41" i="1"/>
  <c r="O40" i="1"/>
  <c r="M40" i="1"/>
  <c r="L40" i="1"/>
  <c r="N40" i="1" s="1"/>
  <c r="Q40" i="1" s="1"/>
  <c r="I40" i="1"/>
  <c r="P40" i="1" s="1"/>
  <c r="H40" i="1"/>
  <c r="O39" i="1"/>
  <c r="M39" i="1"/>
  <c r="L39" i="1"/>
  <c r="N39" i="1" s="1"/>
  <c r="I39" i="1"/>
  <c r="P39" i="1" s="1"/>
  <c r="H39" i="1"/>
  <c r="O38" i="1"/>
  <c r="M38" i="1"/>
  <c r="L38" i="1"/>
  <c r="N38" i="1" s="1"/>
  <c r="Q38" i="1" s="1"/>
  <c r="I38" i="1"/>
  <c r="P38" i="1" s="1"/>
  <c r="H38" i="1"/>
  <c r="O37" i="1"/>
  <c r="M37" i="1"/>
  <c r="L37" i="1"/>
  <c r="N37" i="1" s="1"/>
  <c r="I37" i="1"/>
  <c r="P37" i="1" s="1"/>
  <c r="H37" i="1"/>
  <c r="O36" i="1"/>
  <c r="M36" i="1"/>
  <c r="L36" i="1"/>
  <c r="N36" i="1" s="1"/>
  <c r="Q36" i="1" s="1"/>
  <c r="I36" i="1"/>
  <c r="P36" i="1" s="1"/>
  <c r="H36" i="1"/>
  <c r="O35" i="1"/>
  <c r="M35" i="1"/>
  <c r="L35" i="1"/>
  <c r="N35" i="1" s="1"/>
  <c r="I35" i="1"/>
  <c r="P35" i="1" s="1"/>
  <c r="H35" i="1"/>
  <c r="O34" i="1"/>
  <c r="M34" i="1"/>
  <c r="L34" i="1"/>
  <c r="N34" i="1" s="1"/>
  <c r="Q34" i="1" s="1"/>
  <c r="I34" i="1"/>
  <c r="P34" i="1" s="1"/>
  <c r="H34" i="1"/>
  <c r="O33" i="1"/>
  <c r="M33" i="1"/>
  <c r="L33" i="1"/>
  <c r="N33" i="1" s="1"/>
  <c r="I33" i="1"/>
  <c r="P33" i="1" s="1"/>
  <c r="H33" i="1"/>
  <c r="O32" i="1"/>
  <c r="M32" i="1"/>
  <c r="L32" i="1"/>
  <c r="N32" i="1" s="1"/>
  <c r="Q32" i="1" s="1"/>
  <c r="I32" i="1"/>
  <c r="P32" i="1" s="1"/>
  <c r="H32" i="1"/>
  <c r="O31" i="1"/>
  <c r="M31" i="1"/>
  <c r="L31" i="1"/>
  <c r="N31" i="1" s="1"/>
  <c r="I31" i="1"/>
  <c r="P31" i="1" s="1"/>
  <c r="H31" i="1"/>
  <c r="L30" i="1"/>
  <c r="E30" i="1"/>
  <c r="O29" i="1"/>
  <c r="N29" i="1"/>
  <c r="M29" i="1"/>
  <c r="L29" i="1"/>
  <c r="I29" i="1"/>
  <c r="P29" i="1" s="1"/>
  <c r="H29" i="1"/>
  <c r="O28" i="1"/>
  <c r="N28" i="1"/>
  <c r="M28" i="1"/>
  <c r="L28" i="1"/>
  <c r="I28" i="1"/>
  <c r="P28" i="1" s="1"/>
  <c r="H28" i="1"/>
  <c r="O27" i="1"/>
  <c r="N27" i="1"/>
  <c r="M27" i="1"/>
  <c r="L27" i="1"/>
  <c r="I27" i="1"/>
  <c r="P27" i="1" s="1"/>
  <c r="H27" i="1"/>
  <c r="O26" i="1"/>
  <c r="N26" i="1"/>
  <c r="M26" i="1"/>
  <c r="L26" i="1"/>
  <c r="I26" i="1"/>
  <c r="P26" i="1" s="1"/>
  <c r="H26" i="1"/>
  <c r="O25" i="1"/>
  <c r="N25" i="1"/>
  <c r="M25" i="1"/>
  <c r="L25" i="1"/>
  <c r="I25" i="1"/>
  <c r="P25" i="1" s="1"/>
  <c r="H25" i="1"/>
  <c r="O24" i="1"/>
  <c r="N24" i="1"/>
  <c r="M24" i="1"/>
  <c r="L24" i="1"/>
  <c r="I24" i="1"/>
  <c r="P24" i="1" s="1"/>
  <c r="H24" i="1"/>
  <c r="O23" i="1"/>
  <c r="N23" i="1"/>
  <c r="M23" i="1"/>
  <c r="L23" i="1"/>
  <c r="I23" i="1"/>
  <c r="P23" i="1" s="1"/>
  <c r="H23" i="1"/>
  <c r="O22" i="1"/>
  <c r="N22" i="1"/>
  <c r="M22" i="1"/>
  <c r="L22" i="1"/>
  <c r="I22" i="1"/>
  <c r="P22" i="1" s="1"/>
  <c r="H22" i="1"/>
  <c r="O21" i="1"/>
  <c r="N21" i="1"/>
  <c r="M21" i="1"/>
  <c r="L21" i="1"/>
  <c r="I21" i="1"/>
  <c r="P21" i="1" s="1"/>
  <c r="H21" i="1"/>
  <c r="O20" i="1"/>
  <c r="N20" i="1"/>
  <c r="M20" i="1"/>
  <c r="L20" i="1"/>
  <c r="I20" i="1"/>
  <c r="P20" i="1" s="1"/>
  <c r="H20" i="1"/>
  <c r="L19" i="1"/>
  <c r="E19" i="1"/>
  <c r="O18" i="1"/>
  <c r="M18" i="1"/>
  <c r="L18" i="1"/>
  <c r="N18" i="1" s="1"/>
  <c r="Q18" i="1" s="1"/>
  <c r="I18" i="1"/>
  <c r="P18" i="1" s="1"/>
  <c r="H18" i="1"/>
  <c r="O17" i="1"/>
  <c r="M17" i="1"/>
  <c r="L17" i="1"/>
  <c r="N17" i="1" s="1"/>
  <c r="I17" i="1"/>
  <c r="P17" i="1" s="1"/>
  <c r="H17" i="1"/>
  <c r="O16" i="1"/>
  <c r="M16" i="1"/>
  <c r="L16" i="1"/>
  <c r="N16" i="1" s="1"/>
  <c r="Q16" i="1" s="1"/>
  <c r="I16" i="1"/>
  <c r="P16" i="1" s="1"/>
  <c r="H16" i="1"/>
  <c r="O15" i="1"/>
  <c r="M15" i="1"/>
  <c r="L15" i="1"/>
  <c r="N15" i="1" s="1"/>
  <c r="I15" i="1"/>
  <c r="P15" i="1" s="1"/>
  <c r="H15" i="1"/>
  <c r="O14" i="1"/>
  <c r="M14" i="1"/>
  <c r="L14" i="1"/>
  <c r="N14" i="1" s="1"/>
  <c r="Q14" i="1" s="1"/>
  <c r="I14" i="1"/>
  <c r="P14" i="1" s="1"/>
  <c r="H14" i="1"/>
  <c r="O13" i="1"/>
  <c r="M13" i="1"/>
  <c r="L13" i="1"/>
  <c r="N13" i="1" s="1"/>
  <c r="I13" i="1"/>
  <c r="P13" i="1" s="1"/>
  <c r="H13" i="1"/>
  <c r="O12" i="1"/>
  <c r="M12" i="1"/>
  <c r="L12" i="1"/>
  <c r="N12" i="1" s="1"/>
  <c r="Q12" i="1" s="1"/>
  <c r="I12" i="1"/>
  <c r="P12" i="1" s="1"/>
  <c r="H12" i="1"/>
  <c r="O11" i="1"/>
  <c r="M11" i="1"/>
  <c r="L11" i="1"/>
  <c r="N11" i="1" s="1"/>
  <c r="I11" i="1"/>
  <c r="P11" i="1" s="1"/>
  <c r="H11" i="1"/>
  <c r="O10" i="1"/>
  <c r="M10" i="1"/>
  <c r="L10" i="1"/>
  <c r="N10" i="1" s="1"/>
  <c r="Q10" i="1" s="1"/>
  <c r="I10" i="1"/>
  <c r="P10" i="1" s="1"/>
  <c r="H10" i="1"/>
  <c r="O9" i="1"/>
  <c r="M9" i="1"/>
  <c r="L9" i="1"/>
  <c r="N9" i="1" s="1"/>
  <c r="I9" i="1"/>
  <c r="P9" i="1" s="1"/>
  <c r="H9" i="1"/>
  <c r="L8" i="1"/>
  <c r="E8" i="1"/>
  <c r="O7" i="1"/>
  <c r="N7" i="1"/>
  <c r="M7" i="1"/>
  <c r="L7" i="1"/>
  <c r="I7" i="1"/>
  <c r="P7" i="1" s="1"/>
  <c r="H7" i="1"/>
  <c r="O6" i="1"/>
  <c r="N6" i="1"/>
  <c r="M6" i="1"/>
  <c r="L6" i="1"/>
  <c r="I6" i="1"/>
  <c r="P6" i="1" s="1"/>
  <c r="H6" i="1"/>
  <c r="O5" i="1"/>
  <c r="N5" i="1"/>
  <c r="M5" i="1"/>
  <c r="L5" i="1"/>
  <c r="I5" i="1"/>
  <c r="P5" i="1" s="1"/>
  <c r="H5" i="1"/>
  <c r="O4" i="1"/>
  <c r="N4" i="1"/>
  <c r="M4" i="1"/>
  <c r="L4" i="1"/>
  <c r="I4" i="1"/>
  <c r="P4" i="1" s="1"/>
  <c r="H4" i="1"/>
  <c r="O3" i="1"/>
  <c r="N3" i="1"/>
  <c r="M3" i="1"/>
  <c r="L3" i="1"/>
  <c r="I3" i="1"/>
  <c r="P3" i="1" s="1"/>
  <c r="H3" i="1"/>
  <c r="O2" i="1"/>
  <c r="N2" i="1"/>
  <c r="M2" i="1"/>
  <c r="L2" i="1"/>
  <c r="I2" i="1"/>
  <c r="P2" i="1" s="1"/>
  <c r="Q2" i="1" s="1"/>
  <c r="H2" i="1"/>
  <c r="Q2138" i="1" l="1"/>
  <c r="Q2142" i="1"/>
  <c r="Q2146" i="1"/>
  <c r="Q2150" i="1"/>
  <c r="Q2140" i="1"/>
  <c r="Q2144" i="1"/>
  <c r="Q2148" i="1"/>
  <c r="Q3" i="1"/>
  <c r="Q26" i="1"/>
  <c r="Q28" i="1"/>
  <c r="Q9" i="1"/>
  <c r="Q13" i="1"/>
  <c r="Q17" i="1"/>
  <c r="Q33" i="1"/>
  <c r="Q37" i="1"/>
  <c r="Q53" i="1"/>
  <c r="Q57" i="1"/>
  <c r="Q61" i="1"/>
  <c r="Q4" i="1"/>
  <c r="Q6" i="1"/>
  <c r="Q27" i="1"/>
  <c r="Q29" i="1"/>
  <c r="Q44" i="1"/>
  <c r="Q46" i="1"/>
  <c r="Q48" i="1"/>
  <c r="Q50" i="1"/>
  <c r="Q65" i="1"/>
  <c r="Q67" i="1"/>
  <c r="Q5" i="1"/>
  <c r="Q7" i="1"/>
  <c r="Q21" i="1"/>
  <c r="Q23" i="1"/>
  <c r="Q25" i="1"/>
  <c r="Q11" i="1"/>
  <c r="Q15" i="1"/>
  <c r="Q31" i="1"/>
  <c r="Q35" i="1"/>
  <c r="Q39" i="1"/>
  <c r="Q55" i="1"/>
  <c r="Q59" i="1"/>
  <c r="Q20" i="1"/>
  <c r="Q22" i="1"/>
  <c r="Q24" i="1"/>
  <c r="Q43" i="1"/>
  <c r="Q45" i="1"/>
  <c r="Q47" i="1"/>
  <c r="Q49" i="1"/>
  <c r="Q51" i="1"/>
  <c r="Q64" i="1"/>
  <c r="Q66" i="1"/>
  <c r="Q68" i="1"/>
  <c r="Q72" i="1"/>
  <c r="Q87" i="1"/>
  <c r="Q89" i="1"/>
  <c r="Q91" i="1"/>
  <c r="Q93" i="1"/>
  <c r="Q95" i="1"/>
  <c r="Q351" i="1"/>
  <c r="Q353" i="1"/>
  <c r="Q355" i="1"/>
  <c r="Q357" i="1"/>
  <c r="Q359" i="1"/>
  <c r="Q373" i="1"/>
  <c r="Q375" i="1"/>
  <c r="Q377" i="1"/>
  <c r="Q71" i="1"/>
  <c r="Q73" i="1"/>
  <c r="Q86" i="1"/>
  <c r="Q88" i="1"/>
  <c r="Q90" i="1"/>
  <c r="Q92" i="1"/>
  <c r="Q94" i="1"/>
  <c r="Q350" i="1"/>
  <c r="Q352" i="1"/>
  <c r="Q354" i="1"/>
  <c r="Q356" i="1"/>
  <c r="Q358" i="1"/>
  <c r="Q372" i="1"/>
  <c r="Q374" i="1"/>
  <c r="Q376" i="1"/>
  <c r="Q378" i="1"/>
  <c r="Q379" i="1"/>
  <c r="Q403" i="1"/>
  <c r="Q406" i="1"/>
  <c r="Q408" i="1"/>
  <c r="Q410" i="1"/>
  <c r="Q412" i="1"/>
  <c r="Q417" i="1"/>
  <c r="Q421" i="1"/>
  <c r="Q425" i="1"/>
  <c r="Q427" i="1"/>
  <c r="Q430" i="1"/>
  <c r="Q432" i="1"/>
  <c r="Q434" i="1"/>
  <c r="Q436" i="1"/>
  <c r="Q451" i="1"/>
  <c r="Q454" i="1"/>
  <c r="Q456" i="1"/>
  <c r="Q458" i="1"/>
  <c r="Q460" i="1"/>
  <c r="Q466" i="1"/>
  <c r="Q470" i="1"/>
  <c r="Q487" i="1"/>
  <c r="Q501" i="1"/>
  <c r="Q503" i="1"/>
  <c r="Q505" i="1"/>
  <c r="Q507" i="1"/>
  <c r="Q509" i="1"/>
  <c r="Q516" i="1"/>
  <c r="Q520" i="1"/>
  <c r="Q550" i="1"/>
  <c r="Q552" i="1"/>
  <c r="Q554" i="1"/>
  <c r="Q556" i="1"/>
  <c r="Q562" i="1"/>
  <c r="Q566" i="1"/>
  <c r="Q583" i="1"/>
  <c r="Q597" i="1"/>
  <c r="Q599" i="1"/>
  <c r="Q601" i="1"/>
  <c r="Q603" i="1"/>
  <c r="Q605" i="1"/>
  <c r="Q612" i="1"/>
  <c r="Q616" i="1"/>
  <c r="Q646" i="1"/>
  <c r="Q648" i="1"/>
  <c r="Q660" i="1"/>
  <c r="Q664" i="1"/>
  <c r="Q670" i="1"/>
  <c r="Q674" i="1"/>
  <c r="Q678" i="1"/>
  <c r="Q704" i="1"/>
  <c r="Q705" i="1"/>
  <c r="Q709" i="1"/>
  <c r="Q713" i="1"/>
  <c r="Q383" i="1"/>
  <c r="Q385" i="1"/>
  <c r="Q387" i="1"/>
  <c r="Q389" i="1"/>
  <c r="Q391" i="1"/>
  <c r="Q418" i="1"/>
  <c r="Q422" i="1"/>
  <c r="Q439" i="1"/>
  <c r="Q523" i="1"/>
  <c r="Q619" i="1"/>
  <c r="Q502" i="1"/>
  <c r="Q504" i="1"/>
  <c r="Q506" i="1"/>
  <c r="Q508" i="1"/>
  <c r="Q549" i="1"/>
  <c r="Q551" i="1"/>
  <c r="Q553" i="1"/>
  <c r="Q555" i="1"/>
  <c r="Q557" i="1"/>
  <c r="Q598" i="1"/>
  <c r="Q600" i="1"/>
  <c r="Q602" i="1"/>
  <c r="Q604" i="1"/>
  <c r="Q645" i="1"/>
  <c r="Q647" i="1"/>
  <c r="Q649" i="1"/>
  <c r="Q420" i="1"/>
  <c r="Q424" i="1"/>
  <c r="Q708" i="1"/>
  <c r="Q672" i="1"/>
  <c r="Q676" i="1"/>
  <c r="M680" i="1"/>
  <c r="M728" i="1"/>
  <c r="Q749" i="1"/>
  <c r="Q755" i="1"/>
  <c r="Q760" i="1"/>
  <c r="Q763" i="1"/>
  <c r="Q764" i="1"/>
  <c r="M776" i="1"/>
  <c r="Q797" i="1"/>
  <c r="Q886" i="1"/>
  <c r="Q890" i="1"/>
  <c r="M692" i="1"/>
  <c r="Q715" i="1"/>
  <c r="M716" i="1"/>
  <c r="O716" i="1"/>
  <c r="Q716" i="1" s="1"/>
  <c r="M740" i="1"/>
  <c r="Q753" i="1"/>
  <c r="Q758" i="1"/>
  <c r="Q761" i="1"/>
  <c r="M788" i="1"/>
  <c r="Q801" i="1"/>
  <c r="Q717" i="1"/>
  <c r="Q719" i="1"/>
  <c r="Q721" i="1"/>
  <c r="Q723" i="1"/>
  <c r="Q725" i="1"/>
  <c r="Q727" i="1"/>
  <c r="Q733" i="1"/>
  <c r="Q741" i="1"/>
  <c r="Q756" i="1"/>
  <c r="Q759" i="1"/>
  <c r="Q765" i="1"/>
  <c r="Q767" i="1"/>
  <c r="Q769" i="1"/>
  <c r="Q771" i="1"/>
  <c r="Q773" i="1"/>
  <c r="Q775" i="1"/>
  <c r="Q781" i="1"/>
  <c r="Q789" i="1"/>
  <c r="Q804" i="1"/>
  <c r="Q842" i="1"/>
  <c r="Q888" i="1"/>
  <c r="M904" i="1"/>
  <c r="Q905" i="1"/>
  <c r="Q757" i="1"/>
  <c r="O926" i="1"/>
  <c r="Q926" i="1" s="1"/>
  <c r="I926" i="1"/>
  <c r="P926" i="1" s="1"/>
  <c r="H926" i="1"/>
  <c r="M937" i="1"/>
  <c r="Q803" i="1"/>
  <c r="Q805" i="1"/>
  <c r="Q807" i="1"/>
  <c r="Q809" i="1"/>
  <c r="Q811" i="1"/>
  <c r="Q812" i="1"/>
  <c r="M824" i="1"/>
  <c r="M836" i="1"/>
  <c r="Q849" i="1"/>
  <c r="Q851" i="1"/>
  <c r="Q853" i="1"/>
  <c r="Q855" i="1"/>
  <c r="Q857" i="1"/>
  <c r="Q859" i="1"/>
  <c r="Q860" i="1"/>
  <c r="M872" i="1"/>
  <c r="Q913" i="1"/>
  <c r="Q919" i="1"/>
  <c r="Q945" i="1"/>
  <c r="Q947" i="1"/>
  <c r="Q949" i="1"/>
  <c r="Q952" i="1"/>
  <c r="M963" i="1"/>
  <c r="Q976" i="1"/>
  <c r="Q977" i="1"/>
  <c r="Q983" i="1"/>
  <c r="Q988" i="1"/>
  <c r="Q1002" i="1"/>
  <c r="Q1003" i="1"/>
  <c r="Q1007" i="1"/>
  <c r="Q1022" i="1"/>
  <c r="Q1024" i="1"/>
  <c r="Q1026" i="1"/>
  <c r="Q1032" i="1"/>
  <c r="Q1034" i="1"/>
  <c r="Q1057" i="1"/>
  <c r="Q1075" i="1"/>
  <c r="Q1077" i="1"/>
  <c r="Q1079" i="1"/>
  <c r="Q1082" i="1"/>
  <c r="M1119" i="1"/>
  <c r="Q1173" i="1"/>
  <c r="Q1177" i="1"/>
  <c r="Q1181" i="1"/>
  <c r="Q1185" i="1"/>
  <c r="Q1189" i="1"/>
  <c r="Q1193" i="1"/>
  <c r="Q1197" i="1"/>
  <c r="Q1201" i="1"/>
  <c r="Q1205" i="1"/>
  <c r="Q1209" i="1"/>
  <c r="Q1213" i="1"/>
  <c r="Q1217" i="1"/>
  <c r="Q1221" i="1"/>
  <c r="Q1225" i="1"/>
  <c r="Q1229" i="1"/>
  <c r="Q1233" i="1"/>
  <c r="Q1237" i="1"/>
  <c r="Q1241" i="1"/>
  <c r="Q1245" i="1"/>
  <c r="Q1249" i="1"/>
  <c r="Q1253" i="1"/>
  <c r="Q1257" i="1"/>
  <c r="Q1261" i="1"/>
  <c r="Q1265" i="1"/>
  <c r="Q1273" i="1"/>
  <c r="Q1281" i="1"/>
  <c r="Q1289" i="1"/>
  <c r="H1308" i="1"/>
  <c r="I1308" i="1"/>
  <c r="P1308" i="1" s="1"/>
  <c r="O1308" i="1"/>
  <c r="Q887" i="1"/>
  <c r="Q889" i="1"/>
  <c r="Q892" i="1"/>
  <c r="Q894" i="1"/>
  <c r="Q896" i="1"/>
  <c r="M898" i="1"/>
  <c r="Q914" i="1"/>
  <c r="O917" i="1"/>
  <c r="Q925" i="1"/>
  <c r="Q928" i="1"/>
  <c r="Q930" i="1"/>
  <c r="Q932" i="1"/>
  <c r="Q934" i="1"/>
  <c r="Q936" i="1"/>
  <c r="Q953" i="1"/>
  <c r="Q971" i="1"/>
  <c r="Q973" i="1"/>
  <c r="Q975" i="1"/>
  <c r="Q978" i="1"/>
  <c r="Q987" i="1"/>
  <c r="Q990" i="1"/>
  <c r="Q992" i="1"/>
  <c r="Q997" i="1"/>
  <c r="Q999" i="1"/>
  <c r="Q1001" i="1"/>
  <c r="Q1004" i="1"/>
  <c r="Q1009" i="1"/>
  <c r="Q1011" i="1"/>
  <c r="Q1013" i="1"/>
  <c r="M1015" i="1"/>
  <c r="Q1028" i="1"/>
  <c r="Q1029" i="1"/>
  <c r="Q1033" i="1"/>
  <c r="Q1047" i="1"/>
  <c r="Q1048" i="1"/>
  <c r="Q1050" i="1"/>
  <c r="Q1052" i="1"/>
  <c r="Q1058" i="1"/>
  <c r="Q1060" i="1"/>
  <c r="Q1062" i="1"/>
  <c r="Q1064" i="1"/>
  <c r="Q1066" i="1"/>
  <c r="Q1083" i="1"/>
  <c r="Q808" i="1"/>
  <c r="Q810" i="1"/>
  <c r="Q813" i="1"/>
  <c r="Q815" i="1"/>
  <c r="Q817" i="1"/>
  <c r="Q819" i="1"/>
  <c r="Q821" i="1"/>
  <c r="Q823" i="1"/>
  <c r="Q850" i="1"/>
  <c r="Q852" i="1"/>
  <c r="Q854" i="1"/>
  <c r="Q856" i="1"/>
  <c r="Q858" i="1"/>
  <c r="Q861" i="1"/>
  <c r="Q863" i="1"/>
  <c r="Q865" i="1"/>
  <c r="Q867" i="1"/>
  <c r="Q869" i="1"/>
  <c r="Q871" i="1"/>
  <c r="M878" i="1"/>
  <c r="Q885" i="1"/>
  <c r="Q916" i="1"/>
  <c r="Q917" i="1"/>
  <c r="O921" i="1"/>
  <c r="I921" i="1"/>
  <c r="P921" i="1" s="1"/>
  <c r="H921" i="1"/>
  <c r="Q924" i="1"/>
  <c r="Q929" i="1"/>
  <c r="Q943" i="1"/>
  <c r="Q954" i="1"/>
  <c r="Q956" i="1"/>
  <c r="Q958" i="1"/>
  <c r="Q960" i="1"/>
  <c r="Q962" i="1"/>
  <c r="Q979" i="1"/>
  <c r="O985" i="1"/>
  <c r="I985" i="1"/>
  <c r="P985" i="1" s="1"/>
  <c r="H985" i="1"/>
  <c r="Q1005" i="1"/>
  <c r="Q1035" i="1"/>
  <c r="Q1037" i="1"/>
  <c r="Q1039" i="1"/>
  <c r="M1041" i="1"/>
  <c r="Q1054" i="1"/>
  <c r="Q1073" i="1"/>
  <c r="Q1084" i="1"/>
  <c r="Q1086" i="1"/>
  <c r="Q1088" i="1"/>
  <c r="Q1090" i="1"/>
  <c r="Q1092" i="1"/>
  <c r="Q1094" i="1"/>
  <c r="Q1096" i="1"/>
  <c r="Q1098" i="1"/>
  <c r="Q1100" i="1"/>
  <c r="Q1102" i="1"/>
  <c r="Q1104" i="1"/>
  <c r="Q1106" i="1"/>
  <c r="Q1108" i="1"/>
  <c r="Q1110" i="1"/>
  <c r="Q1112" i="1"/>
  <c r="Q1114" i="1"/>
  <c r="Q1116" i="1"/>
  <c r="Q1118" i="1"/>
  <c r="M1316" i="1"/>
  <c r="L1316" i="1"/>
  <c r="N1316" i="1" s="1"/>
  <c r="O993" i="1"/>
  <c r="Q993" i="1" s="1"/>
  <c r="I993" i="1"/>
  <c r="P993" i="1" s="1"/>
  <c r="H993" i="1"/>
  <c r="M1067" i="1"/>
  <c r="Q1264" i="1"/>
  <c r="M943" i="1"/>
  <c r="M969" i="1"/>
  <c r="M995" i="1"/>
  <c r="M1021" i="1"/>
  <c r="M1047" i="1"/>
  <c r="M1073" i="1"/>
  <c r="Q1302" i="1"/>
  <c r="Q1308" i="1"/>
  <c r="M1580" i="1"/>
  <c r="H917" i="1"/>
  <c r="H923" i="1"/>
  <c r="H982" i="1"/>
  <c r="H986" i="1"/>
  <c r="Q1298" i="1"/>
  <c r="Q1303" i="1"/>
  <c r="Q1305" i="1"/>
  <c r="Q1311" i="1"/>
  <c r="I917" i="1"/>
  <c r="P917" i="1" s="1"/>
  <c r="I923" i="1"/>
  <c r="P923" i="1" s="1"/>
  <c r="Q923" i="1" s="1"/>
  <c r="I982" i="1"/>
  <c r="P982" i="1" s="1"/>
  <c r="Q982" i="1" s="1"/>
  <c r="I986" i="1"/>
  <c r="P986" i="1" s="1"/>
  <c r="Q986" i="1" s="1"/>
  <c r="O1307" i="1"/>
  <c r="Q1307" i="1" s="1"/>
  <c r="I1307" i="1"/>
  <c r="P1307" i="1" s="1"/>
  <c r="O1313" i="1"/>
  <c r="I1313" i="1"/>
  <c r="P1313" i="1" s="1"/>
  <c r="Q1313" i="1" s="1"/>
  <c r="O1318" i="1"/>
  <c r="Q1318" i="1" s="1"/>
  <c r="I1318" i="1"/>
  <c r="P1318" i="1" s="1"/>
  <c r="Q1671" i="1"/>
  <c r="Q1675" i="1"/>
  <c r="Q1679" i="1"/>
  <c r="Q1683" i="1"/>
  <c r="Q1687" i="1"/>
  <c r="Q1691" i="1"/>
  <c r="Q1695" i="1"/>
  <c r="Q1699" i="1"/>
  <c r="Q1703" i="1"/>
  <c r="Q1707" i="1"/>
  <c r="Q1711" i="1"/>
  <c r="Q1715" i="1"/>
  <c r="Q1719" i="1"/>
  <c r="Q1723" i="1"/>
  <c r="Q1727" i="1"/>
  <c r="Q1731" i="1"/>
  <c r="Q1735" i="1"/>
  <c r="Q1774" i="1"/>
  <c r="Q1782" i="1"/>
  <c r="Q1399" i="1"/>
  <c r="Q1401" i="1"/>
  <c r="Q1403" i="1"/>
  <c r="Q1405" i="1"/>
  <c r="Q1407" i="1"/>
  <c r="Q1409" i="1"/>
  <c r="Q1411" i="1"/>
  <c r="Q1413" i="1"/>
  <c r="Q1415" i="1"/>
  <c r="Q1417" i="1"/>
  <c r="Q1419" i="1"/>
  <c r="Q1421" i="1"/>
  <c r="Q1423" i="1"/>
  <c r="Q1425" i="1"/>
  <c r="Q1427" i="1"/>
  <c r="Q1429" i="1"/>
  <c r="Q1431" i="1"/>
  <c r="Q1433" i="1"/>
  <c r="Q1435" i="1"/>
  <c r="Q1437" i="1"/>
  <c r="Q1439" i="1"/>
  <c r="Q1441" i="1"/>
  <c r="Q1443" i="1"/>
  <c r="Q1445" i="1"/>
  <c r="Q1447" i="1"/>
  <c r="Q1449" i="1"/>
  <c r="Q1451" i="1"/>
  <c r="Q1453" i="1"/>
  <c r="Q1455" i="1"/>
  <c r="Q1457" i="1"/>
  <c r="Q1459" i="1"/>
  <c r="Q1461" i="1"/>
  <c r="Q1463" i="1"/>
  <c r="Q1465" i="1"/>
  <c r="Q1467" i="1"/>
  <c r="Q1469" i="1"/>
  <c r="Q1471" i="1"/>
  <c r="Q1473" i="1"/>
  <c r="Q1475" i="1"/>
  <c r="Q1477" i="1"/>
  <c r="Q1479" i="1"/>
  <c r="Q1481" i="1"/>
  <c r="Q1483" i="1"/>
  <c r="Q1485" i="1"/>
  <c r="Q1487" i="1"/>
  <c r="Q1489" i="1"/>
  <c r="Q1491" i="1"/>
  <c r="Q1493" i="1"/>
  <c r="Q1495" i="1"/>
  <c r="Q1497" i="1"/>
  <c r="Q1499" i="1"/>
  <c r="Q1501" i="1"/>
  <c r="Q1503" i="1"/>
  <c r="Q1505" i="1"/>
  <c r="Q1507" i="1"/>
  <c r="Q1509" i="1"/>
  <c r="Q1511" i="1"/>
  <c r="Q1513" i="1"/>
  <c r="Q1515" i="1"/>
  <c r="Q1517" i="1"/>
  <c r="Q1519" i="1"/>
  <c r="Q1521" i="1"/>
  <c r="Q1523" i="1"/>
  <c r="Q1525" i="1"/>
  <c r="Q1527" i="1"/>
  <c r="Q1529" i="1"/>
  <c r="Q1531" i="1"/>
  <c r="Q1533" i="1"/>
  <c r="Q1535" i="1"/>
  <c r="Q1537" i="1"/>
  <c r="Q1539" i="1"/>
  <c r="Q1541" i="1"/>
  <c r="Q1543" i="1"/>
  <c r="Q1545" i="1"/>
  <c r="Q1547" i="1"/>
  <c r="Q1549" i="1"/>
  <c r="Q1551" i="1"/>
  <c r="Q1553" i="1"/>
  <c r="Q1555" i="1"/>
  <c r="Q1557" i="1"/>
  <c r="Q1559" i="1"/>
  <c r="Q1561" i="1"/>
  <c r="Q1563" i="1"/>
  <c r="Q1565" i="1"/>
  <c r="Q1567" i="1"/>
  <c r="Q1569" i="1"/>
  <c r="Q1571" i="1"/>
  <c r="Q1573" i="1"/>
  <c r="Q1575" i="1"/>
  <c r="Q1577" i="1"/>
  <c r="Q1579" i="1"/>
  <c r="Q1664" i="1"/>
  <c r="Q1666" i="1"/>
  <c r="Q1668" i="1"/>
  <c r="Q1310" i="1"/>
  <c r="O1315" i="1"/>
  <c r="Q1315" i="1" s="1"/>
  <c r="I1315" i="1"/>
  <c r="P1315" i="1" s="1"/>
  <c r="I1316" i="1"/>
  <c r="P1316" i="1" s="1"/>
  <c r="O1316" i="1"/>
  <c r="Q1738" i="1"/>
  <c r="Q1740" i="1"/>
  <c r="Q1742" i="1"/>
  <c r="Q1744" i="1"/>
  <c r="Q1746" i="1"/>
  <c r="Q1748" i="1"/>
  <c r="Q1750" i="1"/>
  <c r="Q1752" i="1"/>
  <c r="Q1754" i="1"/>
  <c r="Q1756" i="1"/>
  <c r="Q1758" i="1"/>
  <c r="Q1760" i="1"/>
  <c r="Q1762" i="1"/>
  <c r="Q1764" i="1"/>
  <c r="Q1766" i="1"/>
  <c r="Q1768" i="1"/>
  <c r="Q1777" i="1"/>
  <c r="Q1785" i="1"/>
  <c r="Q1772" i="1"/>
  <c r="Q1778" i="1"/>
  <c r="Q1780" i="1"/>
  <c r="Q1786" i="1"/>
  <c r="Q1739" i="1"/>
  <c r="Q1741" i="1"/>
  <c r="Q1743" i="1"/>
  <c r="Q1745" i="1"/>
  <c r="Q1747" i="1"/>
  <c r="Q1749" i="1"/>
  <c r="Q1751" i="1"/>
  <c r="Q1753" i="1"/>
  <c r="Q1755" i="1"/>
  <c r="Q1757" i="1"/>
  <c r="Q1759" i="1"/>
  <c r="Q1761" i="1"/>
  <c r="Q1763" i="1"/>
  <c r="Q1765" i="1"/>
  <c r="Q1767" i="1"/>
  <c r="Q1769" i="1"/>
  <c r="Q1773" i="1"/>
  <c r="Q1789" i="1"/>
  <c r="Q1791" i="1"/>
  <c r="Q1793" i="1"/>
  <c r="Q1795" i="1"/>
  <c r="Q1797" i="1"/>
  <c r="Q1799" i="1"/>
  <c r="Q1801" i="1"/>
  <c r="Q1803" i="1"/>
  <c r="Q1805" i="1"/>
  <c r="Q1807" i="1"/>
  <c r="Q1809" i="1"/>
  <c r="Q1811" i="1"/>
  <c r="Q1813" i="1"/>
  <c r="Q1815" i="1"/>
  <c r="Q1817" i="1"/>
  <c r="Q1819" i="1"/>
  <c r="Q1821" i="1"/>
  <c r="Q1823" i="1"/>
  <c r="Q1825" i="1"/>
  <c r="Q1827" i="1"/>
  <c r="Q1829" i="1"/>
  <c r="Q1831" i="1"/>
  <c r="Q1833" i="1"/>
  <c r="Q1835" i="1"/>
  <c r="Q1837" i="1"/>
  <c r="Q1839" i="1"/>
  <c r="Q1841" i="1"/>
  <c r="Q1843" i="1"/>
  <c r="Q1845" i="1"/>
  <c r="Q1847" i="1"/>
  <c r="Q1849" i="1"/>
  <c r="Q1851" i="1"/>
  <c r="Q1853" i="1"/>
  <c r="Q1855" i="1"/>
  <c r="Q1857" i="1"/>
  <c r="Q1859" i="1"/>
  <c r="Q1861" i="1"/>
  <c r="Q1863" i="1"/>
  <c r="Q1865" i="1"/>
  <c r="Q1867" i="1"/>
  <c r="Q1869" i="1"/>
  <c r="Q1871" i="1"/>
  <c r="Q1873" i="1"/>
  <c r="Q1875" i="1"/>
  <c r="Q1877" i="1"/>
  <c r="Q1879" i="1"/>
  <c r="Q1881" i="1"/>
  <c r="Q1883" i="1"/>
  <c r="Q1885" i="1"/>
  <c r="Q1887" i="1"/>
  <c r="Q1889" i="1"/>
  <c r="Q1891" i="1"/>
  <c r="Q1893" i="1"/>
  <c r="Q1895" i="1"/>
  <c r="Q1897" i="1"/>
  <c r="Q1899" i="1"/>
  <c r="Q1901" i="1"/>
  <c r="Q1903" i="1"/>
  <c r="Q1905" i="1"/>
  <c r="Q1910" i="1"/>
  <c r="Q1913" i="1"/>
  <c r="Q1918" i="1"/>
  <c r="Q1920" i="1"/>
  <c r="Q1922" i="1"/>
  <c r="Q1924" i="1"/>
  <c r="Q1926" i="1"/>
  <c r="Q1928" i="1"/>
  <c r="Q1930" i="1"/>
  <c r="Q1932" i="1"/>
  <c r="Q1934" i="1"/>
  <c r="Q1936" i="1"/>
  <c r="Q1938" i="1"/>
  <c r="Q1788" i="1"/>
  <c r="Q1790" i="1"/>
  <c r="Q1792" i="1"/>
  <c r="Q1794" i="1"/>
  <c r="Q1796" i="1"/>
  <c r="Q1798" i="1"/>
  <c r="Q1800" i="1"/>
  <c r="Q1802" i="1"/>
  <c r="Q1804" i="1"/>
  <c r="Q1806" i="1"/>
  <c r="Q1808" i="1"/>
  <c r="Q1810" i="1"/>
  <c r="Q1812" i="1"/>
  <c r="Q1814" i="1"/>
  <c r="Q1816" i="1"/>
  <c r="Q1818" i="1"/>
  <c r="Q1820" i="1"/>
  <c r="Q1822" i="1"/>
  <c r="Q1824" i="1"/>
  <c r="Q1826" i="1"/>
  <c r="Q1828" i="1"/>
  <c r="Q1830" i="1"/>
  <c r="Q1832" i="1"/>
  <c r="Q1834" i="1"/>
  <c r="Q1836" i="1"/>
  <c r="Q1838" i="1"/>
  <c r="Q1840" i="1"/>
  <c r="Q1842" i="1"/>
  <c r="Q1844" i="1"/>
  <c r="Q1846" i="1"/>
  <c r="Q1848" i="1"/>
  <c r="Q1850" i="1"/>
  <c r="Q1852" i="1"/>
  <c r="Q1854" i="1"/>
  <c r="Q1856" i="1"/>
  <c r="Q1858" i="1"/>
  <c r="Q1860" i="1"/>
  <c r="Q1862" i="1"/>
  <c r="Q1864" i="1"/>
  <c r="Q1866" i="1"/>
  <c r="Q1868" i="1"/>
  <c r="Q1870" i="1"/>
  <c r="Q1872" i="1"/>
  <c r="Q1874" i="1"/>
  <c r="Q1876" i="1"/>
  <c r="Q1878" i="1"/>
  <c r="Q1880" i="1"/>
  <c r="Q1882" i="1"/>
  <c r="Q1884" i="1"/>
  <c r="Q1886" i="1"/>
  <c r="Q1888" i="1"/>
  <c r="Q1890" i="1"/>
  <c r="Q1892" i="1"/>
  <c r="Q1894" i="1"/>
  <c r="Q1896" i="1"/>
  <c r="Q1898" i="1"/>
  <c r="Q1900" i="1"/>
  <c r="Q1902" i="1"/>
  <c r="Q1904" i="1"/>
  <c r="Q1917" i="1"/>
  <c r="Q1940" i="1"/>
  <c r="Q1942" i="1"/>
  <c r="Q1944" i="1"/>
  <c r="Q1946" i="1"/>
  <c r="Q1948" i="1"/>
  <c r="Q1950" i="1"/>
  <c r="Q1952" i="1"/>
  <c r="Q1954" i="1"/>
  <c r="Q1956" i="1"/>
  <c r="Q1958" i="1"/>
  <c r="Q1960" i="1"/>
  <c r="Q1962" i="1"/>
  <c r="Q1964" i="1"/>
  <c r="Q1966" i="1"/>
  <c r="Q1968" i="1"/>
  <c r="Q1970" i="1"/>
  <c r="Q1972" i="1"/>
  <c r="Q1974" i="1"/>
  <c r="Q1976" i="1"/>
  <c r="Q1978" i="1"/>
  <c r="Q1980" i="1"/>
  <c r="Q1982" i="1"/>
  <c r="Q1986" i="1"/>
  <c r="Q2002" i="1"/>
  <c r="Q1990" i="1"/>
  <c r="Q2006" i="1"/>
  <c r="Q1935" i="1"/>
  <c r="Q1937" i="1"/>
  <c r="Q1939" i="1"/>
  <c r="Q1941" i="1"/>
  <c r="Q1943" i="1"/>
  <c r="Q1945" i="1"/>
  <c r="Q1947" i="1"/>
  <c r="Q1949" i="1"/>
  <c r="Q1951" i="1"/>
  <c r="Q1953" i="1"/>
  <c r="Q1955" i="1"/>
  <c r="Q1957" i="1"/>
  <c r="Q1959" i="1"/>
  <c r="Q1961" i="1"/>
  <c r="Q1963" i="1"/>
  <c r="Q1965" i="1"/>
  <c r="Q1967" i="1"/>
  <c r="Q1969" i="1"/>
  <c r="Q1971" i="1"/>
  <c r="Q1973" i="1"/>
  <c r="Q1975" i="1"/>
  <c r="Q1977" i="1"/>
  <c r="Q1979" i="1"/>
  <c r="Q1981" i="1"/>
  <c r="Q1994" i="1"/>
  <c r="Q2010" i="1"/>
  <c r="Q2073" i="1"/>
  <c r="Q1316" i="1" l="1"/>
  <c r="Q985" i="1"/>
  <c r="Q921" i="1"/>
</calcChain>
</file>

<file path=xl/sharedStrings.xml><?xml version="1.0" encoding="utf-8"?>
<sst xmlns="http://schemas.openxmlformats.org/spreadsheetml/2006/main" count="8676" uniqueCount="871">
  <si>
    <t>Date</t>
  </si>
  <si>
    <t>Fabric Type</t>
  </si>
  <si>
    <t>Machine Name</t>
  </si>
  <si>
    <t>Finish Type</t>
  </si>
  <si>
    <t>Capacity (Kg)</t>
  </si>
  <si>
    <t>Actual Production (Kg)</t>
  </si>
  <si>
    <t>Re-process (Kg)</t>
  </si>
  <si>
    <t>Re-Process %</t>
  </si>
  <si>
    <t>Quality Pass Production</t>
  </si>
  <si>
    <t>Target Time (Hours)</t>
  </si>
  <si>
    <t>Downtime (Hours)</t>
  </si>
  <si>
    <t>Running Time (hr)</t>
  </si>
  <si>
    <t>Loss production for downtime</t>
  </si>
  <si>
    <t>Utilization %</t>
  </si>
  <si>
    <t>Efficiency %</t>
  </si>
  <si>
    <t>Quality %</t>
  </si>
  <si>
    <t>OEE %</t>
  </si>
  <si>
    <t>Delay Reason</t>
  </si>
  <si>
    <t>Open</t>
  </si>
  <si>
    <t>Super Slitting Machine</t>
  </si>
  <si>
    <t>Slitting</t>
  </si>
  <si>
    <t>The machine was down for 4 hours due to a roller malfunction</t>
  </si>
  <si>
    <t>Bruckner Stenter</t>
  </si>
  <si>
    <t>Heat Set</t>
  </si>
  <si>
    <t>The machine was off for 1 hour due to a generator trip and line changeover</t>
  </si>
  <si>
    <t>Finish</t>
  </si>
  <si>
    <t>LK Stenter</t>
  </si>
  <si>
    <t>The machine was off for 1 hour 45 minutes due to lack of fabric</t>
  </si>
  <si>
    <t>Auto Stitch Machine (New)</t>
  </si>
  <si>
    <t>Back Sewing</t>
  </si>
  <si>
    <t>Ferraro Open Compacting</t>
  </si>
  <si>
    <t>Compacting</t>
  </si>
  <si>
    <t>Monti Open Compacting</t>
  </si>
  <si>
    <t>Tube</t>
  </si>
  <si>
    <t>Squeezer Machine</t>
  </si>
  <si>
    <t>De-Watering</t>
  </si>
  <si>
    <t>Flat Dryer</t>
  </si>
  <si>
    <t>Drying</t>
  </si>
  <si>
    <t>The machine was off for 80 minutes for maintenance</t>
  </si>
  <si>
    <t>Ferraro Tube Compacting</t>
  </si>
  <si>
    <t>Confident Compactor (Tube)</t>
  </si>
  <si>
    <t>The machine was off for 2 hour due to lack of fabric.</t>
  </si>
  <si>
    <t>Due to insufficient tube fabric orders.</t>
  </si>
  <si>
    <t>The machine was off for 1.20 hours for maintenance and insufficient tube fabric orders.</t>
  </si>
  <si>
    <t>Due to insufficient tube fabric orders, the machine remained shut down during the night shift.</t>
  </si>
  <si>
    <t>Machine was off due to replacement of cooling fan in 1 No. padder.</t>
  </si>
  <si>
    <t>8h downtime: Maintenance &amp; insufficient fabric batch; A shift ended 5PM</t>
  </si>
  <si>
    <t>3h downtime: Maintenance; A shift ended 5PM</t>
  </si>
  <si>
    <t>6h downtime: Maintenance &amp; insufficient fabric; A shift ended 5PM</t>
  </si>
  <si>
    <t>3h downtime: Maintenance &amp; insufficient fabric; A shift ended 5PM</t>
  </si>
  <si>
    <t xml:space="preserve">Machine was off due to insufficient  fabric </t>
  </si>
  <si>
    <t>6h downtime: Maintenance &amp; insufficient  fabric; A shift ended 5PM</t>
  </si>
  <si>
    <t xml:space="preserve">Machine was off for 2 hours due to damage to the padders lower spindle roller belt.
</t>
  </si>
  <si>
    <t>Due to insufficient fabric batch.</t>
  </si>
  <si>
    <t>Machine was off for 5 hours due to maintenance, steam line work, and net repair.</t>
  </si>
  <si>
    <t>9 hours downtime in both sifts due to insufficient Tube fabric order</t>
  </si>
  <si>
    <t>Due to insufficient tube fabric orders. .</t>
  </si>
  <si>
    <t>Pinion shape broken → machine was off.</t>
  </si>
  <si>
    <t>Due to insufficient tube fabric orders</t>
  </si>
  <si>
    <t>Due to insufficient fabric .</t>
  </si>
  <si>
    <t>Due to insufficient tube fabric .</t>
  </si>
  <si>
    <t>Machine was down for 2 hours for maintenance.</t>
  </si>
  <si>
    <t>Machine was down for 6 hours for maintenance, conveyor belt stitching, and fitting.</t>
  </si>
  <si>
    <t>Due to insufficient tube fabric, and kept the Monty machine running in both shifts.</t>
  </si>
  <si>
    <t>Due to insufficient tube fabric.</t>
  </si>
  <si>
    <t>Due to insufficient tube fabric, along with 2 hours of maintenance in both shifts and a 1-hour machine stoppage caused by a limit issue.</t>
  </si>
  <si>
    <t>Due to insufficient tube fabric, and kept the Monty machine running in night shift.</t>
  </si>
  <si>
    <t>Due to problem power supply(12pm-1pm)</t>
  </si>
  <si>
    <t>Due to replace Bearing.</t>
  </si>
  <si>
    <t>Due to maximum Dia fabric.</t>
  </si>
  <si>
    <t>Due to insufficient open finish.</t>
  </si>
  <si>
    <t>Due to cleaning &amp; electricity problem.</t>
  </si>
  <si>
    <t>Machine was stopped for 2 hours due to scheduled maintenance work.</t>
  </si>
  <si>
    <t>Machine was stopped for 3 hours due to scheduled maintenance work.</t>
  </si>
  <si>
    <t>Machine was down from 5Pm to till due to coil damage.</t>
  </si>
  <si>
    <t>Duty ten hours in B shift.</t>
  </si>
  <si>
    <t>Machine was down due to coil damage.</t>
  </si>
  <si>
    <t>Due to insufficient tube fabric, the machine remained off for 2 hours across two shifts for maintenance.</t>
  </si>
  <si>
    <t>Due to insufficient tube fabric, the Monty machine was operated only in A shift.</t>
  </si>
  <si>
    <t>Machine was stopped for 1 hours due to scheduled maintenance work.</t>
  </si>
  <si>
    <t>The machine was stopped for 4 hours due to scheduled maintenance work. Additionally, due to unavailability of fabric, the B shift was closed at 6:00 PM.</t>
  </si>
  <si>
    <t>Machine was stopped for 2 hours due to scheduled maintenance work. Additionally, due to unavailability of fabric, was stopped for 3 hours</t>
  </si>
  <si>
    <t>Due to insufficient fabric.</t>
  </si>
  <si>
    <t>B shift: Machine downtime of 4 hours due to insufficient fabric supply.</t>
  </si>
  <si>
    <t>Machine was off for 3 hours due to bearing belt damage.</t>
  </si>
  <si>
    <t>Due to worker shortage, machines were operated only during the A shift.</t>
  </si>
  <si>
    <t>Due to worker shortage, machines were operated only during the B shift.</t>
  </si>
  <si>
    <t>On Friday, the machine was operated for 11 hours.</t>
  </si>
  <si>
    <t>Due to worker shortage,</t>
  </si>
  <si>
    <t>❌</t>
  </si>
  <si>
    <t>Maintenance and limit issues caused the machine to remain off for 3 hours.</t>
  </si>
  <si>
    <t>Due to a worker shortage, m/c remain off in B shift after 12:00 AM.</t>
  </si>
  <si>
    <t>The machine was off for 1 hour due to a gearbox problem at the front.</t>
  </si>
  <si>
    <t>Net cleaning, limit issues, and lack of cloth caused the machine to remain off for 5 hours. B shift ended at 6 PM.</t>
  </si>
  <si>
    <t>Machine was down for 3 hours due to lack of finished fabric.</t>
  </si>
  <si>
    <t>Machine was down for 5 hours for net cleaning and due to insufficient tube fabric.</t>
  </si>
  <si>
    <t>Padder bearing issue, M/C off 2 hrs.</t>
  </si>
  <si>
    <t>Net cleaning &amp; PDB issue, M/C off 2 hrs.</t>
  </si>
  <si>
    <t>Low production (Flat Dryer issues)</t>
  </si>
  <si>
    <t>Net cleaning, limit issue, and conveyor belt motor problem; machine was off for 9 hours (B shift)</t>
  </si>
  <si>
    <t>B shift ends at 6 AM.</t>
  </si>
  <si>
    <t>1 hr M/C off for generator line change; B Shift ends at 6 AM.</t>
  </si>
  <si>
    <t>M/C off: net cleaning 1 hr; conveyor belt motor problem 3 hr; belt sewing 1 hr. B shift ends at 6 AM..</t>
  </si>
  <si>
    <t>Low production (Flat Dryer issues),B shift ends at 6 AM.</t>
  </si>
  <si>
    <t>Due to insufficient fabric, B shift ends at 6 AM.</t>
  </si>
  <si>
    <t>M/C off for 2 hours due to maintenance.</t>
  </si>
  <si>
    <t>Due to insufficient tube fabric,</t>
  </si>
  <si>
    <t>M/C remained off for 5 hrs across two shifts for maintenance &amp; insufficient tube fabric.</t>
  </si>
  <si>
    <t>M/C remained off for 3 hrs across two shifts for maintenance &amp; insufficient tube fabric.</t>
  </si>
  <si>
    <t>M/C off for 1hr, awaiting fabric</t>
  </si>
  <si>
    <t>Sensor fault reduced production.</t>
  </si>
  <si>
    <t>Heather Grey heat-set: Reduced production rate.</t>
  </si>
  <si>
    <t>3hr downtime (Maintenance &amp; PDB); insufficient tube fabric.</t>
  </si>
  <si>
    <t>Machine downtime: 2 hours due to basket wheel malfunction.</t>
  </si>
  <si>
    <t>M/C downtime for Order #2026/118 (Lot-1341): 1 hr due to shade mismatch and  1 hr due to PDB power failure.</t>
  </si>
  <si>
    <t>M/C downtime for Order #2026/118 (Lot-1341): 1 hr due to shade mismatch</t>
  </si>
  <si>
    <t>Machine downtime: 2 hr due to sensor fault.</t>
  </si>
  <si>
    <t>Operated Monty M/C on account of low tube fabric stock.</t>
  </si>
  <si>
    <t>Due to insufficient fabric,</t>
  </si>
  <si>
    <t>2hr downtime maintenance &amp; insufficient tube fabric.</t>
  </si>
  <si>
    <t>Scheduled weekly maintenance completed (3 hr downtime)</t>
  </si>
  <si>
    <t>2-hr downtime due to fabric shortage</t>
  </si>
  <si>
    <t>Scheduled weekly maintenance completed (1 hr downtime)</t>
  </si>
  <si>
    <t>Due to insufficient fabric</t>
  </si>
  <si>
    <t>Due to insufficient tube fabric</t>
  </si>
  <si>
    <t>2hr downtime maintenance &amp; insufficient tube fabric</t>
  </si>
  <si>
    <t>2hr downtime pulley motor failure &amp; insufficient tube fabric</t>
  </si>
  <si>
    <t>2hr downtime due to fabric delay, guide roller repair &amp; gas outage</t>
  </si>
  <si>
    <t>1hr downtime due to uncooler motor bearing damage</t>
  </si>
  <si>
    <t>7hr downtime due to fabric shortage</t>
  </si>
  <si>
    <t>8hr downtime due to Net cleaning, PDB issue, &amp; fabric shortage.
A &amp; B shifts closed at 6:00 due to fabric availability</t>
  </si>
  <si>
    <t>Operated Monti M/C on account of low tube fabric stock</t>
  </si>
  <si>
    <t>3hr downtime due to fabric shortage</t>
  </si>
  <si>
    <t>3hr downtime due to fabric shortage &amp; Net problem</t>
  </si>
  <si>
    <t>8hr downtime due to needle breakage</t>
  </si>
  <si>
    <t>Auto Stitch Machine (Old)</t>
  </si>
  <si>
    <t>Old m/c operated for only 8 hrs due to technical issues with the new m/c</t>
  </si>
  <si>
    <t>3hr downtime due to maintanance &amp; Limit switch problem</t>
  </si>
  <si>
    <t>Shift A was dismissed at 5:00 PM, due to insufficient tube fabric</t>
  </si>
  <si>
    <t>7hr downtime due to needle breakage</t>
  </si>
  <si>
    <t>Old m/c operated for only 7 hrs due to technical issues with the new m/c</t>
  </si>
  <si>
    <t>2hr downtime due to maintanance</t>
  </si>
  <si>
    <t>M/C off 2 hrs due to dyeing table bearing damage &amp; basket belt torn</t>
  </si>
  <si>
    <t>M/C off for 5 hrs due to maintenance &amp; no fabric. B shift ended at 6 PM.</t>
  </si>
  <si>
    <t>M/C off 2 hrs for tension roller bearing replacement</t>
  </si>
  <si>
    <t>Production low due to Bruckner M/C problem</t>
  </si>
  <si>
    <t xml:space="preserve">M/C off for 2 hrs due to maintenance </t>
  </si>
  <si>
    <t>Due to insufficient tube fabric &amp; A-shift Monty M/C run</t>
  </si>
  <si>
    <t>Low production due to low fabric availability</t>
  </si>
  <si>
    <t>1hr downtime due to fabric shortage</t>
  </si>
  <si>
    <t>Monty machine was off due to no fabric availability</t>
  </si>
  <si>
    <t>Low production due to flat dryer issue</t>
  </si>
  <si>
    <t>M/C off for 5 hrs due to maintenance &amp; steam line repair</t>
  </si>
  <si>
    <t>2hr downtime due to fabric shortage</t>
  </si>
  <si>
    <t xml:space="preserve">M/C off for 1 hrs due to maintenance </t>
  </si>
  <si>
    <t>Output below target: Insufficient fabric availability.</t>
  </si>
  <si>
    <t>On standby</t>
  </si>
  <si>
    <t>Output below target: Insufficient tube fabric availability.</t>
  </si>
  <si>
    <t>Output below target: Insufficient tube-finish &amp; Blade set-up problem.</t>
  </si>
  <si>
    <t>Scheduled weekly maintenance completed (2 hr downtime)</t>
  </si>
  <si>
    <t>Output below target: Insufficient tube fabric availability &amp; 1 hr M/C maintenance downtime.</t>
  </si>
  <si>
    <t>Output below target: Insufficient tube-finish fabric availability.</t>
  </si>
  <si>
    <t>Output below target: Insufficient tube fabric availability &amp; &amp; 3 hrs M/C off for main roller bearing replacement.</t>
  </si>
  <si>
    <t>M/C off 3 hrs due to pump issue &amp; big tank roller bush replacement.</t>
  </si>
  <si>
    <t>M/C off 4 hrs due to unavailability of heat-set fabric.</t>
  </si>
  <si>
    <t>Output below target: Insufficient tube fabric availability &amp; 1 hr M/C maintenance (Net Cleaning) downtime.</t>
  </si>
  <si>
    <t xml:space="preserve">Output below target: Insufficient tube fabric availability </t>
  </si>
  <si>
    <t>M/C off 2 hrs due to unavailability of heat-set fabric.</t>
  </si>
  <si>
    <t>Insufficient finish fabric.</t>
  </si>
  <si>
    <t>Output below target: Insufficient tube-finish fabric availability</t>
  </si>
  <si>
    <t>M/C off 3 hrs due to dancing roller &amp; uncoiler roller bearing damage.</t>
  </si>
  <si>
    <t>Output below target: Insufficient H/Set fabric availability.</t>
  </si>
  <si>
    <t>Due to low T/F fabric, Monty m/c kept running in night shift with helpers from T/Ferraro &amp; Ind. Compacting.</t>
  </si>
  <si>
    <t>M/C for 6 hrs due to unavailability of heat-set fabric.</t>
  </si>
  <si>
    <t>Opening Day | Wkly maint. completed (3 hrs DT); low prod. due to fabric shortage.</t>
  </si>
  <si>
    <t>Production stopped due to master overhauling of Brückner Stenter M/c.</t>
  </si>
  <si>
    <t>Weekly maintenance completed (3 hrs DT); low prod. due to fabric shortage.</t>
  </si>
  <si>
    <t>Production low due to heatset fabric shortage during Brückner Stenter M/c master overhauling.</t>
  </si>
  <si>
    <t>2hr downtime pulley motor failure &amp; insufficient tube fabric.</t>
  </si>
  <si>
    <t>2hr downtime &amp; production low due to insufficient fabric.</t>
  </si>
  <si>
    <t>6hr downtime &amp; production low due to insufficient fabric.</t>
  </si>
  <si>
    <t>Output below target: 1 hr M/C maintenance (Net Cleaning) downtime.</t>
  </si>
  <si>
    <t>Output below target: 6hr downtime &amp; production low due to insufficient fabric.</t>
  </si>
  <si>
    <t>2 hrs downtime due to A Shift closure at 5 PM</t>
  </si>
  <si>
    <t>1.5 hrs (maintenance &amp; fabric not ready) &amp; 30 min (uncoller roller belt breakage).</t>
  </si>
  <si>
    <t>2 hrs; fabric shade stop &amp; next fabric not ready.</t>
  </si>
  <si>
    <t>B Shift closed at 6:00 AM due to fabric shortage.</t>
  </si>
  <si>
    <t>1 hr production loss due to fabric not ready.</t>
  </si>
  <si>
    <t>B Shift closed at 6:00 PM due to fabric shortage.</t>
  </si>
  <si>
    <t>M/C started at 11:00 AM due to heavy squeezer load.</t>
  </si>
  <si>
    <t>1 hr M/C maintenance (Net Cleaning) downtime.</t>
  </si>
  <si>
    <t>Production loss due to Insufficient tube fabric availability.</t>
  </si>
  <si>
    <t>2 hours downtime due to insufficient finished fabric</t>
  </si>
  <si>
    <t>1 hr M/C maintenance downtime.</t>
  </si>
  <si>
    <t>4 hr production loss due to fabric not ready.</t>
  </si>
  <si>
    <t>Prod. loss due to 1 hr M/C downtime from generator trip and blower off in Chamber #3.</t>
  </si>
  <si>
    <t>M/C off for 1 hr due to uncoiler belt breakage.</t>
  </si>
  <si>
    <t>Maximum fabric was H/Set..</t>
  </si>
  <si>
    <t>4 hr production loss due to H/Set fabric not ready.</t>
  </si>
  <si>
    <t>Most of the Fabric was at "To Finish" stage</t>
  </si>
  <si>
    <t>3 hr M/C maintenance &amp; Unloaded    dyeing downtime.</t>
  </si>
  <si>
    <t>Maximum fabric was H/Set.&amp; Chamber No-3 was off due to invertor problem.</t>
  </si>
  <si>
    <t>2 hr M/C maintenance  downtime.</t>
  </si>
  <si>
    <t>2 hr production loss due to H/Set fabric not ready.</t>
  </si>
  <si>
    <t>2 hr production loss due to finish fabric not ready.</t>
  </si>
  <si>
    <t>5 hr production loss due to H/Set fabric not ready.</t>
  </si>
  <si>
    <t>Production Loss Due to Chamber No. 6 Off for Inverter Problem.</t>
  </si>
  <si>
    <t>1 Hr Net Cleaning DT, 1 Hr M/C Off (No Fabric) &amp; Prod. Loss Due to Low Steam.</t>
  </si>
  <si>
    <t>2 hrs M/C Off – Trolley unavailable &amp; small water tank repair work.</t>
  </si>
  <si>
    <t>M/C run at lunch &amp; dinner break due to high open width  fabric load.</t>
  </si>
  <si>
    <t>2 Hr Net Cleaning DT, 2 Hr M/C Off (No Fabric) &amp; Prod. Loss Due to Low Steam.</t>
  </si>
  <si>
    <t>M/C run at dinner break due to high open width  fabric load.</t>
  </si>
  <si>
    <t>1 Hr Net Cleaning DT &amp; Prod. Loss Due to Low Steam.</t>
  </si>
  <si>
    <t>6 hr production loss due to H/Set fabric not ready.</t>
  </si>
  <si>
    <t>M/C off for 21 hrs due to blanket damage.</t>
  </si>
  <si>
    <t>1 hr Net Cleaning DT; M/C off for 4 hrs due to no fabric availability; both shifts released 2 hrs early.</t>
  </si>
  <si>
    <t>6 hrs M/C off (no fabric); both shifts released 2 hrs early.</t>
  </si>
  <si>
    <t>7 hrs M/C off (no fabric); both shifts released 2 hrs early.</t>
  </si>
  <si>
    <t>M/C run at lunch break due to high open width  fabric load.</t>
  </si>
  <si>
    <t>Production Loss: 2 hr Maintenence. + 1 hr PDB issue &amp; Chamber No. 6 Off for Inverter Problem.</t>
  </si>
  <si>
    <t>Production Loss: 2 hr Maintenence. + 1 hr PDB issue. M/C run at lunch &amp; dinner break due to high open width fabric load.</t>
  </si>
  <si>
    <t>11 hr production loss due to H/Set fabric not ready.</t>
  </si>
  <si>
    <t>M/C off for 22 hrs due to Felt changing work as per Periodic maintenance (blanket damage)</t>
  </si>
  <si>
    <t>Monti Comp. kept running as backup due to Open Compactor blanket damage.</t>
  </si>
  <si>
    <t xml:space="preserve">Production loss due to unavailability of fabric </t>
  </si>
  <si>
    <t>Production loss: 1 hr PDB issue, 1 hr maintenance, and 1 hr steam line problem).</t>
  </si>
  <si>
    <t>Production loss due to no fabric &amp; both shifts released 2 hrs early.</t>
  </si>
  <si>
    <t>M/C off for 2 hrs due to unavailability of fabric</t>
  </si>
  <si>
    <t>Production loss due to 30 min Stenter M/C downtime for overfeed meter installation and high short batch/sample load.</t>
  </si>
  <si>
    <t>Monti Comp. kept running as backup due to Open Comp. blanket damage.</t>
  </si>
  <si>
    <t>Production loss: 1 hr PDB issue, 1.5 hr maintenance, and steam line problem.</t>
  </si>
  <si>
    <t>M/C off 1.5 hrs for dancing roller repair/work.</t>
  </si>
  <si>
    <t>8.5 hr production loss due to H/Set fabric not ready.</t>
  </si>
  <si>
    <t>M/C off 3 hrs due to blanket damage; additional 1 hr off for gearbox oiling due to continuous inverter tripping.</t>
  </si>
  <si>
    <t>Production loss due to fabric unavailability</t>
  </si>
  <si>
    <t>M/C off 1.5 hrs for maintenance and 3.20 hrs due to fabric unavailability.</t>
  </si>
  <si>
    <t>Production loss due to operator and helper deployment from both shifts to run Monti Compacting Machine</t>
  </si>
  <si>
    <t>M/C Off 30 min for tension roller maintenance.</t>
  </si>
  <si>
    <t>Slitting Machine</t>
  </si>
  <si>
    <t>M/C Off: 3.20 hrs due to pinion chain &amp; belt maintenance work on 1 No. M/C.</t>
  </si>
  <si>
    <t>M/C run at lunch &amp; Dinner break due to high open width fabric load.</t>
  </si>
  <si>
    <t>3 hr production loss due to H/Set fabric not ready.</t>
  </si>
  <si>
    <t>Production loss due to excess Stenter printed fabric running, causing lower compacting production.</t>
  </si>
  <si>
    <t>M/C off 1.5 hrs for maintenance and 2 hrs due to PDB issue</t>
  </si>
  <si>
    <t>M/C stoppage 2.2 hrs due to Dancing Roller Maintenance Work.</t>
  </si>
  <si>
    <t>M/C run at lunch break due to high open width fabric load.</t>
  </si>
  <si>
    <t>M/C stoppage 5.2 hrs due to excess Stenter printed fabric running; B-Shift closed at 6:00 PM.</t>
  </si>
  <si>
    <t xml:space="preserve">M/C off 1.5 hrs for net cleaning </t>
  </si>
  <si>
    <t>M/C stopped for 1 hr 40 min due to overlock M/C repair &amp; slitting M/C power switch problem.</t>
  </si>
  <si>
    <t>Production loss due to Chamber #6 off (inverter issue). M/C stopped for 70 min due to inverter problem &amp; PDB issue.</t>
  </si>
  <si>
    <t xml:space="preserve">Production loss due to low fabric </t>
  </si>
  <si>
    <t>M/C off 1.5 hrs for maintenance and 1 hrs due to PDB issue</t>
  </si>
  <si>
    <t>M/c off 40 min due to PDB issue, ran during lunch &amp; dinner breaks to cover high O/W fabric load.</t>
  </si>
  <si>
    <t>M/c off 8 hr due to H/Set fabric not ready.</t>
  </si>
  <si>
    <t>M/C remained off for 8 hrs due to repeated inverter tripping.</t>
  </si>
  <si>
    <t>Open Ferraro compacting was off; Monti compacting was run from 1:00 AM as backup</t>
  </si>
  <si>
    <t>M/C off 40 minutes for net cleaning, 2 hrs due to net cleaning &amp; PDB issue.</t>
  </si>
  <si>
    <t>M/C run at lunch &amp; dinner break due to high open width fabric load.</t>
  </si>
  <si>
    <t>M/c off 5 hr due to unavailability of Heat-Set fabric</t>
  </si>
  <si>
    <t>M/c off for 2.30 hrs due to net cleaning &amp; PDB issue.</t>
  </si>
  <si>
    <t>M/c off 3 hr due to H/Set fabric not ready.</t>
  </si>
  <si>
    <t>Production loss occurred due to a conveyor belt issue in the flat dryer.</t>
  </si>
  <si>
    <t>M/c off 50 min due to net cleaning, followed by 10 hrs of downtime for conveyor belt stitching work.</t>
  </si>
  <si>
    <t>M/C off 1.50 hrs for fabric cutter replacement.</t>
  </si>
  <si>
    <t>M/c off 4.50 hr due to unavailability of Heat-Set fabric</t>
  </si>
  <si>
    <t>M/C run at lunch &amp; dinner break due to excess Tube fabric load.</t>
  </si>
  <si>
    <t>M/C off 1.50 hrs for net cleaning. M/C run during lunch &amp; dinner breaks due to high Tube fabric load.</t>
  </si>
  <si>
    <t>M/c was off for 1.60 hrs due to the unavailability of an empty trolley.</t>
  </si>
  <si>
    <t>M/c was off for 4 hr due to H/Set fabric not ready.</t>
  </si>
  <si>
    <t>M/C run during lunch &amp; dinner breaks due to high tube width fabric load.</t>
  </si>
  <si>
    <t>M/C was off 1.50 hrs for net cleaning and was operated during the lunch and dinner breaks due to the high tube-width fabric load.</t>
  </si>
  <si>
    <t>M/c off 7 hr due to unavailability of Heat-Set fabric</t>
  </si>
  <si>
    <t>Due to low T/F fabric, Monty m/c kept running  with the helpers from Tube Ferraro</t>
  </si>
  <si>
    <t>M/C off 1.50 hrs for net cleaning</t>
  </si>
  <si>
    <t>Insufficient fabric input from Dyeing</t>
  </si>
  <si>
    <t>M/C off 13.10 hrs due to insufficient fabric input from Dyeing</t>
  </si>
  <si>
    <t>M/C off for blanket change, roller repair, and bearing replacement.</t>
  </si>
  <si>
    <t>M/C off for 3.10 hrs due to insufficient fabric input from the Dyeing and net cleaning.</t>
  </si>
  <si>
    <t>M/c off 13 hr due to H/Set fabric not ready</t>
  </si>
  <si>
    <t>Low T/F fabric; Monty M/C operated with helpers from Tube F/N. M/C off 2 hrs due to gearbox chain breakage.</t>
  </si>
  <si>
    <t>Low production due to Squeezer M/C (New) padder damage and insufficient fabric input from Dyeing.</t>
  </si>
  <si>
    <t>M/C off for 8.50 hrs due to insufficient fabric input from the Dyeing and net cleaning.</t>
  </si>
  <si>
    <t>M/C off for 4 hrs for blanket change, roller repair &amp; bearing replacement. Low production due to insufficient fabric input from Dyeing.</t>
  </si>
  <si>
    <t>M/C off 40 minutes due to wheel air brush replacement.</t>
  </si>
  <si>
    <t>M/c off 4.30 hr due to unavailability of Heat-Set fabric</t>
  </si>
  <si>
    <t>Monty M/C operated with helpers from Indian Compacting</t>
  </si>
  <si>
    <t xml:space="preserve">M/C off 1.50 hrs for net cleaning. </t>
  </si>
  <si>
    <t>Most of the Fabric was at "Heat-Set" stage</t>
  </si>
  <si>
    <t>M/c off 2.30 hr due to H/Set fabric not ready.</t>
  </si>
  <si>
    <t xml:space="preserve"> Insufficient fabric input from Dyeing</t>
  </si>
  <si>
    <t>M/c off 4.3 hr due to H/Set fabric not ready.</t>
  </si>
  <si>
    <t>Machine off 4.40 hrs due to scheduled weekly maintenance and free roller bearing replacement.</t>
  </si>
  <si>
    <t>Machine off 2.50 hrs due to scheduled weekly maintenance</t>
  </si>
  <si>
    <t>Machine off 4.50 hrs due to scheduled weekly maintenance and repair of the padder bearing housing.</t>
  </si>
  <si>
    <t>M/c off 7 hr due to H/Set fabric not ready.</t>
  </si>
  <si>
    <t>Low T/F fabric; Monty M/C operated with helpers from Indian Compacting</t>
  </si>
  <si>
    <t>Low production due to insufficient fabric input from Dyeing.</t>
  </si>
  <si>
    <t>Machine off 4.55 hrs due to scheduled weekly maintenance, net cleaning, and insufficient fabric input from the Dyeing</t>
  </si>
  <si>
    <t>Machine off 2 hrs due to water supply interruption as one of the deep pump was out of service</t>
  </si>
  <si>
    <t>Machine off 2.05 hrs due to net cleaning &amp; insufficient fabric input from Dyeing, PDB issue 40 min, and both shifts ended 2 hrs early due to insufficient fabric.</t>
  </si>
  <si>
    <t>Machine off 5.5 hrs due to water supply interruption as one of the deep pump was out of service</t>
  </si>
  <si>
    <t>Machine off 5.40 hrs due to net cleaning &amp; insufficient fabric input from Dyeing, PDB issue 1.05 hrs, and both shifts ended 2 hrs early due to insufficient fabric.</t>
  </si>
  <si>
    <t>M/C  for 3 hrs due to replacement of the edge roller bearing and pulley.</t>
  </si>
  <si>
    <t>M/c off 4.5 hr due to unavailability of Heat-Set fabric</t>
  </si>
  <si>
    <t xml:space="preserve">Machine off 1.50 hrs due to net cleaning </t>
  </si>
  <si>
    <t>Most of the Fabric was at "To Heat-Set" stage</t>
  </si>
  <si>
    <t>M/c off 6 hrs due to unavailability of Heat-Set fabric</t>
  </si>
  <si>
    <t>M/C off 2 hrs due to  upper gearbox problem.</t>
  </si>
  <si>
    <t>Monty M/C operated with helpers from Tube Ferraro.</t>
  </si>
  <si>
    <t>M/C off 1.50 hrs due to net cleaning &amp; PDB issue 1.20 hrs.</t>
  </si>
  <si>
    <t>M/c off 6 hr due to unavailability of Heat-Set fabric</t>
  </si>
  <si>
    <t>M/C off 1.10 hrs due to net cleaning</t>
  </si>
  <si>
    <t>Low production due to insufficient T/F fabric</t>
  </si>
  <si>
    <t>M/C stopped for monitor and inverter installation (3 hrs).</t>
  </si>
  <si>
    <t>M/C stopped for scheduled maintenance and idle due to the unavailability of ready padder fabric (3.5 hrs).</t>
  </si>
  <si>
    <t>M/C remained idle due to unavailability of Heat Set fabric (5 hrs).</t>
  </si>
  <si>
    <t>Production affected due to lower T/F fabric availability.</t>
  </si>
  <si>
    <t>M/C stopped for scheduled maintenance &amp; net cleaning (2.5 hrs).</t>
  </si>
  <si>
    <t>M/C remained idle due to unavailability of Heat Set fabric (4 hrs).</t>
  </si>
  <si>
    <t>M/C stopped for scheduled net cleaning (1.5 hrs).</t>
  </si>
  <si>
    <t>M/C Stopped for guider roller instalation &amp; main motor chain repair (40 min).</t>
  </si>
  <si>
    <t xml:space="preserve">M/C Stopped for PDB Issue (40min) &amp; run at lunch &amp; dinner break due to open width fabric load. </t>
  </si>
  <si>
    <t>M/C Stopped for unavailability of Heat Set fabric (5.50 hrs).</t>
  </si>
  <si>
    <t>M/C stopped for scheduled net cleaning &amp; PDB Issue (1.7 hrs).</t>
  </si>
  <si>
    <t xml:space="preserve">Machine stopped due to shade mismatch in Lot No. 2359 and PDB power issues (40 min)  &amp; run at lunch &amp; dinner break due to open width fabric load. </t>
  </si>
  <si>
    <t>M/C Stopped for unavailability of Heat Set fabric (4 hrs).</t>
  </si>
  <si>
    <t>M/C stopped for scheduled maintenance (2.50 hrs)</t>
  </si>
  <si>
    <t>M/C stopped for scheduled maintenance &amp; gas unavailability (8.50 hrs).</t>
  </si>
  <si>
    <t>M/C Stopped for unavailability of Heat Set fabric (7 hrs)</t>
  </si>
  <si>
    <t>M/C stopped for scheduled maintenance, net cleaning &amp; PDB issues. (3.15 hrs). Production affected due to lower steam &amp; lower T/F fabric availability.</t>
  </si>
  <si>
    <t>M/C stopped due to PDB issues and gearbox breakdown (3hrs). Production was also affected by lower T/F fabric availability.</t>
  </si>
  <si>
    <t>Machine stopped for padder pressure regulator installation and pressure line maintenance (2 hrs). Production was affected due to gas unavailability. A Shift closed at 6:00 PM.</t>
  </si>
  <si>
    <t>M/C stopped due to gas unavailability (5 hrs). A Shift closed at 6:00 PM due to gas unavailability.</t>
  </si>
  <si>
    <t>M/C Stopped for unavailability of Heat Set fabric (5 hrs)</t>
  </si>
  <si>
    <t>M/C stopped for scheduled net cleaning (1.50 hrs).</t>
  </si>
  <si>
    <t>M/C stopped due to gas unavailability (45 min - 0.75 hours).</t>
  </si>
  <si>
    <t>M/C Stopped for unavailability of Heat Set fabric (2.50 hrs)</t>
  </si>
  <si>
    <t>M/C stopped for scheduled net cleaning (1.50 hrs)  &amp; Stopped for PDB Issue and limit problem (1.35 hrs)</t>
  </si>
  <si>
    <t>M/C stop for basket belt torn.(1.17hrs)</t>
  </si>
  <si>
    <t>M/C stopped for scheduled net cleaning (1.50 hrs)  &amp; Stopped for PDB Issue and limit problem (2.95 hrs)</t>
  </si>
  <si>
    <t>Production affected due to excessive running of different dia and sample fabrics.</t>
  </si>
  <si>
    <t>M/C stopped for scheduled net cleaning (1.50 hrs)</t>
  </si>
  <si>
    <t>M/C stopped for scheduled maintenance (2.50hrs)</t>
  </si>
  <si>
    <t>M/C stopped for scheduled maintenance (1.67hrs)</t>
  </si>
  <si>
    <t>M/C stopped for scheduled maintenance &amp; net cleaning (2.95hrs)</t>
  </si>
  <si>
    <t>M/C stopped due to power failure and guide roller maintenance.(2hrs)</t>
  </si>
  <si>
    <t>M/C stopped due to gas supply issues.(3hrs)</t>
  </si>
  <si>
    <t>M/C stopped due to spandex roller bearing replacement (30min). Production affected due to frequent generator shutdowns and gas supply issues.</t>
  </si>
  <si>
    <t>M/C stopped due to frequent generator shutdowns , power failure &amp; low steam  issues (3.45hrs).</t>
  </si>
  <si>
    <t>Production affected due to power failure</t>
  </si>
  <si>
    <t>M/C stopped for net cleaning &amp; power failure (3.15hrs). Production affected due to low steam</t>
  </si>
  <si>
    <t>M/C stopped due to the unavailability of compressed air from the compressor line (40min).</t>
  </si>
  <si>
    <t>M/C Stopped due to the  unavailability of Heat Set fabric (3.5 hrs)</t>
  </si>
  <si>
    <t>M/C stopped due to the unavailability of compressed air from the compressor line (40 min) and generator load failure (1.25 min).</t>
  </si>
  <si>
    <t>Production affected due to the  unavailability of Heat Set fabric.</t>
  </si>
  <si>
    <t>M/C stopped due to the net cleaning (1.67 hrs) &amp; Production affected due to low steam.</t>
  </si>
  <si>
    <t>M/C stopped for scheduled maintenance &amp; production delayed due to spindle roller motor failure (4.50 Hrs)</t>
  </si>
  <si>
    <t>M/C stopped for scheduled maintenance  (30min)</t>
  </si>
  <si>
    <t>M/C stopped for scheduled maintenance &amp; production delayed due to spindle roller belt  torn (3hrs)</t>
  </si>
  <si>
    <t>M/C stopped for scheduled maintenance  (1hrs)</t>
  </si>
  <si>
    <t>B Shift ended at 5.00PM</t>
  </si>
  <si>
    <t>Production affected due to the  unavailability of Heat Set fabric (6.5 hrs)</t>
  </si>
  <si>
    <t xml:space="preserve">M/C stopped for net cleaning &amp; power failure (2.6 hrs). </t>
  </si>
  <si>
    <t>M/C Stopped due to gas supply issues and lack of air pressure in the compressor line (3hrs).</t>
  </si>
  <si>
    <t>M/C Stopped due to gas supply issues (4.45 hrs)</t>
  </si>
  <si>
    <t>M/C Stopped due to gas supply issues (3hrs)</t>
  </si>
  <si>
    <t>M/C Stopped due to the unavailability of Heat Set fabric (2hrs)</t>
  </si>
  <si>
    <t>M/C stopped due to power outage (1.05hrs)</t>
  </si>
  <si>
    <t>M/C stopped due to power outage (2 hrs)</t>
  </si>
  <si>
    <t xml:space="preserve">M/C stopped for net cleaning &amp; power failure (3.6 hrs). </t>
  </si>
  <si>
    <t>M/C stopped due to a table limit switch problem and power outage (8hrs) &amp; B Shift ended at 6AM</t>
  </si>
  <si>
    <t>M/C stopped due to power outage (2hrs)</t>
  </si>
  <si>
    <t>M/C stopped due to insufficient air pressure in the compressor line and spindle motor replacement. (1.95hrs).</t>
  </si>
  <si>
    <t>M/C Stopped due to gas supply issues (2hrs)</t>
  </si>
  <si>
    <t>M/C Stopped due to the unavailability of Heat Set fabric (3hrs)</t>
  </si>
  <si>
    <t>M/C stopped for net cleaning, power failure, and bearing replacement (3.33 hrs)</t>
  </si>
  <si>
    <t>M/C stopped due to fabric shade not being OK (1Hrr)  &amp; B shift ended at 6PM.</t>
  </si>
  <si>
    <t>M/C Stopped due to the unavailability of Heat Set fabric (7hrs)</t>
  </si>
  <si>
    <t xml:space="preserve">M/C stopped for net cleaning (1.50 hrs) &amp; Production was affected due to the low steam. </t>
  </si>
  <si>
    <t>M/C stopped due to the unavailability of electricity and steam (1hr)</t>
  </si>
  <si>
    <t>M/C stopped due to the unavailability of electricity and steam, and for replacement of the sensor wire (2hr)</t>
  </si>
  <si>
    <t>M/C Stopped due to low gas pressure (1hr)</t>
  </si>
  <si>
    <t>M/C stopped due to the unavailability of stenter-finished fabric (6.5 hrs)</t>
  </si>
  <si>
    <t>Production was affected due to lower T/F fabric availability.</t>
  </si>
  <si>
    <t>M/C stopped for scheduled maintenance (2.5 hours)</t>
  </si>
  <si>
    <t>M/C stopped for scheduled maintenance &amp; low gas pressure (3.5 hrs)</t>
  </si>
  <si>
    <t>M/C stopped for scheduled maintenance (2.50 hrs) &amp; production was affected due to low gas pressure</t>
  </si>
  <si>
    <t>M/C Stopped due to the unavailability of Heat Set fabric (3 hrs)</t>
  </si>
  <si>
    <t>M/C stopped due to scheduled maintenance, power outage, and earthing box-related issues. (3.50 hrs)</t>
  </si>
  <si>
    <t>M/C stopped for scheduled maintenance &amp;  lower T/F fabric availability.(6.50 hrs)</t>
  </si>
  <si>
    <t>M/C stopped due to a plate room table problem (4 hrs). Production was also affected due to the lower availability of T/F fabric.</t>
  </si>
  <si>
    <t>M/C stopped for scheduled net cleaning &amp; unavailability of fabric (4.50 hrs)</t>
  </si>
  <si>
    <t>M/C Stopped due to the unavailability of Heat Set fabric (3.50 hrs)</t>
  </si>
  <si>
    <t>M/C stopped for scheduled net cleaning  (1.50hrs). Production was affected due to low steam pressure</t>
  </si>
  <si>
    <t xml:space="preserve"> Production was affected due to low steam pressure</t>
  </si>
  <si>
    <t xml:space="preserve"> Production was affected due to low steam pressure because of gas supply crisis</t>
  </si>
  <si>
    <t>M/C stopped due to a broken guide roller bearing and a basket-related problem.(4.50 hrs)</t>
  </si>
  <si>
    <t>M/C Stopped due to the unavailability of Heat  fabric (2 hrs) &amp; Production was affected due to low gas pressure</t>
  </si>
  <si>
    <t>M/C Stopped due to the unavailability of Heat Set fabric (11.50 hrs)</t>
  </si>
  <si>
    <t>M/C was stopped for scheduled maintenance and mini squeezer roller setup (4.50 hrs)</t>
  </si>
  <si>
    <t>M/C was stopped for scheduled maintenance and inverter installation (3.25 hrs).</t>
  </si>
  <si>
    <t>M/C stopped for scheduled maintenance and due to non-availability of fabric (3.50 hrs). A-shift was released at 5 PM.</t>
  </si>
  <si>
    <t>M/C Stopped for the unavailability of Heat Set fabric (6 hrs)</t>
  </si>
  <si>
    <t>M/C was stopped for scheduled maintenance (2 hrs).</t>
  </si>
  <si>
    <t>M/C stopped for scheduled maintenance and net cleaning (3.10 hrs). Production was affected due to low steam pressure and PDB problem.</t>
  </si>
  <si>
    <t>M/C stopped for water pump and basket auto-camera repair work.(1.45 hrs)</t>
  </si>
  <si>
    <t>M/C stopped for unavailability  fabric for (1 hr).  Production was affected due to low gas pressure</t>
  </si>
  <si>
    <t>M/C stopped for the unavailability of Heat Set fabric (6 hrs)</t>
  </si>
  <si>
    <t>M/C stopped for unavailability of stenter fabric for compacting. (1 hr)</t>
  </si>
  <si>
    <t>M/C stopped for scheduled  net cleaning (1.50 hrs). Production was affected due to low steam pressure.</t>
  </si>
  <si>
    <t>M/C stopped for the unavailability of Heat Set fabric (5 hrs)</t>
  </si>
  <si>
    <t>M/C stopped due to basket belt breakage (1 hr)</t>
  </si>
  <si>
    <t>M/C stopped due to low compressor air pressure  (30 min)</t>
  </si>
  <si>
    <t>M/C stopped for scheduled  net cleaning (1.30 hrs). Production was affected due to low steam pressure.</t>
  </si>
  <si>
    <t>M/C stopped for the lower T/F fabric availability (5.5 hrs)</t>
  </si>
  <si>
    <t>M/C stopped for the lower T/F fabric availability (3 hrs)</t>
  </si>
  <si>
    <t>M/C stopped for low compressor air pressure  (30 min)</t>
  </si>
  <si>
    <t xml:space="preserve"> M/C stopped for spandex roller belt being torn and a problem with the Overfeed Roller Gear Box (8 hrs). M/C stopped for low compressor air pressure  (1 hr)</t>
  </si>
  <si>
    <t>M/C stopped for scheduled  net cleaning &amp; lower T/F fabric availability  (3.05 hrs). Production was affected due to low steam pressure.</t>
  </si>
  <si>
    <t>M/C  stopped for the basket belt being torn. (1.20 hrs)</t>
  </si>
  <si>
    <t>M/C stopped for overfeed roller gearbox problem and uncoiler roller motor problem. (6.50 hrs)</t>
  </si>
  <si>
    <t>M/C stopped for scheduled  net cleaning (1.50 hrs).</t>
  </si>
  <si>
    <t>M/C stopped for water pump &amp; water spray bar repair work (1 hr)</t>
  </si>
  <si>
    <t>M/C stopped for  generator shutdown (1 hr).</t>
  </si>
  <si>
    <t xml:space="preserve">M/C stopped for lower T/F fabric availability (2.45 hr)  &amp; A shift ended at 5PM. </t>
  </si>
  <si>
    <t>M/C  stopped for rotary trolley table repair work and replacement of the guide roller bearing (2.15 hrs).</t>
  </si>
  <si>
    <t>M/C stopped for the unavailability of Heat Set fabric (2 hrs)</t>
  </si>
  <si>
    <t>M/C stopped for unavailability of fabric and 3 batches being held due to shade not being OK (3.25 hrs)</t>
  </si>
  <si>
    <t>M/C stopped for the unavailability of Heat Set fabric (4 hrs)</t>
  </si>
  <si>
    <t>M/C stopped for 1 batche being held due to shade not being OK (1 hrs)</t>
  </si>
  <si>
    <t>M/C stopped for lower  fabric T/F availability (3 hrs)</t>
  </si>
  <si>
    <t>Machine stopped for basket and camera problems. (2 hrs). The basket problem is still not fixed.</t>
  </si>
  <si>
    <t>M/C stopped for net cleaning (1.50hrs)</t>
  </si>
  <si>
    <t>M/C stopped for lower  fabric T/F availability (4 hrs)</t>
  </si>
  <si>
    <t>Machine stopped for basket and camera problems. (7.60 hrs). The basket problem is still not fixed.</t>
  </si>
  <si>
    <t>Machine stopped for basket problem in Super slitting m/c, resulting in no fabric being available for processing (6.20 hrs)</t>
  </si>
  <si>
    <t>M/C stopped for the unavailability of Heat Set fabric (3 hrs).</t>
  </si>
  <si>
    <t>M/C stopped for net cleaning, conveyor belt problems, and a limit switch issue. (4.25 hrs)</t>
  </si>
  <si>
    <t>M/C stopped for the unavailability of Heat Set fabric (7.67 hrs).</t>
  </si>
  <si>
    <t>M/C stopped for lower Open Width fabric availability (2.50 hrs)</t>
  </si>
  <si>
    <t>Production affected due to excess squeezed fabric on the floor; machine operated at low speed.</t>
  </si>
  <si>
    <t xml:space="preserve">M/C stopped for net cleaning, steam line coil checking, and PDB issue (2.50 hrs). Production was affected due to low steam. </t>
  </si>
  <si>
    <t>M/C stopped for damage of the upper blanket joint (2 hrs).</t>
  </si>
  <si>
    <t>M/C stopped for scheduled maintenance  (2.40 hrs)</t>
  </si>
  <si>
    <t>M/C stopped for scheduled maintenance  (2.30 hrs)</t>
  </si>
  <si>
    <t>M/C stopped for scheduled maintenance &amp; 2 batches were held due to shade not being OK (3.50 hrs)</t>
  </si>
  <si>
    <t>M/C stopped for the unavailability of Heat Set fabric (6 hrs).</t>
  </si>
  <si>
    <t>M/C stopped for scheduled maintenance  (1.20 hrs)</t>
  </si>
  <si>
    <t>M/C stopped for scheduled  net cleaning &amp; lower T/F fabric availability  (2.15 hrs). Production was affected due to low steam pressure.</t>
  </si>
  <si>
    <t>M/C stopeed  for T/F fabric shortage (5 hrs). 2 batches held due to shade not OK. M/C kept idle from 6PM in B Shift.</t>
  </si>
  <si>
    <t>M/C stopped for T/F fabric shortage (2.10 hrs). 1 batches held due to shade not OK. M/C kept idle from 6PM in B Shift.</t>
  </si>
  <si>
    <t>M/C stopped for pillar fire footing work (1 hr). Production was also affected due to low gas pressure.</t>
  </si>
  <si>
    <t>M/C stopped for chain pinion problem in the dryer M/C (7 hrs)</t>
  </si>
  <si>
    <t>M/C stopped for  net cleaning &amp; rollerer chain pinion er shomossha (8.50  hrs). Production was affected due to low steam pressure.</t>
  </si>
  <si>
    <t>M/C stopped due to a chain pinion problem in the dryer M/C, resulting in a shortage of fabric (7.20 hrs). Both shifts also ended 2 hours earlier than scheduled.</t>
  </si>
  <si>
    <t>M/C stopped for rubber pulley replacement, shortage of dried fabric (4.20 hrs) and reduced production. Both shifts also ended 2 hours earlier than scheduled.</t>
  </si>
  <si>
    <t>Machine stopped for side roller bearing replacement (1.08 hrs)</t>
  </si>
  <si>
    <t>M/C stopped for repeated needle bar breakage (1.30 hrs)</t>
  </si>
  <si>
    <t>M/C stopped for net cleaning and unavailability of fabric (3.20 hrs). Production was also affected due to low steam pressure.</t>
  </si>
  <si>
    <t>M/C stopped for unavailability of T/F fabric (2 hrs)</t>
  </si>
  <si>
    <t>M/C stopped for unavailability of T/F fabric (8 hrs)</t>
  </si>
  <si>
    <t>M/C stopped for water pump maintenance. (1 hr)</t>
  </si>
  <si>
    <t>M/C stopped for unavailability of fabric. (3.40 hrs)</t>
  </si>
  <si>
    <t>M/C stopped for net cleaning and due to PDB issues (3.10 hrs). Production was also affected due to low steam pressure.</t>
  </si>
  <si>
    <t>M/C stopped for unavailability of T/F fabric (2 hrs). B shift also ended 2 hours earlier than scheduled.</t>
  </si>
  <si>
    <t>M/C stopped for unavailability of T/F fabric (2.30 hrs)</t>
  </si>
  <si>
    <t>Machine stopped for basket  problem (1.30  hrs)</t>
  </si>
  <si>
    <t>Machine stopped for air jog problem. (3.20 hrs)</t>
  </si>
  <si>
    <t>Machine stopped for net cleaning and due to a limit switch problem (2.25 hrs). Production was also affected by low steam pressure.</t>
  </si>
  <si>
    <t>Production was affected  for unavailability of T/F fabric. A shift also ended 2 hours earlier than scheduled.</t>
  </si>
  <si>
    <t>M/C was stopped for net cleaning, steam line welding, and PDB issues (4.35 hrs). Production was also affected due to low steam pressure.</t>
  </si>
  <si>
    <t>M/C stopped for unavailability of T/F fabric (4.50 hrs). B shift also ended 2 hrs earlier than scheduled.</t>
  </si>
  <si>
    <t>Production was affected  for unavailability of T/F fabric.B shift also ended 2 hours earlier than scheduled.</t>
  </si>
  <si>
    <t>M/C stopped for panel board repair work (2.20 hrs).</t>
  </si>
  <si>
    <t>M/C stopped for the unavailability of Heat Set fabric (3.30 hrs).</t>
  </si>
  <si>
    <t>M/C stopped for net cleaning and due to low fabric availability (3.30 hrs). Both shifts ended 2 hours earlier than scheduled.</t>
  </si>
  <si>
    <t>Production was affected  for unavailability of T/F fabric.Both shift also ended 2 hours earlier than scheduled.</t>
  </si>
  <si>
    <t>M/C stopped for shade issue in Black fabric for Adidas buyer, W/O: 2026/823, Lot: 3063. (35 min)</t>
  </si>
  <si>
    <t>M/C stopped due to fabric not being ready (1.50 hrs).</t>
  </si>
  <si>
    <t>Production was affected  for unavailability of T/F fabric. B Shift ended 2 hrs earlier than scheduled.</t>
  </si>
  <si>
    <t>M/C stopped for net cleaning and due to 2NO motor faults (3.10 hours). B Shift ended 2 hours earlier than scheduled.</t>
  </si>
  <si>
    <t>M/C stopped for unavailability of T/F fabric (6.30 hrs). Both shift also ended 2 hours earlier than scheduled.</t>
  </si>
  <si>
    <t>Production was affected  for unavailability of T/F fabric.B Shift ended 2 hours earlier than scheduled.</t>
  </si>
  <si>
    <t>M/C stopped due to a limit switch problem (1 hr)</t>
  </si>
  <si>
    <t>Production affected due to one burner malfunction; machine operated at reduced speed.</t>
  </si>
  <si>
    <t>Monty M/C operated with helpers from Indian Compecting ( A Shift)</t>
  </si>
  <si>
    <t>M/C stopped for unavailability of T/F fabric</t>
  </si>
  <si>
    <t>M/C stopped for net cleaning and unavailability of T/F fabric (1.55 hrs). Production was affected  for  2NO motor faults.</t>
  </si>
  <si>
    <t>Production was affected  for unavailability of T/F fabric.Both Shift ended 2 hours earlier than scheduled.</t>
  </si>
  <si>
    <t>M/C stopped for unavailability of T/F fabric (5 hrs). Both shift also ended 2 hours earlier than scheduled.</t>
  </si>
  <si>
    <t xml:space="preserve">M/C stopped due to panel board wires completely burnt (1.45 hrs). Production affected due to 1No burner being defective, repaired at 5PM. </t>
  </si>
  <si>
    <t>Production was affected  for unavailability of T/F fabric. Both Shift ended 2 hours earlier than scheduled.</t>
  </si>
  <si>
    <t>M/C stopped for net cleaning and unavailability of T/F fabric (11.10 hrs). Both Shift ended 2 hours earlier than scheduled.</t>
  </si>
  <si>
    <t>M/C stopped for unavailability of T/F fabric (6 hrs). Both shift also ended 2 hours earlier than scheduled.</t>
  </si>
  <si>
    <t>Production was affected for unavailability of T/F fabric. Both shift also ended 2 hours earlier than scheduled.</t>
  </si>
  <si>
    <t>Production affected due to 1No burner being defective</t>
  </si>
  <si>
    <t>M/C stopped for net cleaning and unavailability of T/F fabric (5.50 hrs).</t>
  </si>
  <si>
    <t>M/C stopped for unavailability of T/F fabric (4.30 hrs).</t>
  </si>
  <si>
    <t>M/C stopped for unavailability of T/F fabric (14 hrs). B shift also ended 2 hrs earlier than scheduled.</t>
  </si>
  <si>
    <t>M/C stopped for net cleaning (1.50 hrs).</t>
  </si>
  <si>
    <t>M/C stopped for unavailability of T/F fabric (5 hrs).</t>
  </si>
  <si>
    <t>M/C stopped for unavailability of T/F fabric (12hrs).</t>
  </si>
  <si>
    <t>M/C stopped for mini squeezer padder maintenance work (2 hr)</t>
  </si>
  <si>
    <t>M/C stopped for  for unavailability of  fabric (1 hr)</t>
  </si>
  <si>
    <t>Production was affected for unavailability of T/F fabric. Both shift also ended 2 hrs earlier than scheduled.</t>
  </si>
  <si>
    <t>M/C stopped for net cleaning (1.50 hrs). Production was affected for unavailability of T/F fabric. Both shift also ended 2 hrs earlier than scheduled.</t>
  </si>
  <si>
    <t>M/C stopped for unavailability of T/F fabric (4 hrs). Both shift also ended 2 hours earlier than scheduled.</t>
  </si>
  <si>
    <t>M/C stopped for unavailability of T/F fabric (14 hrs).</t>
  </si>
  <si>
    <t>M/C stopped for  for unavailability of  fabric (2.40 hr)</t>
  </si>
  <si>
    <t>M/C stopped for net cleaning  &amp;  unavailability of T/F fabric (5.50 hrs).</t>
  </si>
  <si>
    <t>M/C stopped for unavailability of T/F fabric (11 hrs).</t>
  </si>
  <si>
    <t>M/C stopped for the unavailability of Heat Set fabric (6.50 hrs).</t>
  </si>
  <si>
    <t>M/C stopped for net unavailability of T/F fabric (3 hrs). Production was affected for unavailability of T/F fabric.</t>
  </si>
  <si>
    <t>M/C stopped for net cleaning  &amp;  unavailability of T/F fabric (2.50 hrs). Production was affected for unavailability of T/F fabric.</t>
  </si>
  <si>
    <t>M/C stopped for unavailability of T/F fabric (7 hrs). Production was affected for unavailability of T/F fabric.</t>
  </si>
  <si>
    <t>M/C stopped for unavailability of T/F fabric (3 hrs).  Production was affected for unavailability of T/F fabric.</t>
  </si>
  <si>
    <t>Due to low T/F fabric, 
Monty m/c kept running in with helpers from Ind. Compacting.</t>
  </si>
  <si>
    <t>M/C stopped for net cleaning  (1.50 hrs). Production was affected for unavailability of T/F fabric.</t>
  </si>
  <si>
    <t>Production was affected for unavailability of T/F fabric.</t>
  </si>
  <si>
    <t>M/C stopped for the unavailability of Heat Set fabric (5 hrs).</t>
  </si>
  <si>
    <t>M/C stopped for the unavailability of Heat Set fabric (7.10 hrs).</t>
  </si>
  <si>
    <t>Production was affected for unavailability of T/F fabric. B shift also ended 2 hrs earlier than scheduled.</t>
  </si>
  <si>
    <t>M/C stopped for net cleaning &amp; unavailability of T/F fabric (6.25 hrs). Production was affected for unavailability of T/F fabric. B shift also ended 2 hrs earlier than scheduled.</t>
  </si>
  <si>
    <t>M/C stopped for scheduled maintenance  (1.30 hrs)</t>
  </si>
  <si>
    <t>Production was affected for a problem with the flat dryer (12 hrs)</t>
  </si>
  <si>
    <t>M/C stopped for damage to the roller and a pinion malfunction. (12.30 hrs)</t>
  </si>
  <si>
    <t xml:space="preserve">Production was affected for unavailability of T/F fabric </t>
  </si>
  <si>
    <t>Production was affected for unavailability of T/F fabric</t>
  </si>
  <si>
    <t>M/C stopped for the unavailability of Heat Set fabric (2 hrs).</t>
  </si>
  <si>
    <t>M/C stopped for the unavailability of O/F fabric
(2 hrs).</t>
  </si>
  <si>
    <t>M/C stopped for net cleaning &amp;  unavailability of T/F fabric. (5.20 hrs)</t>
  </si>
  <si>
    <t>M/C stopped for maintenance work on 1 blanket jogger &amp; unavailability of T/F fabric (6 hrs)</t>
  </si>
  <si>
    <t>M/C stopped for the unavailability of T/F fabric
(2 hrs).</t>
  </si>
  <si>
    <t>M/C stopped for the unavailability of Heat Set fabric (10 hrs).</t>
  </si>
  <si>
    <t>Monty m/c operated with helpers from Ferraro Tube  &amp;  Indian Compecting.</t>
  </si>
  <si>
    <t>M/C stopped for net cleaning &amp;  unavailability of T/F fabric. (2 hrs)</t>
  </si>
  <si>
    <t>M/C stopped for unavailability of T/F fabric (13.30 hrs)</t>
  </si>
  <si>
    <t>M/C stopped for the unavailability of T/F fabric
(9 hrs).</t>
  </si>
  <si>
    <t>M/C stopped for the unavailability of T/F fabric
(4 hrs).</t>
  </si>
  <si>
    <t>M/C stopped for unavailability of T/F fabric (14 hrs)</t>
  </si>
  <si>
    <t>M/C stopped for the unavailability of Heat Set fabric (5.10 hrs).</t>
  </si>
  <si>
    <t>M/C stopped for net cleaning (1.20 hrs)</t>
  </si>
  <si>
    <t>M/C stopped for unavailability of T/F fabric (13 hrs)</t>
  </si>
  <si>
    <t>M/C stopped for the unavailability of Finish Open fabric.</t>
  </si>
  <si>
    <t>M/C stopped three hour due to problem Contract Switch.</t>
  </si>
  <si>
    <t>M/C stopped two hour due to replace Blower Motor Invertor.</t>
  </si>
  <si>
    <t>M/C stopped two hour due to problem Super Slitting M/C.</t>
  </si>
  <si>
    <t>M/C stopped for  fabric not being ready. (3 hrs)</t>
  </si>
  <si>
    <t>M/C stopped for net cleaning (1.50 hrs)</t>
  </si>
  <si>
    <t>M/C stopped for unavailability of T/F fabric (8.40 hrs)</t>
  </si>
  <si>
    <t>M/C stopped for the unavailability of Heat Set fabric (4 hrs).</t>
  </si>
  <si>
    <t>M/C stopped for unavailability of T/F fabric (2 hrs). Production was affected for unavailability of T/F fabric.</t>
  </si>
  <si>
    <t>M/C stopped for net cleaning &amp; unavailability of T/F fabric (4.25 hrs). Production was affected for unavailability of T/F fabric.</t>
  </si>
  <si>
    <t>M/C stopped for unavailability of T/F fabric (5.50 hrs). Production was affected for unavailability of T/F fabric.</t>
  </si>
  <si>
    <t>M/C stopped for net cleaning &amp; unavailability of trolly (3 hrs). Production was affected for unavailability of T/F fabric.</t>
  </si>
  <si>
    <t>M/C stopped for unavailability of T/F fabric (3.30 hrs). Production was affected for unavailability of T/F fabric.</t>
  </si>
  <si>
    <t>M/C stopped for unavailability of T/F fabric (12 hrs). Production was affected for unavailability of T/F fabric.</t>
  </si>
  <si>
    <t>M/C stopped for scheduled maintenance  (2 hrs)</t>
  </si>
  <si>
    <t>M/C stopped for scheduled maintenance  (3 hrs)</t>
  </si>
  <si>
    <t>M/C stopped for unavailability of O/F fabric (2.10 hrs).</t>
  </si>
  <si>
    <t>M/C stopped for net cleaning  (1.20 hrs). Production was affected for unavailability of T/F fabric.</t>
  </si>
  <si>
    <t>M/C stopped for unavailability of T/F fabric (6 hrs). Production was affected for unavailability of T/F fabric.</t>
  </si>
  <si>
    <t>M/C stopped for net cleaning &amp; unavailability of T/F fabric (3.20 hrs). Production was affected for unavailability of T/F fabric.</t>
  </si>
  <si>
    <t>M/C stopped for unavailability of T/F fabric (8 hrs). Production was affected for unavailability of T/F fabric.</t>
  </si>
  <si>
    <t>M/C stopped for net cleaning &amp; unavailability of T/F fabric (1.20 hrs). Production was affected for unavailability of T/F fabric.</t>
  </si>
  <si>
    <t>M/C stopped for unavailability of T/F fabric (3 hrs). Production was affected for unavailability of T/F fabric.</t>
  </si>
  <si>
    <t>M/C stopped for the unavailability of Heat Set fabric (7.30 hrs).</t>
  </si>
  <si>
    <t>M/C stopped for net cleaning &amp; unavailability of T/F fabric (3.15 hrs). Production was affected for unavailability of T/F fabric.</t>
  </si>
  <si>
    <t>M/C stopped for scheduled maintenance &amp; unavailability of  fabric.(4.20 hrs)</t>
  </si>
  <si>
    <t>M/C stopped for scheduled maintenance &amp; unavailability of T/F fabric (5 hrs). Production was affected for unavailability of T/F fabric.</t>
  </si>
  <si>
    <t xml:space="preserve">    Clifton Apparels Ltd. (Dyeing Unit)</t>
  </si>
  <si>
    <t>(All)</t>
  </si>
  <si>
    <t>Values</t>
  </si>
  <si>
    <t xml:space="preserve">Capacity (Kg) </t>
  </si>
  <si>
    <t xml:space="preserve">Actual Production (Kg) </t>
  </si>
  <si>
    <t xml:space="preserve">Re-process (Kg) </t>
  </si>
  <si>
    <t xml:space="preserve">Re-process %  </t>
  </si>
  <si>
    <t xml:space="preserve">Quality Pass Production </t>
  </si>
  <si>
    <t xml:space="preserve">Target Time (Hours) </t>
  </si>
  <si>
    <t xml:space="preserve">Running Time (Hours) </t>
  </si>
  <si>
    <t xml:space="preserve">Downtime (Hours) </t>
  </si>
  <si>
    <t xml:space="preserve">Loss Production for Downtime </t>
  </si>
  <si>
    <t xml:space="preserve">Machine Utilization % </t>
  </si>
  <si>
    <t xml:space="preserve">Efficiency % </t>
  </si>
  <si>
    <t xml:space="preserve">Quality %  </t>
  </si>
  <si>
    <t xml:space="preserve">OEE %  </t>
  </si>
  <si>
    <t>Total</t>
  </si>
  <si>
    <t xml:space="preserve">Machine </t>
  </si>
  <si>
    <t>Downtime</t>
  </si>
  <si>
    <t>Remarks</t>
  </si>
  <si>
    <t>Closing Day (Eid Vacation)</t>
  </si>
  <si>
    <t>Bruckner Stenter (Heat Set)</t>
  </si>
  <si>
    <t>Bruckner Stenter (Finish)</t>
  </si>
  <si>
    <t>On Standby</t>
  </si>
  <si>
    <t>Indian Compacting</t>
  </si>
  <si>
    <t>Opening Day (Certain idle time for Finishing m/c)</t>
  </si>
  <si>
    <t>No Production due to master overhauling of Brückner Stenter</t>
  </si>
  <si>
    <t>A shift closed at 5 pm | 2 hours downtime</t>
  </si>
  <si>
    <t>Belt breakage 30 min, maintenance &amp; fabric unavailability 1.5 hr</t>
  </si>
  <si>
    <t>Fabric unavailability, shade issues</t>
  </si>
  <si>
    <t>Unavailability of fabric</t>
  </si>
  <si>
    <t>4 hours of production loss due to fabric unavailability</t>
  </si>
  <si>
    <t>4 hours of production loss due to unavailability of heat set fabric</t>
  </si>
  <si>
    <t>3 hr M/C maintenance &amp; dyeing unload downtime.</t>
  </si>
  <si>
    <t>Maximum fabric was H/Set.&amp; Chamber No-3 was off due to inverter problem.</t>
  </si>
  <si>
    <t>5 hours of production loss due to unavailability of heat-set fabric</t>
  </si>
  <si>
    <t>Unavailability of Heat-Set fabric</t>
  </si>
  <si>
    <t>1 hour Net cleaning downtime, 1 hr - unavailability of fabric | Low steam</t>
  </si>
  <si>
    <t>2 hrs M/C Off – due to Trolley unavailability &amp; repairing of water tank.</t>
  </si>
  <si>
    <t>2 Hr Net Cleaning Downtime, 2 Hr M/C Off (No Fabric) &amp; Prod. Loss Due to Low Steam.</t>
  </si>
  <si>
    <t>1 hour Net cleaning downtime and Prod. Loss due to low steam</t>
  </si>
  <si>
    <t>6 hours of production loss due to unavailability of Heat-Set fabric</t>
  </si>
  <si>
    <t>Machine Downtime: 21 hours due to blanket damage</t>
  </si>
  <si>
    <t>Net cleaning: 1hr, Fabric Unavailability: 4 hrs, Both shift released 2 hours early (4 hrs)</t>
  </si>
  <si>
    <t>Fabric Unavailability: 6hrs, Both shift released 2 hours early (4 hrs)</t>
  </si>
  <si>
    <t>Fabric Unavailability: 7hrs, Both shift released 2 hours early (4 hrs)</t>
  </si>
  <si>
    <t>Machine Downtime: 22 hours due to blanket damage</t>
  </si>
  <si>
    <t>Auto Stitch (New)</t>
  </si>
  <si>
    <t>8.5 hr production loss due to unavailability of Heat-Set fabric</t>
  </si>
  <si>
    <t>M/C stoppage 5.2 hrs due to excess printed fabric ran on Stenter; B-Shift closed at 6:00 PM.</t>
  </si>
  <si>
    <t>6 hr production loss due to unavailability of Heat-Set Fabric</t>
  </si>
  <si>
    <t>M/c off 8 hr due to unavailability of Heat-Set Fabric</t>
  </si>
  <si>
    <t>M/c off  for 4.50 hrs due to unavailability of Heat-Set fabric</t>
  </si>
  <si>
    <t>M/c off for 4 hrs due to unavailability of Heat-Set fabric</t>
  </si>
  <si>
    <t>M/C off for 7 hours due to unavailability of Heat-Set fabric</t>
  </si>
  <si>
    <t>1.5 hours of downtime for net cleaning</t>
  </si>
  <si>
    <t>M/C off for 22 hours due to blanket change, roller repair, and bearing replacement.</t>
  </si>
  <si>
    <t>M/c off 13 hr due to unavailability of Heat-Set fabric</t>
  </si>
  <si>
    <t>Monty M/C operated with helpers from Tube F/N. M/C off 2 hrs due to gearbox chain breakage.</t>
  </si>
  <si>
    <t>M/c off 2.30 hr due to unavailability of Heat-Set fabric</t>
  </si>
  <si>
    <t>M/C stopped for scheduled maintenance &amp; gas unavailability (3.15 hrs).</t>
  </si>
  <si>
    <t>M/C Stopped for unavailability of Heat Set fabric (7 hrs).</t>
  </si>
  <si>
    <t>Machine stopped for padder pressure regulator installation and pressure line maintenance (2 hrs). Production was affected due to gas unavailability.</t>
  </si>
  <si>
    <t>M/C stopped due to the net cleaning (1.40 hrs) &amp; Production affected due to low steam.</t>
  </si>
  <si>
    <t>Production affected due to lower T/F fabric availability, lower steam pressure</t>
  </si>
  <si>
    <t>M/C stopped for net cleaning &amp; power failure (2.6 hrs)</t>
  </si>
  <si>
    <t>Production was affected  for unavailability of T/F fabric</t>
  </si>
  <si>
    <t>Month</t>
  </si>
  <si>
    <t>Finished Production (kg/day)</t>
  </si>
  <si>
    <t>Dyeing(Unload) Production (kg/day)</t>
  </si>
  <si>
    <t>01.03.2026</t>
  </si>
  <si>
    <t>02.03.2026</t>
  </si>
  <si>
    <t>03.03.2026</t>
  </si>
  <si>
    <t>04.03.2026</t>
  </si>
  <si>
    <t>05.03.2026</t>
  </si>
  <si>
    <t>07.03.2026</t>
  </si>
  <si>
    <t>08.03.2026</t>
  </si>
  <si>
    <t>09.03.2026</t>
  </si>
  <si>
    <t>10.03.2026</t>
  </si>
  <si>
    <t>11.03.2026</t>
  </si>
  <si>
    <t>12.03.2026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</si>
  <si>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</si>
  <si>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</si>
  <si>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</si>
  <si>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</si>
  <si>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</si>
  <si>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</si>
  <si>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</si>
  <si>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</si>
  <si>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</si>
  <si>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</si>
  <si>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</si>
  <si>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</si>
  <si>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</si>
  <si>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</si>
  <si>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</si>
  <si>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</si>
  <si>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</si>
  <si>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</si>
  <si>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</si>
  <si>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</si>
  <si>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</si>
  <si>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</si>
  <si>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</si>
  <si>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</si>
  <si>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</si>
  <si>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</si>
  <si>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</si>
  <si>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</si>
  <si>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</si>
  <si>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</si>
  <si>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</si>
  <si>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</si>
  <si>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</si>
  <si>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</si>
  <si>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</si>
  <si>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</si>
  <si>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</si>
  <si>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</si>
  <si>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</si>
  <si>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</si>
  <si>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</si>
  <si>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</si>
  <si>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</si>
  <si>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</si>
  <si>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</si>
  <si>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</si>
  <si>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</si>
  <si>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02.05.2026</t>
  </si>
  <si>
    <t>03.05.2026</t>
  </si>
  <si>
    <t>04.05.2026</t>
  </si>
  <si>
    <t>05.05.2026</t>
  </si>
  <si>
    <t>06.05.2026</t>
  </si>
  <si>
    <t>07.05.2026</t>
  </si>
  <si>
    <t>08.05.2027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</si>
  <si>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</si>
  <si>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</si>
  <si>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</si>
  <si>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</si>
  <si>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</si>
  <si>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</si>
  <si>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</si>
  <si>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</si>
  <si>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</si>
  <si>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</si>
  <si>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</si>
  <si>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</si>
  <si>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</si>
  <si>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23.05.2026</t>
  </si>
  <si>
    <t>24.05.2026</t>
  </si>
  <si>
    <t>25.05.2027</t>
  </si>
  <si>
    <t>02.06.2026</t>
  </si>
  <si>
    <t>03.06.2026</t>
  </si>
  <si>
    <t>04.06.2026</t>
  </si>
  <si>
    <t>06.06.2026</t>
  </si>
  <si>
    <t>07.06.2026</t>
  </si>
  <si>
    <t>08.06.2026</t>
  </si>
  <si>
    <t>09.06.2026</t>
  </si>
  <si>
    <t>10.06.2026</t>
  </si>
  <si>
    <t>11.06.2026</t>
  </si>
  <si>
    <t>13.06.2026</t>
  </si>
  <si>
    <t>14.06.2026</t>
  </si>
  <si>
    <t>15.06.2026</t>
  </si>
  <si>
    <t>16.06.2026</t>
  </si>
  <si>
    <t>17.06.2026</t>
  </si>
  <si>
    <t>18.06.2026</t>
  </si>
  <si>
    <t>Ferraro Open Compacting: 21 hours off (blanket damage), Ferraro Tube 10 hrs &amp; Confident Compactor 11 hours off due to tube fabric unavailability</t>
  </si>
  <si>
    <t>20.06.2026</t>
  </si>
  <si>
    <t>Ferraro Open Compacting: 22 hours off (blanket damage), Ferraro Tube 4 hrs &amp; Confident Compactor 4 hours off due to tube fabric unavailability</t>
  </si>
  <si>
    <t>21.06.2026</t>
  </si>
  <si>
    <t>Ferraro Open Compacting: 22 hours off due to maintenance work (blanket damage)</t>
  </si>
  <si>
    <t>22.06.2026</t>
  </si>
  <si>
    <t>23.06.2026</t>
  </si>
  <si>
    <t>24.06.2026</t>
  </si>
  <si>
    <t>25.06.2026</t>
  </si>
  <si>
    <t>27.06.2026</t>
  </si>
  <si>
    <t>28.06.2026</t>
  </si>
  <si>
    <t>29.06.2026</t>
  </si>
  <si>
    <t>30.06.2026</t>
  </si>
  <si>
    <t>01.07.2026</t>
  </si>
  <si>
    <t>02.07.2026</t>
  </si>
  <si>
    <t>04.07.2026</t>
  </si>
  <si>
    <t>05.07.2026</t>
  </si>
  <si>
    <t>06.07.2026</t>
  </si>
  <si>
    <t>07.07.2026</t>
  </si>
  <si>
    <t>08.07.2026</t>
  </si>
  <si>
    <t>09.07.2026</t>
  </si>
  <si>
    <t>11.07.2026</t>
  </si>
  <si>
    <t>12.07.2026</t>
  </si>
  <si>
    <t>13.07.2026</t>
  </si>
  <si>
    <t>14.07.2026</t>
  </si>
  <si>
    <t>Ferraro Open Compacting machine was under maintenance due to upper gear box problem</t>
  </si>
  <si>
    <t>15.07.2026</t>
  </si>
  <si>
    <t>16.07.2026</t>
  </si>
  <si>
    <t>18.07.2026</t>
  </si>
  <si>
    <t>19.07.2026</t>
  </si>
  <si>
    <t>20.07.2026</t>
  </si>
  <si>
    <t>21.07.2026</t>
  </si>
  <si>
    <t>22.07.2026</t>
  </si>
  <si>
    <t>23.07.2026</t>
  </si>
  <si>
    <t>25.07.2026</t>
  </si>
  <si>
    <t>26.07.2026</t>
  </si>
  <si>
    <t>27.07.2026</t>
  </si>
  <si>
    <t>28.07.2026</t>
  </si>
  <si>
    <t>29.07.2026</t>
  </si>
  <si>
    <t>30.07.2026</t>
  </si>
  <si>
    <t>01.08.2026</t>
  </si>
  <si>
    <t>02.08.2026</t>
  </si>
  <si>
    <t>Steam pressure remained low from 8:00 AM to 5:00 PM due to the gas supply crisis, resulting in reduced production</t>
  </si>
  <si>
    <t>03.08.2026</t>
  </si>
  <si>
    <t>04.08.2026</t>
  </si>
  <si>
    <t>08.08.2026</t>
  </si>
  <si>
    <t>Decreased production due to lower amount of Tube fabric</t>
  </si>
  <si>
    <t>09.08.2026</t>
  </si>
  <si>
    <t>Steam pressure remained low due to gas supply crisis resulted in reduced production</t>
  </si>
  <si>
    <t>10.08.2026</t>
  </si>
  <si>
    <t>Production decreased due to major power shutdown and lower steam pressure occurred by gas supply crisis</t>
  </si>
  <si>
    <t>11.08.2026</t>
  </si>
  <si>
    <t>12.08.2026</t>
  </si>
  <si>
    <t>NOTE:ALL M/C DELAYED FOR STEAM &amp; COMPRESSED AIR PRESSURE WAS VERY LOW THROUGH OUT ALL DAY &amp; NIGHT SHIFT LONG DUE TO GAS CRISIS.(24HRS LONG).</t>
  </si>
  <si>
    <t>13.08.2026</t>
  </si>
  <si>
    <t>15.08.2026</t>
  </si>
  <si>
    <t>Steam pressure remained significantly low from 8.00 AM to 7.00 PM (Total 11hrs) due to the gas shortage &amp; Compressor air pressure was unavailable from 1.00 pm to 1.30 pm (total 30 min).</t>
  </si>
  <si>
    <t>16.08.2026</t>
  </si>
  <si>
    <t>17.08.2026</t>
  </si>
  <si>
    <t xml:space="preserve">Steam pressure remained significantly low from 8.00 AM to 9.00 PM (Total 13hrs) due to the gas supply crisis </t>
  </si>
  <si>
    <t>18.08.2026</t>
  </si>
  <si>
    <t>19.08.2026</t>
  </si>
  <si>
    <t>Steam pressure remained significantly low from 8.00 AM to 12.30 PM (Total 16.50 hours) due to the Gas Supply Shortage</t>
  </si>
  <si>
    <t>20.08.2026</t>
  </si>
  <si>
    <t>22.08.2026</t>
  </si>
  <si>
    <t>Steam pressure remained significantly low from 9.00 AM to 2:00 AM (Total 17.00 hours) due to the Gas Supply Shortage</t>
  </si>
  <si>
    <t>23.08.2026</t>
  </si>
  <si>
    <t>24.08.2026</t>
  </si>
  <si>
    <t>Steam pressure remained significantly low from 10.00 AM to 6:00 PM and 2:00 AM to 4:00 AM (Total 10.00 hours) due to the Gas Supply Shortage</t>
  </si>
  <si>
    <t>25.08.2026</t>
  </si>
  <si>
    <t xml:space="preserve">Steam pressure remained significantly low from 10.00 AM to 7.00 PM(Total 9.00 hrs)  &amp; compressed air pressure was low from 4.00pm to 5.00pm due to  Gas supply crisis. </t>
  </si>
  <si>
    <t>26.08.2026</t>
  </si>
  <si>
    <t>Compressed air pressure remained low from 10:30 AM to 1:00 PM (2.5 hours), affecting machine performance and production output.</t>
  </si>
  <si>
    <t>27.08.2026</t>
  </si>
  <si>
    <t>29.08.2026</t>
  </si>
  <si>
    <t>30.08.2026</t>
  </si>
  <si>
    <t>31.08.2026</t>
  </si>
  <si>
    <t>Steam Pressure remained low from 5:00 PM to 7:00 PM (2 hours) due to Gas Supply Crisis</t>
  </si>
  <si>
    <t>01.09.2026</t>
  </si>
  <si>
    <t>Steam Pressure remained low from 11:30 AM to 12:30 PM due to Gas Supply Crisis</t>
  </si>
  <si>
    <t>02.09.2026</t>
  </si>
  <si>
    <t>Steam pressure remained low from 4:00 PM to 6:00 PM due to Gas Supply Crisis</t>
  </si>
  <si>
    <t>03.09.2026</t>
  </si>
  <si>
    <t>Steam pressure remained low from 12:00 PM to 2:00 PM (A shift) and 10:30 PM to 12:00 AM (B shift) - (Total 3.5 hours) due to Gas Supply Crisis</t>
  </si>
  <si>
    <t>05.09.2026</t>
  </si>
  <si>
    <t>Steam pressure remained low from 3:20 PM to 4:00 PM (40 mins) due to Gas Supply Crisis</t>
  </si>
  <si>
    <t>06.09.2026</t>
  </si>
  <si>
    <t>Steam pressure remained low from 10:00 AM to 3:30 PM (5.5 hours) due to Gas Supply Crisis.</t>
  </si>
  <si>
    <t>07.09.2026</t>
  </si>
  <si>
    <t>Steam pressure remained low from 9:30 AM to 2:30 PM (5 hours) due Gas Supply Crisis - resulted in reduced production than desired</t>
  </si>
  <si>
    <t>08.09.2026</t>
  </si>
  <si>
    <t>09.09.2026</t>
  </si>
  <si>
    <t>10.09.2026</t>
  </si>
  <si>
    <t>12.09.2026</t>
  </si>
  <si>
    <t xml:space="preserve">Steam pressure remained low from 8:00 AM to 11:00 AM (3 hours) due to Gas Supply Crisis </t>
  </si>
  <si>
    <t>13.09.2026</t>
  </si>
  <si>
    <t>14.09.2026</t>
  </si>
  <si>
    <t>15.09.2026</t>
  </si>
  <si>
    <t>16.09.2026</t>
  </si>
  <si>
    <t>17.09.2026</t>
  </si>
  <si>
    <t>Production decreased due to unavailability of Finished Fabric (Tube side)</t>
  </si>
  <si>
    <t>19.09.2026</t>
  </si>
  <si>
    <t>20.09.2026</t>
  </si>
  <si>
    <t>21.09.2026</t>
  </si>
  <si>
    <t>22.09.2026</t>
  </si>
  <si>
    <t>23.09.2026</t>
  </si>
  <si>
    <t>24.09.2026</t>
  </si>
  <si>
    <t>26.09.2026</t>
  </si>
  <si>
    <t>27.09.2026</t>
  </si>
  <si>
    <t>28.09.2026</t>
  </si>
  <si>
    <t>29.09.2026</t>
  </si>
  <si>
    <t>30.09.2026</t>
  </si>
  <si>
    <t>01.10.2026</t>
  </si>
  <si>
    <t>03.10.2026</t>
  </si>
  <si>
    <t>04.10.2026</t>
  </si>
  <si>
    <t>05.10.2026</t>
  </si>
  <si>
    <t>Finished Production (KG)</t>
  </si>
  <si>
    <t>06.10.2026</t>
  </si>
  <si>
    <t>March</t>
  </si>
  <si>
    <t>07.10.2026</t>
  </si>
  <si>
    <t>April</t>
  </si>
  <si>
    <t>08.10.2026</t>
  </si>
  <si>
    <t>May</t>
  </si>
  <si>
    <t>10.10.2026</t>
  </si>
  <si>
    <t>June</t>
  </si>
  <si>
    <t>11.10.2026</t>
  </si>
  <si>
    <t>July</t>
  </si>
  <si>
    <t>12.10.2026</t>
  </si>
  <si>
    <t>August</t>
  </si>
  <si>
    <t>13.10.2026</t>
  </si>
  <si>
    <t>September</t>
  </si>
  <si>
    <t>14.10.2026</t>
  </si>
  <si>
    <t>October</t>
  </si>
  <si>
    <t>15.10.2026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</si>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</sst>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6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53">
    <xf numFmtId="0" fontId="0" fillId="0" borderId="0"/>
    <xf numFmtId="0" fontId="1" fillId="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9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3" borderId="0" xfId="0" applyFill="1"/>
    <xf numFmtId="2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pivotButton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6" borderId="0" xfId="0" applyNumberFormat="1" applyFill="1" applyAlignment="1">
      <alignment horizontal="left" vertical="center"/>
    </xf>
    <xf numFmtId="164" fontId="0" fillId="7" borderId="0" xfId="0" applyNumberFormat="1" applyFill="1" applyAlignment="1">
      <alignment horizontal="left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2"/>
    </xf>
    <xf numFmtId="0" fontId="0" fillId="0" borderId="1" xfId="0" pivotButton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4" fillId="6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0" fontId="4" fillId="6" borderId="0" xfId="0" applyNumberFormat="1" applyFont="1" applyFill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2" fontId="0" fillId="8" borderId="2" xfId="0" applyNumberFormat="1" applyFill="1" applyBorder="1" applyAlignment="1">
      <alignment horizontal="center" vertical="center" wrapText="1"/>
    </xf>
    <xf numFmtId="10" fontId="0" fillId="8" borderId="2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2" fontId="0" fillId="6" borderId="2" xfId="0" applyNumberFormat="1" applyFill="1" applyBorder="1" applyAlignment="1">
      <alignment horizontal="center" vertical="center" wrapText="1"/>
    </xf>
    <xf numFmtId="10" fontId="0" fillId="6" borderId="2" xfId="0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2" fontId="0" fillId="5" borderId="4" xfId="0" applyNumberFormat="1" applyFill="1" applyBorder="1" applyAlignment="1">
      <alignment horizontal="center" vertical="center" wrapText="1"/>
    </xf>
    <xf numFmtId="10" fontId="0" fillId="5" borderId="4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2" fontId="0" fillId="5" borderId="0" xfId="0" applyNumberFormat="1" applyFill="1" applyAlignment="1">
      <alignment horizontal="center" vertical="center" wrapText="1"/>
    </xf>
    <xf numFmtId="10" fontId="0" fillId="6" borderId="0" xfId="0" applyNumberFormat="1" applyFill="1" applyAlignment="1">
      <alignment horizontal="center" vertical="center" wrapText="1"/>
    </xf>
    <xf numFmtId="10" fontId="0" fillId="5" borderId="0" xfId="0" applyNumberFormat="1" applyFill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14" fontId="8" fillId="4" borderId="3" xfId="1" applyNumberFormat="1" applyFont="1" applyFill="1" applyBorder="1" applyAlignment="1">
      <alignment horizontal="center" vertical="center" wrapText="1"/>
    </xf>
    <xf numFmtId="2" fontId="8" fillId="4" borderId="3" xfId="1" applyNumberFormat="1" applyFont="1" applyFill="1" applyBorder="1" applyAlignment="1">
      <alignment horizontal="center" vertical="center" wrapText="1"/>
    </xf>
    <xf numFmtId="10" fontId="8" fillId="4" borderId="3" xfId="1" applyNumberFormat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 wrapText="1"/>
    </xf>
    <xf numFmtId="2" fontId="0" fillId="10" borderId="2" xfId="0" applyNumberFormat="1" applyFill="1" applyBorder="1" applyAlignment="1">
      <alignment horizontal="center" vertical="center" wrapText="1"/>
    </xf>
    <xf numFmtId="2" fontId="0" fillId="9" borderId="0" xfId="0" applyNumberFormat="1" applyFill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14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left" vertical="center" wrapText="1"/>
    </xf>
    <xf numFmtId="0" fontId="0" fillId="0" borderId="0" xfId="0" pivotButton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</cellXfs>
  <cellStyles count="53">
    <cellStyle name="Bad" xfId="1" builtinId="27"/>
    <cellStyle name="Normal" xfId="0" builtinId="0"/>
    <cellStyle name="Normal 10" xfId="3"/>
    <cellStyle name="Normal 10 3" xfId="4"/>
    <cellStyle name="Normal 11" xfId="5"/>
    <cellStyle name="Normal 12" xfId="6"/>
    <cellStyle name="Normal 13" xfId="7"/>
    <cellStyle name="Normal 14" xfId="8"/>
    <cellStyle name="Normal 15" xfId="9"/>
    <cellStyle name="Normal 15 2" xfId="10"/>
    <cellStyle name="Normal 15 2 2" xfId="11"/>
    <cellStyle name="Normal 15 3" xfId="12"/>
    <cellStyle name="Normal 15 4" xfId="13"/>
    <cellStyle name="Normal 16" xfId="14"/>
    <cellStyle name="Normal 17" xfId="15"/>
    <cellStyle name="Normal 18" xfId="16"/>
    <cellStyle name="Normal 19" xfId="17"/>
    <cellStyle name="Normal 19 2" xfId="18"/>
    <cellStyle name="Normal 2" xfId="19"/>
    <cellStyle name="Normal 2 2" xfId="20"/>
    <cellStyle name="Normal 2 2 2" xfId="21"/>
    <cellStyle name="Normal 2 3" xfId="22"/>
    <cellStyle name="Normal 2 3 2" xfId="23"/>
    <cellStyle name="Normal 2 3 2 2" xfId="24"/>
    <cellStyle name="Normal 2 3 3" xfId="25"/>
    <cellStyle name="Normal 2 3 4" xfId="26"/>
    <cellStyle name="Normal 2 7" xfId="27"/>
    <cellStyle name="Normal 20" xfId="28"/>
    <cellStyle name="Normal 21" xfId="29"/>
    <cellStyle name="Normal 22" xfId="30"/>
    <cellStyle name="Normal 22 2" xfId="31"/>
    <cellStyle name="Normal 23" xfId="32"/>
    <cellStyle name="Normal 23 2" xfId="33"/>
    <cellStyle name="Normal 24" xfId="34"/>
    <cellStyle name="Normal 25" xfId="35"/>
    <cellStyle name="Normal 26" xfId="36"/>
    <cellStyle name="Normal 26 2" xfId="37"/>
    <cellStyle name="Normal 27" xfId="38"/>
    <cellStyle name="Normal 28" xfId="2"/>
    <cellStyle name="Normal 3" xfId="39"/>
    <cellStyle name="Normal 31" xfId="40"/>
    <cellStyle name="Normal 32" xfId="41"/>
    <cellStyle name="Normal 33" xfId="42"/>
    <cellStyle name="Normal 4" xfId="43"/>
    <cellStyle name="Normal 4 2" xfId="44"/>
    <cellStyle name="Normal 5" xfId="45"/>
    <cellStyle name="Normal 5 2" xfId="46"/>
    <cellStyle name="Normal 6" xfId="47"/>
    <cellStyle name="Normal 6 2" xfId="48"/>
    <cellStyle name="Normal 7" xfId="49"/>
    <cellStyle name="Normal 8" xfId="50"/>
    <cellStyle name="Normal 8 2" xfId="51"/>
    <cellStyle name="Normal 9" xfId="52"/>
  </cellStyles>
  <dxfs count="26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left"/>
    </dxf>
    <dxf>
      <alignment horizontal="center"/>
    </dxf>
    <dxf>
      <alignment indent="2"/>
    </dxf>
    <dxf>
      <font>
        <color rgb="FF00206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z val="12"/>
      </font>
    </dxf>
    <dxf>
      <font>
        <sz val="12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left"/>
    </dxf>
    <dxf>
      <alignment horizontal="center"/>
    </dxf>
    <dxf>
      <alignment indent="2"/>
    </dxf>
    <dxf>
      <font>
        <color rgb="FF00206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z val="12"/>
      </font>
    </dxf>
    <dxf>
      <font>
        <sz val="12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left"/>
    </dxf>
    <dxf>
      <alignment horizontal="center"/>
    </dxf>
    <dxf>
      <alignment indent="2"/>
    </dxf>
    <dxf>
      <font>
        <color rgb="FF00206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z val="12"/>
      </font>
    </dxf>
    <dxf>
      <font>
        <sz val="12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alignment horizontal="left" vertical="center" wrapText="1"/>
    </dxf>
    <dxf>
      <alignment horizontal="center" vertical="center" wrapText="1"/>
    </dxf>
    <dxf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9" formatCode="m/d/yyyy"/>
      <alignment horizontal="center" vertical="center" wrapText="1"/>
    </dxf>
    <dxf>
      <font>
        <b/>
      </font>
      <numFmt numFmtId="0" formatCode="General"/>
      <alignment horizontal="center" vertical="center" wrapText="1"/>
    </dxf>
    <dxf>
      <alignment horizontal="center" vertical="center" wrapText="1"/>
    </dxf>
    <dxf>
      <font>
        <b/>
        <strike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wrapText="1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general" vertical="center" wrapText="1"/>
    </dxf>
    <dxf>
      <alignment horizontal="center" vertical="center"/>
    </dxf>
    <dxf>
      <alignment horizontal="left" vertical="center"/>
    </dxf>
    <dxf>
      <numFmt numFmtId="164" formatCode="[$-409]d\-mmm;@"/>
      <alignment horizontal="left" vertical="center"/>
    </dxf>
    <dxf>
      <alignment vertical="center"/>
    </dxf>
    <dxf>
      <fill>
        <patternFill patternType="solid">
          <fgColor indexed="64"/>
          <bgColor theme="4" tint="0.79998168889431442"/>
        </patternFill>
      </fill>
      <alignment horizontal="center" vertical="center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002060"/>
      </font>
    </dxf>
    <dxf>
      <alignment indent="2"/>
    </dxf>
    <dxf>
      <alignment horizontal="center"/>
    </dxf>
    <dxf>
      <alignment horizontal="left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numFmt numFmtId="14" formatCode="0.00%"/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wrapText="1"/>
    </dxf>
    <dxf>
      <numFmt numFmtId="14" formatCode="0.00%"/>
      <alignment horizontal="center" vertical="center" wrapText="1"/>
    </dxf>
    <dxf>
      <numFmt numFmtId="14" formatCode="0.00%"/>
      <alignment horizontal="center" vertical="center" wrapText="1"/>
    </dxf>
    <dxf>
      <numFmt numFmtId="14" formatCode="0.00%"/>
      <alignment horizontal="center" vertical="center" wrapText="1"/>
    </dxf>
    <dxf>
      <numFmt numFmtId="14" formatCode="0.00%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fill>
        <patternFill>
          <bgColor theme="9" tint="0.79998168889431442"/>
        </patternFill>
      </fill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numFmt numFmtId="14" formatCode="0.00%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fill>
        <patternFill patternType="solid">
          <bgColor theme="9" tint="0.79998168889431442"/>
        </patternFill>
      </fill>
      <alignment horizontal="center" vertical="center" wrapText="1"/>
    </dxf>
    <dxf>
      <numFmt numFmtId="2" formatCode="0.00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4" formatCode="[$-409]d\-mmm;@"/>
      <alignment horizontal="center" vertical="center" wrapText="1"/>
    </dxf>
    <dxf>
      <border outline="0">
        <top style="thin">
          <color rgb="FFB2B2B2"/>
        </top>
      </border>
    </dxf>
    <dxf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wrapText="1"/>
      <border outline="0">
        <left style="thin">
          <color rgb="FFB2B2B2"/>
        </left>
        <right style="thin">
          <color rgb="FFB2B2B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2093</xdr:colOff>
      <xdr:row>0</xdr:row>
      <xdr:rowOff>0</xdr:rowOff>
    </xdr:from>
    <xdr:to>
      <xdr:col>7</xdr:col>
      <xdr:colOff>373673</xdr:colOff>
      <xdr:row>4</xdr:row>
      <xdr:rowOff>167473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6022" y="0"/>
              <a:ext cx="3333750" cy="1235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YEING_IE" refreshedDate="46313.527142708335" createdVersion="5" refreshedVersion="5" minRefreshableVersion="3" recordCount="196">
  <cacheSource type="worksheet">
    <worksheetSource name="Table6"/>
  </cacheSource>
  <cacheFields count="5">
    <cacheField name="Month" numFmtId="0">
      <sharedItems count="8">
        <s v="March"/>
        <s v="April"/>
        <s v="May"/>
        <s v="June"/>
        <s v="July"/>
        <s v="August"/>
        <s v="September"/>
        <s v="October"/>
      </sharedItems>
    </cacheField>
    <cacheField name="Date" numFmtId="14">
      <sharedItems/>
    </cacheField>
    <cacheField name="Finished Production (kg/day)" numFmtId="0">
      <sharedItems containsString="0" containsBlank="1" containsNumber="1" containsInteger="1" minValue="6441" maxValue="21386"/>
    </cacheField>
    <cacheField name="Dyeing(Unload) Production (kg/day)" numFmtId="0">
      <sharedItems containsString="0" containsBlank="1" containsNumber="1" minValue="5348.8099999999986" maxValue="27698.67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YEING_IE" refreshedDate="46313.527142708335" createdVersion="5" refreshedVersion="5" minRefreshableVersion="3" recordCount="2149">
  <cacheSource type="worksheet">
    <worksheetSource name="Table1"/>
  </cacheSource>
  <cacheFields count="23">
    <cacheField name="Date" numFmtId="164">
      <sharedItems containsSemiMixedTypes="0" containsNonDate="0" containsDate="1" containsString="0" minDate="2026-03-16T00:00:00" maxDate="2026-10-18T00:00:00" count="178">
        <d v="2026-03-16T00:00:00"/>
        <d v="2026-03-17T00:00:00"/>
        <d v="2026-03-18T00:00:00"/>
        <d v="2026-03-28T00:00:00"/>
        <d v="2026-03-29T00:00:00"/>
        <d v="2026-03-30T00:00:00"/>
        <d v="2026-04-01T00:00:00"/>
        <d v="2026-04-02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3T00:00:00"/>
        <d v="2026-06-14T00:00:00"/>
        <d v="2026-06-15T00:00:00"/>
        <d v="2026-06-16T00:00:00"/>
        <d v="2026-06-17T00:00:00"/>
        <d v="2026-06-18T00:00:00"/>
        <d v="2026-06-20T00:00:00"/>
        <d v="2026-06-21T00:00:00"/>
        <d v="2026-06-22T00:00:00"/>
        <d v="2026-06-23T00:00:00"/>
        <d v="2026-06-24T00:00:00"/>
        <d v="2026-06-25T00:00:00"/>
        <d v="2026-06-27T00:00:00"/>
        <d v="2026-06-28T00:00:00"/>
        <d v="2026-06-29T00:00:00"/>
        <d v="2026-06-30T00:00:00"/>
        <d v="2026-07-01T00:00:00"/>
        <d v="2026-07-02T00:00:00"/>
        <d v="2026-07-04T00:00:00"/>
        <d v="2026-07-05T00:00:00"/>
        <d v="2026-07-06T00:00:00"/>
        <d v="2026-07-07T00:00:00"/>
        <d v="2026-07-08T00:00:00"/>
        <d v="2026-07-09T00:00:00"/>
        <d v="2026-07-11T00:00:00"/>
        <d v="2026-07-12T00:00:00"/>
        <d v="2026-07-13T00:00:00"/>
        <d v="2026-07-14T00:00:00"/>
        <d v="2026-07-15T00:00:00"/>
        <d v="2026-07-16T00:00:00"/>
        <d v="2026-07-18T00:00:00"/>
        <d v="2026-07-19T00:00:00"/>
        <d v="2026-07-20T00:00:00"/>
        <d v="2026-07-21T00:00:00"/>
        <d v="2026-07-22T00:00:00"/>
        <d v="2026-07-23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2T00:00:00"/>
        <d v="2026-08-03T00:00:00"/>
        <d v="2026-08-04T00:00:00"/>
        <d v="2026-08-08T00:00:00"/>
        <d v="2026-08-09T00:00:00"/>
        <d v="2026-08-10T00:00:00"/>
        <d v="2026-08-11T00:00:00"/>
        <d v="2026-08-12T00:00:00"/>
        <d v="2026-08-13T00:00:00"/>
        <d v="2026-08-15T00:00:00"/>
        <d v="2026-08-16T00:00:00"/>
        <d v="2026-08-17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d v="2026-08-26T00:00:00"/>
        <d v="2026-08-27T00:00:00"/>
        <d v="2026-08-29T00:00:00"/>
        <d v="2026-08-30T00:00:00"/>
        <d v="2026-08-31T00:00:00"/>
        <d v="2026-09-01T00:00:00"/>
        <d v="2026-09-02T00:00:00"/>
        <d v="2026-09-03T00:00:00"/>
        <d v="2026-09-05T00:00:00"/>
        <d v="2026-09-06T00:00:00"/>
        <d v="2026-09-07T00:00:00"/>
        <d v="2026-09-08T00:00:00"/>
        <d v="2026-09-09T00:00:00"/>
        <d v="2026-09-10T00:00:00"/>
        <d v="2026-09-12T00:00:00"/>
        <d v="2026-09-13T00:00:00"/>
        <d v="2026-09-14T00:00:00"/>
        <d v="2026-09-15T00:00:00"/>
        <d v="2026-09-16T00:00:00"/>
        <d v="2026-09-17T00:00:00"/>
        <d v="2026-09-19T00:00:00"/>
        <d v="2026-09-20T00:00:00"/>
        <d v="2026-09-21T00:00:00"/>
        <d v="2026-09-22T00:00:00"/>
        <d v="2026-09-23T00:00:00"/>
        <d v="2026-09-24T00:00:00"/>
        <d v="2026-09-26T00:00:00"/>
        <d v="2026-09-27T00:00:00"/>
        <d v="2026-09-28T00:00:00"/>
        <d v="2026-09-29T00:00:00"/>
        <d v="2026-09-30T00:00:00"/>
        <d v="2026-10-01T00:00:00"/>
        <d v="2026-10-03T00:00:00"/>
        <d v="2026-10-04T00:00:00"/>
        <d v="2026-10-05T00:00:00"/>
        <d v="2026-10-06T00:00:00"/>
        <d v="2026-10-07T00:00:00"/>
        <d v="2026-10-08T00:00:00"/>
        <d v="2026-10-10T00:00:00"/>
        <d v="2026-10-11T00:00:00"/>
        <d v="2026-10-12T00:00:00"/>
        <d v="2026-10-13T00:00:00"/>
        <d v="2026-10-14T00:00:00"/>
        <d v="2026-10-15T00:00:00"/>
        <d v="2026-10-17T00:00:00"/>
        <d v="2026-07-17T00:00:00" u="1"/>
        <d v="2026-07-31T00:00:00" u="1"/>
        <d v="2026-06-26T00:00:00" u="1"/>
        <d v="2026-07-03T00:00:00" u="1"/>
      </sharedItems>
    </cacheField>
    <cacheField name="Fabric Type" numFmtId="0">
      <sharedItems count="2">
        <s v="Open"/>
        <s v="Tube"/>
      </sharedItems>
    </cacheField>
    <cacheField name="Machine Name" numFmtId="0">
      <sharedItems count="14">
        <s v="Super Slitting Machine"/>
        <s v="Bruckner Stenter"/>
        <s v="LK Stenter"/>
        <s v="Auto Stitch Machine (New)"/>
        <s v="Ferraro Open Compacting"/>
        <s v="Monti Open Compacting"/>
        <s v="Squeezer Machine"/>
        <s v="Flat Dryer"/>
        <s v="Ferraro Tube Compacting"/>
        <s v="Confident Compactor (Tube)"/>
        <s v="Auto Stitch Machine (Old)"/>
        <s v="Slitting Machine"/>
        <s v="Auto Stitch Machine" u="1"/>
        <s v="Indian Compacting" u="1"/>
      </sharedItems>
    </cacheField>
    <cacheField name="Finish Type" numFmtId="0">
      <sharedItems count="9">
        <s v="Slitting"/>
        <s v="Heat Set"/>
        <s v="Finish"/>
        <s v="Back Sewing"/>
        <s v="Compacting"/>
        <s v="De-Watering"/>
        <s v="Drying"/>
        <s v="Back Sewing (Old)" u="1"/>
        <s v="Back Sewing (New)" u="1"/>
      </sharedItems>
    </cacheField>
    <cacheField name="Capacity (Kg)" numFmtId="2">
      <sharedItems containsString="0" containsBlank="1" containsNumber="1" containsInteger="1" minValue="0" maxValue="15006"/>
    </cacheField>
    <cacheField name="Actual Production (Kg)" numFmtId="2">
      <sharedItems containsString="0" containsBlank="1" containsNumber="1" containsInteger="1" minValue="0" maxValue="15006"/>
    </cacheField>
    <cacheField name="Re-process (Kg)" numFmtId="2">
      <sharedItems containsString="0" containsBlank="1" containsNumber="1" containsInteger="1" minValue="0" maxValue="0"/>
    </cacheField>
    <cacheField name="Re-Process %" numFmtId="10">
      <sharedItems containsBlank="1" containsMixedTypes="1" containsNumber="1" containsInteger="1" minValue="0" maxValue="0"/>
    </cacheField>
    <cacheField name="Quality Pass Production" numFmtId="2">
      <sharedItems containsString="0" containsBlank="1" containsNumber="1" containsInteger="1" minValue="0" maxValue="15006"/>
    </cacheField>
    <cacheField name="Target Time (Hours)" numFmtId="2">
      <sharedItems containsString="0" containsBlank="1" containsNumber="1" containsInteger="1" minValue="0" maxValue="33"/>
    </cacheField>
    <cacheField name="Downtime (Hours)" numFmtId="0">
      <sharedItems containsString="0" containsBlank="1" containsNumber="1" minValue="0" maxValue="22"/>
    </cacheField>
    <cacheField name="Running Time (hr)" numFmtId="2">
      <sharedItems containsMixedTypes="1" containsNumber="1" minValue="0" maxValue="33"/>
    </cacheField>
    <cacheField name="Loss production for downtime" numFmtId="2">
      <sharedItems containsBlank="1" containsMixedTypes="1" containsNumber="1" minValue="0" maxValue="9000"/>
    </cacheField>
    <cacheField name="Utilization %" numFmtId="10">
      <sharedItems containsBlank="1" containsMixedTypes="1" containsNumber="1" minValue="0" maxValue="1"/>
    </cacheField>
    <cacheField name="Efficiency %" numFmtId="10">
      <sharedItems containsBlank="1" containsMixedTypes="1" containsNumber="1" minValue="0" maxValue="2.4522499999999998"/>
    </cacheField>
    <cacheField name="Quality %" numFmtId="10">
      <sharedItems containsBlank="1" containsMixedTypes="1" containsNumber="1" containsInteger="1" minValue="1" maxValue="1"/>
    </cacheField>
    <cacheField name="OEE %" numFmtId="10">
      <sharedItems containsBlank="1" containsMixedTypes="1" containsNumber="1" minValue="1.601010101010101E-3" maxValue="1.9246000000000001"/>
    </cacheField>
    <cacheField name="Delay Reason" numFmtId="0">
      <sharedItems containsBlank="1"/>
    </cacheField>
    <cacheField name="Re-process % " numFmtId="0" formula="IFERROR('Re-process (Kg)'/'Actual Production (Kg)',0)" databaseField="0"/>
    <cacheField name="Machine Utilization %" numFmtId="0" formula="IF('Running Time (hr)'=0,0,IFERROR('Running Time (hr)'/'Target Time (Hours)',&quot;&quot;))" databaseField="0"/>
    <cacheField name="Efficiency" numFmtId="0" formula="IF('Capacity (Kg)'=0,0,IFERROR('Actual Production (Kg)'/'Capacity (Kg)', &quot;&quot;))" databaseField="0"/>
    <cacheField name="Quality % " numFmtId="0" formula="IF('Actual Production (Kg)'=0,0,'Quality Pass Production'/'Actual Production (Kg)')" databaseField="0"/>
    <cacheField name="OEE % " numFmtId="0" formula=" IFERROR('Machine Utilization %'*Efficiency*'Quality % ', &quot;&quot;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6">
  <r>
    <x v="0"/>
    <s v="01.03.2026"/>
    <n v="12803"/>
    <n v="15914.7"/>
    <m/>
  </r>
  <r>
    <x v="0"/>
    <s v="02.03.2026"/>
    <n v="12375"/>
    <n v="16882.29"/>
    <m/>
  </r>
  <r>
    <x v="0"/>
    <s v="03.03.2026"/>
    <n v="15135"/>
    <n v="16100.96"/>
    <m/>
  </r>
  <r>
    <x v="0"/>
    <s v="04.03.2026"/>
    <n v="14808"/>
    <n v="14439.84"/>
    <m/>
  </r>
  <r>
    <x v="0"/>
    <s v="05.03.2026"/>
    <n v="17408"/>
    <n v="15403.99"/>
    <m/>
  </r>
  <r>
    <x v="0"/>
    <s v="07.03.2026"/>
    <n v="19042"/>
    <n v="17579.79"/>
    <m/>
  </r>
  <r>
    <x v="0"/>
    <s v="08.03.2026"/>
    <n v="12644"/>
    <n v="17963.900000000001"/>
    <m/>
  </r>
  <r>
    <x v="0"/>
    <s v="09.03.2026"/>
    <n v="15503"/>
    <n v="17196.25"/>
    <m/>
  </r>
  <r>
    <x v="0"/>
    <s v="10.03.2026"/>
    <n v="13561"/>
    <n v="17136.580000000009"/>
    <m/>
  </r>
  <r>
    <x v="0"/>
    <s v="11.03.2026"/>
    <n v="16476"/>
    <n v="17126.189999999999"/>
    <m/>
  </r>
  <r>
    <x v="0"/>
    <s v="12.03.2026"/>
    <n v="19348"/>
    <n v="14635.78"/>
    <m/>
  </r>
  <r>
    <x v="0"/>
    <s v="14.03.2026"/>
    <n v="14281"/>
    <n v="16893.04"/>
    <m/>
  </r>
  <r>
    <x v="0"/>
    <s v="15.03.2026"/>
    <n v="15522"/>
    <n v="18427.03"/>
    <m/>
  </r>
  <r>
    <x v="0"/>
    <s v="16.03.2026"/>
    <n v="16675"/>
    <n v="17487.12"/>
    <m/>
  </r>
  <r>
    <x v="0"/>
    <s v="17.03.2026"/>
    <n v="20543"/>
    <n v="17467.89"/>
    <m/>
  </r>
  <r>
    <x v="0"/>
    <s v="18.03.2026"/>
    <n v="14714"/>
    <n v="5454.0999999999995"/>
    <m/>
  </r>
  <r>
    <x v="0"/>
    <s v="19.03.2026"/>
    <m/>
    <m/>
    <m/>
  </r>
  <r>
    <x v="0"/>
    <s v="20.03.2026"/>
    <m/>
    <m/>
    <m/>
  </r>
  <r>
    <x v="0"/>
    <s v="21.03.2026"/>
    <m/>
    <m/>
    <m/>
  </r>
  <r>
    <x v="0"/>
    <s v="22.03.2026"/>
    <m/>
    <m/>
    <m/>
  </r>
  <r>
    <x v="0"/>
    <s v="23.03.2026"/>
    <m/>
    <m/>
    <m/>
  </r>
  <r>
    <x v="0"/>
    <s v="24.03.2026"/>
    <m/>
    <m/>
    <m/>
  </r>
  <r>
    <x v="0"/>
    <s v="25.03.2026"/>
    <m/>
    <m/>
    <m/>
  </r>
  <r>
    <x v="0"/>
    <s v="26.03.2026"/>
    <m/>
    <m/>
    <m/>
  </r>
  <r>
    <x v="0"/>
    <s v="27.03.2026"/>
    <m/>
    <m/>
    <m/>
  </r>
  <r>
    <x v="0"/>
    <s v="28.03.2026"/>
    <n v="7863"/>
    <n v="15541.31"/>
    <m/>
  </r>
  <r>
    <x v="0"/>
    <s v="29.03.2026"/>
    <n v="13451"/>
    <n v="17338.64"/>
    <m/>
  </r>
  <r>
    <x v="0"/>
    <s v="30.03.2026"/>
    <n v="14107"/>
    <n v="17977.349999999999"/>
    <m/>
  </r>
  <r>
    <x v="0"/>
    <s v="31.03.2026"/>
    <n v="18371"/>
    <n v="19145.71"/>
    <m/>
  </r>
  <r>
    <x v="1"/>
    <s v="01.04.2026"/>
    <n v="15410"/>
    <n v="17557.7"/>
    <m/>
  </r>
  <r>
    <x v="1"/>
    <s v="02.04.2026"/>
    <n v="17873"/>
    <n v="16136.44"/>
    <m/>
  </r>
  <r>
    <x v="1"/>
    <s v="04.04.2026"/>
    <n v="12473"/>
    <n v="16580.28"/>
    <m/>
  </r>
  <r>
    <x v="1"/>
    <s v="05.04.2026"/>
    <n v="15669"/>
    <n v="16765.16"/>
    <m/>
  </r>
  <r>
    <x v="1"/>
    <s v="06.04.2026"/>
    <n v="16741"/>
    <n v="17501.07"/>
    <m/>
  </r>
  <r>
    <x v="1"/>
    <s v="07.04.2026"/>
    <n v="14991"/>
    <n v="18317.260000000009"/>
    <m/>
  </r>
  <r>
    <x v="1"/>
    <s v="08.04.2026"/>
    <n v="14769"/>
    <n v="17248.07"/>
    <m/>
  </r>
  <r>
    <x v="1"/>
    <s v="09.04.2026"/>
    <n v="14407"/>
    <n v="15435"/>
    <m/>
  </r>
  <r>
    <x v="1"/>
    <s v="10.04.2026"/>
    <n v="11999"/>
    <n v="7682.1900000000014"/>
    <m/>
  </r>
  <r>
    <x v="1"/>
    <s v="11.04.2026"/>
    <n v="13350"/>
    <n v="16579.189999999999"/>
    <m/>
  </r>
  <r>
    <x v="1"/>
    <s v="12.04.2026"/>
    <n v="16142"/>
    <n v="16017.33"/>
    <m/>
  </r>
  <r>
    <x v="1"/>
    <s v="13.04.2026"/>
    <n v="15193"/>
    <n v="15236.59"/>
    <m/>
  </r>
  <r>
    <x v="1"/>
    <s v="14.04.2026"/>
    <m/>
    <m/>
    <m/>
  </r>
  <r>
    <x v="1"/>
    <s v="15.04.2026"/>
    <n v="16361"/>
    <n v="17152.18"/>
    <m/>
  </r>
  <r>
    <x v="1"/>
    <s v="16.04.2026"/>
    <n v="18624"/>
    <n v="16674.37"/>
    <m/>
  </r>
  <r>
    <x v="1"/>
    <s v="17.04.2026"/>
    <m/>
    <n v="7000.25"/>
    <m/>
  </r>
  <r>
    <x v="1"/>
    <s v="18.04.2026"/>
    <n v="14952"/>
    <n v="15431.22"/>
    <m/>
  </r>
  <r>
    <x v="1"/>
    <s v="19.04.2026"/>
    <n v="17259"/>
    <n v="17000.22"/>
    <m/>
  </r>
  <r>
    <x v="1"/>
    <s v="20.04.2026"/>
    <n v="14375"/>
    <n v="17155.03"/>
    <m/>
  </r>
  <r>
    <x v="1"/>
    <s v="21.04.2026"/>
    <n v="14597"/>
    <n v="17234.5"/>
    <m/>
  </r>
  <r>
    <x v="1"/>
    <s v="22.04.2026"/>
    <n v="14303"/>
    <n v="16903.560000000001"/>
    <m/>
  </r>
  <r>
    <x v="1"/>
    <s v="23.04.2026"/>
    <n v="15407"/>
    <n v="16655.14"/>
    <m/>
  </r>
  <r>
    <x v="1"/>
    <s v="24.04.2026"/>
    <n v="9693"/>
    <n v="10179.09"/>
    <m/>
  </r>
  <r>
    <x v="1"/>
    <s v="25.04.2026"/>
    <n v="15235"/>
    <n v="16147.63"/>
    <m/>
  </r>
  <r>
    <x v="1"/>
    <s v="26.04.2026"/>
    <n v="17358"/>
    <n v="17430.599999999999"/>
    <m/>
  </r>
  <r>
    <x v="1"/>
    <s v="27.04.2026"/>
    <n v="14720"/>
    <n v="17642.099999999999"/>
    <m/>
  </r>
  <r>
    <x v="1"/>
    <s v="28.04.2026"/>
    <n v="17232"/>
    <n v="18090.66"/>
    <m/>
  </r>
  <r>
    <x v="1"/>
    <s v="29.04.2026"/>
    <n v="14759"/>
    <n v="17041.149999999991"/>
    <m/>
  </r>
  <r>
    <x v="1"/>
    <s v="30.04.2026"/>
    <n v="19292"/>
    <n v="17261.669999999998"/>
    <m/>
  </r>
  <r>
    <x v="2"/>
    <s v="02.05.2026"/>
    <n v="14333"/>
    <n v="17562.97"/>
    <m/>
  </r>
  <r>
    <x v="2"/>
    <s v="03.05.2026"/>
    <n v="16578"/>
    <n v="17208.310000000001"/>
    <m/>
  </r>
  <r>
    <x v="2"/>
    <s v="04.05.2026"/>
    <n v="13645"/>
    <n v="16351.84"/>
    <m/>
  </r>
  <r>
    <x v="2"/>
    <s v="05.05.2026"/>
    <n v="15993"/>
    <n v="17043.28"/>
    <m/>
  </r>
  <r>
    <x v="2"/>
    <s v="06.05.2026"/>
    <n v="15762"/>
    <n v="17010.660000000011"/>
    <m/>
  </r>
  <r>
    <x v="2"/>
    <s v="07.05.2026"/>
    <n v="21386"/>
    <n v="18012.060000000001"/>
    <m/>
  </r>
  <r>
    <x v="2"/>
    <s v="08.05.2027"/>
    <m/>
    <n v="9091.0299999999988"/>
    <m/>
  </r>
  <r>
    <x v="2"/>
    <s v="09.05.2026"/>
    <n v="17043"/>
    <n v="14773.89"/>
    <m/>
  </r>
  <r>
    <x v="2"/>
    <s v="10.05.2026"/>
    <n v="16171"/>
    <n v="17031.75"/>
    <m/>
  </r>
  <r>
    <x v="2"/>
    <s v="11.05.2026"/>
    <n v="17656"/>
    <n v="18814.099999999999"/>
    <m/>
  </r>
  <r>
    <x v="2"/>
    <s v="12.05.2026"/>
    <n v="16246"/>
    <n v="16915.330000000002"/>
    <m/>
  </r>
  <r>
    <x v="2"/>
    <s v="13.05.2026"/>
    <n v="16781"/>
    <n v="17594.189999999999"/>
    <m/>
  </r>
  <r>
    <x v="2"/>
    <s v="14.05.2026"/>
    <n v="17208"/>
    <n v="16112.74"/>
    <m/>
  </r>
  <r>
    <x v="2"/>
    <s v="15.05.2026"/>
    <n v="9014"/>
    <n v="10167.91"/>
    <m/>
  </r>
  <r>
    <x v="2"/>
    <s v="16.05.2026"/>
    <n v="14403"/>
    <n v="17227.27"/>
    <m/>
  </r>
  <r>
    <x v="2"/>
    <s v="17.05.2026"/>
    <n v="16000"/>
    <n v="17333.721000000001"/>
    <m/>
  </r>
  <r>
    <x v="2"/>
    <s v="18.05.2026"/>
    <n v="15095"/>
    <n v="17293.27"/>
    <m/>
  </r>
  <r>
    <x v="2"/>
    <s v="19.05.2026"/>
    <n v="17004"/>
    <n v="16760.11"/>
    <m/>
  </r>
  <r>
    <x v="2"/>
    <s v="20.05.2026"/>
    <n v="15347"/>
    <n v="17095.87"/>
    <m/>
  </r>
  <r>
    <x v="2"/>
    <s v="21.05.2026"/>
    <n v="14617"/>
    <n v="18474.500000000011"/>
    <m/>
  </r>
  <r>
    <x v="2"/>
    <s v="23.05.2026"/>
    <n v="17822"/>
    <n v="16953.439999999999"/>
    <m/>
  </r>
  <r>
    <x v="2"/>
    <s v="24.05.2026"/>
    <n v="14527"/>
    <n v="14033.83"/>
    <m/>
  </r>
  <r>
    <x v="2"/>
    <s v="25.05.2027"/>
    <n v="10010"/>
    <n v="5348.8099999999986"/>
    <m/>
  </r>
  <r>
    <x v="3"/>
    <s v="02.06.2026"/>
    <n v="6441"/>
    <n v="15287.6"/>
    <m/>
  </r>
  <r>
    <x v="3"/>
    <s v="03.06.2026"/>
    <n v="14479"/>
    <n v="15314.06"/>
    <m/>
  </r>
  <r>
    <x v="3"/>
    <s v="04.06.2026"/>
    <n v="13459"/>
    <n v="14879.89"/>
    <m/>
  </r>
  <r>
    <x v="3"/>
    <s v="06.06.2026"/>
    <n v="16067"/>
    <n v="16501.5"/>
    <m/>
  </r>
  <r>
    <x v="3"/>
    <s v="07.06.2026"/>
    <n v="13794"/>
    <n v="14589.98"/>
    <m/>
  </r>
  <r>
    <x v="3"/>
    <s v="08.06.2026"/>
    <n v="14067"/>
    <n v="16400.400000000001"/>
    <m/>
  </r>
  <r>
    <x v="3"/>
    <s v="09.06.2026"/>
    <n v="15072"/>
    <n v="18043.72"/>
    <m/>
  </r>
  <r>
    <x v="3"/>
    <s v="10.06.2026"/>
    <n v="16802"/>
    <n v="16920.439999999999"/>
    <m/>
  </r>
  <r>
    <x v="3"/>
    <s v="11.06.2026"/>
    <n v="16319"/>
    <n v="16473.650000000001"/>
    <m/>
  </r>
  <r>
    <x v="3"/>
    <s v="13.06.2026"/>
    <n v="15375"/>
    <n v="16970.68"/>
    <m/>
  </r>
  <r>
    <x v="3"/>
    <s v="14.06.2026"/>
    <n v="15125"/>
    <n v="17006.78"/>
    <m/>
  </r>
  <r>
    <x v="3"/>
    <s v="15.06.2026"/>
    <n v="16940"/>
    <n v="16133.09"/>
    <m/>
  </r>
  <r>
    <x v="3"/>
    <s v="16.06.2026"/>
    <n v="15858"/>
    <n v="17374.61"/>
    <m/>
  </r>
  <r>
    <x v="3"/>
    <s v="17.06.2026"/>
    <n v="17872"/>
    <n v="18600.86"/>
    <m/>
  </r>
  <r>
    <x v="3"/>
    <s v="18.06.2026"/>
    <n v="12766"/>
    <n v="17104.95"/>
    <s v="Ferraro Open Compacting: 21 hours off (blanket damage), Ferraro Tube 10 hrs &amp; Confident Compactor 11 hours off due to tube fabric unavailability"/>
  </r>
  <r>
    <x v="3"/>
    <s v="20.06.2026"/>
    <n v="13241"/>
    <n v="14386.5"/>
    <s v="Ferraro Open Compacting: 22 hours off (blanket damage), Ferraro Tube 4 hrs &amp; Confident Compactor 4 hours off due to tube fabric unavailability"/>
  </r>
  <r>
    <x v="3"/>
    <s v="21.06.2026"/>
    <n v="14511"/>
    <n v="15870.82"/>
    <s v="Ferraro Open Compacting: 22 hours off due to maintenance work (blanket damage)"/>
  </r>
  <r>
    <x v="3"/>
    <s v="22.06.2026"/>
    <n v="17784"/>
    <n v="17162.97"/>
    <m/>
  </r>
  <r>
    <x v="3"/>
    <s v="23.06.2026"/>
    <n v="17166"/>
    <n v="18118.39"/>
    <m/>
  </r>
  <r>
    <x v="3"/>
    <s v="24.06.2026"/>
    <n v="15921"/>
    <n v="19321.86"/>
    <m/>
  </r>
  <r>
    <x v="3"/>
    <s v="25.06.2026"/>
    <n v="19146"/>
    <n v="18317.3"/>
    <m/>
  </r>
  <r>
    <x v="3"/>
    <s v="27.06.2026"/>
    <n v="20173"/>
    <n v="27698.67"/>
    <m/>
  </r>
  <r>
    <x v="3"/>
    <s v="28.06.2026"/>
    <n v="18308"/>
    <n v="17102.46"/>
    <m/>
  </r>
  <r>
    <x v="3"/>
    <s v="29.06.2026"/>
    <n v="15192"/>
    <n v="19457.900000000001"/>
    <m/>
  </r>
  <r>
    <x v="3"/>
    <s v="30.06.2026"/>
    <n v="17868"/>
    <n v="18785.97"/>
    <m/>
  </r>
  <r>
    <x v="4"/>
    <s v="01.07.2026"/>
    <n v="18667"/>
    <n v="20014.84"/>
    <m/>
  </r>
  <r>
    <x v="4"/>
    <s v="02.07.2026"/>
    <n v="19707"/>
    <n v="26125"/>
    <m/>
  </r>
  <r>
    <x v="4"/>
    <s v="04.07.2026"/>
    <n v="18795"/>
    <n v="18123"/>
    <m/>
  </r>
  <r>
    <x v="4"/>
    <s v="05.07.2026"/>
    <n v="16176"/>
    <n v="16097.53"/>
    <m/>
  </r>
  <r>
    <x v="4"/>
    <s v="06.07.2026"/>
    <n v="16177"/>
    <m/>
    <m/>
  </r>
  <r>
    <x v="4"/>
    <s v="07.07.2026"/>
    <n v="16108"/>
    <m/>
    <m/>
  </r>
  <r>
    <x v="4"/>
    <s v="08.07.2026"/>
    <n v="15985"/>
    <m/>
    <m/>
  </r>
  <r>
    <x v="4"/>
    <s v="09.07.2026"/>
    <n v="16666"/>
    <m/>
    <m/>
  </r>
  <r>
    <x v="4"/>
    <s v="11.07.2026"/>
    <n v="16133"/>
    <m/>
    <m/>
  </r>
  <r>
    <x v="4"/>
    <s v="12.07.2026"/>
    <n v="15656"/>
    <m/>
    <m/>
  </r>
  <r>
    <x v="4"/>
    <s v="13.07.2026"/>
    <n v="16559"/>
    <m/>
    <m/>
  </r>
  <r>
    <x v="4"/>
    <s v="14.07.2026"/>
    <n v="14727"/>
    <m/>
    <s v="Ferraro Open Compacting machine was under maintenance due to upper gear box problem"/>
  </r>
  <r>
    <x v="4"/>
    <s v="15.07.2026"/>
    <n v="14795"/>
    <m/>
    <s v="Ferraro Open Compacting machine was under maintenance due to upper gear box problem"/>
  </r>
  <r>
    <x v="4"/>
    <s v="16.07.2026"/>
    <n v="16486"/>
    <m/>
    <m/>
  </r>
  <r>
    <x v="4"/>
    <s v="18.07.2026"/>
    <n v="15674"/>
    <m/>
    <m/>
  </r>
  <r>
    <x v="4"/>
    <s v="19.07.2026"/>
    <n v="16663"/>
    <m/>
    <m/>
  </r>
  <r>
    <x v="4"/>
    <s v="20.07.2026"/>
    <n v="17001"/>
    <m/>
    <m/>
  </r>
  <r>
    <x v="4"/>
    <s v="21.07.2026"/>
    <n v="17585"/>
    <m/>
    <m/>
  </r>
  <r>
    <x v="4"/>
    <s v="22.07.2026"/>
    <n v="16984"/>
    <m/>
    <m/>
  </r>
  <r>
    <x v="4"/>
    <s v="23.07.2026"/>
    <n v="16627"/>
    <m/>
    <m/>
  </r>
  <r>
    <x v="4"/>
    <s v="25.07.2026"/>
    <n v="16166"/>
    <m/>
    <m/>
  </r>
  <r>
    <x v="4"/>
    <s v="26.07.2026"/>
    <n v="16731"/>
    <m/>
    <m/>
  </r>
  <r>
    <x v="4"/>
    <s v="27.07.2026"/>
    <n v="16633"/>
    <m/>
    <m/>
  </r>
  <r>
    <x v="4"/>
    <s v="28.07.2026"/>
    <n v="16516"/>
    <m/>
    <m/>
  </r>
  <r>
    <x v="4"/>
    <s v="29.07.2026"/>
    <n v="17005"/>
    <m/>
    <m/>
  </r>
  <r>
    <x v="4"/>
    <s v="30.07.2026"/>
    <n v="16853"/>
    <m/>
    <m/>
  </r>
  <r>
    <x v="5"/>
    <s v="01.08.2026"/>
    <n v="18273"/>
    <m/>
    <m/>
  </r>
  <r>
    <x v="5"/>
    <s v="02.08.2026"/>
    <n v="12918"/>
    <m/>
    <s v="Steam pressure remained low from 8:00 AM to 5:00 PM due to the gas supply crisis, resulting in reduced production"/>
  </r>
  <r>
    <x v="5"/>
    <s v="03.08.2026"/>
    <n v="14449"/>
    <m/>
    <m/>
  </r>
  <r>
    <x v="5"/>
    <s v="04.08.2026"/>
    <n v="14700"/>
    <m/>
    <m/>
  </r>
  <r>
    <x v="5"/>
    <s v="08.08.2026"/>
    <n v="12752"/>
    <m/>
    <s v="Decreased production due to lower amount of Tube fabric"/>
  </r>
  <r>
    <x v="5"/>
    <s v="09.08.2026"/>
    <n v="12495"/>
    <m/>
    <s v="Steam pressure remained low due to gas supply crisis resulted in reduced production"/>
  </r>
  <r>
    <x v="5"/>
    <s v="10.08.2026"/>
    <n v="12035"/>
    <m/>
    <s v="Production decreased due to major power shutdown and lower steam pressure occurred by gas supply crisis"/>
  </r>
  <r>
    <x v="5"/>
    <s v="11.08.2026"/>
    <n v="15809"/>
    <m/>
    <m/>
  </r>
  <r>
    <x v="5"/>
    <s v="12.08.2026"/>
    <n v="13341"/>
    <m/>
    <s v="NOTE:ALL M/C DELAYED FOR STEAM &amp; COMPRESSED AIR PRESSURE WAS VERY LOW THROUGH OUT ALL DAY &amp; NIGHT SHIFT LONG DUE TO GAS CRISIS.(24HRS LONG)."/>
  </r>
  <r>
    <x v="5"/>
    <s v="13.08.2026"/>
    <n v="13171"/>
    <m/>
    <s v="NOTE:ALL M/C DELAYED FOR STEAM &amp; COMPRESSED AIR PRESSURE WAS VERY LOW THROUGH OUT ALL DAY &amp; NIGHT SHIFT LONG DUE TO GAS CRISIS.(24HRS LONG)."/>
  </r>
  <r>
    <x v="5"/>
    <s v="15.08.2026"/>
    <n v="10910"/>
    <m/>
    <s v="Steam pressure remained significantly low from 8.00 AM to 7.00 PM (Total 11hrs) due to the gas shortage &amp; Compressor air pressure was unavailable from 1.00 pm to 1.30 pm (total 30 min)."/>
  </r>
  <r>
    <x v="5"/>
    <s v="16.08.2026"/>
    <n v="14370"/>
    <m/>
    <m/>
  </r>
  <r>
    <x v="5"/>
    <s v="17.08.2026"/>
    <n v="12844"/>
    <m/>
    <s v="Steam pressure remained significantly low from 8.00 AM to 9.00 PM (Total 13hrs) due to the gas supply crisis "/>
  </r>
  <r>
    <x v="5"/>
    <s v="18.08.2026"/>
    <n v="15482"/>
    <m/>
    <m/>
  </r>
  <r>
    <x v="5"/>
    <s v="19.08.2026"/>
    <n v="11065"/>
    <m/>
    <s v="Steam pressure remained significantly low from 8.00 AM to 12.30 PM (Total 16.50 hours) due to the Gas Supply Shortage"/>
  </r>
  <r>
    <x v="5"/>
    <s v="20.08.2026"/>
    <n v="15134"/>
    <m/>
    <m/>
  </r>
  <r>
    <x v="5"/>
    <s v="22.08.2026"/>
    <n v="13295"/>
    <m/>
    <s v="Steam pressure remained significantly low from 9.00 AM to 2:00 AM (Total 17.00 hours) due to the Gas Supply Shortage"/>
  </r>
  <r>
    <x v="5"/>
    <s v="23.08.2026"/>
    <n v="14298"/>
    <m/>
    <s v="Steam pressure remained significantly low from 9.00 AM to 2:00 AM (Total 17.00 hours) due to the Gas Supply Shortage"/>
  </r>
  <r>
    <x v="5"/>
    <s v="24.08.2026"/>
    <n v="15856"/>
    <m/>
    <s v="Steam pressure remained significantly low from 10.00 AM to 6:00 PM and 2:00 AM to 4:00 AM (Total 10.00 hours) due to the Gas Supply Shortage"/>
  </r>
  <r>
    <x v="5"/>
    <s v="25.08.2026"/>
    <n v="12285"/>
    <m/>
    <s v="Steam pressure remained significantly low from 10.00 AM to 7.00 PM(Total 9.00 hrs)  &amp; compressed air pressure was low from 4.00pm to 5.00pm due to  Gas supply crisis. "/>
  </r>
  <r>
    <x v="5"/>
    <s v="26.08.2026"/>
    <n v="14658"/>
    <m/>
    <s v="Compressed air pressure remained low from 10:30 AM to 1:00 PM (2.5 hours), affecting machine performance and production output."/>
  </r>
  <r>
    <x v="5"/>
    <s v="27.08.2026"/>
    <n v="16111"/>
    <m/>
    <m/>
  </r>
  <r>
    <x v="5"/>
    <s v="29.08.2026"/>
    <n v="18048"/>
    <m/>
    <m/>
  </r>
  <r>
    <x v="5"/>
    <s v="30.08.2026"/>
    <n v="15918"/>
    <m/>
    <m/>
  </r>
  <r>
    <x v="5"/>
    <s v="31.08.2026"/>
    <n v="14965"/>
    <m/>
    <s v="Steam Pressure remained low from 5:00 PM to 7:00 PM (2 hours) due to Gas Supply Crisis"/>
  </r>
  <r>
    <x v="6"/>
    <s v="01.09.2026"/>
    <n v="14584"/>
    <m/>
    <s v="Steam Pressure remained low from 11:30 AM to 12:30 PM due to Gas Supply Crisis"/>
  </r>
  <r>
    <x v="6"/>
    <s v="02.09.2026"/>
    <n v="13253"/>
    <m/>
    <s v="Steam pressure remained low from 4:00 PM to 6:00 PM due to Gas Supply Crisis"/>
  </r>
  <r>
    <x v="6"/>
    <s v="03.09.2026"/>
    <n v="16647"/>
    <m/>
    <s v="Steam pressure remained low from 12:00 PM to 2:00 PM (A shift) and 10:30 PM to 12:00 AM (B shift) - (Total 3.5 hours) due to Gas Supply Crisis"/>
  </r>
  <r>
    <x v="6"/>
    <s v="05.09.2026"/>
    <n v="13144"/>
    <m/>
    <s v="Steam pressure remained low from 3:20 PM to 4:00 PM (40 mins) due to Gas Supply Crisis"/>
  </r>
  <r>
    <x v="6"/>
    <s v="06.09.2026"/>
    <n v="13191"/>
    <m/>
    <s v="Steam pressure remained low from 10:00 AM to 3:30 PM (5.5 hours) due to Gas Supply Crisis."/>
  </r>
  <r>
    <x v="6"/>
    <s v="07.09.2026"/>
    <n v="14286"/>
    <m/>
    <s v="Steam pressure remained low from 9:30 AM to 2:30 PM (5 hours) due Gas Supply Crisis - resulted in reduced production than desired"/>
  </r>
  <r>
    <x v="6"/>
    <s v="08.09.2026"/>
    <n v="16382"/>
    <m/>
    <m/>
  </r>
  <r>
    <x v="6"/>
    <s v="09.09.2026"/>
    <n v="16733"/>
    <m/>
    <m/>
  </r>
  <r>
    <x v="6"/>
    <s v="10.09.2026"/>
    <n v="12972"/>
    <m/>
    <m/>
  </r>
  <r>
    <x v="6"/>
    <s v="12.09.2026"/>
    <n v="13895"/>
    <m/>
    <s v="Steam pressure remained low from 8:00 AM to 11:00 AM (3 hours) due to Gas Supply Crisis "/>
  </r>
  <r>
    <x v="6"/>
    <s v="13.09.2026"/>
    <n v="16792"/>
    <m/>
    <m/>
  </r>
  <r>
    <x v="6"/>
    <s v="14.09.2026"/>
    <n v="14046"/>
    <m/>
    <m/>
  </r>
  <r>
    <x v="6"/>
    <s v="15.09.2026"/>
    <n v="13481"/>
    <m/>
    <m/>
  </r>
  <r>
    <x v="6"/>
    <s v="16.09.2026"/>
    <n v="16551"/>
    <m/>
    <m/>
  </r>
  <r>
    <x v="6"/>
    <s v="17.09.2026"/>
    <n v="13625"/>
    <m/>
    <s v="Production decreased due to unavailability of Finished Fabric (Tube side)"/>
  </r>
  <r>
    <x v="6"/>
    <s v="19.09.2026"/>
    <n v="12381"/>
    <m/>
    <s v="Production decreased due to unavailability of Finished Fabric (Tube side)"/>
  </r>
  <r>
    <x v="6"/>
    <s v="20.09.2026"/>
    <n v="13997"/>
    <m/>
    <s v="Production decreased due to unavailability of Finished Fabric (Tube side)"/>
  </r>
  <r>
    <x v="6"/>
    <s v="21.09.2026"/>
    <n v="15727"/>
    <m/>
    <m/>
  </r>
  <r>
    <x v="6"/>
    <s v="22.09.2026"/>
    <n v="16804"/>
    <m/>
    <m/>
  </r>
  <r>
    <x v="6"/>
    <s v="23.09.2026"/>
    <n v="17366"/>
    <m/>
    <m/>
  </r>
  <r>
    <x v="6"/>
    <s v="24.09.2026"/>
    <n v="15733"/>
    <m/>
    <m/>
  </r>
  <r>
    <x v="6"/>
    <s v="26.09.2026"/>
    <n v="13130"/>
    <m/>
    <s v="Production decreased due to unavailability of Finished Fabric (Tube side)"/>
  </r>
  <r>
    <x v="6"/>
    <s v="27.09.2026"/>
    <n v="16768"/>
    <m/>
    <m/>
  </r>
  <r>
    <x v="6"/>
    <s v="28.09.2026"/>
    <n v="18076"/>
    <m/>
    <m/>
  </r>
  <r>
    <x v="6"/>
    <s v="29.09.2026"/>
    <n v="15100"/>
    <m/>
    <m/>
  </r>
  <r>
    <x v="6"/>
    <s v="30.09.2026"/>
    <n v="14997"/>
    <m/>
    <m/>
  </r>
  <r>
    <x v="7"/>
    <s v="01.10.2026"/>
    <n v="15690"/>
    <m/>
    <m/>
  </r>
  <r>
    <x v="7"/>
    <s v="03.10.2026"/>
    <n v="15046"/>
    <m/>
    <m/>
  </r>
  <r>
    <x v="7"/>
    <s v="04.10.2026"/>
    <n v="16010"/>
    <m/>
    <m/>
  </r>
  <r>
    <x v="7"/>
    <s v="05.10.2026"/>
    <n v="15255"/>
    <m/>
    <m/>
  </r>
  <r>
    <x v="7"/>
    <s v="06.10.2026"/>
    <n v="14809"/>
    <m/>
    <s v="Production decreased due to unavailability of Finished Fabric (Tube side)"/>
  </r>
  <r>
    <x v="7"/>
    <s v="07.10.2026"/>
    <n v="16238"/>
    <m/>
    <m/>
  </r>
  <r>
    <x v="7"/>
    <s v="08.10.2026"/>
    <n v="17168"/>
    <m/>
    <m/>
  </r>
  <r>
    <x v="7"/>
    <s v="10.10.2026"/>
    <n v="14183"/>
    <m/>
    <m/>
  </r>
  <r>
    <x v="7"/>
    <s v="11.10.2026"/>
    <n v="14556"/>
    <m/>
    <m/>
  </r>
  <r>
    <x v="7"/>
    <s v="12.10.2026"/>
    <n v="14806"/>
    <m/>
    <m/>
  </r>
  <r>
    <x v="7"/>
    <s v="13.10.2026"/>
    <n v="14683"/>
    <m/>
    <m/>
  </r>
  <r>
    <x v="7"/>
    <s v="14.10.2026"/>
    <n v="14409"/>
    <m/>
    <m/>
  </r>
  <r>
    <x v="7"/>
    <s v="15.10.2026"/>
    <n v="2032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49">
  <r>
    <x v="0"/>
    <x v="0"/>
    <x v="0"/>
    <x v="0"/>
    <n v="10000"/>
    <n v="7291"/>
    <n v="0"/>
    <n v="0"/>
    <n v="7291"/>
    <n v="22"/>
    <n v="4"/>
    <n v="18"/>
    <n v="1818.1818181818182"/>
    <n v="0.81818181818181823"/>
    <n v="0.72909999999999997"/>
    <n v="1"/>
    <n v="0.59653636363636364"/>
    <s v="The machine was down for 4 hours due to a roller malfunction"/>
  </r>
  <r>
    <x v="0"/>
    <x v="0"/>
    <x v="1"/>
    <x v="1"/>
    <n v="5000"/>
    <n v="2214"/>
    <n v="0"/>
    <n v="0"/>
    <n v="2214"/>
    <n v="22"/>
    <n v="1"/>
    <n v="21"/>
    <n v="227.27272727272728"/>
    <n v="0.95454545454545459"/>
    <n v="0.44280000000000003"/>
    <n v="1"/>
    <n v="0.42267272727272731"/>
    <s v="The machine was off for 1 hour due to a generator trip and line changeover"/>
  </r>
  <r>
    <x v="0"/>
    <x v="0"/>
    <x v="1"/>
    <x v="2"/>
    <n v="4000"/>
    <n v="6393"/>
    <n v="0"/>
    <n v="0"/>
    <n v="6393"/>
    <m/>
    <n v="0"/>
    <s v=""/>
    <s v=""/>
    <s v=""/>
    <n v="1.5982499999999999"/>
    <n v="1"/>
    <s v=""/>
    <m/>
  </r>
  <r>
    <x v="0"/>
    <x v="0"/>
    <x v="2"/>
    <x v="2"/>
    <n v="7000"/>
    <n v="5101"/>
    <n v="0"/>
    <n v="0"/>
    <n v="5101"/>
    <n v="22"/>
    <n v="1.4499999999999991"/>
    <n v="20.55"/>
    <n v="461.36363636363609"/>
    <n v="0.93409090909090908"/>
    <n v="0.72871428571428576"/>
    <n v="1"/>
    <n v="0.6806853896103896"/>
    <s v="The machine was off for 1 hour 45 minutes due to lack of fabric"/>
  </r>
  <r>
    <x v="0"/>
    <x v="0"/>
    <x v="3"/>
    <x v="3"/>
    <m/>
    <m/>
    <n v="0"/>
    <s v=""/>
    <n v="0"/>
    <m/>
    <n v="0"/>
    <s v=""/>
    <s v=""/>
    <s v=""/>
    <s v=""/>
    <s v=""/>
    <s v=""/>
    <m/>
  </r>
  <r>
    <x v="0"/>
    <x v="0"/>
    <x v="4"/>
    <x v="4"/>
    <n v="9000"/>
    <n v="8700"/>
    <n v="0"/>
    <n v="0"/>
    <n v="8700"/>
    <n v="22"/>
    <n v="0"/>
    <n v="22"/>
    <n v="0"/>
    <n v="1"/>
    <n v="0.96666666666666667"/>
    <n v="1"/>
    <n v="0.96666666666666667"/>
    <m/>
  </r>
  <r>
    <x v="0"/>
    <x v="0"/>
    <x v="5"/>
    <x v="4"/>
    <n v="3036"/>
    <n v="3036"/>
    <n v="0"/>
    <m/>
    <m/>
    <m/>
    <m/>
    <s v=""/>
    <m/>
    <m/>
    <m/>
    <m/>
    <m/>
    <m/>
  </r>
  <r>
    <x v="0"/>
    <x v="1"/>
    <x v="6"/>
    <x v="5"/>
    <n v="9000"/>
    <n v="6969"/>
    <n v="0"/>
    <n v="0"/>
    <n v="6969"/>
    <n v="22"/>
    <n v="0"/>
    <n v="22"/>
    <n v="0"/>
    <n v="1"/>
    <n v="0.77433333333333332"/>
    <n v="1"/>
    <n v="0.77433333333333332"/>
    <m/>
  </r>
  <r>
    <x v="0"/>
    <x v="1"/>
    <x v="7"/>
    <x v="6"/>
    <n v="8000"/>
    <n v="6556"/>
    <n v="0"/>
    <n v="0"/>
    <n v="6556"/>
    <n v="22"/>
    <n v="1.1999999999999991"/>
    <n v="20.8"/>
    <n v="436.36363636363603"/>
    <n v="0.94545454545454544"/>
    <n v="0.81950000000000001"/>
    <n v="1"/>
    <n v="0.77480000000000004"/>
    <s v="The machine was off for 80 minutes for maintenance"/>
  </r>
  <r>
    <x v="0"/>
    <x v="1"/>
    <x v="8"/>
    <x v="4"/>
    <n v="6000"/>
    <n v="3878"/>
    <n v="0"/>
    <n v="0"/>
    <n v="3878"/>
    <n v="22"/>
    <n v="0"/>
    <n v="22"/>
    <n v="0"/>
    <n v="1"/>
    <n v="0.64633333333333332"/>
    <n v="1"/>
    <n v="0.64633333333333332"/>
    <m/>
  </r>
  <r>
    <x v="0"/>
    <x v="1"/>
    <x v="9"/>
    <x v="4"/>
    <n v="5000"/>
    <n v="2233"/>
    <n v="0"/>
    <n v="0"/>
    <n v="2233"/>
    <n v="22"/>
    <n v="0"/>
    <n v="22"/>
    <n v="0"/>
    <n v="1"/>
    <n v="0.4466"/>
    <n v="1"/>
    <n v="0.4466"/>
    <m/>
  </r>
  <r>
    <x v="1"/>
    <x v="0"/>
    <x v="0"/>
    <x v="0"/>
    <n v="10000"/>
    <n v="8613"/>
    <n v="0"/>
    <n v="0"/>
    <n v="8613"/>
    <n v="22"/>
    <n v="0"/>
    <n v="22"/>
    <n v="0"/>
    <n v="1"/>
    <n v="0.86129999999999995"/>
    <n v="1"/>
    <n v="0.86129999999999995"/>
    <m/>
  </r>
  <r>
    <x v="1"/>
    <x v="0"/>
    <x v="1"/>
    <x v="1"/>
    <n v="5000"/>
    <n v="3578"/>
    <n v="0"/>
    <n v="0"/>
    <n v="3578"/>
    <n v="22"/>
    <n v="0"/>
    <n v="22"/>
    <n v="0"/>
    <n v="1"/>
    <n v="0.71560000000000001"/>
    <n v="1"/>
    <n v="0.71560000000000001"/>
    <m/>
  </r>
  <r>
    <x v="1"/>
    <x v="0"/>
    <x v="1"/>
    <x v="2"/>
    <n v="4000"/>
    <n v="4324"/>
    <n v="0"/>
    <n v="0"/>
    <n v="4324"/>
    <m/>
    <n v="0"/>
    <s v=""/>
    <s v=""/>
    <s v=""/>
    <n v="1.081"/>
    <n v="1"/>
    <s v=""/>
    <m/>
  </r>
  <r>
    <x v="1"/>
    <x v="0"/>
    <x v="2"/>
    <x v="2"/>
    <n v="7000"/>
    <n v="6276"/>
    <n v="0"/>
    <n v="0"/>
    <n v="6276"/>
    <n v="22"/>
    <n v="2"/>
    <n v="20"/>
    <n v="636.36363636363637"/>
    <n v="0.90909090909090906"/>
    <n v="0.89657142857142857"/>
    <n v="1"/>
    <n v="0.81506493506493505"/>
    <s v="The machine was off for 2 hour due to lack of fabric."/>
  </r>
  <r>
    <x v="1"/>
    <x v="0"/>
    <x v="3"/>
    <x v="3"/>
    <m/>
    <m/>
    <n v="0"/>
    <s v=""/>
    <n v="0"/>
    <m/>
    <n v="0"/>
    <s v=""/>
    <s v=""/>
    <s v=""/>
    <s v=""/>
    <s v=""/>
    <s v=""/>
    <m/>
  </r>
  <r>
    <x v="1"/>
    <x v="0"/>
    <x v="4"/>
    <x v="4"/>
    <n v="9000"/>
    <n v="8239"/>
    <n v="0"/>
    <n v="0"/>
    <n v="8239"/>
    <n v="22"/>
    <n v="0"/>
    <n v="22"/>
    <n v="0"/>
    <n v="1"/>
    <n v="0.91544444444444439"/>
    <n v="1"/>
    <n v="0.91544444444444439"/>
    <m/>
  </r>
  <r>
    <x v="1"/>
    <x v="0"/>
    <x v="5"/>
    <x v="4"/>
    <n v="1976"/>
    <n v="1976"/>
    <m/>
    <m/>
    <m/>
    <m/>
    <m/>
    <s v=""/>
    <m/>
    <m/>
    <m/>
    <m/>
    <m/>
    <m/>
  </r>
  <r>
    <x v="1"/>
    <x v="1"/>
    <x v="6"/>
    <x v="5"/>
    <n v="9000"/>
    <n v="6765"/>
    <n v="0"/>
    <n v="0"/>
    <n v="6765"/>
    <n v="22"/>
    <n v="0"/>
    <n v="22"/>
    <n v="0"/>
    <n v="1"/>
    <n v="0.75166666666666671"/>
    <n v="1"/>
    <n v="0.75166666666666671"/>
    <s v="Due to insufficient tube fabric orders."/>
  </r>
  <r>
    <x v="1"/>
    <x v="1"/>
    <x v="7"/>
    <x v="6"/>
    <n v="8000"/>
    <n v="5700"/>
    <n v="0"/>
    <n v="0"/>
    <n v="5700"/>
    <n v="22"/>
    <n v="1.1999999999999991"/>
    <n v="20.8"/>
    <n v="436.36363636363603"/>
    <n v="0.94545454545454544"/>
    <n v="0.71250000000000002"/>
    <n v="1"/>
    <n v="0.6736363636363637"/>
    <s v="The machine was off for 1.20 hours for maintenance and insufficient tube fabric orders."/>
  </r>
  <r>
    <x v="1"/>
    <x v="1"/>
    <x v="8"/>
    <x v="4"/>
    <n v="6000"/>
    <n v="3476"/>
    <n v="0"/>
    <n v="0"/>
    <n v="3476"/>
    <n v="22"/>
    <n v="11"/>
    <n v="11"/>
    <n v="3000"/>
    <n v="0.5"/>
    <n v="0.57933333333333337"/>
    <n v="1"/>
    <n v="0.28966666666666668"/>
    <s v="Due to insufficient tube fabric orders."/>
  </r>
  <r>
    <x v="1"/>
    <x v="1"/>
    <x v="9"/>
    <x v="4"/>
    <n v="5000"/>
    <n v="2690"/>
    <n v="0"/>
    <n v="0"/>
    <n v="2690"/>
    <n v="22"/>
    <n v="0"/>
    <n v="22"/>
    <n v="0"/>
    <n v="1"/>
    <n v="0.53800000000000003"/>
    <n v="1"/>
    <n v="0.53800000000000003"/>
    <s v="Due to insufficient tube fabric orders, the machine remained shut down during the night shift."/>
  </r>
  <r>
    <x v="2"/>
    <x v="0"/>
    <x v="0"/>
    <x v="0"/>
    <n v="10000"/>
    <n v="5741"/>
    <n v="0"/>
    <n v="0"/>
    <n v="5741"/>
    <n v="22"/>
    <n v="0"/>
    <n v="22"/>
    <n v="0"/>
    <n v="1"/>
    <n v="0.57410000000000005"/>
    <n v="1"/>
    <n v="0.57410000000000005"/>
    <m/>
  </r>
  <r>
    <x v="2"/>
    <x v="0"/>
    <x v="1"/>
    <x v="1"/>
    <n v="5000"/>
    <n v="0"/>
    <n v="0"/>
    <s v=""/>
    <n v="0"/>
    <n v="22"/>
    <n v="1"/>
    <n v="21"/>
    <n v="227.27272727272728"/>
    <n v="0.95454545454545459"/>
    <n v="0"/>
    <s v=""/>
    <s v=""/>
    <s v="Machine was off due to replacement of cooling fan in 1 No. padder."/>
  </r>
  <r>
    <x v="2"/>
    <x v="0"/>
    <x v="1"/>
    <x v="2"/>
    <n v="4000"/>
    <n v="6400"/>
    <n v="0"/>
    <n v="0"/>
    <n v="6400"/>
    <m/>
    <n v="0"/>
    <s v=""/>
    <s v=""/>
    <s v=""/>
    <n v="1.6"/>
    <n v="1"/>
    <s v=""/>
    <m/>
  </r>
  <r>
    <x v="2"/>
    <x v="0"/>
    <x v="2"/>
    <x v="2"/>
    <n v="7000"/>
    <n v="5539"/>
    <n v="0"/>
    <n v="0"/>
    <n v="5539"/>
    <n v="22"/>
    <n v="2"/>
    <n v="20"/>
    <n v="636.36363636363637"/>
    <n v="0.90909090909090906"/>
    <n v="0.79128571428571426"/>
    <n v="1"/>
    <n v="0.7193506493506493"/>
    <m/>
  </r>
  <r>
    <x v="2"/>
    <x v="0"/>
    <x v="3"/>
    <x v="3"/>
    <m/>
    <m/>
    <n v="0"/>
    <s v=""/>
    <n v="0"/>
    <m/>
    <n v="0"/>
    <s v=""/>
    <s v=""/>
    <s v=""/>
    <s v=""/>
    <s v=""/>
    <s v=""/>
    <m/>
  </r>
  <r>
    <x v="2"/>
    <x v="0"/>
    <x v="4"/>
    <x v="4"/>
    <n v="9000"/>
    <n v="6974"/>
    <n v="0"/>
    <n v="0"/>
    <n v="6974"/>
    <n v="22"/>
    <n v="0"/>
    <n v="22"/>
    <n v="0"/>
    <n v="1"/>
    <n v="0.77488888888888885"/>
    <n v="1"/>
    <n v="0.77488888888888885"/>
    <m/>
  </r>
  <r>
    <x v="2"/>
    <x v="0"/>
    <x v="5"/>
    <x v="4"/>
    <n v="2144"/>
    <n v="2144"/>
    <m/>
    <m/>
    <m/>
    <m/>
    <m/>
    <s v=""/>
    <m/>
    <m/>
    <m/>
    <m/>
    <m/>
    <m/>
  </r>
  <r>
    <x v="2"/>
    <x v="1"/>
    <x v="6"/>
    <x v="5"/>
    <n v="9000"/>
    <n v="3114"/>
    <n v="0"/>
    <n v="0"/>
    <n v="3114"/>
    <n v="22"/>
    <n v="0"/>
    <n v="22"/>
    <n v="0"/>
    <n v="1"/>
    <n v="0.34599999999999997"/>
    <n v="1"/>
    <n v="0.34599999999999997"/>
    <s v="Due to insufficient tube fabric orders."/>
  </r>
  <r>
    <x v="2"/>
    <x v="1"/>
    <x v="7"/>
    <x v="6"/>
    <n v="8000"/>
    <n v="3612"/>
    <n v="0"/>
    <n v="0"/>
    <n v="3612"/>
    <n v="22"/>
    <n v="1.1999999999999991"/>
    <n v="20.8"/>
    <n v="436.36363636363603"/>
    <n v="0.94545454545454544"/>
    <n v="0.45150000000000001"/>
    <n v="1"/>
    <n v="0.42687272727272729"/>
    <s v="Due to insufficient tube fabric orders."/>
  </r>
  <r>
    <x v="2"/>
    <x v="1"/>
    <x v="8"/>
    <x v="4"/>
    <n v="6000"/>
    <n v="1698"/>
    <n v="0"/>
    <n v="0"/>
    <n v="1698"/>
    <n v="22"/>
    <n v="11"/>
    <n v="11"/>
    <n v="3000"/>
    <n v="0.5"/>
    <n v="0.28299999999999997"/>
    <n v="1"/>
    <n v="0.14149999999999999"/>
    <s v="Due to insufficient tube fabric orders."/>
  </r>
  <r>
    <x v="2"/>
    <x v="1"/>
    <x v="9"/>
    <x v="4"/>
    <n v="5000"/>
    <n v="1065"/>
    <n v="0"/>
    <n v="0"/>
    <n v="1065"/>
    <n v="22"/>
    <n v="0"/>
    <n v="22"/>
    <n v="0"/>
    <n v="1"/>
    <n v="0.21299999999999999"/>
    <n v="1"/>
    <n v="0.21299999999999999"/>
    <s v="Due to insufficient tube fabric orders, the machine remained shut down during the night shift."/>
  </r>
  <r>
    <x v="3"/>
    <x v="0"/>
    <x v="0"/>
    <x v="0"/>
    <n v="10000"/>
    <n v="4720"/>
    <n v="0"/>
    <n v="0"/>
    <n v="4720"/>
    <n v="22"/>
    <n v="8"/>
    <n v="14"/>
    <n v="3636.3636363636365"/>
    <n v="0.63636363636363635"/>
    <n v="0.47199999999999998"/>
    <n v="1"/>
    <n v="0.30036363636363633"/>
    <s v="8h downtime: Maintenance &amp; insufficient fabric batch; A shift ended 5PM"/>
  </r>
  <r>
    <x v="3"/>
    <x v="0"/>
    <x v="1"/>
    <x v="1"/>
    <n v="5000"/>
    <n v="5493"/>
    <n v="0"/>
    <n v="0"/>
    <n v="5493"/>
    <n v="22"/>
    <n v="3"/>
    <n v="19"/>
    <n v="681.81818181818187"/>
    <n v="0.86363636363636365"/>
    <n v="1.0986"/>
    <n v="1"/>
    <n v="0.94879090909090913"/>
    <s v="3h downtime: Maintenance; A shift ended 5PM"/>
  </r>
  <r>
    <x v="3"/>
    <x v="0"/>
    <x v="1"/>
    <x v="2"/>
    <n v="4000"/>
    <n v="0"/>
    <n v="0"/>
    <s v=""/>
    <n v="0"/>
    <m/>
    <m/>
    <s v=""/>
    <s v=""/>
    <s v=""/>
    <n v="0"/>
    <s v=""/>
    <s v=""/>
    <m/>
  </r>
  <r>
    <x v="3"/>
    <x v="0"/>
    <x v="2"/>
    <x v="2"/>
    <n v="7000"/>
    <n v="4296"/>
    <n v="0"/>
    <n v="0"/>
    <n v="4296"/>
    <n v="22"/>
    <n v="6"/>
    <n v="16"/>
    <n v="1909.090909090909"/>
    <n v="0.72727272727272729"/>
    <n v="0.61371428571428577"/>
    <n v="1"/>
    <n v="0.44633766233766237"/>
    <s v="6h downtime: Maintenance &amp; insufficient fabric; A shift ended 5PM"/>
  </r>
  <r>
    <x v="3"/>
    <x v="0"/>
    <x v="3"/>
    <x v="3"/>
    <m/>
    <m/>
    <n v="0"/>
    <s v=""/>
    <n v="0"/>
    <m/>
    <m/>
    <s v=""/>
    <s v=""/>
    <s v=""/>
    <s v=""/>
    <s v=""/>
    <s v=""/>
    <m/>
  </r>
  <r>
    <x v="3"/>
    <x v="0"/>
    <x v="4"/>
    <x v="4"/>
    <n v="9000"/>
    <n v="4982"/>
    <n v="0"/>
    <n v="0"/>
    <n v="4982"/>
    <n v="22"/>
    <n v="3"/>
    <n v="19"/>
    <n v="1227.2727272727273"/>
    <n v="0.86363636363636365"/>
    <n v="0.55355555555555558"/>
    <n v="1"/>
    <n v="0.47807070707070709"/>
    <s v="3h downtime: Maintenance &amp; insufficient fabric; A shift ended 5PM"/>
  </r>
  <r>
    <x v="3"/>
    <x v="0"/>
    <x v="5"/>
    <x v="4"/>
    <n v="0"/>
    <n v="0"/>
    <m/>
    <m/>
    <m/>
    <m/>
    <m/>
    <s v=""/>
    <m/>
    <m/>
    <m/>
    <m/>
    <m/>
    <s v="Machine was off due to insufficient  fabric "/>
  </r>
  <r>
    <x v="3"/>
    <x v="1"/>
    <x v="6"/>
    <x v="5"/>
    <n v="9000"/>
    <n v="2145"/>
    <n v="0"/>
    <n v="0"/>
    <n v="2145"/>
    <n v="22"/>
    <n v="6"/>
    <n v="16"/>
    <n v="2454.5454545454545"/>
    <n v="0.72727272727272729"/>
    <n v="0.23833333333333334"/>
    <n v="1"/>
    <n v="0.17333333333333334"/>
    <s v="6h downtime: Maintenance &amp; insufficient fabric; A shift ended 5PM"/>
  </r>
  <r>
    <x v="3"/>
    <x v="1"/>
    <x v="7"/>
    <x v="6"/>
    <n v="8000"/>
    <n v="2451"/>
    <n v="0"/>
    <n v="0"/>
    <n v="2451"/>
    <n v="22"/>
    <n v="6"/>
    <n v="16"/>
    <n v="2181.818181818182"/>
    <n v="0.72727272727272729"/>
    <n v="0.30637500000000001"/>
    <n v="1"/>
    <n v="0.22281818181818183"/>
    <s v="6h downtime: Maintenance &amp; insufficient fabric; A shift ended 5PM"/>
  </r>
  <r>
    <x v="3"/>
    <x v="1"/>
    <x v="8"/>
    <x v="4"/>
    <n v="6000"/>
    <n v="1515"/>
    <n v="0"/>
    <n v="0"/>
    <n v="1515"/>
    <n v="22"/>
    <n v="6"/>
    <n v="16"/>
    <n v="1636.3636363636365"/>
    <n v="0.72727272727272729"/>
    <n v="0.2525"/>
    <n v="1"/>
    <n v="0.18363636363636365"/>
    <s v="6h downtime: Maintenance &amp; insufficient fabric; A shift ended 5PM"/>
  </r>
  <r>
    <x v="3"/>
    <x v="1"/>
    <x v="9"/>
    <x v="4"/>
    <n v="5000"/>
    <n v="1258"/>
    <n v="0"/>
    <n v="0"/>
    <n v="1258"/>
    <n v="22"/>
    <n v="6"/>
    <n v="16"/>
    <n v="1363.6363636363637"/>
    <n v="0.72727272727272729"/>
    <n v="0.25159999999999999"/>
    <n v="1"/>
    <n v="0.18298181818181819"/>
    <s v="6h downtime: Maintenance &amp; insufficient  fabric; A shift ended 5PM"/>
  </r>
  <r>
    <x v="4"/>
    <x v="0"/>
    <x v="0"/>
    <x v="0"/>
    <n v="10000"/>
    <n v="8660"/>
    <n v="0"/>
    <n v="0"/>
    <n v="8660"/>
    <n v="22"/>
    <n v="0"/>
    <n v="22"/>
    <n v="0"/>
    <n v="1"/>
    <n v="0.86599999999999999"/>
    <n v="1"/>
    <n v="0.86599999999999999"/>
    <m/>
  </r>
  <r>
    <x v="4"/>
    <x v="0"/>
    <x v="1"/>
    <x v="1"/>
    <n v="5000"/>
    <n v="3475"/>
    <n v="0"/>
    <n v="0"/>
    <n v="3475"/>
    <n v="22"/>
    <n v="1"/>
    <n v="21"/>
    <n v="227.27272727272728"/>
    <n v="0.95454545454545459"/>
    <n v="0.69499999999999995"/>
    <n v="1"/>
    <n v="0.66340909090909084"/>
    <m/>
  </r>
  <r>
    <x v="4"/>
    <x v="0"/>
    <x v="1"/>
    <x v="2"/>
    <n v="4000"/>
    <n v="5877"/>
    <n v="0"/>
    <n v="0"/>
    <n v="5877"/>
    <m/>
    <m/>
    <s v=""/>
    <s v=""/>
    <s v=""/>
    <n v="1.4692499999999999"/>
    <n v="1"/>
    <s v=""/>
    <m/>
  </r>
  <r>
    <x v="4"/>
    <x v="0"/>
    <x v="2"/>
    <x v="2"/>
    <n v="7000"/>
    <n v="6820"/>
    <n v="0"/>
    <n v="0"/>
    <n v="6820"/>
    <n v="22"/>
    <n v="2"/>
    <n v="20"/>
    <n v="636.36363636363637"/>
    <n v="0.90909090909090906"/>
    <n v="0.97428571428571431"/>
    <n v="1"/>
    <n v="0.88571428571428568"/>
    <s v="Machine was off for 2 hours due to damage to the padders lower spindle roller belt._x000a__x000a_"/>
  </r>
  <r>
    <x v="4"/>
    <x v="0"/>
    <x v="3"/>
    <x v="3"/>
    <m/>
    <m/>
    <n v="0"/>
    <s v=""/>
    <n v="0"/>
    <m/>
    <m/>
    <s v=""/>
    <s v=""/>
    <s v=""/>
    <s v=""/>
    <s v=""/>
    <s v=""/>
    <m/>
  </r>
  <r>
    <x v="4"/>
    <x v="0"/>
    <x v="4"/>
    <x v="4"/>
    <n v="9000"/>
    <n v="7500"/>
    <n v="0"/>
    <n v="0"/>
    <n v="7500"/>
    <n v="22"/>
    <n v="0"/>
    <n v="22"/>
    <n v="0"/>
    <n v="1"/>
    <n v="0.83333333333333337"/>
    <n v="1"/>
    <n v="0.83333333333333337"/>
    <m/>
  </r>
  <r>
    <x v="4"/>
    <x v="0"/>
    <x v="5"/>
    <x v="4"/>
    <n v="1574"/>
    <n v="1574"/>
    <m/>
    <m/>
    <m/>
    <m/>
    <m/>
    <s v=""/>
    <m/>
    <m/>
    <m/>
    <m/>
    <m/>
    <s v="Due to insufficient fabric batch."/>
  </r>
  <r>
    <x v="4"/>
    <x v="1"/>
    <x v="6"/>
    <x v="5"/>
    <n v="9000"/>
    <n v="5167"/>
    <n v="0"/>
    <n v="0"/>
    <n v="5167"/>
    <n v="22"/>
    <n v="0"/>
    <n v="22"/>
    <n v="0"/>
    <n v="1"/>
    <n v="0.57411111111111113"/>
    <n v="1"/>
    <n v="0.57411111111111113"/>
    <s v="Due to insufficient tube fabric orders."/>
  </r>
  <r>
    <x v="4"/>
    <x v="1"/>
    <x v="7"/>
    <x v="6"/>
    <n v="8000"/>
    <n v="5193"/>
    <n v="0"/>
    <n v="0"/>
    <n v="5193"/>
    <n v="22"/>
    <n v="5"/>
    <n v="17"/>
    <n v="1818.181818181818"/>
    <n v="0.77272727272727271"/>
    <n v="0.64912499999999995"/>
    <n v="1"/>
    <n v="0.50159659090909081"/>
    <s v="Machine was off for 5 hours due to maintenance, steam line work, and net repair."/>
  </r>
  <r>
    <x v="4"/>
    <x v="1"/>
    <x v="8"/>
    <x v="4"/>
    <n v="6000"/>
    <n v="1518"/>
    <n v="0"/>
    <n v="0"/>
    <n v="1518"/>
    <n v="22"/>
    <n v="9"/>
    <n v="13"/>
    <n v="2454.545454545455"/>
    <n v="0.59090909090909094"/>
    <n v="0.253"/>
    <n v="1"/>
    <n v="0.14950000000000002"/>
    <s v="9 hours downtime in both sifts due to insufficient Tube fabric order"/>
  </r>
  <r>
    <x v="4"/>
    <x v="1"/>
    <x v="9"/>
    <x v="4"/>
    <n v="5000"/>
    <n v="2552"/>
    <n v="0"/>
    <n v="0"/>
    <n v="2552"/>
    <n v="22"/>
    <n v="0"/>
    <n v="22"/>
    <n v="0"/>
    <n v="1"/>
    <n v="0.51039999999999996"/>
    <n v="1"/>
    <n v="0.51039999999999996"/>
    <s v="Due to insufficient tube fabric orders. ."/>
  </r>
  <r>
    <x v="5"/>
    <x v="0"/>
    <x v="0"/>
    <x v="0"/>
    <n v="10000"/>
    <n v="8489"/>
    <n v="0"/>
    <n v="0"/>
    <n v="8489"/>
    <n v="22"/>
    <n v="0"/>
    <n v="22"/>
    <n v="0"/>
    <n v="1"/>
    <n v="0.84889999999999999"/>
    <n v="1"/>
    <n v="0.84889999999999999"/>
    <m/>
  </r>
  <r>
    <x v="5"/>
    <x v="0"/>
    <x v="1"/>
    <x v="1"/>
    <n v="5000"/>
    <n v="3207"/>
    <n v="0"/>
    <n v="0"/>
    <n v="3207"/>
    <n v="22"/>
    <n v="0"/>
    <n v="22"/>
    <n v="0"/>
    <n v="1"/>
    <n v="0.64139999999999997"/>
    <n v="1"/>
    <n v="0.64139999999999997"/>
    <m/>
  </r>
  <r>
    <x v="5"/>
    <x v="0"/>
    <x v="1"/>
    <x v="2"/>
    <n v="4000"/>
    <n v="4767"/>
    <n v="0"/>
    <n v="0"/>
    <n v="4767"/>
    <m/>
    <m/>
    <s v=""/>
    <s v=""/>
    <s v=""/>
    <n v="1.1917500000000001"/>
    <n v="1"/>
    <s v=""/>
    <m/>
  </r>
  <r>
    <x v="5"/>
    <x v="0"/>
    <x v="2"/>
    <x v="2"/>
    <n v="7000"/>
    <n v="7031"/>
    <n v="0"/>
    <n v="0"/>
    <n v="7031"/>
    <n v="22"/>
    <n v="0"/>
    <n v="22"/>
    <n v="0"/>
    <n v="1"/>
    <n v="1.0044285714285714"/>
    <n v="1"/>
    <n v="1.0044285714285714"/>
    <m/>
  </r>
  <r>
    <x v="5"/>
    <x v="0"/>
    <x v="3"/>
    <x v="3"/>
    <m/>
    <m/>
    <n v="0"/>
    <s v=""/>
    <n v="0"/>
    <m/>
    <m/>
    <s v=""/>
    <s v=""/>
    <s v=""/>
    <s v=""/>
    <s v=""/>
    <s v=""/>
    <m/>
  </r>
  <r>
    <x v="5"/>
    <x v="0"/>
    <x v="4"/>
    <x v="4"/>
    <n v="9000"/>
    <n v="7684"/>
    <n v="0"/>
    <n v="0"/>
    <n v="7684"/>
    <n v="22"/>
    <n v="0"/>
    <n v="22"/>
    <n v="0"/>
    <n v="1"/>
    <n v="0.85377777777777775"/>
    <n v="1"/>
    <n v="0.85377777777777775"/>
    <m/>
  </r>
  <r>
    <x v="5"/>
    <x v="0"/>
    <x v="5"/>
    <x v="4"/>
    <n v="1246"/>
    <n v="1246"/>
    <m/>
    <m/>
    <m/>
    <m/>
    <m/>
    <s v=""/>
    <m/>
    <m/>
    <m/>
    <m/>
    <m/>
    <s v="Pinion shape broken → machine was off."/>
  </r>
  <r>
    <x v="5"/>
    <x v="1"/>
    <x v="6"/>
    <x v="5"/>
    <n v="9000"/>
    <n v="6421"/>
    <n v="0"/>
    <n v="0"/>
    <n v="6421"/>
    <n v="22"/>
    <n v="0"/>
    <n v="22"/>
    <n v="0"/>
    <n v="1"/>
    <n v="0.71344444444444444"/>
    <n v="1"/>
    <n v="0.71344444444444444"/>
    <s v="Due to insufficient tube fabric orders"/>
  </r>
  <r>
    <x v="5"/>
    <x v="1"/>
    <x v="7"/>
    <x v="6"/>
    <n v="8000"/>
    <n v="6450"/>
    <n v="0"/>
    <n v="0"/>
    <n v="6450"/>
    <n v="22"/>
    <n v="0"/>
    <n v="22"/>
    <n v="0"/>
    <n v="1"/>
    <n v="0.80625000000000002"/>
    <n v="1"/>
    <n v="0.80625000000000002"/>
    <s v="Due to insufficient tube fabric orders"/>
  </r>
  <r>
    <x v="5"/>
    <x v="1"/>
    <x v="8"/>
    <x v="4"/>
    <n v="6000"/>
    <n v="2769"/>
    <n v="0"/>
    <n v="0"/>
    <n v="2769"/>
    <n v="22"/>
    <n v="0"/>
    <n v="22"/>
    <n v="0"/>
    <n v="1"/>
    <n v="0.46150000000000002"/>
    <n v="1"/>
    <n v="0.46150000000000002"/>
    <s v="Due to insufficient tube fabric orders"/>
  </r>
  <r>
    <x v="5"/>
    <x v="1"/>
    <x v="9"/>
    <x v="4"/>
    <n v="5000"/>
    <n v="3137"/>
    <n v="0"/>
    <n v="0"/>
    <n v="3137"/>
    <n v="22"/>
    <n v="0"/>
    <n v="22"/>
    <n v="0"/>
    <n v="1"/>
    <n v="0.62739999999999996"/>
    <n v="1"/>
    <n v="0.62739999999999996"/>
    <s v="Due to insufficient tube fabric orders."/>
  </r>
  <r>
    <x v="6"/>
    <x v="0"/>
    <x v="0"/>
    <x v="0"/>
    <n v="10000"/>
    <n v="9098"/>
    <n v="0"/>
    <n v="0"/>
    <n v="9098"/>
    <n v="22"/>
    <n v="0"/>
    <n v="22"/>
    <n v="0"/>
    <n v="1"/>
    <n v="0.90980000000000005"/>
    <n v="1"/>
    <n v="0.90980000000000005"/>
    <m/>
  </r>
  <r>
    <x v="6"/>
    <x v="0"/>
    <x v="1"/>
    <x v="1"/>
    <n v="5000"/>
    <n v="4470"/>
    <n v="0"/>
    <n v="0"/>
    <n v="4470"/>
    <n v="22"/>
    <n v="0"/>
    <n v="22"/>
    <n v="0"/>
    <n v="1"/>
    <n v="0.89400000000000002"/>
    <n v="1"/>
    <n v="0.89400000000000002"/>
    <m/>
  </r>
  <r>
    <x v="6"/>
    <x v="0"/>
    <x v="1"/>
    <x v="2"/>
    <n v="4000"/>
    <n v="3409"/>
    <n v="0"/>
    <n v="0"/>
    <n v="3409"/>
    <m/>
    <m/>
    <s v=""/>
    <s v=""/>
    <s v=""/>
    <n v="0.85224999999999995"/>
    <n v="1"/>
    <s v=""/>
    <m/>
  </r>
  <r>
    <x v="6"/>
    <x v="0"/>
    <x v="2"/>
    <x v="2"/>
    <n v="7000"/>
    <n v="7768"/>
    <n v="0"/>
    <n v="0"/>
    <n v="7768"/>
    <n v="22"/>
    <n v="0"/>
    <n v="22"/>
    <n v="0"/>
    <n v="1"/>
    <n v="1.1097142857142857"/>
    <n v="1"/>
    <n v="1.1097142857142857"/>
    <m/>
  </r>
  <r>
    <x v="6"/>
    <x v="0"/>
    <x v="3"/>
    <x v="3"/>
    <m/>
    <m/>
    <n v="0"/>
    <s v=""/>
    <n v="0"/>
    <m/>
    <m/>
    <s v=""/>
    <s v=""/>
    <s v=""/>
    <s v=""/>
    <s v=""/>
    <s v=""/>
    <m/>
  </r>
  <r>
    <x v="6"/>
    <x v="0"/>
    <x v="4"/>
    <x v="4"/>
    <n v="9000"/>
    <n v="7943"/>
    <n v="0"/>
    <n v="0"/>
    <n v="7943"/>
    <n v="22"/>
    <n v="0"/>
    <n v="22"/>
    <n v="0"/>
    <n v="1"/>
    <n v="0.88255555555555554"/>
    <n v="1"/>
    <n v="0.88255555555555554"/>
    <m/>
  </r>
  <r>
    <x v="6"/>
    <x v="0"/>
    <x v="5"/>
    <x v="4"/>
    <n v="0"/>
    <n v="0"/>
    <m/>
    <m/>
    <m/>
    <m/>
    <m/>
    <s v=""/>
    <m/>
    <m/>
    <m/>
    <m/>
    <m/>
    <m/>
  </r>
  <r>
    <x v="6"/>
    <x v="1"/>
    <x v="6"/>
    <x v="5"/>
    <n v="9000"/>
    <n v="6707"/>
    <n v="0"/>
    <n v="0"/>
    <n v="6707"/>
    <n v="22"/>
    <n v="0"/>
    <n v="22"/>
    <n v="0"/>
    <n v="1"/>
    <n v="0.74522222222222223"/>
    <n v="1"/>
    <n v="0.74522222222222223"/>
    <s v="Due to insufficient tube fabric orders"/>
  </r>
  <r>
    <x v="6"/>
    <x v="1"/>
    <x v="7"/>
    <x v="6"/>
    <n v="8000"/>
    <n v="6840"/>
    <n v="0"/>
    <n v="0"/>
    <n v="6840"/>
    <n v="22"/>
    <n v="0"/>
    <n v="22"/>
    <n v="0"/>
    <n v="1"/>
    <n v="0.85499999999999998"/>
    <n v="1"/>
    <n v="0.85499999999999998"/>
    <s v="Due to insufficient tube fabric orders"/>
  </r>
  <r>
    <x v="6"/>
    <x v="1"/>
    <x v="8"/>
    <x v="4"/>
    <n v="6000"/>
    <n v="2991"/>
    <n v="0"/>
    <n v="0"/>
    <n v="2991"/>
    <n v="22"/>
    <n v="0"/>
    <n v="22"/>
    <n v="0"/>
    <n v="1"/>
    <n v="0.4985"/>
    <n v="1"/>
    <n v="0.4985"/>
    <s v="Due to insufficient tube fabric orders"/>
  </r>
  <r>
    <x v="6"/>
    <x v="1"/>
    <x v="9"/>
    <x v="4"/>
    <n v="5000"/>
    <n v="3740"/>
    <n v="0"/>
    <n v="0"/>
    <n v="3740"/>
    <n v="22"/>
    <n v="0"/>
    <n v="22"/>
    <n v="0"/>
    <n v="1"/>
    <n v="0.748"/>
    <n v="1"/>
    <n v="0.748"/>
    <s v="Due to insufficient tube fabric orders"/>
  </r>
  <r>
    <x v="7"/>
    <x v="0"/>
    <x v="0"/>
    <x v="0"/>
    <n v="10000"/>
    <n v="8530"/>
    <n v="0"/>
    <n v="0"/>
    <n v="8530"/>
    <n v="22"/>
    <n v="0"/>
    <n v="22"/>
    <n v="0"/>
    <n v="1"/>
    <n v="0.85299999999999998"/>
    <n v="1"/>
    <n v="0.85299999999999998"/>
    <m/>
  </r>
  <r>
    <x v="7"/>
    <x v="0"/>
    <x v="1"/>
    <x v="1"/>
    <n v="5000"/>
    <n v="2748"/>
    <n v="0"/>
    <n v="0"/>
    <n v="2748"/>
    <n v="22"/>
    <n v="0"/>
    <n v="22"/>
    <n v="0"/>
    <n v="1"/>
    <n v="0.54959999999999998"/>
    <n v="1"/>
    <n v="0.54959999999999998"/>
    <m/>
  </r>
  <r>
    <x v="7"/>
    <x v="0"/>
    <x v="1"/>
    <x v="2"/>
    <n v="4000"/>
    <n v="5922"/>
    <n v="0"/>
    <n v="0"/>
    <n v="5922"/>
    <m/>
    <m/>
    <s v=""/>
    <s v=""/>
    <s v=""/>
    <n v="1.4804999999999999"/>
    <n v="1"/>
    <s v=""/>
    <m/>
  </r>
  <r>
    <x v="7"/>
    <x v="0"/>
    <x v="2"/>
    <x v="2"/>
    <n v="7000"/>
    <n v="7225"/>
    <n v="0"/>
    <n v="0"/>
    <n v="7225"/>
    <n v="22"/>
    <n v="0"/>
    <n v="22"/>
    <n v="0"/>
    <n v="1"/>
    <n v="1.0321428571428573"/>
    <n v="1"/>
    <n v="1.0321428571428573"/>
    <m/>
  </r>
  <r>
    <x v="7"/>
    <x v="0"/>
    <x v="3"/>
    <x v="3"/>
    <m/>
    <m/>
    <n v="0"/>
    <s v=""/>
    <n v="0"/>
    <m/>
    <m/>
    <s v=""/>
    <s v=""/>
    <s v=""/>
    <s v=""/>
    <s v=""/>
    <s v=""/>
    <m/>
  </r>
  <r>
    <x v="7"/>
    <x v="0"/>
    <x v="4"/>
    <x v="4"/>
    <n v="9000"/>
    <n v="6472"/>
    <n v="0"/>
    <n v="0"/>
    <n v="6472"/>
    <n v="22"/>
    <n v="0"/>
    <n v="22"/>
    <n v="0"/>
    <n v="1"/>
    <n v="0.71911111111111115"/>
    <n v="1"/>
    <n v="0.71911111111111115"/>
    <m/>
  </r>
  <r>
    <x v="7"/>
    <x v="0"/>
    <x v="5"/>
    <x v="4"/>
    <n v="0"/>
    <n v="0"/>
    <m/>
    <m/>
    <m/>
    <m/>
    <m/>
    <s v=""/>
    <m/>
    <m/>
    <m/>
    <m/>
    <m/>
    <s v="Due to insufficient fabric ."/>
  </r>
  <r>
    <x v="7"/>
    <x v="1"/>
    <x v="6"/>
    <x v="5"/>
    <n v="9000"/>
    <n v="6618"/>
    <n v="0"/>
    <n v="0"/>
    <n v="6618"/>
    <n v="22"/>
    <n v="0"/>
    <n v="22"/>
    <n v="0"/>
    <n v="1"/>
    <n v="0.73533333333333328"/>
    <n v="1"/>
    <n v="0.73533333333333328"/>
    <s v="Due to insufficient tube fabric ."/>
  </r>
  <r>
    <x v="7"/>
    <x v="1"/>
    <x v="7"/>
    <x v="6"/>
    <n v="8000"/>
    <n v="7031"/>
    <n v="0"/>
    <n v="0"/>
    <n v="7031"/>
    <n v="22"/>
    <n v="0"/>
    <n v="22"/>
    <n v="0"/>
    <n v="1"/>
    <n v="0.87887499999999996"/>
    <n v="1"/>
    <n v="0.87887499999999996"/>
    <m/>
  </r>
  <r>
    <x v="7"/>
    <x v="1"/>
    <x v="8"/>
    <x v="4"/>
    <n v="6000"/>
    <n v="3058"/>
    <n v="0"/>
    <n v="0"/>
    <n v="3058"/>
    <n v="22"/>
    <n v="0"/>
    <n v="22"/>
    <n v="0"/>
    <n v="1"/>
    <n v="0.50966666666666671"/>
    <n v="1"/>
    <n v="0.50966666666666671"/>
    <s v="Due to insufficient tube fabric ."/>
  </r>
  <r>
    <x v="7"/>
    <x v="1"/>
    <x v="9"/>
    <x v="4"/>
    <n v="5000"/>
    <n v="4033"/>
    <n v="0"/>
    <n v="0"/>
    <n v="4033"/>
    <n v="22"/>
    <n v="0"/>
    <n v="22"/>
    <n v="0"/>
    <n v="1"/>
    <n v="0.80659999999999998"/>
    <n v="1"/>
    <n v="0.80659999999999998"/>
    <m/>
  </r>
  <r>
    <x v="8"/>
    <x v="0"/>
    <x v="0"/>
    <x v="0"/>
    <n v="10000"/>
    <n v="8390"/>
    <n v="0"/>
    <n v="0"/>
    <n v="8390"/>
    <n v="22"/>
    <n v="2"/>
    <n v="20"/>
    <n v="909.09090909090912"/>
    <n v="0.90909090909090906"/>
    <n v="0.83899999999999997"/>
    <n v="1"/>
    <n v="0.7627272727272727"/>
    <s v="Machine was down for 2 hours for maintenance."/>
  </r>
  <r>
    <x v="8"/>
    <x v="0"/>
    <x v="1"/>
    <x v="1"/>
    <n v="5000"/>
    <n v="6426"/>
    <n v="0"/>
    <n v="0"/>
    <n v="6426"/>
    <n v="22"/>
    <n v="2"/>
    <n v="20"/>
    <n v="454.54545454545456"/>
    <n v="0.90909090909090906"/>
    <n v="1.2851999999999999"/>
    <n v="1"/>
    <n v="1.1683636363636363"/>
    <s v="Machine was down for 2 hours for maintenance."/>
  </r>
  <r>
    <x v="8"/>
    <x v="0"/>
    <x v="1"/>
    <x v="2"/>
    <n v="4000"/>
    <n v="0"/>
    <n v="0"/>
    <s v=""/>
    <n v="0"/>
    <m/>
    <m/>
    <s v=""/>
    <s v=""/>
    <s v=""/>
    <n v="0"/>
    <s v=""/>
    <s v=""/>
    <m/>
  </r>
  <r>
    <x v="8"/>
    <x v="0"/>
    <x v="2"/>
    <x v="2"/>
    <n v="7000"/>
    <n v="6871"/>
    <n v="0"/>
    <n v="0"/>
    <n v="6871"/>
    <n v="22"/>
    <n v="2"/>
    <n v="20"/>
    <n v="636.36363636363637"/>
    <n v="0.90909090909090906"/>
    <n v="0.98157142857142854"/>
    <n v="1"/>
    <n v="0.89233766233766232"/>
    <s v="Machine was down for 2 hours for maintenance."/>
  </r>
  <r>
    <x v="8"/>
    <x v="0"/>
    <x v="3"/>
    <x v="3"/>
    <m/>
    <m/>
    <n v="0"/>
    <s v=""/>
    <n v="0"/>
    <m/>
    <m/>
    <s v=""/>
    <s v=""/>
    <s v=""/>
    <s v=""/>
    <s v=""/>
    <s v=""/>
    <m/>
  </r>
  <r>
    <x v="8"/>
    <x v="0"/>
    <x v="4"/>
    <x v="4"/>
    <n v="9000"/>
    <n v="5049"/>
    <n v="0"/>
    <n v="0"/>
    <n v="5049"/>
    <n v="22"/>
    <n v="2"/>
    <n v="20"/>
    <n v="818.18181818181813"/>
    <n v="0.90909090909090906"/>
    <n v="0.56100000000000005"/>
    <n v="1"/>
    <n v="0.51"/>
    <s v="Machine was down for 2 hours for maintenance."/>
  </r>
  <r>
    <x v="8"/>
    <x v="0"/>
    <x v="5"/>
    <x v="4"/>
    <n v="3124"/>
    <n v="3124"/>
    <m/>
    <m/>
    <m/>
    <m/>
    <m/>
    <s v=""/>
    <m/>
    <m/>
    <m/>
    <m/>
    <m/>
    <m/>
  </r>
  <r>
    <x v="8"/>
    <x v="1"/>
    <x v="6"/>
    <x v="5"/>
    <n v="9000"/>
    <n v="6404"/>
    <n v="0"/>
    <n v="0"/>
    <n v="6404"/>
    <n v="22"/>
    <n v="0"/>
    <n v="22"/>
    <n v="0"/>
    <n v="1"/>
    <n v="0.71155555555555561"/>
    <n v="1"/>
    <n v="0.71155555555555561"/>
    <s v="Due to insufficient tube fabric ."/>
  </r>
  <r>
    <x v="8"/>
    <x v="1"/>
    <x v="7"/>
    <x v="6"/>
    <n v="8000"/>
    <n v="5859"/>
    <n v="0"/>
    <n v="0"/>
    <n v="5859"/>
    <n v="22"/>
    <n v="6"/>
    <n v="16"/>
    <n v="2181.818181818182"/>
    <n v="0.72727272727272729"/>
    <n v="0.732375"/>
    <n v="1"/>
    <n v="0.53263636363636369"/>
    <s v="Machine was down for 6 hours for maintenance, conveyor belt stitching, and fitting."/>
  </r>
  <r>
    <x v="8"/>
    <x v="1"/>
    <x v="8"/>
    <x v="4"/>
    <n v="6000"/>
    <n v="798"/>
    <n v="0"/>
    <n v="0"/>
    <n v="798"/>
    <n v="22"/>
    <n v="0"/>
    <n v="22"/>
    <n v="0"/>
    <n v="1"/>
    <n v="0.13300000000000001"/>
    <n v="1"/>
    <n v="0.13300000000000001"/>
    <s v="Due to insufficient tube fabric, and kept the Monty machine running in both shifts."/>
  </r>
  <r>
    <x v="8"/>
    <x v="1"/>
    <x v="9"/>
    <x v="4"/>
    <n v="5000"/>
    <n v="3539"/>
    <n v="0"/>
    <n v="0"/>
    <n v="3539"/>
    <n v="22"/>
    <n v="0"/>
    <n v="22"/>
    <n v="0"/>
    <n v="1"/>
    <n v="0.70779999999999998"/>
    <n v="1"/>
    <n v="0.70779999999999998"/>
    <s v="Due to insufficient tube fabric ."/>
  </r>
  <r>
    <x v="9"/>
    <x v="0"/>
    <x v="0"/>
    <x v="0"/>
    <n v="10000"/>
    <n v="8915"/>
    <n v="0"/>
    <n v="0"/>
    <n v="8915"/>
    <n v="22"/>
    <n v="0"/>
    <n v="22"/>
    <n v="0"/>
    <n v="1"/>
    <n v="0.89149999999999996"/>
    <n v="1"/>
    <n v="0.89149999999999996"/>
    <m/>
  </r>
  <r>
    <x v="9"/>
    <x v="0"/>
    <x v="1"/>
    <x v="1"/>
    <n v="5000"/>
    <n v="3783"/>
    <n v="0"/>
    <n v="0"/>
    <n v="3783"/>
    <n v="22"/>
    <n v="0"/>
    <n v="22"/>
    <n v="0"/>
    <n v="1"/>
    <n v="0.75660000000000005"/>
    <n v="1"/>
    <n v="0.75660000000000005"/>
    <m/>
  </r>
  <r>
    <x v="9"/>
    <x v="0"/>
    <x v="1"/>
    <x v="2"/>
    <n v="4000"/>
    <n v="4952"/>
    <n v="0"/>
    <n v="0"/>
    <n v="4952"/>
    <m/>
    <m/>
    <s v=""/>
    <s v=""/>
    <s v=""/>
    <n v="1.238"/>
    <n v="1"/>
    <s v=""/>
    <m/>
  </r>
  <r>
    <x v="9"/>
    <x v="0"/>
    <x v="2"/>
    <x v="2"/>
    <n v="7000"/>
    <n v="7886"/>
    <n v="0"/>
    <n v="0"/>
    <n v="7886"/>
    <n v="22"/>
    <n v="0"/>
    <n v="22"/>
    <n v="0"/>
    <n v="1"/>
    <n v="1.1265714285714286"/>
    <n v="1"/>
    <n v="1.1265714285714286"/>
    <m/>
  </r>
  <r>
    <x v="9"/>
    <x v="0"/>
    <x v="3"/>
    <x v="3"/>
    <m/>
    <m/>
    <n v="0"/>
    <s v=""/>
    <n v="0"/>
    <m/>
    <m/>
    <s v=""/>
    <s v=""/>
    <s v=""/>
    <s v=""/>
    <s v=""/>
    <s v=""/>
    <m/>
  </r>
  <r>
    <x v="9"/>
    <x v="0"/>
    <x v="4"/>
    <x v="4"/>
    <n v="9000"/>
    <n v="7707"/>
    <n v="0"/>
    <n v="0"/>
    <n v="7707"/>
    <n v="22"/>
    <n v="0"/>
    <n v="22"/>
    <n v="0"/>
    <n v="1"/>
    <n v="0.85633333333333328"/>
    <n v="1"/>
    <n v="0.85633333333333328"/>
    <m/>
  </r>
  <r>
    <x v="9"/>
    <x v="0"/>
    <x v="5"/>
    <x v="4"/>
    <n v="2803"/>
    <n v="2803"/>
    <m/>
    <m/>
    <m/>
    <m/>
    <m/>
    <s v=""/>
    <m/>
    <m/>
    <m/>
    <m/>
    <m/>
    <m/>
  </r>
  <r>
    <x v="9"/>
    <x v="1"/>
    <x v="6"/>
    <x v="5"/>
    <n v="9000"/>
    <n v="6219"/>
    <n v="0"/>
    <n v="0"/>
    <n v="6219"/>
    <n v="22"/>
    <n v="0"/>
    <n v="22"/>
    <n v="0"/>
    <n v="1"/>
    <n v="0.69099999999999995"/>
    <n v="1"/>
    <n v="0.69099999999999995"/>
    <s v="Due to insufficient tube fabric."/>
  </r>
  <r>
    <x v="9"/>
    <x v="1"/>
    <x v="7"/>
    <x v="6"/>
    <n v="8000"/>
    <n v="6634"/>
    <n v="0"/>
    <n v="0"/>
    <n v="6634"/>
    <n v="22"/>
    <n v="3"/>
    <n v="19"/>
    <n v="1090.909090909091"/>
    <n v="0.86363636363636365"/>
    <n v="0.82925000000000004"/>
    <n v="1"/>
    <n v="0.71617045454545458"/>
    <s v="Due to insufficient tube fabric, along with 2 hours of maintenance in both shifts and a 1-hour machine stoppage caused by a limit issue."/>
  </r>
  <r>
    <x v="9"/>
    <x v="1"/>
    <x v="8"/>
    <x v="4"/>
    <n v="6000"/>
    <n v="3395"/>
    <n v="0"/>
    <n v="0"/>
    <n v="3395"/>
    <n v="22"/>
    <n v="0"/>
    <n v="22"/>
    <n v="0"/>
    <n v="1"/>
    <n v="0.5658333333333333"/>
    <n v="1"/>
    <n v="0.5658333333333333"/>
    <s v="Due to insufficient tube fabric."/>
  </r>
  <r>
    <x v="9"/>
    <x v="1"/>
    <x v="9"/>
    <x v="4"/>
    <n v="5000"/>
    <n v="2058"/>
    <n v="0"/>
    <n v="0"/>
    <n v="2058"/>
    <n v="22"/>
    <n v="0"/>
    <n v="22"/>
    <n v="0"/>
    <n v="1"/>
    <n v="0.41160000000000002"/>
    <n v="1"/>
    <n v="0.41160000000000002"/>
    <s v="Due to insufficient tube fabric, and kept the Monty machine running in night shift."/>
  </r>
  <r>
    <x v="10"/>
    <x v="0"/>
    <x v="0"/>
    <x v="0"/>
    <n v="10000"/>
    <n v="9471"/>
    <n v="0"/>
    <n v="0"/>
    <n v="9471"/>
    <n v="22"/>
    <n v="0"/>
    <n v="22"/>
    <n v="0"/>
    <n v="1"/>
    <n v="0.94710000000000005"/>
    <n v="1"/>
    <n v="0.94710000000000005"/>
    <m/>
  </r>
  <r>
    <x v="10"/>
    <x v="0"/>
    <x v="1"/>
    <x v="1"/>
    <n v="5000"/>
    <n v="3909"/>
    <n v="0"/>
    <n v="0"/>
    <n v="3909"/>
    <n v="22"/>
    <n v="0"/>
    <n v="22"/>
    <n v="0"/>
    <n v="1"/>
    <n v="0.78180000000000005"/>
    <n v="1"/>
    <n v="0.78180000000000005"/>
    <m/>
  </r>
  <r>
    <x v="10"/>
    <x v="0"/>
    <x v="1"/>
    <x v="2"/>
    <n v="4000"/>
    <n v="4786"/>
    <n v="0"/>
    <n v="0"/>
    <n v="4786"/>
    <m/>
    <m/>
    <s v=""/>
    <s v=""/>
    <s v=""/>
    <n v="1.1964999999999999"/>
    <n v="1"/>
    <s v=""/>
    <m/>
  </r>
  <r>
    <x v="10"/>
    <x v="0"/>
    <x v="2"/>
    <x v="2"/>
    <n v="7000"/>
    <n v="7080"/>
    <n v="0"/>
    <n v="0"/>
    <n v="7080"/>
    <n v="22"/>
    <n v="1"/>
    <n v="21"/>
    <n v="318.18181818181819"/>
    <n v="0.95454545454545459"/>
    <n v="1.0114285714285713"/>
    <n v="1"/>
    <n v="0.96545454545454545"/>
    <s v="Due to problem power supply(12pm-1pm)"/>
  </r>
  <r>
    <x v="10"/>
    <x v="0"/>
    <x v="3"/>
    <x v="3"/>
    <m/>
    <m/>
    <n v="0"/>
    <s v=""/>
    <n v="0"/>
    <m/>
    <m/>
    <s v=""/>
    <s v=""/>
    <s v=""/>
    <s v=""/>
    <s v=""/>
    <s v=""/>
    <m/>
  </r>
  <r>
    <x v="10"/>
    <x v="0"/>
    <x v="4"/>
    <x v="4"/>
    <n v="9000"/>
    <n v="9602"/>
    <n v="0"/>
    <n v="0"/>
    <n v="9602"/>
    <n v="22"/>
    <n v="0"/>
    <n v="22"/>
    <n v="0"/>
    <n v="1"/>
    <n v="1.066888888888889"/>
    <n v="1"/>
    <n v="1.066888888888889"/>
    <m/>
  </r>
  <r>
    <x v="10"/>
    <x v="0"/>
    <x v="5"/>
    <x v="4"/>
    <n v="0"/>
    <n v="0"/>
    <m/>
    <m/>
    <m/>
    <m/>
    <m/>
    <s v=""/>
    <m/>
    <m/>
    <m/>
    <m/>
    <m/>
    <m/>
  </r>
  <r>
    <x v="10"/>
    <x v="1"/>
    <x v="6"/>
    <x v="5"/>
    <n v="9000"/>
    <n v="7800"/>
    <n v="0"/>
    <n v="0"/>
    <n v="7800"/>
    <n v="22"/>
    <n v="0"/>
    <n v="22"/>
    <n v="0"/>
    <n v="1"/>
    <n v="0.8666666666666667"/>
    <n v="1"/>
    <n v="0.8666666666666667"/>
    <s v="Due to insufficient tube fabric."/>
  </r>
  <r>
    <x v="10"/>
    <x v="1"/>
    <x v="7"/>
    <x v="6"/>
    <n v="8000"/>
    <n v="7244"/>
    <n v="0"/>
    <n v="0"/>
    <n v="7244"/>
    <n v="22"/>
    <n v="1"/>
    <n v="21"/>
    <n v="363.63636363636363"/>
    <n v="0.95454545454545459"/>
    <n v="0.90549999999999997"/>
    <n v="1"/>
    <n v="0.8643409090909091"/>
    <s v="Due to replace Bearing."/>
  </r>
  <r>
    <x v="10"/>
    <x v="1"/>
    <x v="8"/>
    <x v="4"/>
    <n v="6000"/>
    <n v="3423"/>
    <n v="0"/>
    <n v="0"/>
    <n v="3423"/>
    <n v="22"/>
    <n v="0"/>
    <n v="22"/>
    <n v="0"/>
    <n v="1"/>
    <n v="0.57050000000000001"/>
    <n v="1"/>
    <n v="0.57050000000000001"/>
    <s v="Due to maximum Dia fabric."/>
  </r>
  <r>
    <x v="10"/>
    <x v="1"/>
    <x v="9"/>
    <x v="4"/>
    <n v="5000"/>
    <n v="3835"/>
    <n v="0"/>
    <n v="0"/>
    <n v="3835"/>
    <n v="22"/>
    <n v="0"/>
    <n v="22"/>
    <n v="0"/>
    <n v="1"/>
    <n v="0.76700000000000002"/>
    <n v="1"/>
    <n v="0.76700000000000002"/>
    <s v="Due to maximum Dia fabric."/>
  </r>
  <r>
    <x v="11"/>
    <x v="0"/>
    <x v="0"/>
    <x v="0"/>
    <n v="10000"/>
    <n v="7762"/>
    <n v="0"/>
    <n v="0"/>
    <n v="7762"/>
    <n v="22"/>
    <n v="0"/>
    <n v="22"/>
    <n v="0"/>
    <n v="1"/>
    <n v="0.7762"/>
    <n v="1"/>
    <n v="0.7762"/>
    <m/>
  </r>
  <r>
    <x v="11"/>
    <x v="0"/>
    <x v="1"/>
    <x v="1"/>
    <n v="5000"/>
    <n v="5933"/>
    <n v="0"/>
    <n v="0"/>
    <n v="5933"/>
    <n v="22"/>
    <n v="0"/>
    <n v="22"/>
    <n v="0"/>
    <n v="1"/>
    <n v="1.1866000000000001"/>
    <n v="1"/>
    <n v="1.1866000000000001"/>
    <m/>
  </r>
  <r>
    <x v="11"/>
    <x v="0"/>
    <x v="1"/>
    <x v="2"/>
    <n v="4000"/>
    <n v="2476"/>
    <n v="0"/>
    <n v="0"/>
    <n v="2476"/>
    <m/>
    <m/>
    <s v=""/>
    <s v=""/>
    <s v=""/>
    <n v="0.61899999999999999"/>
    <n v="1"/>
    <s v=""/>
    <m/>
  </r>
  <r>
    <x v="11"/>
    <x v="0"/>
    <x v="2"/>
    <x v="2"/>
    <n v="7000"/>
    <n v="6882"/>
    <n v="0"/>
    <n v="0"/>
    <n v="6882"/>
    <n v="22"/>
    <n v="0"/>
    <n v="22"/>
    <n v="0"/>
    <n v="1"/>
    <n v="0.9831428571428571"/>
    <n v="1"/>
    <n v="0.9831428571428571"/>
    <m/>
  </r>
  <r>
    <x v="11"/>
    <x v="0"/>
    <x v="3"/>
    <x v="3"/>
    <m/>
    <m/>
    <n v="0"/>
    <s v=""/>
    <n v="0"/>
    <m/>
    <m/>
    <s v=""/>
    <s v=""/>
    <s v=""/>
    <s v=""/>
    <s v=""/>
    <s v=""/>
    <m/>
  </r>
  <r>
    <x v="11"/>
    <x v="0"/>
    <x v="4"/>
    <x v="4"/>
    <n v="9000"/>
    <n v="7040"/>
    <n v="0"/>
    <n v="0"/>
    <n v="7040"/>
    <n v="22"/>
    <n v="0"/>
    <n v="22"/>
    <n v="0"/>
    <n v="1"/>
    <n v="0.78222222222222226"/>
    <n v="1"/>
    <n v="0.78222222222222226"/>
    <s v="Due to insufficient open finish."/>
  </r>
  <r>
    <x v="11"/>
    <x v="0"/>
    <x v="5"/>
    <x v="4"/>
    <n v="0"/>
    <n v="0"/>
    <m/>
    <m/>
    <m/>
    <m/>
    <m/>
    <s v=""/>
    <m/>
    <m/>
    <m/>
    <m/>
    <m/>
    <m/>
  </r>
  <r>
    <x v="11"/>
    <x v="1"/>
    <x v="6"/>
    <x v="5"/>
    <n v="9000"/>
    <n v="6687"/>
    <n v="0"/>
    <n v="0"/>
    <n v="6687"/>
    <n v="22"/>
    <n v="2"/>
    <n v="20"/>
    <n v="818.18181818181813"/>
    <n v="0.90909090909090906"/>
    <n v="0.74299999999999999"/>
    <n v="1"/>
    <n v="0.67545454545454542"/>
    <s v="Due to cleaning &amp; electricity problem."/>
  </r>
  <r>
    <x v="11"/>
    <x v="1"/>
    <x v="7"/>
    <x v="6"/>
    <n v="8000"/>
    <n v="2951"/>
    <n v="0"/>
    <n v="0"/>
    <n v="2951"/>
    <n v="22"/>
    <n v="0"/>
    <n v="22"/>
    <n v="0"/>
    <n v="1"/>
    <n v="0.36887500000000001"/>
    <n v="1"/>
    <n v="0.36887500000000001"/>
    <s v="Due to insufficient tube fabric."/>
  </r>
  <r>
    <x v="11"/>
    <x v="1"/>
    <x v="8"/>
    <x v="4"/>
    <n v="6000"/>
    <n v="4043"/>
    <n v="0"/>
    <n v="0"/>
    <n v="4043"/>
    <n v="22"/>
    <n v="0"/>
    <n v="22"/>
    <n v="0"/>
    <n v="1"/>
    <n v="0.67383333333333328"/>
    <n v="1"/>
    <n v="0.67383333333333328"/>
    <s v="Due to maximum Dia fabric."/>
  </r>
  <r>
    <x v="11"/>
    <x v="1"/>
    <x v="9"/>
    <x v="4"/>
    <n v="5000"/>
    <n v="8903"/>
    <n v="0"/>
    <n v="0"/>
    <n v="8903"/>
    <n v="22"/>
    <n v="2"/>
    <n v="20"/>
    <n v="454.54545454545456"/>
    <n v="0.90909090909090906"/>
    <n v="1.7806"/>
    <n v="1"/>
    <n v="1.6187272727272726"/>
    <s v="Machine was stopped for 2 hours due to scheduled maintenance work."/>
  </r>
  <r>
    <x v="12"/>
    <x v="0"/>
    <x v="0"/>
    <x v="0"/>
    <n v="10000"/>
    <n v="3125"/>
    <n v="0"/>
    <n v="0"/>
    <n v="3125"/>
    <n v="22"/>
    <n v="3"/>
    <n v="19"/>
    <n v="1363.6363636363637"/>
    <n v="0.86363636363636365"/>
    <n v="0.3125"/>
    <n v="1"/>
    <n v="0.26988636363636365"/>
    <s v="Machine was stopped for 3 hours due to scheduled maintenance work."/>
  </r>
  <r>
    <x v="12"/>
    <x v="0"/>
    <x v="1"/>
    <x v="1"/>
    <n v="5000"/>
    <n v="4744"/>
    <n v="0"/>
    <n v="0"/>
    <n v="4744"/>
    <m/>
    <m/>
    <s v=""/>
    <s v=""/>
    <s v=""/>
    <n v="0.94879999999999998"/>
    <n v="1"/>
    <s v=""/>
    <m/>
  </r>
  <r>
    <x v="12"/>
    <x v="0"/>
    <x v="1"/>
    <x v="2"/>
    <n v="4000"/>
    <n v="7201"/>
    <n v="0"/>
    <n v="0"/>
    <n v="7201"/>
    <n v="22"/>
    <n v="3"/>
    <n v="19"/>
    <n v="545.4545454545455"/>
    <n v="0.86363636363636365"/>
    <n v="1.8002499999999999"/>
    <n v="1"/>
    <n v="1.5547613636363635"/>
    <s v="Machine was stopped for 3 hours due to scheduled maintenance work."/>
  </r>
  <r>
    <x v="12"/>
    <x v="0"/>
    <x v="2"/>
    <x v="2"/>
    <n v="7000"/>
    <m/>
    <n v="0"/>
    <s v=""/>
    <n v="0"/>
    <m/>
    <m/>
    <s v=""/>
    <s v=""/>
    <s v=""/>
    <n v="0"/>
    <s v=""/>
    <s v=""/>
    <m/>
  </r>
  <r>
    <x v="12"/>
    <x v="0"/>
    <x v="3"/>
    <x v="3"/>
    <n v="7800"/>
    <n v="7512"/>
    <n v="0"/>
    <n v="0"/>
    <n v="7512"/>
    <n v="22"/>
    <n v="0"/>
    <n v="22"/>
    <n v="0"/>
    <n v="1"/>
    <n v="0.96307692307692305"/>
    <n v="1"/>
    <n v="0.96307692307692305"/>
    <m/>
  </r>
  <r>
    <x v="12"/>
    <x v="0"/>
    <x v="4"/>
    <x v="4"/>
    <n v="9000"/>
    <n v="0"/>
    <n v="0"/>
    <s v=""/>
    <n v="0"/>
    <n v="22"/>
    <n v="0"/>
    <n v="22"/>
    <n v="0"/>
    <n v="1"/>
    <n v="0"/>
    <s v=""/>
    <s v=""/>
    <s v="Machine was down from 5Pm to till due to coil damage."/>
  </r>
  <r>
    <x v="12"/>
    <x v="0"/>
    <x v="5"/>
    <x v="4"/>
    <n v="0"/>
    <n v="0"/>
    <m/>
    <m/>
    <m/>
    <m/>
    <m/>
    <s v=""/>
    <m/>
    <m/>
    <m/>
    <m/>
    <m/>
    <s v="Due to insufficient tube fabric."/>
  </r>
  <r>
    <x v="12"/>
    <x v="1"/>
    <x v="6"/>
    <x v="5"/>
    <n v="9000"/>
    <n v="4766"/>
    <n v="0"/>
    <n v="0"/>
    <n v="4766"/>
    <n v="22"/>
    <n v="2"/>
    <n v="20"/>
    <n v="818.18181818181813"/>
    <n v="0.90909090909090906"/>
    <n v="0.52955555555555556"/>
    <n v="1"/>
    <n v="0.48141414141414141"/>
    <s v="Due to cleaning &amp; electricity problem."/>
  </r>
  <r>
    <x v="12"/>
    <x v="1"/>
    <x v="7"/>
    <x v="6"/>
    <n v="8000"/>
    <n v="2759"/>
    <n v="0"/>
    <n v="0"/>
    <n v="2759"/>
    <n v="22"/>
    <n v="0"/>
    <n v="22"/>
    <n v="0"/>
    <n v="1"/>
    <n v="0.34487499999999999"/>
    <n v="1"/>
    <n v="0.34487499999999999"/>
    <s v="Due to insufficient tube fabric."/>
  </r>
  <r>
    <x v="12"/>
    <x v="1"/>
    <x v="8"/>
    <x v="4"/>
    <n v="6000"/>
    <n v="2097"/>
    <n v="0"/>
    <n v="0"/>
    <n v="2097"/>
    <n v="22"/>
    <n v="0"/>
    <n v="22"/>
    <n v="0"/>
    <n v="1"/>
    <n v="0.34949999999999998"/>
    <n v="1"/>
    <n v="0.34949999999999998"/>
    <s v="Due to maximum Dia fabric."/>
  </r>
  <r>
    <x v="12"/>
    <x v="1"/>
    <x v="9"/>
    <x v="4"/>
    <n v="5000"/>
    <n v="7578"/>
    <n v="0"/>
    <n v="0"/>
    <n v="7578"/>
    <n v="22"/>
    <n v="0"/>
    <n v="22"/>
    <n v="0"/>
    <n v="1"/>
    <n v="1.5156000000000001"/>
    <n v="1"/>
    <n v="1.5156000000000001"/>
    <s v="Duty ten hours in B shift."/>
  </r>
  <r>
    <x v="13"/>
    <x v="0"/>
    <x v="0"/>
    <x v="0"/>
    <n v="10000"/>
    <n v="3125"/>
    <n v="0"/>
    <n v="0"/>
    <n v="3125"/>
    <n v="22"/>
    <n v="0"/>
    <n v="22"/>
    <n v="0"/>
    <n v="1"/>
    <n v="0.3125"/>
    <n v="1"/>
    <n v="0.3125"/>
    <s v="Duty ten hours in B shift."/>
  </r>
  <r>
    <x v="13"/>
    <x v="0"/>
    <x v="1"/>
    <x v="1"/>
    <n v="5000"/>
    <n v="4744"/>
    <n v="0"/>
    <n v="0"/>
    <n v="4744"/>
    <m/>
    <m/>
    <s v=""/>
    <s v=""/>
    <s v=""/>
    <n v="0.94879999999999998"/>
    <n v="1"/>
    <s v=""/>
    <s v="Duty ten hours in B shift."/>
  </r>
  <r>
    <x v="13"/>
    <x v="0"/>
    <x v="1"/>
    <x v="2"/>
    <n v="4000"/>
    <n v="6250"/>
    <n v="0"/>
    <n v="0"/>
    <n v="6250"/>
    <n v="22"/>
    <n v="0"/>
    <n v="22"/>
    <n v="0"/>
    <n v="1"/>
    <n v="1.5625"/>
    <n v="1"/>
    <n v="1.5625"/>
    <s v="Duty ten hours in B shift."/>
  </r>
  <r>
    <x v="13"/>
    <x v="0"/>
    <x v="2"/>
    <x v="2"/>
    <n v="7000"/>
    <m/>
    <n v="0"/>
    <s v=""/>
    <n v="0"/>
    <m/>
    <m/>
    <s v=""/>
    <s v=""/>
    <s v=""/>
    <n v="0"/>
    <s v=""/>
    <s v=""/>
    <m/>
  </r>
  <r>
    <x v="13"/>
    <x v="0"/>
    <x v="3"/>
    <x v="3"/>
    <n v="7800"/>
    <n v="8004"/>
    <n v="0"/>
    <n v="0"/>
    <n v="8004"/>
    <n v="22"/>
    <n v="0"/>
    <n v="22"/>
    <n v="0"/>
    <n v="1"/>
    <n v="1.0261538461538462"/>
    <n v="1"/>
    <n v="1.0261538461538462"/>
    <m/>
  </r>
  <r>
    <x v="13"/>
    <x v="0"/>
    <x v="4"/>
    <x v="4"/>
    <n v="9000"/>
    <n v="0"/>
    <n v="0"/>
    <s v=""/>
    <n v="0"/>
    <n v="22"/>
    <n v="0"/>
    <n v="22"/>
    <n v="0"/>
    <n v="1"/>
    <n v="0"/>
    <s v=""/>
    <s v=""/>
    <s v="Machine was down due to coil damage."/>
  </r>
  <r>
    <x v="13"/>
    <x v="0"/>
    <x v="5"/>
    <x v="4"/>
    <n v="0"/>
    <n v="0"/>
    <m/>
    <m/>
    <m/>
    <m/>
    <m/>
    <s v=""/>
    <m/>
    <m/>
    <m/>
    <m/>
    <m/>
    <s v="Due to insufficient tube fabric."/>
  </r>
  <r>
    <x v="13"/>
    <x v="1"/>
    <x v="6"/>
    <x v="5"/>
    <n v="9000"/>
    <n v="5333"/>
    <n v="0"/>
    <n v="0"/>
    <n v="5333"/>
    <n v="22"/>
    <n v="2"/>
    <n v="20"/>
    <n v="818.18181818181813"/>
    <n v="0.90909090909090906"/>
    <n v="0.5925555555555555"/>
    <n v="1"/>
    <n v="0.53868686868686866"/>
    <s v="Due to insufficient tube fabric."/>
  </r>
  <r>
    <x v="13"/>
    <x v="1"/>
    <x v="7"/>
    <x v="6"/>
    <n v="8000"/>
    <n v="2558"/>
    <n v="0"/>
    <n v="0"/>
    <n v="2558"/>
    <n v="22"/>
    <n v="0"/>
    <n v="22"/>
    <n v="0"/>
    <n v="1"/>
    <n v="0.31974999999999998"/>
    <n v="1"/>
    <n v="0.31974999999999998"/>
    <s v="Due to insufficient tube fabric."/>
  </r>
  <r>
    <x v="13"/>
    <x v="1"/>
    <x v="8"/>
    <x v="4"/>
    <n v="6000"/>
    <n v="2410"/>
    <n v="0"/>
    <n v="0"/>
    <n v="2410"/>
    <n v="22"/>
    <n v="0"/>
    <n v="22"/>
    <n v="0"/>
    <n v="1"/>
    <n v="0.40166666666666667"/>
    <n v="1"/>
    <n v="0.40166666666666667"/>
    <s v="Due to maximum Dia fabric."/>
  </r>
  <r>
    <x v="13"/>
    <x v="1"/>
    <x v="9"/>
    <x v="4"/>
    <n v="5000"/>
    <n v="5890"/>
    <n v="0"/>
    <n v="0"/>
    <n v="5890"/>
    <n v="16"/>
    <n v="0"/>
    <n v="16"/>
    <n v="0"/>
    <n v="1"/>
    <n v="1.1779999999999999"/>
    <n v="1"/>
    <n v="1.1779999999999999"/>
    <m/>
  </r>
  <r>
    <x v="14"/>
    <x v="0"/>
    <x v="0"/>
    <x v="0"/>
    <n v="10000"/>
    <n v="1343"/>
    <n v="0"/>
    <n v="0"/>
    <n v="1343"/>
    <n v="16"/>
    <n v="0"/>
    <n v="16"/>
    <n v="0"/>
    <n v="1"/>
    <n v="0.1343"/>
    <n v="1"/>
    <n v="0.1343"/>
    <m/>
  </r>
  <r>
    <x v="14"/>
    <x v="0"/>
    <x v="1"/>
    <x v="1"/>
    <n v="5000"/>
    <n v="4005"/>
    <n v="0"/>
    <n v="0"/>
    <n v="4005"/>
    <m/>
    <m/>
    <s v=""/>
    <s v=""/>
    <s v=""/>
    <n v="0.80100000000000005"/>
    <n v="1"/>
    <s v=""/>
    <m/>
  </r>
  <r>
    <x v="14"/>
    <x v="0"/>
    <x v="1"/>
    <x v="2"/>
    <n v="4000"/>
    <n v="5094"/>
    <n v="0"/>
    <n v="0"/>
    <n v="5094"/>
    <n v="16"/>
    <n v="0"/>
    <n v="16"/>
    <n v="0"/>
    <n v="1"/>
    <n v="1.2735000000000001"/>
    <n v="1"/>
    <n v="1.2735000000000001"/>
    <m/>
  </r>
  <r>
    <x v="14"/>
    <x v="0"/>
    <x v="2"/>
    <x v="2"/>
    <n v="7000"/>
    <m/>
    <n v="0"/>
    <s v=""/>
    <n v="0"/>
    <m/>
    <m/>
    <s v=""/>
    <s v=""/>
    <s v=""/>
    <n v="0"/>
    <s v=""/>
    <s v=""/>
    <m/>
  </r>
  <r>
    <x v="14"/>
    <x v="0"/>
    <x v="3"/>
    <x v="3"/>
    <n v="7800"/>
    <n v="4973"/>
    <n v="0"/>
    <n v="0"/>
    <n v="4973"/>
    <n v="16"/>
    <n v="0"/>
    <n v="16"/>
    <n v="0"/>
    <n v="1"/>
    <n v="0.63756410256410256"/>
    <n v="1"/>
    <n v="0.63756410256410256"/>
    <m/>
  </r>
  <r>
    <x v="14"/>
    <x v="0"/>
    <x v="4"/>
    <x v="4"/>
    <n v="9000"/>
    <n v="1596"/>
    <n v="0"/>
    <n v="0"/>
    <n v="1596"/>
    <n v="16"/>
    <n v="0"/>
    <n v="16"/>
    <n v="0"/>
    <n v="1"/>
    <n v="0.17733333333333334"/>
    <n v="1"/>
    <n v="0.17733333333333334"/>
    <m/>
  </r>
  <r>
    <x v="14"/>
    <x v="0"/>
    <x v="5"/>
    <x v="4"/>
    <n v="1596"/>
    <n v="1596"/>
    <m/>
    <m/>
    <m/>
    <m/>
    <m/>
    <s v=""/>
    <m/>
    <m/>
    <m/>
    <m/>
    <m/>
    <s v="Due to insufficient tube fabric."/>
  </r>
  <r>
    <x v="14"/>
    <x v="1"/>
    <x v="6"/>
    <x v="5"/>
    <n v="9000"/>
    <n v="4061"/>
    <n v="0"/>
    <n v="0"/>
    <n v="4061"/>
    <n v="16"/>
    <n v="2"/>
    <n v="14"/>
    <n v="1125"/>
    <n v="0.875"/>
    <n v="0.45122222222222225"/>
    <n v="1"/>
    <n v="0.39481944444444445"/>
    <s v="Due to insufficient tube fabric, the machine remained off for 2 hours across two shifts for maintenance."/>
  </r>
  <r>
    <x v="14"/>
    <x v="1"/>
    <x v="7"/>
    <x v="6"/>
    <n v="8000"/>
    <n v="3495"/>
    <n v="0"/>
    <n v="0"/>
    <n v="3495"/>
    <n v="16"/>
    <n v="0"/>
    <n v="16"/>
    <n v="0"/>
    <n v="1"/>
    <n v="0.43687500000000001"/>
    <n v="1"/>
    <n v="0.43687500000000001"/>
    <s v="Due to insufficient tube fabric."/>
  </r>
  <r>
    <x v="14"/>
    <x v="1"/>
    <x v="8"/>
    <x v="4"/>
    <n v="6000"/>
    <n v="946"/>
    <n v="0"/>
    <n v="0"/>
    <n v="946"/>
    <n v="16"/>
    <n v="0"/>
    <n v="16"/>
    <n v="0"/>
    <n v="1"/>
    <n v="0.15766666666666668"/>
    <n v="1"/>
    <n v="0.15766666666666668"/>
    <s v="Due to insufficient tube fabric, the Monty machine was operated only in A shift."/>
  </r>
  <r>
    <x v="14"/>
    <x v="1"/>
    <x v="9"/>
    <x v="4"/>
    <n v="5000"/>
    <n v="7296"/>
    <n v="0"/>
    <n v="0"/>
    <n v="7296"/>
    <n v="22"/>
    <n v="2"/>
    <n v="20"/>
    <n v="454.54545454545456"/>
    <n v="0.90909090909090906"/>
    <n v="1.4592000000000001"/>
    <n v="1"/>
    <n v="1.3265454545454545"/>
    <s v="Machine was stopped for 2 hours due to scheduled maintenance work."/>
  </r>
  <r>
    <x v="15"/>
    <x v="0"/>
    <x v="0"/>
    <x v="0"/>
    <n v="10000"/>
    <n v="7039"/>
    <n v="0"/>
    <n v="0"/>
    <n v="7039"/>
    <n v="22"/>
    <n v="3"/>
    <n v="19"/>
    <n v="1363.6363636363637"/>
    <n v="0.86363636363636365"/>
    <n v="0.70389999999999997"/>
    <n v="1"/>
    <n v="0.60791363636363638"/>
    <s v="Machine was stopped for 3 hours due to scheduled maintenance work."/>
  </r>
  <r>
    <x v="15"/>
    <x v="0"/>
    <x v="1"/>
    <x v="1"/>
    <n v="5000"/>
    <n v="0"/>
    <n v="0"/>
    <s v=""/>
    <n v="0"/>
    <m/>
    <m/>
    <s v=""/>
    <s v=""/>
    <s v=""/>
    <n v="0"/>
    <s v=""/>
    <s v=""/>
    <m/>
  </r>
  <r>
    <x v="15"/>
    <x v="0"/>
    <x v="1"/>
    <x v="2"/>
    <n v="4000"/>
    <n v="6577"/>
    <n v="0"/>
    <n v="0"/>
    <n v="6577"/>
    <n v="22"/>
    <n v="3"/>
    <n v="19"/>
    <n v="545.4545454545455"/>
    <n v="0.86363636363636365"/>
    <n v="1.64425"/>
    <n v="1"/>
    <n v="1.4200340909090909"/>
    <s v="Machine was stopped for 3 hours due to scheduled maintenance work."/>
  </r>
  <r>
    <x v="15"/>
    <x v="0"/>
    <x v="2"/>
    <x v="2"/>
    <n v="7000"/>
    <m/>
    <n v="0"/>
    <s v=""/>
    <n v="0"/>
    <m/>
    <m/>
    <s v=""/>
    <s v=""/>
    <s v=""/>
    <n v="0"/>
    <s v=""/>
    <s v=""/>
    <m/>
  </r>
  <r>
    <x v="15"/>
    <x v="0"/>
    <x v="3"/>
    <x v="3"/>
    <n v="7800"/>
    <n v="7319"/>
    <n v="0"/>
    <n v="0"/>
    <n v="7319"/>
    <n v="22"/>
    <n v="1"/>
    <n v="21"/>
    <n v="354.54545454545456"/>
    <n v="0.95454545454545459"/>
    <n v="0.93833333333333335"/>
    <n v="1"/>
    <n v="0.89568181818181825"/>
    <s v="Machine was stopped for 1 hours due to scheduled maintenance work."/>
  </r>
  <r>
    <x v="15"/>
    <x v="0"/>
    <x v="4"/>
    <x v="4"/>
    <n v="9000"/>
    <n v="0"/>
    <n v="0"/>
    <s v=""/>
    <n v="0"/>
    <n v="22"/>
    <n v="0"/>
    <n v="22"/>
    <n v="0"/>
    <n v="1"/>
    <n v="0"/>
    <s v=""/>
    <s v=""/>
    <m/>
  </r>
  <r>
    <x v="15"/>
    <x v="0"/>
    <x v="5"/>
    <x v="4"/>
    <n v="0"/>
    <n v="0"/>
    <m/>
    <m/>
    <m/>
    <m/>
    <m/>
    <s v=""/>
    <m/>
    <m/>
    <m/>
    <m/>
    <m/>
    <s v="Machine was stopped for 3 hours due to scheduled maintenance work."/>
  </r>
  <r>
    <x v="15"/>
    <x v="1"/>
    <x v="6"/>
    <x v="5"/>
    <n v="9000"/>
    <n v="4790"/>
    <n v="0"/>
    <n v="0"/>
    <n v="4790"/>
    <n v="22"/>
    <n v="6"/>
    <n v="16"/>
    <n v="2454.5454545454545"/>
    <n v="0.72727272727272729"/>
    <n v="0.53222222222222226"/>
    <n v="1"/>
    <n v="0.38707070707070712"/>
    <s v="The machine was stopped for 4 hours due to scheduled maintenance work. Additionally, due to unavailability of fabric, the B shift was closed at 6:00 PM."/>
  </r>
  <r>
    <x v="15"/>
    <x v="1"/>
    <x v="7"/>
    <x v="6"/>
    <n v="8000"/>
    <n v="3924"/>
    <n v="0"/>
    <n v="0"/>
    <n v="3924"/>
    <n v="22"/>
    <n v="0"/>
    <n v="22"/>
    <n v="0"/>
    <n v="1"/>
    <n v="0.49049999999999999"/>
    <n v="1"/>
    <n v="0.49049999999999999"/>
    <s v="Due to insufficient tube fabric."/>
  </r>
  <r>
    <x v="15"/>
    <x v="1"/>
    <x v="8"/>
    <x v="4"/>
    <n v="6000"/>
    <n v="850"/>
    <n v="0"/>
    <n v="0"/>
    <n v="850"/>
    <n v="22"/>
    <n v="0"/>
    <n v="22"/>
    <n v="0"/>
    <n v="1"/>
    <n v="0.14166666666666666"/>
    <n v="1"/>
    <n v="0.14166666666666666"/>
    <s v="Due to insufficient tube fabric."/>
  </r>
  <r>
    <x v="15"/>
    <x v="1"/>
    <x v="9"/>
    <x v="4"/>
    <n v="5000"/>
    <n v="8546"/>
    <n v="0"/>
    <n v="0"/>
    <n v="8546"/>
    <n v="22"/>
    <n v="0"/>
    <n v="22"/>
    <n v="0"/>
    <n v="1"/>
    <n v="1.7092000000000001"/>
    <n v="1"/>
    <n v="1.7092000000000001"/>
    <m/>
  </r>
  <r>
    <x v="16"/>
    <x v="0"/>
    <x v="0"/>
    <x v="0"/>
    <n v="10000"/>
    <n v="2873"/>
    <n v="0"/>
    <n v="0"/>
    <n v="2873"/>
    <n v="22"/>
    <n v="0"/>
    <n v="22"/>
    <n v="0"/>
    <n v="1"/>
    <n v="0.2873"/>
    <n v="1"/>
    <n v="0.2873"/>
    <m/>
  </r>
  <r>
    <x v="16"/>
    <x v="0"/>
    <x v="1"/>
    <x v="1"/>
    <n v="5000"/>
    <n v="5960"/>
    <n v="0"/>
    <n v="0"/>
    <n v="5960"/>
    <m/>
    <m/>
    <s v=""/>
    <s v=""/>
    <s v=""/>
    <n v="1.1919999999999999"/>
    <n v="1"/>
    <s v=""/>
    <m/>
  </r>
  <r>
    <x v="16"/>
    <x v="0"/>
    <x v="1"/>
    <x v="2"/>
    <n v="4000"/>
    <n v="6649"/>
    <n v="0"/>
    <n v="0"/>
    <n v="6649"/>
    <n v="22"/>
    <n v="0"/>
    <n v="22"/>
    <n v="0"/>
    <n v="1"/>
    <n v="1.66225"/>
    <n v="1"/>
    <n v="1.66225"/>
    <m/>
  </r>
  <r>
    <x v="16"/>
    <x v="0"/>
    <x v="2"/>
    <x v="2"/>
    <n v="7000"/>
    <m/>
    <n v="0"/>
    <s v=""/>
    <n v="0"/>
    <m/>
    <m/>
    <s v=""/>
    <s v=""/>
    <s v=""/>
    <n v="0"/>
    <s v=""/>
    <s v=""/>
    <m/>
  </r>
  <r>
    <x v="16"/>
    <x v="0"/>
    <x v="3"/>
    <x v="3"/>
    <n v="7800"/>
    <n v="7779"/>
    <n v="0"/>
    <n v="0"/>
    <n v="7779"/>
    <n v="22"/>
    <n v="0"/>
    <n v="22"/>
    <n v="0"/>
    <n v="1"/>
    <n v="0.99730769230769234"/>
    <n v="1"/>
    <n v="0.99730769230769234"/>
    <m/>
  </r>
  <r>
    <x v="16"/>
    <x v="0"/>
    <x v="4"/>
    <x v="4"/>
    <n v="9000"/>
    <n v="3796"/>
    <n v="0"/>
    <n v="0"/>
    <n v="3796"/>
    <n v="22"/>
    <n v="0"/>
    <n v="22"/>
    <n v="0"/>
    <n v="1"/>
    <n v="0.42177777777777775"/>
    <n v="1"/>
    <n v="0.42177777777777775"/>
    <m/>
  </r>
  <r>
    <x v="16"/>
    <x v="0"/>
    <x v="5"/>
    <x v="4"/>
    <n v="3796"/>
    <n v="3796"/>
    <m/>
    <m/>
    <m/>
    <m/>
    <m/>
    <s v=""/>
    <m/>
    <m/>
    <m/>
    <m/>
    <m/>
    <s v="Due to insufficient tube fabric."/>
  </r>
  <r>
    <x v="16"/>
    <x v="1"/>
    <x v="6"/>
    <x v="5"/>
    <n v="9000"/>
    <n v="5476"/>
    <n v="0"/>
    <n v="0"/>
    <n v="5476"/>
    <n v="22"/>
    <n v="5"/>
    <n v="17"/>
    <n v="2045.4545454545453"/>
    <n v="0.77272727272727271"/>
    <n v="0.60844444444444445"/>
    <n v="1"/>
    <n v="0.47016161616161617"/>
    <s v="Machine was stopped for 2 hours due to scheduled maintenance work. Additionally, due to unavailability of fabric, was stopped for 3 hours"/>
  </r>
  <r>
    <x v="16"/>
    <x v="1"/>
    <x v="7"/>
    <x v="6"/>
    <n v="8000"/>
    <n v="3729"/>
    <n v="0"/>
    <n v="0"/>
    <n v="3729"/>
    <n v="22"/>
    <n v="0"/>
    <n v="22"/>
    <n v="0"/>
    <n v="1"/>
    <n v="0.46612500000000001"/>
    <n v="1"/>
    <n v="0.46612500000000001"/>
    <s v="Due to insufficient tube fabric."/>
  </r>
  <r>
    <x v="16"/>
    <x v="1"/>
    <x v="8"/>
    <x v="4"/>
    <n v="6000"/>
    <n v="3704"/>
    <n v="0"/>
    <n v="0"/>
    <n v="3704"/>
    <n v="22"/>
    <n v="0"/>
    <n v="22"/>
    <n v="0"/>
    <n v="1"/>
    <n v="0.61733333333333329"/>
    <n v="1"/>
    <n v="0.61733333333333329"/>
    <s v="Due to insufficient tube fabric."/>
  </r>
  <r>
    <x v="16"/>
    <x v="1"/>
    <x v="9"/>
    <x v="4"/>
    <n v="5000"/>
    <n v="8462"/>
    <n v="0"/>
    <n v="0"/>
    <n v="8462"/>
    <n v="22"/>
    <n v="0"/>
    <n v="22"/>
    <n v="0"/>
    <n v="1"/>
    <n v="1.6923999999999999"/>
    <n v="1"/>
    <n v="1.6923999999999999"/>
    <m/>
  </r>
  <r>
    <x v="17"/>
    <x v="0"/>
    <x v="0"/>
    <x v="0"/>
    <n v="10000"/>
    <n v="3665"/>
    <n v="0"/>
    <n v="0"/>
    <n v="3665"/>
    <n v="22"/>
    <n v="0"/>
    <n v="22"/>
    <n v="0"/>
    <n v="1"/>
    <n v="0.36649999999999999"/>
    <n v="1"/>
    <n v="0.36649999999999999"/>
    <m/>
  </r>
  <r>
    <x v="17"/>
    <x v="0"/>
    <x v="1"/>
    <x v="1"/>
    <n v="5000"/>
    <n v="4921"/>
    <n v="0"/>
    <n v="0"/>
    <n v="4921"/>
    <m/>
    <m/>
    <s v=""/>
    <s v=""/>
    <s v=""/>
    <n v="0.98419999999999996"/>
    <n v="1"/>
    <s v=""/>
    <m/>
  </r>
  <r>
    <x v="17"/>
    <x v="0"/>
    <x v="1"/>
    <x v="2"/>
    <n v="4000"/>
    <n v="6961"/>
    <n v="0"/>
    <n v="0"/>
    <n v="6961"/>
    <n v="22"/>
    <n v="0"/>
    <n v="22"/>
    <n v="0"/>
    <n v="1"/>
    <n v="1.7402500000000001"/>
    <n v="1"/>
    <n v="1.7402500000000001"/>
    <m/>
  </r>
  <r>
    <x v="17"/>
    <x v="0"/>
    <x v="2"/>
    <x v="2"/>
    <n v="7000"/>
    <m/>
    <n v="0"/>
    <s v=""/>
    <n v="0"/>
    <m/>
    <m/>
    <s v=""/>
    <s v=""/>
    <s v=""/>
    <n v="0"/>
    <s v=""/>
    <s v=""/>
    <m/>
  </r>
  <r>
    <x v="17"/>
    <x v="0"/>
    <x v="3"/>
    <x v="3"/>
    <n v="7800"/>
    <n v="6918"/>
    <n v="0"/>
    <n v="0"/>
    <n v="6918"/>
    <n v="22"/>
    <n v="0"/>
    <n v="22"/>
    <n v="0"/>
    <n v="1"/>
    <n v="0.88692307692307693"/>
    <n v="1"/>
    <n v="0.88692307692307693"/>
    <m/>
  </r>
  <r>
    <x v="17"/>
    <x v="0"/>
    <x v="4"/>
    <x v="4"/>
    <n v="9000"/>
    <n v="0"/>
    <n v="0"/>
    <s v=""/>
    <n v="0"/>
    <n v="22"/>
    <n v="0"/>
    <n v="22"/>
    <n v="0"/>
    <n v="1"/>
    <n v="0"/>
    <s v=""/>
    <s v=""/>
    <s v="Due to insufficient fabric."/>
  </r>
  <r>
    <x v="17"/>
    <x v="0"/>
    <x v="5"/>
    <x v="4"/>
    <n v="0"/>
    <n v="0"/>
    <m/>
    <m/>
    <m/>
    <m/>
    <m/>
    <s v=""/>
    <m/>
    <m/>
    <m/>
    <m/>
    <m/>
    <s v="B shift: Machine downtime of 4 hours due to insufficient fabric supply."/>
  </r>
  <r>
    <x v="17"/>
    <x v="1"/>
    <x v="6"/>
    <x v="5"/>
    <n v="9000"/>
    <n v="6808"/>
    <n v="0"/>
    <n v="0"/>
    <n v="6808"/>
    <n v="22"/>
    <n v="2"/>
    <n v="20"/>
    <n v="818.18181818181813"/>
    <n v="0.90909090909090906"/>
    <n v="0.75644444444444447"/>
    <n v="1"/>
    <n v="0.68767676767676766"/>
    <s v="Machine was stopped for 2 hours due to scheduled maintenance work. Additionally, due to unavailability of fabric, was stopped for 3 hours"/>
  </r>
  <r>
    <x v="17"/>
    <x v="1"/>
    <x v="7"/>
    <x v="6"/>
    <n v="8000"/>
    <n v="4652"/>
    <n v="0"/>
    <n v="0"/>
    <n v="4652"/>
    <n v="22"/>
    <n v="0"/>
    <n v="22"/>
    <n v="0"/>
    <n v="1"/>
    <n v="0.58150000000000002"/>
    <n v="1"/>
    <n v="0.58150000000000002"/>
    <s v="Due to insufficient tube fabric."/>
  </r>
  <r>
    <x v="17"/>
    <x v="1"/>
    <x v="8"/>
    <x v="4"/>
    <n v="6000"/>
    <n v="1138"/>
    <n v="0"/>
    <n v="0"/>
    <n v="1138"/>
    <n v="22"/>
    <n v="0"/>
    <n v="22"/>
    <n v="0"/>
    <n v="1"/>
    <n v="0.18966666666666668"/>
    <n v="1"/>
    <n v="0.18966666666666668"/>
    <s v="Due to insufficient tube fabric."/>
  </r>
  <r>
    <x v="17"/>
    <x v="1"/>
    <x v="9"/>
    <x v="4"/>
    <n v="5000"/>
    <n v="8592"/>
    <n v="0"/>
    <n v="0"/>
    <n v="8592"/>
    <n v="22"/>
    <n v="0"/>
    <n v="22"/>
    <n v="0"/>
    <n v="1"/>
    <n v="1.7183999999999999"/>
    <n v="1"/>
    <n v="1.7183999999999999"/>
    <m/>
  </r>
  <r>
    <x v="18"/>
    <x v="0"/>
    <x v="0"/>
    <x v="0"/>
    <n v="10000"/>
    <n v="6534"/>
    <n v="0"/>
    <n v="0"/>
    <n v="6534"/>
    <n v="22"/>
    <n v="0"/>
    <n v="22"/>
    <n v="0"/>
    <n v="1"/>
    <n v="0.65339999999999998"/>
    <n v="1"/>
    <n v="0.65339999999999998"/>
    <m/>
  </r>
  <r>
    <x v="18"/>
    <x v="0"/>
    <x v="1"/>
    <x v="1"/>
    <n v="5000"/>
    <n v="1087"/>
    <n v="0"/>
    <n v="0"/>
    <n v="1087"/>
    <m/>
    <m/>
    <s v=""/>
    <s v=""/>
    <s v=""/>
    <n v="0.21740000000000001"/>
    <n v="1"/>
    <s v=""/>
    <m/>
  </r>
  <r>
    <x v="18"/>
    <x v="0"/>
    <x v="1"/>
    <x v="2"/>
    <n v="4000"/>
    <n v="6989"/>
    <n v="0"/>
    <n v="0"/>
    <n v="6989"/>
    <n v="22"/>
    <n v="0"/>
    <n v="22"/>
    <n v="0"/>
    <n v="1"/>
    <n v="1.74725"/>
    <n v="1"/>
    <n v="1.74725"/>
    <m/>
  </r>
  <r>
    <x v="18"/>
    <x v="0"/>
    <x v="2"/>
    <x v="2"/>
    <n v="7000"/>
    <m/>
    <n v="0"/>
    <s v=""/>
    <n v="0"/>
    <m/>
    <m/>
    <s v=""/>
    <s v=""/>
    <s v=""/>
    <n v="0"/>
    <s v=""/>
    <s v=""/>
    <m/>
  </r>
  <r>
    <x v="18"/>
    <x v="0"/>
    <x v="3"/>
    <x v="3"/>
    <n v="7800"/>
    <n v="6703"/>
    <n v="0"/>
    <n v="0"/>
    <n v="6703"/>
    <n v="22"/>
    <n v="0"/>
    <n v="22"/>
    <n v="0"/>
    <n v="1"/>
    <n v="0.85935897435897435"/>
    <n v="1"/>
    <n v="0.85935897435897435"/>
    <m/>
  </r>
  <r>
    <x v="18"/>
    <x v="0"/>
    <x v="4"/>
    <x v="4"/>
    <n v="9000"/>
    <n v="0"/>
    <n v="0"/>
    <s v=""/>
    <n v="0"/>
    <n v="22"/>
    <n v="0"/>
    <n v="22"/>
    <n v="0"/>
    <n v="1"/>
    <n v="0"/>
    <s v=""/>
    <s v=""/>
    <m/>
  </r>
  <r>
    <x v="18"/>
    <x v="0"/>
    <x v="5"/>
    <x v="4"/>
    <n v="0"/>
    <n v="0"/>
    <m/>
    <m/>
    <m/>
    <m/>
    <m/>
    <s v=""/>
    <m/>
    <m/>
    <m/>
    <m/>
    <m/>
    <m/>
  </r>
  <r>
    <x v="18"/>
    <x v="1"/>
    <x v="6"/>
    <x v="5"/>
    <n v="9000"/>
    <n v="7086"/>
    <n v="0"/>
    <n v="0"/>
    <n v="7086"/>
    <n v="22"/>
    <n v="2"/>
    <n v="20"/>
    <n v="818.18181818181813"/>
    <n v="0.90909090909090906"/>
    <n v="0.78733333333333333"/>
    <n v="1"/>
    <n v="0.7157575757575757"/>
    <m/>
  </r>
  <r>
    <x v="18"/>
    <x v="1"/>
    <x v="7"/>
    <x v="6"/>
    <n v="8000"/>
    <n v="4284"/>
    <n v="0"/>
    <n v="0"/>
    <n v="4284"/>
    <n v="22"/>
    <n v="0"/>
    <n v="22"/>
    <n v="0"/>
    <n v="1"/>
    <n v="0.53549999999999998"/>
    <n v="1"/>
    <n v="0.53549999999999998"/>
    <m/>
  </r>
  <r>
    <x v="18"/>
    <x v="1"/>
    <x v="8"/>
    <x v="4"/>
    <n v="6000"/>
    <n v="2218"/>
    <n v="0"/>
    <n v="0"/>
    <n v="2218"/>
    <n v="22"/>
    <n v="0"/>
    <n v="22"/>
    <n v="0"/>
    <n v="1"/>
    <n v="0.36966666666666664"/>
    <n v="1"/>
    <n v="0.36966666666666664"/>
    <s v="Due to insufficient tube fabric."/>
  </r>
  <r>
    <x v="18"/>
    <x v="1"/>
    <x v="9"/>
    <x v="4"/>
    <n v="5000"/>
    <n v="9079"/>
    <n v="0"/>
    <n v="0"/>
    <n v="9079"/>
    <n v="22"/>
    <n v="0"/>
    <n v="22"/>
    <n v="0"/>
    <n v="1"/>
    <n v="1.8158000000000001"/>
    <n v="1"/>
    <n v="1.8158000000000001"/>
    <m/>
  </r>
  <r>
    <x v="19"/>
    <x v="0"/>
    <x v="0"/>
    <x v="0"/>
    <n v="10000"/>
    <n v="4283"/>
    <n v="0"/>
    <n v="0"/>
    <n v="4283"/>
    <n v="22"/>
    <n v="0"/>
    <n v="22"/>
    <n v="0"/>
    <n v="1"/>
    <n v="0.42830000000000001"/>
    <n v="1"/>
    <n v="0.42830000000000001"/>
    <m/>
  </r>
  <r>
    <x v="19"/>
    <x v="0"/>
    <x v="1"/>
    <x v="1"/>
    <n v="5000"/>
    <n v="4730"/>
    <n v="0"/>
    <n v="0"/>
    <n v="4730"/>
    <m/>
    <m/>
    <s v=""/>
    <s v=""/>
    <s v=""/>
    <n v="0.94599999999999995"/>
    <n v="1"/>
    <s v=""/>
    <m/>
  </r>
  <r>
    <x v="19"/>
    <x v="0"/>
    <x v="1"/>
    <x v="2"/>
    <n v="4000"/>
    <n v="7441"/>
    <n v="0"/>
    <n v="0"/>
    <n v="7441"/>
    <n v="22"/>
    <n v="0"/>
    <n v="22"/>
    <n v="0"/>
    <n v="1"/>
    <n v="1.86025"/>
    <n v="1"/>
    <n v="1.86025"/>
    <m/>
  </r>
  <r>
    <x v="19"/>
    <x v="0"/>
    <x v="2"/>
    <x v="2"/>
    <n v="7000"/>
    <m/>
    <n v="0"/>
    <s v=""/>
    <n v="0"/>
    <m/>
    <m/>
    <s v=""/>
    <s v=""/>
    <s v=""/>
    <n v="0"/>
    <s v=""/>
    <s v=""/>
    <m/>
  </r>
  <r>
    <x v="19"/>
    <x v="0"/>
    <x v="3"/>
    <x v="3"/>
    <n v="7800"/>
    <n v="6640"/>
    <n v="0"/>
    <n v="0"/>
    <n v="6640"/>
    <n v="22"/>
    <n v="3"/>
    <n v="19"/>
    <n v="1063.6363636363637"/>
    <n v="0.86363636363636365"/>
    <n v="0.85128205128205126"/>
    <n v="1"/>
    <n v="0.73519813519813515"/>
    <s v="Machine was off for 3 hours due to bearing belt damage."/>
  </r>
  <r>
    <x v="19"/>
    <x v="0"/>
    <x v="4"/>
    <x v="4"/>
    <n v="9000"/>
    <n v="0"/>
    <n v="0"/>
    <s v=""/>
    <n v="0"/>
    <n v="22"/>
    <n v="0"/>
    <n v="22"/>
    <n v="0"/>
    <n v="1"/>
    <n v="0"/>
    <s v=""/>
    <s v=""/>
    <m/>
  </r>
  <r>
    <x v="19"/>
    <x v="0"/>
    <x v="5"/>
    <x v="4"/>
    <n v="0"/>
    <n v="0"/>
    <m/>
    <m/>
    <m/>
    <m/>
    <m/>
    <s v=""/>
    <m/>
    <m/>
    <m/>
    <m/>
    <m/>
    <s v="Due to insufficient tube fabric."/>
  </r>
  <r>
    <x v="19"/>
    <x v="1"/>
    <x v="6"/>
    <x v="5"/>
    <n v="9000"/>
    <n v="4901"/>
    <n v="0"/>
    <n v="0"/>
    <n v="4901"/>
    <n v="22"/>
    <n v="2"/>
    <n v="20"/>
    <n v="818.18181818181813"/>
    <n v="0.90909090909090906"/>
    <n v="0.54455555555555557"/>
    <n v="1"/>
    <n v="0.49505050505050507"/>
    <s v="Due to insufficient tube fabric."/>
  </r>
  <r>
    <x v="19"/>
    <x v="1"/>
    <x v="7"/>
    <x v="6"/>
    <n v="8000"/>
    <n v="2620"/>
    <n v="0"/>
    <n v="0"/>
    <n v="2620"/>
    <n v="22"/>
    <n v="11"/>
    <n v="11"/>
    <n v="4000"/>
    <n v="0.5"/>
    <n v="0.32750000000000001"/>
    <n v="1"/>
    <n v="0.16375000000000001"/>
    <s v="Due to worker shortage, machines were operated only during the A shift."/>
  </r>
  <r>
    <x v="19"/>
    <x v="1"/>
    <x v="8"/>
    <x v="4"/>
    <n v="6000"/>
    <n v="1795"/>
    <n v="0"/>
    <n v="0"/>
    <n v="1795"/>
    <n v="22"/>
    <n v="11"/>
    <n v="11"/>
    <n v="3000"/>
    <n v="0.5"/>
    <n v="0.29916666666666669"/>
    <n v="1"/>
    <n v="0.14958333333333335"/>
    <s v="Due to worker shortage, machines were operated only during the B shift."/>
  </r>
  <r>
    <x v="19"/>
    <x v="1"/>
    <x v="9"/>
    <x v="4"/>
    <n v="5000"/>
    <n v="4331"/>
    <n v="0"/>
    <n v="0"/>
    <n v="4331"/>
    <n v="11"/>
    <n v="0"/>
    <n v="11"/>
    <n v="0"/>
    <n v="1"/>
    <n v="0.86619999999999997"/>
    <n v="1"/>
    <n v="0.86619999999999997"/>
    <s v="On Friday, the machine was operated for 11 hours."/>
  </r>
  <r>
    <x v="20"/>
    <x v="0"/>
    <x v="0"/>
    <x v="0"/>
    <n v="10000"/>
    <n v="3659"/>
    <n v="0"/>
    <n v="0"/>
    <n v="3659"/>
    <n v="11"/>
    <n v="0"/>
    <n v="11"/>
    <n v="0"/>
    <n v="1"/>
    <n v="0.3659"/>
    <n v="1"/>
    <n v="0.3659"/>
    <m/>
  </r>
  <r>
    <x v="20"/>
    <x v="0"/>
    <x v="1"/>
    <x v="1"/>
    <n v="5000"/>
    <n v="0"/>
    <n v="0"/>
    <s v=""/>
    <n v="0"/>
    <m/>
    <m/>
    <s v=""/>
    <s v=""/>
    <s v=""/>
    <n v="0"/>
    <s v=""/>
    <s v=""/>
    <m/>
  </r>
  <r>
    <x v="20"/>
    <x v="0"/>
    <x v="1"/>
    <x v="2"/>
    <n v="4000"/>
    <n v="3411"/>
    <n v="0"/>
    <n v="0"/>
    <n v="3411"/>
    <n v="11"/>
    <n v="0"/>
    <n v="11"/>
    <n v="0"/>
    <n v="1"/>
    <n v="0.85275000000000001"/>
    <n v="1"/>
    <n v="0.85275000000000001"/>
    <m/>
  </r>
  <r>
    <x v="20"/>
    <x v="0"/>
    <x v="2"/>
    <x v="2"/>
    <n v="7000"/>
    <m/>
    <n v="0"/>
    <s v=""/>
    <n v="0"/>
    <m/>
    <m/>
    <s v=""/>
    <s v=""/>
    <s v=""/>
    <n v="0"/>
    <s v=""/>
    <s v=""/>
    <m/>
  </r>
  <r>
    <x v="20"/>
    <x v="0"/>
    <x v="3"/>
    <x v="3"/>
    <n v="7800"/>
    <n v="3955"/>
    <n v="0"/>
    <n v="0"/>
    <n v="3955"/>
    <n v="11"/>
    <n v="0"/>
    <n v="11"/>
    <n v="0"/>
    <n v="1"/>
    <n v="0.50705128205128203"/>
    <n v="1"/>
    <n v="0.50705128205128203"/>
    <m/>
  </r>
  <r>
    <x v="20"/>
    <x v="0"/>
    <x v="4"/>
    <x v="4"/>
    <n v="9000"/>
    <n v="0"/>
    <n v="0"/>
    <s v=""/>
    <n v="0"/>
    <n v="11"/>
    <n v="0"/>
    <n v="11"/>
    <n v="0"/>
    <n v="1"/>
    <n v="0"/>
    <s v=""/>
    <s v=""/>
    <s v="Due to insufficient fabric."/>
  </r>
  <r>
    <x v="20"/>
    <x v="0"/>
    <x v="5"/>
    <x v="4"/>
    <n v="0"/>
    <n v="0"/>
    <m/>
    <m/>
    <m/>
    <m/>
    <m/>
    <s v=""/>
    <m/>
    <m/>
    <m/>
    <m/>
    <m/>
    <s v="Due to insufficient tube fabric."/>
  </r>
  <r>
    <x v="20"/>
    <x v="1"/>
    <x v="6"/>
    <x v="5"/>
    <n v="9000"/>
    <n v="2744"/>
    <n v="0"/>
    <n v="0"/>
    <n v="2744"/>
    <n v="11"/>
    <n v="0"/>
    <n v="11"/>
    <n v="0"/>
    <n v="1"/>
    <n v="0.30488888888888888"/>
    <n v="1"/>
    <n v="0.30488888888888888"/>
    <s v="Due to insufficient tube fabric."/>
  </r>
  <r>
    <x v="20"/>
    <x v="1"/>
    <x v="7"/>
    <x v="6"/>
    <n v="8000"/>
    <n v="0"/>
    <n v="0"/>
    <s v=""/>
    <n v="0"/>
    <n v="11"/>
    <n v="11"/>
    <n v="0"/>
    <n v="8000"/>
    <n v="0"/>
    <n v="0"/>
    <s v=""/>
    <s v=""/>
    <s v="Due to worker shortage,"/>
  </r>
  <r>
    <x v="20"/>
    <x v="1"/>
    <x v="8"/>
    <x v="4"/>
    <n v="6000"/>
    <n v="0"/>
    <n v="0"/>
    <s v=""/>
    <n v="0"/>
    <n v="11"/>
    <n v="11"/>
    <n v="0"/>
    <n v="6000"/>
    <n v="0"/>
    <n v="0"/>
    <s v=""/>
    <s v=""/>
    <m/>
  </r>
  <r>
    <x v="20"/>
    <x v="1"/>
    <x v="9"/>
    <x v="4"/>
    <n v="5000"/>
    <n v="8233"/>
    <n v="0"/>
    <n v="0"/>
    <n v="8233"/>
    <n v="22"/>
    <n v="0"/>
    <n v="22"/>
    <n v="0"/>
    <n v="1"/>
    <n v="1.6466000000000001"/>
    <n v="1"/>
    <n v="1.6466000000000001"/>
    <s v="❌"/>
  </r>
  <r>
    <x v="21"/>
    <x v="0"/>
    <x v="0"/>
    <x v="0"/>
    <n v="10000"/>
    <n v="4909"/>
    <n v="0"/>
    <n v="0"/>
    <n v="4909"/>
    <n v="22"/>
    <n v="0"/>
    <n v="22"/>
    <n v="0"/>
    <n v="1"/>
    <n v="0.4909"/>
    <n v="1"/>
    <n v="0.4909"/>
    <s v="❌"/>
  </r>
  <r>
    <x v="21"/>
    <x v="0"/>
    <x v="1"/>
    <x v="1"/>
    <n v="5000"/>
    <n v="3728"/>
    <n v="0"/>
    <n v="0"/>
    <n v="3728"/>
    <m/>
    <m/>
    <s v=""/>
    <s v=""/>
    <s v=""/>
    <n v="0.74560000000000004"/>
    <n v="1"/>
    <s v=""/>
    <s v="❌"/>
  </r>
  <r>
    <x v="21"/>
    <x v="0"/>
    <x v="1"/>
    <x v="2"/>
    <n v="4000"/>
    <n v="7188"/>
    <n v="0"/>
    <n v="0"/>
    <n v="7188"/>
    <n v="22"/>
    <n v="0"/>
    <n v="22"/>
    <n v="0"/>
    <n v="1"/>
    <n v="1.7969999999999999"/>
    <n v="1"/>
    <n v="1.7969999999999999"/>
    <s v="❌"/>
  </r>
  <r>
    <x v="21"/>
    <x v="0"/>
    <x v="2"/>
    <x v="2"/>
    <n v="7000"/>
    <m/>
    <n v="0"/>
    <s v=""/>
    <n v="0"/>
    <m/>
    <m/>
    <s v=""/>
    <s v=""/>
    <s v=""/>
    <n v="0"/>
    <s v=""/>
    <s v=""/>
    <m/>
  </r>
  <r>
    <x v="21"/>
    <x v="0"/>
    <x v="3"/>
    <x v="3"/>
    <n v="7800"/>
    <n v="6950"/>
    <n v="0"/>
    <n v="0"/>
    <n v="6950"/>
    <n v="22"/>
    <n v="3"/>
    <n v="19"/>
    <n v="1063.6363636363637"/>
    <n v="0.86363636363636365"/>
    <n v="0.89102564102564108"/>
    <n v="1"/>
    <n v="0.76952214452214462"/>
    <s v="❌"/>
  </r>
  <r>
    <x v="21"/>
    <x v="0"/>
    <x v="4"/>
    <x v="4"/>
    <n v="9000"/>
    <n v="0"/>
    <n v="0"/>
    <s v=""/>
    <n v="0"/>
    <n v="22"/>
    <n v="0"/>
    <n v="22"/>
    <n v="0"/>
    <n v="1"/>
    <n v="0"/>
    <s v=""/>
    <s v=""/>
    <s v="❌"/>
  </r>
  <r>
    <x v="21"/>
    <x v="0"/>
    <x v="5"/>
    <x v="4"/>
    <n v="0"/>
    <n v="0"/>
    <m/>
    <m/>
    <m/>
    <m/>
    <m/>
    <s v=""/>
    <m/>
    <m/>
    <m/>
    <m/>
    <m/>
    <s v="Due to insufficient tube fabric."/>
  </r>
  <r>
    <x v="21"/>
    <x v="1"/>
    <x v="6"/>
    <x v="5"/>
    <n v="9000"/>
    <n v="5619"/>
    <n v="0"/>
    <n v="0"/>
    <n v="5619"/>
    <n v="22"/>
    <n v="3"/>
    <n v="19"/>
    <n v="1227.2727272727273"/>
    <n v="0.86363636363636365"/>
    <n v="0.6243333333333333"/>
    <n v="1"/>
    <n v="0.53919696969696962"/>
    <s v="Maintenance and limit issues caused the machine to remain off for 3 hours."/>
  </r>
  <r>
    <x v="21"/>
    <x v="1"/>
    <x v="7"/>
    <x v="6"/>
    <n v="8000"/>
    <n v="3938"/>
    <n v="0"/>
    <n v="0"/>
    <n v="3938"/>
    <n v="22"/>
    <n v="0"/>
    <n v="22"/>
    <n v="0"/>
    <n v="1"/>
    <n v="0.49225000000000002"/>
    <n v="1"/>
    <n v="0.49225000000000002"/>
    <s v="Due to insufficient tube fabric."/>
  </r>
  <r>
    <x v="21"/>
    <x v="1"/>
    <x v="8"/>
    <x v="4"/>
    <n v="6000"/>
    <n v="3137"/>
    <n v="0"/>
    <n v="0"/>
    <n v="3137"/>
    <n v="22"/>
    <n v="8"/>
    <n v="14"/>
    <n v="2181.818181818182"/>
    <n v="0.63636363636363635"/>
    <n v="0.52283333333333337"/>
    <n v="1"/>
    <n v="0.33271212121212124"/>
    <s v="Due to a worker shortage, m/c remain off in B shift after 12:00 AM."/>
  </r>
  <r>
    <x v="21"/>
    <x v="1"/>
    <x v="9"/>
    <x v="4"/>
    <n v="5000"/>
    <n v="9623"/>
    <n v="0"/>
    <n v="0"/>
    <n v="9623"/>
    <n v="22"/>
    <n v="0"/>
    <n v="22"/>
    <n v="0"/>
    <n v="1"/>
    <n v="1.9246000000000001"/>
    <n v="1"/>
    <n v="1.9246000000000001"/>
    <s v="❌"/>
  </r>
  <r>
    <x v="22"/>
    <x v="0"/>
    <x v="0"/>
    <x v="0"/>
    <n v="10000"/>
    <n v="2816"/>
    <n v="0"/>
    <n v="0"/>
    <n v="2816"/>
    <n v="22"/>
    <n v="0"/>
    <n v="22"/>
    <n v="0"/>
    <n v="1"/>
    <n v="0.28160000000000002"/>
    <n v="1"/>
    <n v="0.28160000000000002"/>
    <s v="❌"/>
  </r>
  <r>
    <x v="22"/>
    <x v="0"/>
    <x v="1"/>
    <x v="1"/>
    <n v="5000"/>
    <n v="5466"/>
    <n v="0"/>
    <n v="0"/>
    <n v="5466"/>
    <m/>
    <m/>
    <s v=""/>
    <s v=""/>
    <s v=""/>
    <n v="1.0931999999999999"/>
    <n v="1"/>
    <s v=""/>
    <s v="❌"/>
  </r>
  <r>
    <x v="22"/>
    <x v="0"/>
    <x v="1"/>
    <x v="2"/>
    <n v="4000"/>
    <n v="7522"/>
    <n v="0"/>
    <n v="0"/>
    <n v="7522"/>
    <n v="22"/>
    <n v="0"/>
    <n v="22"/>
    <n v="0"/>
    <n v="1"/>
    <n v="1.8805000000000001"/>
    <n v="1"/>
    <n v="1.8805000000000001"/>
    <s v="❌"/>
  </r>
  <r>
    <x v="22"/>
    <x v="0"/>
    <x v="2"/>
    <x v="2"/>
    <n v="7000"/>
    <m/>
    <n v="0"/>
    <s v=""/>
    <n v="0"/>
    <m/>
    <m/>
    <s v=""/>
    <s v=""/>
    <s v=""/>
    <n v="0"/>
    <s v=""/>
    <s v=""/>
    <m/>
  </r>
  <r>
    <x v="22"/>
    <x v="0"/>
    <x v="3"/>
    <x v="3"/>
    <n v="7800"/>
    <n v="8006"/>
    <n v="0"/>
    <n v="0"/>
    <n v="8006"/>
    <n v="22"/>
    <n v="3"/>
    <n v="19"/>
    <n v="1063.6363636363637"/>
    <n v="0.86363636363636365"/>
    <n v="1.0264102564102564"/>
    <n v="1"/>
    <n v="0.88644522144522142"/>
    <s v="The machine was off for 1 hour due to a gearbox problem at the front."/>
  </r>
  <r>
    <x v="22"/>
    <x v="0"/>
    <x v="4"/>
    <x v="4"/>
    <n v="9000"/>
    <n v="0"/>
    <n v="0"/>
    <s v=""/>
    <n v="0"/>
    <n v="22"/>
    <n v="0"/>
    <n v="22"/>
    <n v="0"/>
    <n v="1"/>
    <n v="0"/>
    <s v=""/>
    <s v=""/>
    <s v="❌"/>
  </r>
  <r>
    <x v="22"/>
    <x v="0"/>
    <x v="5"/>
    <x v="4"/>
    <n v="0"/>
    <n v="0"/>
    <m/>
    <m/>
    <m/>
    <m/>
    <m/>
    <s v=""/>
    <m/>
    <m/>
    <m/>
    <m/>
    <m/>
    <s v="Due to insufficient tube fabric."/>
  </r>
  <r>
    <x v="22"/>
    <x v="1"/>
    <x v="6"/>
    <x v="5"/>
    <n v="9000"/>
    <n v="4664"/>
    <n v="0"/>
    <n v="0"/>
    <n v="4664"/>
    <n v="22"/>
    <n v="7"/>
    <n v="15"/>
    <n v="2863.6363636363635"/>
    <n v="0.68181818181818177"/>
    <n v="0.51822222222222225"/>
    <n v="1"/>
    <n v="0.35333333333333333"/>
    <s v="Net cleaning, limit issues, and lack of cloth caused the machine to remain off for 5 hours. B shift ended at 6 PM."/>
  </r>
  <r>
    <x v="22"/>
    <x v="1"/>
    <x v="7"/>
    <x v="6"/>
    <n v="8000"/>
    <n v="3306"/>
    <n v="0"/>
    <n v="0"/>
    <n v="3306"/>
    <n v="22"/>
    <n v="0"/>
    <n v="22"/>
    <n v="0"/>
    <n v="1"/>
    <n v="0.41325000000000001"/>
    <n v="1"/>
    <n v="0.41325000000000001"/>
    <s v="Due to insufficient tube fabric."/>
  </r>
  <r>
    <x v="22"/>
    <x v="1"/>
    <x v="8"/>
    <x v="4"/>
    <n v="6000"/>
    <n v="2858"/>
    <n v="0"/>
    <n v="0"/>
    <n v="2858"/>
    <n v="22"/>
    <n v="8"/>
    <n v="14"/>
    <n v="2181.818181818182"/>
    <n v="0.63636363636363635"/>
    <n v="0.47633333333333333"/>
    <n v="1"/>
    <n v="0.30312121212121212"/>
    <s v="Due to insufficient tube fabric."/>
  </r>
  <r>
    <x v="22"/>
    <x v="1"/>
    <x v="9"/>
    <x v="4"/>
    <n v="5000"/>
    <n v="7848"/>
    <n v="0"/>
    <n v="0"/>
    <n v="7848"/>
    <n v="22"/>
    <n v="0"/>
    <n v="22"/>
    <n v="0"/>
    <n v="1"/>
    <n v="1.5696000000000001"/>
    <n v="1"/>
    <n v="1.5696000000000001"/>
    <s v="❌"/>
  </r>
  <r>
    <x v="23"/>
    <x v="0"/>
    <x v="0"/>
    <x v="0"/>
    <n v="10000"/>
    <n v="4641"/>
    <n v="0"/>
    <n v="0"/>
    <n v="4641"/>
    <n v="22"/>
    <n v="0"/>
    <n v="22"/>
    <n v="0"/>
    <n v="1"/>
    <n v="0.46410000000000001"/>
    <n v="1"/>
    <n v="0.46410000000000001"/>
    <s v="❌"/>
  </r>
  <r>
    <x v="23"/>
    <x v="0"/>
    <x v="1"/>
    <x v="1"/>
    <n v="5000"/>
    <n v="2896"/>
    <n v="0"/>
    <n v="0"/>
    <n v="2896"/>
    <m/>
    <m/>
    <s v=""/>
    <s v=""/>
    <s v=""/>
    <n v="0.57920000000000005"/>
    <n v="1"/>
    <s v=""/>
    <m/>
  </r>
  <r>
    <x v="23"/>
    <x v="0"/>
    <x v="1"/>
    <x v="2"/>
    <n v="4000"/>
    <n v="7240"/>
    <n v="0"/>
    <n v="0"/>
    <n v="7240"/>
    <n v="22"/>
    <n v="0"/>
    <n v="22"/>
    <n v="0"/>
    <n v="1"/>
    <n v="1.81"/>
    <n v="1"/>
    <n v="1.81"/>
    <s v="❌"/>
  </r>
  <r>
    <x v="23"/>
    <x v="0"/>
    <x v="2"/>
    <x v="2"/>
    <n v="7000"/>
    <m/>
    <n v="0"/>
    <s v=""/>
    <n v="0"/>
    <m/>
    <m/>
    <s v=""/>
    <s v=""/>
    <s v=""/>
    <n v="0"/>
    <s v=""/>
    <s v=""/>
    <m/>
  </r>
  <r>
    <x v="23"/>
    <x v="0"/>
    <x v="3"/>
    <x v="3"/>
    <n v="7800"/>
    <n v="7820"/>
    <n v="0"/>
    <n v="0"/>
    <n v="7820"/>
    <n v="22"/>
    <n v="3"/>
    <n v="19"/>
    <n v="1063.6363636363637"/>
    <n v="0.86363636363636365"/>
    <n v="1.0025641025641026"/>
    <n v="1"/>
    <n v="0.8658508158508158"/>
    <s v="Machine was down for 3 hours due to lack of finished fabric."/>
  </r>
  <r>
    <x v="23"/>
    <x v="0"/>
    <x v="4"/>
    <x v="4"/>
    <n v="9000"/>
    <n v="0"/>
    <n v="0"/>
    <s v=""/>
    <n v="0"/>
    <n v="22"/>
    <n v="0"/>
    <n v="22"/>
    <n v="0"/>
    <n v="1"/>
    <n v="0"/>
    <s v=""/>
    <s v=""/>
    <s v="❌"/>
  </r>
  <r>
    <x v="23"/>
    <x v="0"/>
    <x v="5"/>
    <x v="4"/>
    <n v="0"/>
    <n v="0"/>
    <m/>
    <m/>
    <m/>
    <m/>
    <m/>
    <s v=""/>
    <m/>
    <m/>
    <m/>
    <m/>
    <m/>
    <m/>
  </r>
  <r>
    <x v="23"/>
    <x v="1"/>
    <x v="6"/>
    <x v="5"/>
    <n v="9000"/>
    <n v="7482"/>
    <n v="0"/>
    <n v="0"/>
    <n v="7482"/>
    <n v="22"/>
    <n v="0"/>
    <n v="22"/>
    <n v="0"/>
    <n v="1"/>
    <n v="0.83133333333333337"/>
    <n v="1"/>
    <n v="0.83133333333333337"/>
    <s v="Due to insufficient tube fabric."/>
  </r>
  <r>
    <x v="23"/>
    <x v="1"/>
    <x v="7"/>
    <x v="6"/>
    <n v="8000"/>
    <n v="6793"/>
    <n v="0"/>
    <n v="0"/>
    <n v="6793"/>
    <n v="22"/>
    <n v="7"/>
    <n v="15"/>
    <n v="2545.4545454545455"/>
    <n v="0.68181818181818177"/>
    <n v="0.84912500000000002"/>
    <n v="1"/>
    <n v="0.57894886363636355"/>
    <s v="Machine was down for 5 hours for net cleaning and due to insufficient tube fabric."/>
  </r>
  <r>
    <x v="23"/>
    <x v="1"/>
    <x v="8"/>
    <x v="4"/>
    <n v="6000"/>
    <n v="3635"/>
    <n v="0"/>
    <n v="0"/>
    <n v="3635"/>
    <n v="22"/>
    <n v="0"/>
    <n v="22"/>
    <n v="0"/>
    <n v="1"/>
    <n v="0.60583333333333333"/>
    <n v="1"/>
    <n v="0.60583333333333333"/>
    <s v="Due to insufficient tube fabric."/>
  </r>
  <r>
    <x v="23"/>
    <x v="1"/>
    <x v="9"/>
    <x v="4"/>
    <n v="5000"/>
    <n v="1643"/>
    <n v="0"/>
    <n v="0"/>
    <n v="1643"/>
    <n v="22"/>
    <n v="8"/>
    <n v="14"/>
    <n v="1818.1818181818182"/>
    <n v="0.63636363636363635"/>
    <n v="0.3286"/>
    <n v="1"/>
    <n v="0.20910909090909091"/>
    <s v="Due to insufficient tube fabric."/>
  </r>
  <r>
    <x v="24"/>
    <x v="0"/>
    <x v="0"/>
    <x v="0"/>
    <n v="10000"/>
    <n v="7353"/>
    <n v="0"/>
    <n v="0"/>
    <n v="7353"/>
    <n v="22"/>
    <n v="2"/>
    <n v="20"/>
    <n v="909.09090909090912"/>
    <n v="0.90909090909090906"/>
    <n v="0.73529999999999995"/>
    <n v="1"/>
    <n v="0.66845454545454541"/>
    <s v="Padder bearing issue, M/C off 2 hrs."/>
  </r>
  <r>
    <x v="24"/>
    <x v="0"/>
    <x v="1"/>
    <x v="1"/>
    <n v="5000"/>
    <n v="6004"/>
    <n v="0"/>
    <n v="0"/>
    <n v="6004"/>
    <n v="22"/>
    <n v="0"/>
    <n v="22"/>
    <n v="0"/>
    <n v="1"/>
    <n v="1.2008000000000001"/>
    <n v="1"/>
    <n v="1.2008000000000001"/>
    <s v="❌"/>
  </r>
  <r>
    <x v="24"/>
    <x v="0"/>
    <x v="1"/>
    <x v="2"/>
    <n v="4000"/>
    <n v="2425"/>
    <n v="0"/>
    <n v="0"/>
    <n v="2425"/>
    <m/>
    <m/>
    <s v=""/>
    <s v=""/>
    <s v=""/>
    <n v="0.60624999999999996"/>
    <n v="1"/>
    <s v=""/>
    <m/>
  </r>
  <r>
    <x v="24"/>
    <x v="0"/>
    <x v="2"/>
    <x v="2"/>
    <n v="7000"/>
    <n v="7268"/>
    <n v="0"/>
    <n v="0"/>
    <n v="7268"/>
    <n v="22"/>
    <n v="0"/>
    <n v="22"/>
    <n v="0"/>
    <n v="1"/>
    <n v="1.0382857142857143"/>
    <n v="1"/>
    <n v="1.0382857142857143"/>
    <s v="❌"/>
  </r>
  <r>
    <x v="24"/>
    <x v="0"/>
    <x v="3"/>
    <x v="3"/>
    <m/>
    <m/>
    <n v="0"/>
    <s v=""/>
    <n v="0"/>
    <m/>
    <m/>
    <s v=""/>
    <s v=""/>
    <s v=""/>
    <s v=""/>
    <s v=""/>
    <s v=""/>
    <m/>
  </r>
  <r>
    <x v="24"/>
    <x v="0"/>
    <x v="4"/>
    <x v="4"/>
    <n v="9000"/>
    <n v="7160"/>
    <n v="0"/>
    <n v="0"/>
    <n v="7160"/>
    <n v="22"/>
    <n v="3"/>
    <n v="19"/>
    <n v="1227.2727272727273"/>
    <n v="0.86363636363636365"/>
    <n v="0.79555555555555557"/>
    <n v="1"/>
    <n v="0.68707070707070705"/>
    <s v="❌"/>
  </r>
  <r>
    <x v="24"/>
    <x v="0"/>
    <x v="5"/>
    <x v="4"/>
    <n v="0"/>
    <n v="0"/>
    <m/>
    <m/>
    <m/>
    <m/>
    <m/>
    <s v=""/>
    <m/>
    <m/>
    <m/>
    <m/>
    <m/>
    <s v="Due to insufficient fabric."/>
  </r>
  <r>
    <x v="24"/>
    <x v="1"/>
    <x v="6"/>
    <x v="5"/>
    <n v="9000"/>
    <n v="6879"/>
    <n v="0"/>
    <n v="0"/>
    <n v="6879"/>
    <n v="22"/>
    <n v="0"/>
    <n v="22"/>
    <n v="0"/>
    <n v="1"/>
    <n v="0.76433333333333331"/>
    <n v="1"/>
    <n v="0.76433333333333331"/>
    <s v="Due to insufficient tube fabric."/>
  </r>
  <r>
    <x v="24"/>
    <x v="1"/>
    <x v="7"/>
    <x v="6"/>
    <n v="8000"/>
    <n v="7317"/>
    <n v="0"/>
    <n v="0"/>
    <n v="7317"/>
    <n v="22"/>
    <n v="7"/>
    <n v="15"/>
    <n v="2545.4545454545455"/>
    <n v="0.68181818181818177"/>
    <n v="0.91462500000000002"/>
    <n v="1"/>
    <n v="0.62360795454545448"/>
    <s v="Net cleaning &amp; PDB issue, M/C off 2 hrs."/>
  </r>
  <r>
    <x v="24"/>
    <x v="1"/>
    <x v="8"/>
    <x v="4"/>
    <n v="6000"/>
    <n v="3227"/>
    <n v="0"/>
    <n v="0"/>
    <n v="3227"/>
    <n v="22"/>
    <n v="0"/>
    <n v="22"/>
    <n v="0"/>
    <n v="1"/>
    <n v="0.53783333333333339"/>
    <n v="1"/>
    <n v="0.53783333333333339"/>
    <s v="Due to insufficient tube fabric."/>
  </r>
  <r>
    <x v="24"/>
    <x v="1"/>
    <x v="9"/>
    <x v="4"/>
    <n v="5000"/>
    <n v="2417"/>
    <n v="0"/>
    <n v="0"/>
    <n v="2417"/>
    <n v="22"/>
    <n v="8"/>
    <n v="14"/>
    <n v="1818.1818181818182"/>
    <n v="0.63636363636363635"/>
    <n v="0.4834"/>
    <n v="1"/>
    <n v="0.30761818181818179"/>
    <s v="Due to insufficient tube fabric."/>
  </r>
  <r>
    <x v="25"/>
    <x v="0"/>
    <x v="0"/>
    <x v="0"/>
    <n v="10000"/>
    <n v="7672"/>
    <n v="0"/>
    <n v="0"/>
    <n v="7672"/>
    <n v="22"/>
    <n v="0"/>
    <n v="22"/>
    <n v="0"/>
    <n v="1"/>
    <n v="0.76719999999999999"/>
    <n v="1"/>
    <n v="0.76719999999999999"/>
    <s v="❌"/>
  </r>
  <r>
    <x v="25"/>
    <x v="0"/>
    <x v="1"/>
    <x v="1"/>
    <n v="5000"/>
    <n v="4202"/>
    <n v="0"/>
    <n v="0"/>
    <n v="4202"/>
    <n v="22"/>
    <n v="0"/>
    <n v="22"/>
    <n v="0"/>
    <n v="1"/>
    <n v="0.84040000000000004"/>
    <n v="1"/>
    <n v="0.84040000000000004"/>
    <s v="❌"/>
  </r>
  <r>
    <x v="25"/>
    <x v="0"/>
    <x v="1"/>
    <x v="2"/>
    <n v="4000"/>
    <n v="4373"/>
    <n v="0"/>
    <n v="0"/>
    <n v="4373"/>
    <m/>
    <m/>
    <s v=""/>
    <s v=""/>
    <s v=""/>
    <n v="1.0932500000000001"/>
    <n v="1"/>
    <s v=""/>
    <m/>
  </r>
  <r>
    <x v="25"/>
    <x v="0"/>
    <x v="2"/>
    <x v="2"/>
    <n v="7000"/>
    <n v="7323"/>
    <n v="0"/>
    <n v="0"/>
    <n v="7323"/>
    <n v="22"/>
    <n v="0"/>
    <n v="22"/>
    <n v="0"/>
    <n v="1"/>
    <n v="1.046142857142857"/>
    <n v="1"/>
    <n v="1.046142857142857"/>
    <s v="❌"/>
  </r>
  <r>
    <x v="25"/>
    <x v="0"/>
    <x v="3"/>
    <x v="3"/>
    <m/>
    <m/>
    <n v="0"/>
    <s v=""/>
    <n v="0"/>
    <m/>
    <m/>
    <s v=""/>
    <s v=""/>
    <s v=""/>
    <s v=""/>
    <s v=""/>
    <s v=""/>
    <m/>
  </r>
  <r>
    <x v="25"/>
    <x v="0"/>
    <x v="4"/>
    <x v="4"/>
    <n v="9000"/>
    <n v="8089"/>
    <n v="0"/>
    <n v="0"/>
    <n v="8089"/>
    <n v="22"/>
    <n v="0"/>
    <n v="22"/>
    <n v="0"/>
    <n v="1"/>
    <n v="0.89877777777777779"/>
    <n v="1"/>
    <n v="0.89877777777777779"/>
    <s v="❌"/>
  </r>
  <r>
    <x v="25"/>
    <x v="0"/>
    <x v="5"/>
    <x v="4"/>
    <n v="0"/>
    <n v="0"/>
    <m/>
    <m/>
    <m/>
    <m/>
    <m/>
    <s v=""/>
    <m/>
    <m/>
    <m/>
    <m/>
    <m/>
    <s v="Due to insufficient fabric."/>
  </r>
  <r>
    <x v="25"/>
    <x v="1"/>
    <x v="6"/>
    <x v="5"/>
    <n v="9000"/>
    <n v="4648"/>
    <n v="0"/>
    <n v="0"/>
    <n v="4648"/>
    <n v="22"/>
    <n v="0"/>
    <n v="22"/>
    <n v="0"/>
    <n v="1"/>
    <n v="0.51644444444444448"/>
    <n v="1"/>
    <n v="0.51644444444444448"/>
    <s v="Low production (Flat Dryer issues)"/>
  </r>
  <r>
    <x v="25"/>
    <x v="1"/>
    <x v="7"/>
    <x v="6"/>
    <n v="8000"/>
    <n v="4318"/>
    <n v="0"/>
    <n v="0"/>
    <n v="4318"/>
    <n v="22"/>
    <n v="9"/>
    <n v="13"/>
    <n v="3272.7272727272725"/>
    <n v="0.59090909090909094"/>
    <n v="0.53974999999999995"/>
    <n v="1"/>
    <n v="0.31894318181818182"/>
    <s v="Net cleaning, limit issue, and conveyor belt motor problem; machine was off for 9 hours (B shift)"/>
  </r>
  <r>
    <x v="25"/>
    <x v="1"/>
    <x v="8"/>
    <x v="4"/>
    <n v="6000"/>
    <n v="3528"/>
    <n v="0"/>
    <n v="0"/>
    <n v="3528"/>
    <n v="22"/>
    <n v="0"/>
    <n v="22"/>
    <n v="0"/>
    <n v="1"/>
    <n v="0.58799999999999997"/>
    <n v="1"/>
    <n v="0.58799999999999997"/>
    <s v="Low production (Flat Dryer issues)"/>
  </r>
  <r>
    <x v="25"/>
    <x v="1"/>
    <x v="9"/>
    <x v="4"/>
    <n v="5000"/>
    <n v="3548"/>
    <n v="0"/>
    <n v="0"/>
    <n v="3548"/>
    <n v="22"/>
    <n v="0"/>
    <n v="22"/>
    <n v="0"/>
    <n v="1"/>
    <n v="0.70960000000000001"/>
    <n v="1"/>
    <n v="0.70960000000000001"/>
    <s v="Low production (Flat Dryer issues)"/>
  </r>
  <r>
    <x v="26"/>
    <x v="0"/>
    <x v="0"/>
    <x v="0"/>
    <n v="10000"/>
    <n v="6948"/>
    <n v="0"/>
    <n v="0"/>
    <n v="6948"/>
    <n v="22"/>
    <n v="2"/>
    <n v="20"/>
    <n v="909.09090909090912"/>
    <n v="0.90909090909090906"/>
    <n v="0.69479999999999997"/>
    <n v="1"/>
    <n v="0.63163636363636355"/>
    <s v="B shift ends at 6 AM."/>
  </r>
  <r>
    <x v="26"/>
    <x v="0"/>
    <x v="1"/>
    <x v="1"/>
    <n v="5000"/>
    <n v="3934"/>
    <n v="0"/>
    <n v="0"/>
    <n v="3934"/>
    <n v="22"/>
    <n v="3"/>
    <n v="19"/>
    <n v="681.81818181818187"/>
    <n v="0.86363636363636365"/>
    <n v="0.78680000000000005"/>
    <n v="1"/>
    <n v="0.67950909090909095"/>
    <s v="1 hr M/C off for generator line change; B Shift ends at 6 AM."/>
  </r>
  <r>
    <x v="26"/>
    <x v="0"/>
    <x v="1"/>
    <x v="2"/>
    <n v="4000"/>
    <n v="3348"/>
    <n v="0"/>
    <n v="0"/>
    <n v="3348"/>
    <m/>
    <m/>
    <s v=""/>
    <s v=""/>
    <s v=""/>
    <n v="0.83699999999999997"/>
    <n v="1"/>
    <s v=""/>
    <m/>
  </r>
  <r>
    <x v="26"/>
    <x v="0"/>
    <x v="2"/>
    <x v="2"/>
    <n v="7000"/>
    <n v="6160"/>
    <n v="0"/>
    <n v="0"/>
    <n v="6160"/>
    <n v="22"/>
    <n v="3"/>
    <n v="19"/>
    <n v="954.5454545454545"/>
    <n v="0.86363636363636365"/>
    <n v="0.88"/>
    <n v="1"/>
    <n v="0.76"/>
    <s v="1 hr M/C off for generator line change; B Shift ends at 6 AM."/>
  </r>
  <r>
    <x v="26"/>
    <x v="0"/>
    <x v="3"/>
    <x v="3"/>
    <m/>
    <m/>
    <n v="0"/>
    <s v=""/>
    <n v="0"/>
    <m/>
    <m/>
    <s v=""/>
    <s v=""/>
    <s v=""/>
    <s v=""/>
    <s v=""/>
    <s v=""/>
    <m/>
  </r>
  <r>
    <x v="26"/>
    <x v="0"/>
    <x v="4"/>
    <x v="4"/>
    <n v="9000"/>
    <n v="6950"/>
    <n v="0"/>
    <n v="0"/>
    <n v="6950"/>
    <n v="22"/>
    <n v="2"/>
    <n v="20"/>
    <n v="818.18181818181813"/>
    <n v="0.90909090909090906"/>
    <n v="0.77222222222222225"/>
    <n v="1"/>
    <n v="0.70202020202020199"/>
    <s v="B shift ends at 6 AM."/>
  </r>
  <r>
    <x v="26"/>
    <x v="0"/>
    <x v="5"/>
    <x v="4"/>
    <n v="1603"/>
    <n v="1603"/>
    <m/>
    <m/>
    <m/>
    <m/>
    <m/>
    <s v=""/>
    <m/>
    <m/>
    <m/>
    <m/>
    <m/>
    <s v="❌"/>
  </r>
  <r>
    <x v="26"/>
    <x v="1"/>
    <x v="6"/>
    <x v="5"/>
    <n v="9000"/>
    <m/>
    <n v="0"/>
    <s v=""/>
    <n v="0"/>
    <m/>
    <m/>
    <s v=""/>
    <s v=""/>
    <s v=""/>
    <n v="0"/>
    <s v=""/>
    <s v=""/>
    <m/>
  </r>
  <r>
    <x v="26"/>
    <x v="1"/>
    <x v="7"/>
    <x v="6"/>
    <n v="8000"/>
    <n v="7011"/>
    <n v="0"/>
    <n v="0"/>
    <n v="7011"/>
    <n v="22"/>
    <n v="2"/>
    <n v="20"/>
    <n v="727.27272727272725"/>
    <n v="0.90909090909090906"/>
    <n v="0.87637500000000002"/>
    <n v="1"/>
    <n v="0.79670454545454539"/>
    <s v="B shift ends at 6 AM."/>
  </r>
  <r>
    <x v="26"/>
    <x v="1"/>
    <x v="8"/>
    <x v="4"/>
    <n v="6000"/>
    <n v="6930"/>
    <n v="0"/>
    <n v="0"/>
    <n v="6930"/>
    <n v="22"/>
    <n v="7"/>
    <n v="15"/>
    <n v="1909.0909090909092"/>
    <n v="0.68181818181818177"/>
    <n v="1.155"/>
    <n v="1"/>
    <n v="0.78749999999999998"/>
    <s v="M/C off: net cleaning 1 hr; conveyor belt motor problem 3 hr; belt sewing 1 hr. B shift ends at 6 AM.."/>
  </r>
  <r>
    <x v="26"/>
    <x v="1"/>
    <x v="9"/>
    <x v="4"/>
    <n v="5000"/>
    <n v="3605"/>
    <n v="0"/>
    <n v="0"/>
    <n v="3605"/>
    <n v="22"/>
    <n v="2"/>
    <n v="20"/>
    <n v="454.54545454545456"/>
    <n v="0.90909090909090906"/>
    <n v="0.72099999999999997"/>
    <n v="1"/>
    <n v="0.6554545454545454"/>
    <s v="Low production (Flat Dryer issues),B shift ends at 6 AM."/>
  </r>
  <r>
    <x v="27"/>
    <x v="0"/>
    <x v="0"/>
    <x v="0"/>
    <n v="10000"/>
    <n v="1770"/>
    <n v="0"/>
    <n v="0"/>
    <n v="1770"/>
    <n v="22"/>
    <n v="2"/>
    <n v="20"/>
    <n v="909.09090909090912"/>
    <n v="0.90909090909090906"/>
    <n v="0.17699999999999999"/>
    <n v="1"/>
    <n v="0.16090909090909089"/>
    <s v="Due to insufficient fabric, B shift ends at 6 AM."/>
  </r>
  <r>
    <x v="27"/>
    <x v="0"/>
    <x v="1"/>
    <x v="1"/>
    <n v="5000"/>
    <n v="6628"/>
    <n v="0"/>
    <n v="0"/>
    <n v="6628"/>
    <n v="16"/>
    <n v="0"/>
    <n v="16"/>
    <n v="0"/>
    <n v="1"/>
    <n v="1.3255999999999999"/>
    <n v="1"/>
    <n v="1.3255999999999999"/>
    <s v="❌"/>
  </r>
  <r>
    <x v="27"/>
    <x v="0"/>
    <x v="1"/>
    <x v="2"/>
    <n v="4000"/>
    <n v="1000"/>
    <n v="0"/>
    <n v="0"/>
    <n v="1000"/>
    <n v="16"/>
    <n v="0"/>
    <n v="16"/>
    <n v="0"/>
    <n v="1"/>
    <n v="0.25"/>
    <n v="1"/>
    <n v="0.25"/>
    <s v="❌"/>
  </r>
  <r>
    <x v="27"/>
    <x v="0"/>
    <x v="2"/>
    <x v="2"/>
    <n v="7000"/>
    <n v="4492"/>
    <n v="0"/>
    <n v="0"/>
    <n v="4492"/>
    <m/>
    <m/>
    <s v=""/>
    <s v=""/>
    <s v=""/>
    <n v="0.64171428571428568"/>
    <n v="1"/>
    <s v=""/>
    <m/>
  </r>
  <r>
    <x v="27"/>
    <x v="0"/>
    <x v="3"/>
    <x v="3"/>
    <n v="7800"/>
    <n v="4729"/>
    <n v="0"/>
    <n v="0"/>
    <n v="4729"/>
    <n v="16"/>
    <n v="0"/>
    <n v="16"/>
    <n v="0"/>
    <n v="1"/>
    <n v="0.60628205128205126"/>
    <n v="1"/>
    <n v="0.60628205128205126"/>
    <s v="❌"/>
  </r>
  <r>
    <x v="27"/>
    <x v="0"/>
    <x v="4"/>
    <x v="4"/>
    <n v="9000"/>
    <m/>
    <n v="0"/>
    <s v=""/>
    <n v="0"/>
    <m/>
    <m/>
    <s v=""/>
    <s v=""/>
    <s v=""/>
    <n v="0"/>
    <s v=""/>
    <s v=""/>
    <m/>
  </r>
  <r>
    <x v="27"/>
    <x v="0"/>
    <x v="5"/>
    <x v="4"/>
    <n v="0"/>
    <n v="0"/>
    <m/>
    <m/>
    <m/>
    <m/>
    <m/>
    <s v=""/>
    <m/>
    <m/>
    <m/>
    <m/>
    <m/>
    <s v="❌"/>
  </r>
  <r>
    <x v="27"/>
    <x v="1"/>
    <x v="6"/>
    <x v="5"/>
    <n v="9000"/>
    <n v="0"/>
    <n v="0"/>
    <s v=""/>
    <n v="0"/>
    <n v="16"/>
    <n v="0"/>
    <n v="16"/>
    <n v="0"/>
    <n v="1"/>
    <n v="0"/>
    <s v=""/>
    <s v=""/>
    <s v="Due to insufficient fabric."/>
  </r>
  <r>
    <x v="27"/>
    <x v="1"/>
    <x v="7"/>
    <x v="6"/>
    <n v="8000"/>
    <n v="5279"/>
    <n v="0"/>
    <n v="0"/>
    <n v="5279"/>
    <n v="16"/>
    <n v="0"/>
    <n v="16"/>
    <n v="0"/>
    <n v="1"/>
    <n v="0.65987499999999999"/>
    <n v="1"/>
    <n v="0.65987499999999999"/>
    <s v="Due to insufficient tube fabric."/>
  </r>
  <r>
    <x v="27"/>
    <x v="1"/>
    <x v="8"/>
    <x v="4"/>
    <n v="6000"/>
    <n v="4803"/>
    <n v="0"/>
    <n v="0"/>
    <n v="4803"/>
    <n v="16"/>
    <n v="2"/>
    <n v="14"/>
    <n v="750"/>
    <n v="0.875"/>
    <n v="0.80049999999999999"/>
    <n v="1"/>
    <n v="0.70043750000000005"/>
    <s v="Due to insufficient tube fabric, the machine remained off for 2 hours across two shifts for maintenance."/>
  </r>
  <r>
    <x v="27"/>
    <x v="1"/>
    <x v="9"/>
    <x v="4"/>
    <n v="5000"/>
    <n v="1832"/>
    <n v="0"/>
    <n v="0"/>
    <n v="1832"/>
    <n v="16"/>
    <n v="0"/>
    <n v="16"/>
    <n v="0"/>
    <n v="1"/>
    <n v="0.3664"/>
    <n v="1"/>
    <n v="0.3664"/>
    <s v="Due to insufficient tube fabric."/>
  </r>
  <r>
    <x v="28"/>
    <x v="0"/>
    <x v="0"/>
    <x v="0"/>
    <n v="10000"/>
    <n v="2054"/>
    <n v="0"/>
    <n v="0"/>
    <n v="2054"/>
    <n v="16"/>
    <n v="0"/>
    <n v="16"/>
    <n v="0"/>
    <n v="1"/>
    <n v="0.2054"/>
    <n v="1"/>
    <n v="0.2054"/>
    <s v="Due to insufficient tube fabric."/>
  </r>
  <r>
    <x v="28"/>
    <x v="0"/>
    <x v="1"/>
    <x v="1"/>
    <n v="5000"/>
    <n v="9482"/>
    <n v="0"/>
    <n v="0"/>
    <n v="9482"/>
    <n v="22"/>
    <n v="2"/>
    <n v="20"/>
    <n v="454.54545454545456"/>
    <n v="0.90909090909090906"/>
    <n v="1.8964000000000001"/>
    <n v="1"/>
    <n v="1.724"/>
    <s v="M/C off for 2 hours due to maintenance."/>
  </r>
  <r>
    <x v="28"/>
    <x v="0"/>
    <x v="1"/>
    <x v="2"/>
    <n v="4000"/>
    <n v="4581"/>
    <n v="0"/>
    <n v="0"/>
    <n v="4581"/>
    <n v="22"/>
    <n v="2"/>
    <n v="20"/>
    <n v="363.63636363636363"/>
    <n v="0.90909090909090906"/>
    <n v="1.1452500000000001"/>
    <n v="1"/>
    <n v="1.0411363636363637"/>
    <s v="M/C off for 2 hours due to maintenance."/>
  </r>
  <r>
    <x v="28"/>
    <x v="0"/>
    <x v="2"/>
    <x v="2"/>
    <n v="7000"/>
    <n v="3708"/>
    <n v="0"/>
    <n v="0"/>
    <n v="3708"/>
    <m/>
    <m/>
    <s v=""/>
    <s v=""/>
    <s v=""/>
    <n v="0.52971428571428569"/>
    <n v="1"/>
    <s v=""/>
    <m/>
  </r>
  <r>
    <x v="28"/>
    <x v="0"/>
    <x v="3"/>
    <x v="3"/>
    <n v="7800"/>
    <n v="7491"/>
    <n v="0"/>
    <n v="0"/>
    <n v="7491"/>
    <n v="22"/>
    <n v="2"/>
    <n v="20"/>
    <n v="709.09090909090912"/>
    <n v="0.90909090909090906"/>
    <n v="0.96038461538461539"/>
    <n v="1"/>
    <n v="0.87307692307692308"/>
    <s v="M/C off for 2 hours due to maintenance."/>
  </r>
  <r>
    <x v="28"/>
    <x v="0"/>
    <x v="4"/>
    <x v="4"/>
    <n v="9000"/>
    <m/>
    <n v="0"/>
    <s v=""/>
    <n v="0"/>
    <m/>
    <m/>
    <s v=""/>
    <s v=""/>
    <s v=""/>
    <n v="0"/>
    <s v=""/>
    <s v=""/>
    <m/>
  </r>
  <r>
    <x v="28"/>
    <x v="0"/>
    <x v="5"/>
    <x v="4"/>
    <n v="2435"/>
    <n v="2435"/>
    <m/>
    <m/>
    <m/>
    <m/>
    <m/>
    <s v=""/>
    <m/>
    <m/>
    <m/>
    <m/>
    <m/>
    <s v="❌"/>
  </r>
  <r>
    <x v="28"/>
    <x v="1"/>
    <x v="6"/>
    <x v="5"/>
    <n v="9000"/>
    <n v="2435"/>
    <n v="0"/>
    <n v="0"/>
    <n v="2435"/>
    <n v="22"/>
    <n v="0"/>
    <n v="22"/>
    <n v="0"/>
    <n v="1"/>
    <n v="0.27055555555555555"/>
    <n v="1"/>
    <n v="0.27055555555555555"/>
    <s v="❌"/>
  </r>
  <r>
    <x v="28"/>
    <x v="1"/>
    <x v="7"/>
    <x v="6"/>
    <n v="8000"/>
    <n v="4564"/>
    <n v="0"/>
    <n v="0"/>
    <n v="4564"/>
    <n v="22"/>
    <n v="0"/>
    <n v="22"/>
    <n v="0"/>
    <n v="1"/>
    <n v="0.57050000000000001"/>
    <n v="1"/>
    <n v="0.57050000000000001"/>
    <s v="Due to insufficient tube fabric,"/>
  </r>
  <r>
    <x v="28"/>
    <x v="1"/>
    <x v="8"/>
    <x v="4"/>
    <n v="6000"/>
    <n v="4843"/>
    <n v="0"/>
    <n v="0"/>
    <n v="4843"/>
    <n v="22"/>
    <n v="5"/>
    <n v="17"/>
    <n v="1363.6363636363637"/>
    <n v="0.77272727272727271"/>
    <n v="0.8071666666666667"/>
    <n v="1"/>
    <n v="0.62371969696969698"/>
    <s v="M/C remained off for 5 hrs across two shifts for maintenance &amp; insufficient tube fabric."/>
  </r>
  <r>
    <x v="28"/>
    <x v="1"/>
    <x v="9"/>
    <x v="4"/>
    <n v="5000"/>
    <n v="2668"/>
    <n v="0"/>
    <n v="0"/>
    <n v="2668"/>
    <n v="22"/>
    <n v="0"/>
    <n v="22"/>
    <n v="0"/>
    <n v="1"/>
    <n v="0.53359999999999996"/>
    <n v="1"/>
    <n v="0.53359999999999996"/>
    <s v="Due to insufficient tube fabric,"/>
  </r>
  <r>
    <x v="29"/>
    <x v="0"/>
    <x v="0"/>
    <x v="0"/>
    <n v="10000"/>
    <n v="2019"/>
    <n v="0"/>
    <n v="0"/>
    <n v="2019"/>
    <n v="22"/>
    <n v="0"/>
    <n v="22"/>
    <n v="0"/>
    <n v="1"/>
    <n v="0.2019"/>
    <n v="1"/>
    <n v="0.2019"/>
    <s v="Due to insufficient tube fabric,"/>
  </r>
  <r>
    <x v="29"/>
    <x v="0"/>
    <x v="1"/>
    <x v="1"/>
    <n v="5000"/>
    <n v="8936"/>
    <n v="0"/>
    <n v="0"/>
    <n v="8936"/>
    <n v="22"/>
    <n v="0"/>
    <n v="22"/>
    <n v="0"/>
    <n v="1"/>
    <n v="1.7871999999999999"/>
    <n v="1"/>
    <n v="1.7871999999999999"/>
    <s v="❌"/>
  </r>
  <r>
    <x v="29"/>
    <x v="0"/>
    <x v="1"/>
    <x v="2"/>
    <n v="4000"/>
    <n v="6041"/>
    <n v="0"/>
    <n v="0"/>
    <n v="6041"/>
    <n v="22"/>
    <n v="0"/>
    <n v="22"/>
    <n v="0"/>
    <n v="1"/>
    <n v="1.5102500000000001"/>
    <n v="1"/>
    <n v="1.5102500000000001"/>
    <s v="❌"/>
  </r>
  <r>
    <x v="29"/>
    <x v="0"/>
    <x v="2"/>
    <x v="2"/>
    <n v="7000"/>
    <n v="2906"/>
    <n v="0"/>
    <n v="0"/>
    <n v="2906"/>
    <m/>
    <m/>
    <s v=""/>
    <s v=""/>
    <s v=""/>
    <n v="0.41514285714285715"/>
    <n v="1"/>
    <s v=""/>
    <m/>
  </r>
  <r>
    <x v="29"/>
    <x v="0"/>
    <x v="3"/>
    <x v="3"/>
    <n v="7800"/>
    <n v="7931"/>
    <n v="0"/>
    <n v="0"/>
    <n v="7931"/>
    <n v="22"/>
    <n v="0"/>
    <n v="22"/>
    <n v="0"/>
    <n v="1"/>
    <n v="1.0167948717948718"/>
    <n v="1"/>
    <n v="1.0167948717948718"/>
    <s v="❌"/>
  </r>
  <r>
    <x v="29"/>
    <x v="0"/>
    <x v="4"/>
    <x v="4"/>
    <n v="9000"/>
    <m/>
    <n v="0"/>
    <s v=""/>
    <n v="0"/>
    <m/>
    <m/>
    <s v=""/>
    <s v=""/>
    <s v=""/>
    <n v="0"/>
    <s v=""/>
    <s v=""/>
    <m/>
  </r>
  <r>
    <x v="29"/>
    <x v="0"/>
    <x v="5"/>
    <x v="4"/>
    <n v="2802"/>
    <n v="2802"/>
    <m/>
    <m/>
    <m/>
    <m/>
    <m/>
    <s v=""/>
    <m/>
    <m/>
    <m/>
    <m/>
    <m/>
    <s v="❌"/>
  </r>
  <r>
    <x v="29"/>
    <x v="1"/>
    <x v="6"/>
    <x v="5"/>
    <n v="9000"/>
    <n v="2802"/>
    <n v="0"/>
    <n v="0"/>
    <n v="2802"/>
    <n v="22"/>
    <n v="0"/>
    <n v="22"/>
    <n v="0"/>
    <n v="1"/>
    <n v="0.31133333333333335"/>
    <n v="1"/>
    <n v="0.31133333333333335"/>
    <s v="❌"/>
  </r>
  <r>
    <x v="29"/>
    <x v="1"/>
    <x v="7"/>
    <x v="6"/>
    <n v="8000"/>
    <n v="8039"/>
    <n v="0"/>
    <n v="0"/>
    <n v="8039"/>
    <n v="22"/>
    <n v="0"/>
    <n v="22"/>
    <n v="0"/>
    <n v="1"/>
    <n v="1.004875"/>
    <n v="1"/>
    <n v="1.004875"/>
    <s v="❌"/>
  </r>
  <r>
    <x v="29"/>
    <x v="1"/>
    <x v="8"/>
    <x v="4"/>
    <n v="6000"/>
    <n v="5781"/>
    <n v="0"/>
    <n v="0"/>
    <n v="5781"/>
    <n v="22"/>
    <n v="3"/>
    <n v="19"/>
    <n v="818.18181818181824"/>
    <n v="0.86363636363636365"/>
    <n v="0.96350000000000002"/>
    <n v="1"/>
    <n v="0.83211363636363644"/>
    <s v="M/C remained off for 3 hrs across two shifts for maintenance &amp; insufficient tube fabric."/>
  </r>
  <r>
    <x v="29"/>
    <x v="1"/>
    <x v="9"/>
    <x v="4"/>
    <n v="5000"/>
    <n v="3284"/>
    <n v="0"/>
    <n v="0"/>
    <n v="3284"/>
    <n v="22"/>
    <n v="0"/>
    <n v="22"/>
    <n v="0"/>
    <n v="1"/>
    <n v="0.65680000000000005"/>
    <n v="1"/>
    <n v="0.65680000000000005"/>
    <s v="Due to insufficient tube fabric,"/>
  </r>
  <r>
    <x v="30"/>
    <x v="0"/>
    <x v="0"/>
    <x v="0"/>
    <n v="10000"/>
    <n v="108"/>
    <n v="0"/>
    <n v="0"/>
    <n v="108"/>
    <n v="22"/>
    <n v="0"/>
    <n v="22"/>
    <n v="0"/>
    <n v="1"/>
    <n v="1.0800000000000001E-2"/>
    <n v="1"/>
    <n v="1.0800000000000001E-2"/>
    <s v="Due to insufficient tube fabric,"/>
  </r>
  <r>
    <x v="30"/>
    <x v="0"/>
    <x v="1"/>
    <x v="1"/>
    <n v="5000"/>
    <n v="8919"/>
    <n v="0"/>
    <n v="0"/>
    <n v="8919"/>
    <n v="22"/>
    <n v="0"/>
    <n v="22"/>
    <n v="0"/>
    <n v="1"/>
    <n v="1.7838000000000001"/>
    <n v="1"/>
    <n v="1.7838000000000001"/>
    <s v="❌"/>
  </r>
  <r>
    <x v="30"/>
    <x v="0"/>
    <x v="1"/>
    <x v="2"/>
    <n v="4000"/>
    <n v="4050"/>
    <n v="0"/>
    <n v="0"/>
    <n v="4050"/>
    <n v="22"/>
    <n v="0"/>
    <n v="22"/>
    <n v="0"/>
    <n v="1"/>
    <n v="1.0125"/>
    <n v="1"/>
    <n v="1.0125"/>
    <s v="❌"/>
  </r>
  <r>
    <x v="30"/>
    <x v="0"/>
    <x v="2"/>
    <x v="2"/>
    <n v="7000"/>
    <n v="5267"/>
    <n v="0"/>
    <n v="0"/>
    <n v="5267"/>
    <m/>
    <m/>
    <s v=""/>
    <s v=""/>
    <s v=""/>
    <n v="0.75242857142857145"/>
    <n v="1"/>
    <s v=""/>
    <m/>
  </r>
  <r>
    <x v="30"/>
    <x v="0"/>
    <x v="3"/>
    <x v="3"/>
    <n v="7800"/>
    <n v="7547"/>
    <n v="0"/>
    <n v="0"/>
    <n v="7547"/>
    <n v="22"/>
    <n v="1"/>
    <n v="21"/>
    <n v="354.54545454545456"/>
    <n v="0.95454545454545459"/>
    <n v="0.96756410256410252"/>
    <n v="1"/>
    <n v="0.9235839160839161"/>
    <s v="M/C off for 1hr, awaiting fabric"/>
  </r>
  <r>
    <x v="30"/>
    <x v="0"/>
    <x v="4"/>
    <x v="4"/>
    <n v="9000"/>
    <n v="5596"/>
    <n v="0"/>
    <n v="0"/>
    <n v="5596"/>
    <n v="22"/>
    <n v="0"/>
    <n v="22"/>
    <n v="0"/>
    <n v="1"/>
    <n v="0.62177777777777776"/>
    <n v="1"/>
    <n v="0.62177777777777776"/>
    <s v="Sensor fault reduced production."/>
  </r>
  <r>
    <x v="30"/>
    <x v="0"/>
    <x v="5"/>
    <x v="4"/>
    <n v="1339"/>
    <n v="1339"/>
    <m/>
    <m/>
    <m/>
    <m/>
    <m/>
    <s v=""/>
    <m/>
    <m/>
    <m/>
    <m/>
    <m/>
    <s v="❌"/>
  </r>
  <r>
    <x v="30"/>
    <x v="1"/>
    <x v="6"/>
    <x v="5"/>
    <n v="9000"/>
    <n v="1339"/>
    <n v="0"/>
    <n v="0"/>
    <n v="1339"/>
    <n v="22"/>
    <n v="0"/>
    <n v="22"/>
    <n v="0"/>
    <n v="1"/>
    <n v="0.14877777777777779"/>
    <n v="1"/>
    <n v="0.14877777777777779"/>
    <s v="❌"/>
  </r>
  <r>
    <x v="30"/>
    <x v="1"/>
    <x v="7"/>
    <x v="6"/>
    <n v="8000"/>
    <n v="6508"/>
    <n v="0"/>
    <n v="0"/>
    <n v="6508"/>
    <n v="22"/>
    <n v="0"/>
    <n v="22"/>
    <n v="0"/>
    <n v="1"/>
    <n v="0.8135"/>
    <n v="1"/>
    <n v="0.8135"/>
    <s v="❌"/>
  </r>
  <r>
    <x v="30"/>
    <x v="1"/>
    <x v="8"/>
    <x v="4"/>
    <n v="6000"/>
    <n v="2512"/>
    <n v="0"/>
    <n v="0"/>
    <n v="2512"/>
    <n v="22"/>
    <n v="0"/>
    <n v="22"/>
    <n v="0"/>
    <n v="1"/>
    <n v="0.41866666666666669"/>
    <n v="1"/>
    <n v="0.41866666666666669"/>
    <s v="Due to insufficient tube fabric,"/>
  </r>
  <r>
    <x v="30"/>
    <x v="1"/>
    <x v="9"/>
    <x v="4"/>
    <n v="5000"/>
    <n v="3019"/>
    <n v="0"/>
    <n v="0"/>
    <n v="3019"/>
    <n v="22"/>
    <n v="0"/>
    <n v="22"/>
    <n v="0"/>
    <n v="1"/>
    <n v="0.6038"/>
    <n v="1"/>
    <n v="0.6038"/>
    <s v="Due to insufficient tube fabric,"/>
  </r>
  <r>
    <x v="31"/>
    <x v="0"/>
    <x v="0"/>
    <x v="0"/>
    <n v="10000"/>
    <n v="9463"/>
    <n v="0"/>
    <n v="0"/>
    <n v="9463"/>
    <n v="22"/>
    <n v="0"/>
    <n v="22"/>
    <n v="0"/>
    <n v="1"/>
    <n v="0.94630000000000003"/>
    <n v="1"/>
    <n v="0.94630000000000003"/>
    <s v="❌"/>
  </r>
  <r>
    <x v="31"/>
    <x v="0"/>
    <x v="1"/>
    <x v="1"/>
    <n v="5000"/>
    <n v="6115"/>
    <n v="0"/>
    <n v="0"/>
    <n v="6115"/>
    <n v="22"/>
    <n v="0"/>
    <n v="22"/>
    <n v="0"/>
    <n v="1"/>
    <n v="1.2230000000000001"/>
    <n v="1"/>
    <n v="1.2230000000000001"/>
    <s v="❌"/>
  </r>
  <r>
    <x v="31"/>
    <x v="0"/>
    <x v="1"/>
    <x v="2"/>
    <n v="4000"/>
    <n v="3014"/>
    <n v="0"/>
    <n v="0"/>
    <n v="3014"/>
    <m/>
    <m/>
    <s v=""/>
    <s v=""/>
    <s v=""/>
    <n v="0.75349999999999995"/>
    <n v="1"/>
    <s v=""/>
    <m/>
  </r>
  <r>
    <x v="31"/>
    <x v="0"/>
    <x v="2"/>
    <x v="2"/>
    <n v="7000"/>
    <n v="7923"/>
    <n v="0"/>
    <n v="0"/>
    <n v="7923"/>
    <n v="22"/>
    <n v="0"/>
    <n v="22"/>
    <n v="0"/>
    <n v="1"/>
    <n v="1.1318571428571429"/>
    <n v="1"/>
    <n v="1.1318571428571429"/>
    <s v="❌"/>
  </r>
  <r>
    <x v="31"/>
    <x v="0"/>
    <x v="3"/>
    <x v="3"/>
    <n v="7800"/>
    <n v="6173"/>
    <n v="0"/>
    <n v="0"/>
    <n v="6173"/>
    <n v="22"/>
    <n v="0"/>
    <n v="22"/>
    <n v="0"/>
    <n v="1"/>
    <n v="0.79141025641025642"/>
    <n v="1"/>
    <n v="0.79141025641025642"/>
    <s v="Heather Grey heat-set: Reduced production rate."/>
  </r>
  <r>
    <x v="31"/>
    <x v="0"/>
    <x v="4"/>
    <x v="4"/>
    <n v="9000"/>
    <n v="8569"/>
    <n v="0"/>
    <n v="0"/>
    <n v="8569"/>
    <n v="22"/>
    <n v="0"/>
    <n v="22"/>
    <n v="0"/>
    <n v="1"/>
    <n v="0.95211111111111113"/>
    <n v="1"/>
    <n v="0.95211111111111113"/>
    <s v="❌"/>
  </r>
  <r>
    <x v="31"/>
    <x v="0"/>
    <x v="5"/>
    <x v="4"/>
    <n v="1946"/>
    <n v="1946"/>
    <m/>
    <m/>
    <m/>
    <m/>
    <m/>
    <s v=""/>
    <m/>
    <m/>
    <m/>
    <m/>
    <m/>
    <s v="❌"/>
  </r>
  <r>
    <x v="31"/>
    <x v="1"/>
    <x v="6"/>
    <x v="5"/>
    <n v="9000"/>
    <n v="6586"/>
    <n v="0"/>
    <n v="0"/>
    <n v="6586"/>
    <n v="22"/>
    <n v="0"/>
    <n v="22"/>
    <n v="0"/>
    <n v="1"/>
    <n v="0.73177777777777775"/>
    <n v="1"/>
    <n v="0.73177777777777775"/>
    <s v="❌"/>
  </r>
  <r>
    <x v="31"/>
    <x v="1"/>
    <x v="7"/>
    <x v="6"/>
    <n v="8000"/>
    <n v="6063"/>
    <n v="0"/>
    <n v="0"/>
    <n v="6063"/>
    <n v="22"/>
    <n v="3"/>
    <n v="19"/>
    <n v="1090.909090909091"/>
    <n v="0.86363636363636365"/>
    <n v="0.75787499999999997"/>
    <n v="1"/>
    <n v="0.65452840909090904"/>
    <s v="3hr downtime (Maintenance &amp; PDB); insufficient tube fabric."/>
  </r>
  <r>
    <x v="31"/>
    <x v="1"/>
    <x v="8"/>
    <x v="4"/>
    <n v="6000"/>
    <n v="2788"/>
    <n v="0"/>
    <n v="0"/>
    <n v="2788"/>
    <n v="22"/>
    <n v="0"/>
    <n v="22"/>
    <n v="0"/>
    <n v="1"/>
    <n v="0.46466666666666667"/>
    <n v="1"/>
    <n v="0.46466666666666667"/>
    <s v="Due to insufficient tube fabric,"/>
  </r>
  <r>
    <x v="31"/>
    <x v="1"/>
    <x v="9"/>
    <x v="4"/>
    <n v="5000"/>
    <n v="2621"/>
    <n v="0"/>
    <n v="0"/>
    <n v="2621"/>
    <n v="22"/>
    <n v="0"/>
    <n v="22"/>
    <n v="0"/>
    <n v="1"/>
    <n v="0.5242"/>
    <n v="1"/>
    <n v="0.5242"/>
    <s v="Due to insufficient tube fabric,"/>
  </r>
  <r>
    <x v="32"/>
    <x v="0"/>
    <x v="0"/>
    <x v="0"/>
    <n v="10000"/>
    <n v="8709"/>
    <n v="0"/>
    <n v="0"/>
    <n v="8709"/>
    <n v="22"/>
    <n v="2"/>
    <n v="20"/>
    <n v="909.09090909090912"/>
    <n v="0.90909090909090906"/>
    <n v="0.87090000000000001"/>
    <n v="1"/>
    <n v="0.79172727272727272"/>
    <s v="Machine downtime: 2 hours due to basket wheel malfunction."/>
  </r>
  <r>
    <x v="32"/>
    <x v="0"/>
    <x v="1"/>
    <x v="1"/>
    <n v="5000"/>
    <n v="2765"/>
    <n v="0"/>
    <n v="0"/>
    <n v="2765"/>
    <n v="22"/>
    <n v="2"/>
    <n v="20"/>
    <n v="454.54545454545456"/>
    <n v="0.90909090909090906"/>
    <n v="0.55300000000000005"/>
    <n v="1"/>
    <n v="0.5027272727272728"/>
    <s v="M/C downtime for Order #2026/118 (Lot-1341): 1 hr due to shade mismatch and  1 hr due to PDB power failure."/>
  </r>
  <r>
    <x v="32"/>
    <x v="0"/>
    <x v="1"/>
    <x v="2"/>
    <n v="4000"/>
    <n v="6084"/>
    <n v="0"/>
    <n v="0"/>
    <n v="6084"/>
    <m/>
    <m/>
    <s v=""/>
    <s v=""/>
    <s v=""/>
    <n v="1.5209999999999999"/>
    <n v="1"/>
    <s v=""/>
    <m/>
  </r>
  <r>
    <x v="32"/>
    <x v="0"/>
    <x v="2"/>
    <x v="2"/>
    <n v="7000"/>
    <n v="7366"/>
    <n v="0"/>
    <n v="0"/>
    <n v="7366"/>
    <n v="22"/>
    <n v="1"/>
    <n v="21"/>
    <n v="318.18181818181819"/>
    <n v="0.95454545454545459"/>
    <n v="1.0522857142857143"/>
    <n v="1"/>
    <n v="1.0044545454545455"/>
    <s v="M/C downtime for Order #2026/118 (Lot-1341): 1 hr due to shade mismatch"/>
  </r>
  <r>
    <x v="32"/>
    <x v="0"/>
    <x v="3"/>
    <x v="3"/>
    <n v="7800"/>
    <n v="4472"/>
    <n v="0"/>
    <n v="0"/>
    <n v="4472"/>
    <n v="22"/>
    <n v="2"/>
    <n v="20"/>
    <n v="709.09090909090912"/>
    <n v="0.90909090909090906"/>
    <n v="0.57333333333333336"/>
    <n v="1"/>
    <n v="0.52121212121212124"/>
    <s v="Machine downtime: 2 hr due to sensor fault."/>
  </r>
  <r>
    <x v="32"/>
    <x v="0"/>
    <x v="4"/>
    <x v="4"/>
    <n v="9000"/>
    <n v="7428"/>
    <n v="0"/>
    <n v="0"/>
    <n v="7428"/>
    <n v="22"/>
    <n v="0"/>
    <n v="22"/>
    <n v="0"/>
    <n v="1"/>
    <n v="0.82533333333333336"/>
    <n v="1"/>
    <n v="0.82533333333333336"/>
    <s v="❌"/>
  </r>
  <r>
    <x v="32"/>
    <x v="0"/>
    <x v="5"/>
    <x v="4"/>
    <n v="1828"/>
    <n v="1828"/>
    <m/>
    <m/>
    <m/>
    <m/>
    <m/>
    <s v=""/>
    <m/>
    <m/>
    <m/>
    <m/>
    <m/>
    <s v="❌"/>
  </r>
  <r>
    <x v="32"/>
    <x v="1"/>
    <x v="6"/>
    <x v="5"/>
    <n v="9000"/>
    <n v="5827"/>
    <n v="0"/>
    <n v="0"/>
    <n v="5827"/>
    <n v="22"/>
    <n v="0"/>
    <n v="22"/>
    <n v="0"/>
    <n v="1"/>
    <n v="0.64744444444444449"/>
    <n v="1"/>
    <n v="0.64744444444444449"/>
    <s v="Due to insufficient tube fabric,"/>
  </r>
  <r>
    <x v="32"/>
    <x v="1"/>
    <x v="7"/>
    <x v="6"/>
    <n v="8000"/>
    <n v="5837"/>
    <n v="0"/>
    <n v="0"/>
    <n v="5837"/>
    <n v="22"/>
    <n v="3"/>
    <n v="19"/>
    <n v="1090.909090909091"/>
    <n v="0.86363636363636365"/>
    <n v="0.72962499999999997"/>
    <n v="1"/>
    <n v="0.63013068181818177"/>
    <s v="3hr downtime (Maintenance &amp; PDB); insufficient tube fabric."/>
  </r>
  <r>
    <x v="32"/>
    <x v="1"/>
    <x v="8"/>
    <x v="4"/>
    <n v="6000"/>
    <n v="778"/>
    <n v="0"/>
    <n v="0"/>
    <n v="778"/>
    <n v="22"/>
    <n v="0"/>
    <n v="22"/>
    <n v="0"/>
    <n v="1"/>
    <n v="0.12966666666666668"/>
    <n v="1"/>
    <n v="0.12966666666666668"/>
    <s v="Operated Monty M/C on account of low tube fabric stock."/>
  </r>
  <r>
    <x v="32"/>
    <x v="1"/>
    <x v="9"/>
    <x v="4"/>
    <n v="5000"/>
    <n v="4058"/>
    <n v="0"/>
    <n v="0"/>
    <n v="4058"/>
    <n v="22"/>
    <n v="0"/>
    <n v="22"/>
    <n v="0"/>
    <n v="1"/>
    <n v="0.81159999999999999"/>
    <n v="1"/>
    <n v="0.81159999999999999"/>
    <s v="Due to insufficient tube fabric,"/>
  </r>
  <r>
    <x v="33"/>
    <x v="0"/>
    <x v="0"/>
    <x v="0"/>
    <n v="10000"/>
    <n v="9134"/>
    <n v="0"/>
    <n v="0"/>
    <n v="9134"/>
    <n v="22"/>
    <n v="2"/>
    <n v="20"/>
    <n v="909.09090909090912"/>
    <n v="0.90909090909090906"/>
    <n v="0.91339999999999999"/>
    <n v="1"/>
    <n v="0.8303636363636363"/>
    <s v="❌"/>
  </r>
  <r>
    <x v="33"/>
    <x v="0"/>
    <x v="1"/>
    <x v="1"/>
    <n v="5000"/>
    <n v="813"/>
    <n v="0"/>
    <n v="0"/>
    <n v="813"/>
    <n v="22"/>
    <n v="2"/>
    <n v="20"/>
    <n v="454.54545454545456"/>
    <n v="0.90909090909090906"/>
    <n v="0.16259999999999999"/>
    <n v="1"/>
    <n v="0.14781818181818182"/>
    <s v="❌"/>
  </r>
  <r>
    <x v="33"/>
    <x v="0"/>
    <x v="1"/>
    <x v="2"/>
    <n v="4000"/>
    <n v="9139"/>
    <n v="0"/>
    <n v="0"/>
    <n v="9139"/>
    <m/>
    <m/>
    <s v=""/>
    <s v=""/>
    <s v=""/>
    <n v="2.2847499999999998"/>
    <n v="1"/>
    <s v=""/>
    <m/>
  </r>
  <r>
    <x v="33"/>
    <x v="0"/>
    <x v="2"/>
    <x v="2"/>
    <n v="7000"/>
    <n v="7240"/>
    <n v="0"/>
    <n v="0"/>
    <n v="7240"/>
    <n v="22"/>
    <n v="1"/>
    <n v="21"/>
    <n v="318.18181818181819"/>
    <n v="0.95454545454545459"/>
    <n v="1.0342857142857143"/>
    <n v="1"/>
    <n v="0.9872727272727273"/>
    <s v="❌"/>
  </r>
  <r>
    <x v="33"/>
    <x v="0"/>
    <x v="3"/>
    <x v="3"/>
    <n v="7800"/>
    <n v="3353"/>
    <n v="0"/>
    <n v="0"/>
    <n v="3353"/>
    <n v="22"/>
    <n v="2"/>
    <n v="20"/>
    <n v="709.09090909090912"/>
    <n v="0.90909090909090906"/>
    <n v="0.42987179487179489"/>
    <n v="1"/>
    <n v="0.39079254079254078"/>
    <s v="Due to insufficient fabric,"/>
  </r>
  <r>
    <x v="33"/>
    <x v="0"/>
    <x v="4"/>
    <x v="4"/>
    <n v="9000"/>
    <n v="7931"/>
    <n v="0"/>
    <n v="0"/>
    <n v="7931"/>
    <n v="22"/>
    <n v="0"/>
    <n v="22"/>
    <n v="0"/>
    <n v="1"/>
    <n v="0.88122222222222224"/>
    <n v="1"/>
    <n v="0.88122222222222224"/>
    <s v="❌"/>
  </r>
  <r>
    <x v="33"/>
    <x v="0"/>
    <x v="5"/>
    <x v="4"/>
    <n v="2129"/>
    <n v="2129"/>
    <m/>
    <m/>
    <m/>
    <m/>
    <m/>
    <s v=""/>
    <m/>
    <m/>
    <m/>
    <m/>
    <m/>
    <s v="❌"/>
  </r>
  <r>
    <x v="33"/>
    <x v="1"/>
    <x v="6"/>
    <x v="5"/>
    <n v="9000"/>
    <n v="6192"/>
    <n v="0"/>
    <n v="0"/>
    <n v="6192"/>
    <n v="22"/>
    <n v="0"/>
    <n v="22"/>
    <n v="0"/>
    <n v="1"/>
    <n v="0.68799999999999994"/>
    <n v="1"/>
    <n v="0.68799999999999994"/>
    <s v="Due to insufficient tube fabric,"/>
  </r>
  <r>
    <x v="33"/>
    <x v="1"/>
    <x v="7"/>
    <x v="6"/>
    <n v="8000"/>
    <n v="6208"/>
    <n v="0"/>
    <n v="0"/>
    <n v="6208"/>
    <n v="22"/>
    <n v="2"/>
    <n v="20"/>
    <n v="727.27272727272725"/>
    <n v="0.90909090909090906"/>
    <n v="0.77600000000000002"/>
    <n v="1"/>
    <n v="0.70545454545454545"/>
    <s v="2hr downtime maintenance &amp; insufficient tube fabric."/>
  </r>
  <r>
    <x v="33"/>
    <x v="1"/>
    <x v="8"/>
    <x v="4"/>
    <n v="6000"/>
    <n v="4085"/>
    <n v="0"/>
    <n v="0"/>
    <n v="4085"/>
    <n v="22"/>
    <n v="0"/>
    <n v="22"/>
    <n v="0"/>
    <n v="1"/>
    <n v="0.68083333333333329"/>
    <n v="1"/>
    <n v="0.68083333333333329"/>
    <s v="Due to insufficient tube fabric,"/>
  </r>
  <r>
    <x v="33"/>
    <x v="1"/>
    <x v="9"/>
    <x v="4"/>
    <n v="5000"/>
    <n v="2648"/>
    <n v="0"/>
    <n v="0"/>
    <n v="2648"/>
    <n v="22"/>
    <n v="0"/>
    <n v="22"/>
    <n v="0"/>
    <n v="1"/>
    <n v="0.52959999999999996"/>
    <n v="1"/>
    <n v="0.52959999999999996"/>
    <s v="Operated Monty M/C on account of low tube fabric stock."/>
  </r>
  <r>
    <x v="34"/>
    <x v="0"/>
    <x v="0"/>
    <x v="0"/>
    <n v="10000"/>
    <n v="7105"/>
    <n v="0"/>
    <n v="0"/>
    <n v="7105"/>
    <n v="22"/>
    <n v="3"/>
    <n v="19"/>
    <n v="1363.6363636363637"/>
    <n v="0.86363636363636365"/>
    <n v="0.71050000000000002"/>
    <n v="1"/>
    <n v="0.61361363636363642"/>
    <s v="Scheduled weekly maintenance completed (3 hr downtime)"/>
  </r>
  <r>
    <x v="34"/>
    <x v="0"/>
    <x v="1"/>
    <x v="1"/>
    <n v="5000"/>
    <n v="6424"/>
    <n v="0"/>
    <n v="0"/>
    <n v="6424"/>
    <n v="22"/>
    <n v="3"/>
    <n v="19"/>
    <n v="681.81818181818187"/>
    <n v="0.86363636363636365"/>
    <n v="1.2847999999999999"/>
    <n v="1"/>
    <n v="1.1095999999999999"/>
    <s v="Scheduled weekly maintenance completed (3 hr downtime)"/>
  </r>
  <r>
    <x v="34"/>
    <x v="0"/>
    <x v="1"/>
    <x v="2"/>
    <n v="4000"/>
    <n v="0"/>
    <n v="0"/>
    <s v=""/>
    <n v="0"/>
    <m/>
    <n v="0"/>
    <s v=""/>
    <s v=""/>
    <s v=""/>
    <n v="0"/>
    <s v=""/>
    <s v=""/>
    <m/>
  </r>
  <r>
    <x v="34"/>
    <x v="0"/>
    <x v="2"/>
    <x v="2"/>
    <n v="7000"/>
    <n v="6264"/>
    <n v="0"/>
    <n v="0"/>
    <n v="6264"/>
    <n v="22"/>
    <n v="3"/>
    <n v="19"/>
    <n v="954.5454545454545"/>
    <n v="0.86363636363636365"/>
    <n v="0.89485714285714291"/>
    <n v="1"/>
    <n v="0.77283116883116887"/>
    <s v="Scheduled weekly maintenance completed (3 hr downtime)"/>
  </r>
  <r>
    <x v="34"/>
    <x v="0"/>
    <x v="3"/>
    <x v="3"/>
    <n v="7800"/>
    <n v="6432"/>
    <n v="0"/>
    <n v="0"/>
    <n v="6432"/>
    <n v="22"/>
    <n v="2"/>
    <n v="20"/>
    <n v="709.09090909090912"/>
    <n v="0.90909090909090906"/>
    <n v="0.82461538461538464"/>
    <n v="1"/>
    <n v="0.7496503496503496"/>
    <s v="2-hr downtime due to fabric shortage"/>
  </r>
  <r>
    <x v="34"/>
    <x v="0"/>
    <x v="4"/>
    <x v="4"/>
    <n v="9000"/>
    <n v="8790"/>
    <n v="0"/>
    <n v="0"/>
    <n v="8790"/>
    <n v="22"/>
    <n v="1"/>
    <n v="21"/>
    <n v="409.09090909090907"/>
    <n v="0.95454545454545459"/>
    <n v="0.97666666666666668"/>
    <n v="1"/>
    <n v="0.93227272727272736"/>
    <s v="Scheduled weekly maintenance completed (1 hr downtime)"/>
  </r>
  <r>
    <x v="34"/>
    <x v="0"/>
    <x v="5"/>
    <x v="4"/>
    <n v="0"/>
    <n v="0"/>
    <m/>
    <m/>
    <m/>
    <m/>
    <m/>
    <s v=""/>
    <m/>
    <m/>
    <m/>
    <m/>
    <m/>
    <s v="Due to insufficient fabric"/>
  </r>
  <r>
    <x v="34"/>
    <x v="1"/>
    <x v="6"/>
    <x v="5"/>
    <n v="9000"/>
    <n v="6973"/>
    <n v="0"/>
    <n v="0"/>
    <n v="6973"/>
    <n v="22"/>
    <n v="0"/>
    <n v="22"/>
    <n v="0"/>
    <n v="1"/>
    <n v="0.77477777777777779"/>
    <n v="1"/>
    <n v="0.77477777777777779"/>
    <s v="Due to insufficient tube fabric"/>
  </r>
  <r>
    <x v="34"/>
    <x v="1"/>
    <x v="7"/>
    <x v="6"/>
    <n v="8000"/>
    <n v="6425"/>
    <n v="0"/>
    <n v="0"/>
    <n v="6425"/>
    <n v="22"/>
    <n v="2"/>
    <n v="20"/>
    <n v="727.27272727272725"/>
    <n v="0.90909090909090906"/>
    <n v="0.80312499999999998"/>
    <n v="1"/>
    <n v="0.73011363636363635"/>
    <s v="2hr downtime maintenance &amp; insufficient tube fabric"/>
  </r>
  <r>
    <x v="34"/>
    <x v="1"/>
    <x v="8"/>
    <x v="4"/>
    <n v="6000"/>
    <n v="2683"/>
    <n v="0"/>
    <n v="0"/>
    <n v="2683"/>
    <n v="22"/>
    <n v="0"/>
    <n v="22"/>
    <n v="0"/>
    <n v="1"/>
    <n v="0.44716666666666666"/>
    <n v="1"/>
    <n v="0.44716666666666666"/>
    <s v="Due to insufficient tube fabric"/>
  </r>
  <r>
    <x v="34"/>
    <x v="1"/>
    <x v="9"/>
    <x v="4"/>
    <n v="5000"/>
    <n v="2489"/>
    <n v="0"/>
    <n v="0"/>
    <n v="2489"/>
    <n v="22"/>
    <n v="0"/>
    <n v="22"/>
    <n v="0"/>
    <n v="1"/>
    <n v="0.49780000000000002"/>
    <n v="1"/>
    <n v="0.49780000000000002"/>
    <s v="2hr downtime pulley motor failure &amp; insufficient tube fabric"/>
  </r>
  <r>
    <x v="35"/>
    <x v="0"/>
    <x v="0"/>
    <x v="0"/>
    <n v="10000"/>
    <n v="10733"/>
    <n v="0"/>
    <n v="0"/>
    <n v="10733"/>
    <n v="22"/>
    <n v="0"/>
    <n v="22"/>
    <n v="0"/>
    <n v="1"/>
    <n v="1.0732999999999999"/>
    <n v="1"/>
    <n v="1.0732999999999999"/>
    <m/>
  </r>
  <r>
    <x v="35"/>
    <x v="0"/>
    <x v="1"/>
    <x v="1"/>
    <n v="5000"/>
    <n v="1801"/>
    <n v="0"/>
    <n v="0"/>
    <n v="1801"/>
    <n v="22"/>
    <n v="2"/>
    <n v="20"/>
    <n v="454.54545454545456"/>
    <n v="0.90909090909090906"/>
    <n v="0.36020000000000002"/>
    <n v="1"/>
    <n v="0.32745454545454544"/>
    <s v="2hr downtime due to fabric delay, guide roller repair &amp; gas outage"/>
  </r>
  <r>
    <x v="35"/>
    <x v="0"/>
    <x v="1"/>
    <x v="2"/>
    <n v="4000"/>
    <n v="6151"/>
    <n v="0"/>
    <n v="0"/>
    <n v="6151"/>
    <m/>
    <m/>
    <s v=""/>
    <s v=""/>
    <s v=""/>
    <n v="1.53775"/>
    <n v="1"/>
    <s v=""/>
    <m/>
  </r>
  <r>
    <x v="35"/>
    <x v="0"/>
    <x v="2"/>
    <x v="2"/>
    <n v="7000"/>
    <n v="6722"/>
    <n v="0"/>
    <n v="0"/>
    <n v="6722"/>
    <n v="22"/>
    <n v="1"/>
    <n v="21"/>
    <n v="318.18181818181819"/>
    <n v="0.95454545454545459"/>
    <n v="0.9602857142857143"/>
    <n v="1"/>
    <n v="0.91663636363636369"/>
    <s v="1hr downtime due to uncooler motor bearing damage"/>
  </r>
  <r>
    <x v="35"/>
    <x v="0"/>
    <x v="3"/>
    <x v="3"/>
    <n v="7800"/>
    <n v="3990"/>
    <n v="0"/>
    <n v="0"/>
    <n v="3990"/>
    <n v="22"/>
    <n v="7"/>
    <n v="15"/>
    <n v="2481.818181818182"/>
    <n v="0.68181818181818177"/>
    <n v="0.5115384615384615"/>
    <n v="1"/>
    <n v="0.34877622377622375"/>
    <s v="7hr downtime due to fabric shortage"/>
  </r>
  <r>
    <x v="35"/>
    <x v="0"/>
    <x v="4"/>
    <x v="4"/>
    <n v="9000"/>
    <n v="8444"/>
    <n v="0"/>
    <n v="0"/>
    <n v="8444"/>
    <n v="22"/>
    <n v="0"/>
    <n v="22"/>
    <n v="0"/>
    <n v="1"/>
    <n v="0.93822222222222218"/>
    <n v="1"/>
    <n v="0.93822222222222218"/>
    <m/>
  </r>
  <r>
    <x v="35"/>
    <x v="0"/>
    <x v="5"/>
    <x v="4"/>
    <n v="2433"/>
    <n v="2433"/>
    <m/>
    <m/>
    <m/>
    <m/>
    <m/>
    <s v=""/>
    <m/>
    <m/>
    <m/>
    <m/>
    <m/>
    <m/>
  </r>
  <r>
    <x v="35"/>
    <x v="1"/>
    <x v="6"/>
    <x v="5"/>
    <n v="9000"/>
    <n v="4766"/>
    <n v="0"/>
    <n v="0"/>
    <n v="4766"/>
    <n v="22"/>
    <n v="0"/>
    <n v="22"/>
    <n v="0"/>
    <n v="1"/>
    <n v="0.52955555555555556"/>
    <n v="1"/>
    <n v="0.52955555555555556"/>
    <s v="Due to insufficient tube fabric"/>
  </r>
  <r>
    <x v="35"/>
    <x v="1"/>
    <x v="7"/>
    <x v="6"/>
    <n v="8000"/>
    <n v="3862"/>
    <n v="0"/>
    <n v="0"/>
    <n v="3862"/>
    <n v="22"/>
    <n v="11"/>
    <n v="11"/>
    <n v="4000"/>
    <n v="0.5"/>
    <n v="0.48275000000000001"/>
    <n v="1"/>
    <n v="0.24137500000000001"/>
    <s v="8hr downtime due to Net cleaning, PDB issue, &amp; fabric shortage._x000a_A &amp; B shifts closed at 6:00 due to fabric availability"/>
  </r>
  <r>
    <x v="35"/>
    <x v="1"/>
    <x v="8"/>
    <x v="4"/>
    <n v="6000"/>
    <n v="3187"/>
    <n v="0"/>
    <n v="0"/>
    <n v="3187"/>
    <n v="22"/>
    <n v="0"/>
    <n v="22"/>
    <n v="0"/>
    <n v="1"/>
    <n v="0.53116666666666668"/>
    <n v="1"/>
    <n v="0.53116666666666668"/>
    <s v="Due to insufficient tube fabric"/>
  </r>
  <r>
    <x v="35"/>
    <x v="1"/>
    <x v="9"/>
    <x v="4"/>
    <n v="5000"/>
    <n v="1376"/>
    <n v="0"/>
    <n v="0"/>
    <n v="1376"/>
    <n v="22"/>
    <n v="0"/>
    <n v="22"/>
    <n v="0"/>
    <n v="1"/>
    <n v="0.2752"/>
    <n v="1"/>
    <n v="0.2752"/>
    <s v="Operated Monti M/C on account of low tube fabric stock"/>
  </r>
  <r>
    <x v="36"/>
    <x v="0"/>
    <x v="0"/>
    <x v="0"/>
    <n v="10000"/>
    <n v="8738"/>
    <n v="0"/>
    <n v="0"/>
    <n v="8738"/>
    <n v="22"/>
    <n v="0"/>
    <n v="22"/>
    <n v="0"/>
    <n v="1"/>
    <n v="0.87380000000000002"/>
    <n v="1"/>
    <n v="0.87380000000000002"/>
    <m/>
  </r>
  <r>
    <x v="36"/>
    <x v="0"/>
    <x v="1"/>
    <x v="1"/>
    <n v="5000"/>
    <n v="6324"/>
    <n v="0"/>
    <n v="0"/>
    <n v="6324"/>
    <m/>
    <n v="0"/>
    <s v=""/>
    <s v=""/>
    <s v=""/>
    <n v="1.2647999999999999"/>
    <n v="1"/>
    <s v=""/>
    <m/>
  </r>
  <r>
    <x v="36"/>
    <x v="0"/>
    <x v="1"/>
    <x v="2"/>
    <n v="4000"/>
    <m/>
    <n v="0"/>
    <s v=""/>
    <n v="0"/>
    <n v="22"/>
    <n v="2"/>
    <n v="20"/>
    <n v="363.63636363636363"/>
    <n v="0.90909090909090906"/>
    <n v="0"/>
    <s v=""/>
    <s v=""/>
    <s v="2hr downtime due to fabric delay, guide roller repair &amp; gas outage"/>
  </r>
  <r>
    <x v="36"/>
    <x v="0"/>
    <x v="2"/>
    <x v="2"/>
    <n v="7000"/>
    <n v="7335"/>
    <n v="0"/>
    <n v="0"/>
    <n v="7335"/>
    <n v="22"/>
    <n v="1"/>
    <n v="21"/>
    <n v="318.18181818181819"/>
    <n v="0.95454545454545459"/>
    <n v="1.0478571428571428"/>
    <n v="1"/>
    <n v="1.0002272727272727"/>
    <s v="1hr downtime due to uncooler motor bearing damage"/>
  </r>
  <r>
    <x v="36"/>
    <x v="0"/>
    <x v="3"/>
    <x v="3"/>
    <n v="7800"/>
    <n v="6307"/>
    <n v="0"/>
    <n v="0"/>
    <n v="6307"/>
    <n v="22"/>
    <n v="3"/>
    <n v="19"/>
    <n v="1063.6363636363637"/>
    <n v="0.86363636363636365"/>
    <n v="0.80858974358974356"/>
    <n v="1"/>
    <n v="0.6983275058275058"/>
    <s v="3hr downtime due to fabric shortage"/>
  </r>
  <r>
    <x v="36"/>
    <x v="0"/>
    <x v="4"/>
    <x v="4"/>
    <n v="9000"/>
    <n v="5578"/>
    <n v="0"/>
    <n v="0"/>
    <n v="5578"/>
    <n v="22"/>
    <n v="3"/>
    <n v="19"/>
    <n v="1227.2727272727273"/>
    <n v="0.86363636363636365"/>
    <n v="0.61977777777777776"/>
    <n v="1"/>
    <n v="0.53526262626262622"/>
    <s v="3hr downtime due to fabric shortage &amp; Net problem"/>
  </r>
  <r>
    <x v="36"/>
    <x v="0"/>
    <x v="5"/>
    <x v="4"/>
    <n v="2433"/>
    <n v="2433"/>
    <m/>
    <m/>
    <m/>
    <m/>
    <m/>
    <s v=""/>
    <m/>
    <m/>
    <m/>
    <m/>
    <m/>
    <m/>
  </r>
  <r>
    <x v="36"/>
    <x v="1"/>
    <x v="6"/>
    <x v="5"/>
    <n v="9000"/>
    <n v="6853"/>
    <n v="0"/>
    <n v="0"/>
    <n v="6853"/>
    <n v="22"/>
    <n v="0"/>
    <n v="22"/>
    <n v="0"/>
    <n v="1"/>
    <n v="0.76144444444444448"/>
    <n v="1"/>
    <n v="0.76144444444444448"/>
    <m/>
  </r>
  <r>
    <x v="36"/>
    <x v="1"/>
    <x v="7"/>
    <x v="6"/>
    <n v="8000"/>
    <n v="7082"/>
    <n v="0"/>
    <n v="0"/>
    <n v="7082"/>
    <n v="22"/>
    <n v="11"/>
    <n v="11"/>
    <n v="4000"/>
    <n v="0.5"/>
    <n v="0.88524999999999998"/>
    <n v="1"/>
    <n v="0.44262499999999999"/>
    <s v="Due to insufficient tube fabric"/>
  </r>
  <r>
    <x v="36"/>
    <x v="1"/>
    <x v="8"/>
    <x v="4"/>
    <n v="6000"/>
    <n v="3593"/>
    <n v="0"/>
    <n v="0"/>
    <n v="3593"/>
    <n v="22"/>
    <n v="0"/>
    <n v="22"/>
    <n v="0"/>
    <n v="1"/>
    <n v="0.59883333333333333"/>
    <n v="1"/>
    <n v="0.59883333333333333"/>
    <s v="Due to insufficient tube fabric"/>
  </r>
  <r>
    <x v="36"/>
    <x v="1"/>
    <x v="9"/>
    <x v="4"/>
    <n v="5000"/>
    <n v="3131"/>
    <n v="0"/>
    <n v="0"/>
    <n v="3131"/>
    <n v="22"/>
    <n v="0"/>
    <n v="22"/>
    <n v="0"/>
    <n v="1"/>
    <n v="0.62619999999999998"/>
    <n v="1"/>
    <n v="0.62619999999999998"/>
    <s v="Due to insufficient tube fabric"/>
  </r>
  <r>
    <x v="37"/>
    <x v="0"/>
    <x v="0"/>
    <x v="0"/>
    <n v="10000"/>
    <n v="8762"/>
    <n v="0"/>
    <n v="0"/>
    <n v="8762"/>
    <n v="22"/>
    <n v="0"/>
    <n v="22"/>
    <n v="0"/>
    <n v="1"/>
    <n v="0.87619999999999998"/>
    <n v="1"/>
    <n v="0.87619999999999998"/>
    <m/>
  </r>
  <r>
    <x v="37"/>
    <x v="0"/>
    <x v="1"/>
    <x v="1"/>
    <n v="5000"/>
    <n v="2823"/>
    <n v="0"/>
    <n v="0"/>
    <n v="2823"/>
    <m/>
    <n v="0"/>
    <s v=""/>
    <s v=""/>
    <s v=""/>
    <n v="0.56459999999999999"/>
    <n v="1"/>
    <s v=""/>
    <m/>
  </r>
  <r>
    <x v="37"/>
    <x v="0"/>
    <x v="1"/>
    <x v="2"/>
    <n v="4000"/>
    <n v="5723"/>
    <n v="0"/>
    <n v="0"/>
    <n v="5723"/>
    <n v="22"/>
    <n v="0"/>
    <n v="22"/>
    <n v="0"/>
    <n v="1"/>
    <n v="1.43075"/>
    <n v="1"/>
    <n v="1.43075"/>
    <m/>
  </r>
  <r>
    <x v="37"/>
    <x v="0"/>
    <x v="2"/>
    <x v="2"/>
    <n v="7000"/>
    <n v="7185"/>
    <n v="0"/>
    <n v="0"/>
    <n v="7185"/>
    <n v="22"/>
    <n v="0"/>
    <n v="22"/>
    <n v="0"/>
    <n v="1"/>
    <n v="1.0264285714285715"/>
    <n v="1"/>
    <n v="1.0264285714285715"/>
    <m/>
  </r>
  <r>
    <x v="37"/>
    <x v="0"/>
    <x v="3"/>
    <x v="3"/>
    <n v="7800"/>
    <n v="5302"/>
    <n v="0"/>
    <n v="0"/>
    <n v="5302"/>
    <n v="22"/>
    <n v="8"/>
    <n v="14"/>
    <n v="2836.3636363636365"/>
    <n v="0.63636363636363635"/>
    <n v="0.67974358974358973"/>
    <n v="1"/>
    <n v="0.43256410256410255"/>
    <s v="8hr downtime due to needle breakage"/>
  </r>
  <r>
    <x v="37"/>
    <x v="0"/>
    <x v="10"/>
    <x v="3"/>
    <m/>
    <n v="1718"/>
    <m/>
    <m/>
    <m/>
    <m/>
    <m/>
    <s v=""/>
    <m/>
    <m/>
    <m/>
    <m/>
    <m/>
    <s v="Old m/c operated for only 8 hrs due to technical issues with the new m/c"/>
  </r>
  <r>
    <x v="37"/>
    <x v="0"/>
    <x v="4"/>
    <x v="4"/>
    <n v="9000"/>
    <n v="9000"/>
    <n v="0"/>
    <n v="0"/>
    <n v="9000"/>
    <n v="22"/>
    <n v="3"/>
    <n v="19"/>
    <n v="1227.2727272727273"/>
    <n v="0.86363636363636365"/>
    <n v="1"/>
    <n v="1"/>
    <n v="0.86363636363636365"/>
    <m/>
  </r>
  <r>
    <x v="37"/>
    <x v="0"/>
    <x v="5"/>
    <x v="4"/>
    <n v="0"/>
    <n v="0"/>
    <m/>
    <m/>
    <m/>
    <m/>
    <m/>
    <s v=""/>
    <m/>
    <m/>
    <m/>
    <m/>
    <m/>
    <m/>
  </r>
  <r>
    <x v="37"/>
    <x v="1"/>
    <x v="6"/>
    <x v="5"/>
    <n v="9000"/>
    <n v="7030"/>
    <n v="0"/>
    <n v="0"/>
    <n v="7030"/>
    <n v="22"/>
    <n v="0"/>
    <n v="22"/>
    <n v="0"/>
    <n v="1"/>
    <n v="0.78111111111111109"/>
    <n v="1"/>
    <n v="0.78111111111111109"/>
    <s v="Due to insufficient tube fabric"/>
  </r>
  <r>
    <x v="37"/>
    <x v="1"/>
    <x v="7"/>
    <x v="6"/>
    <n v="8000"/>
    <n v="7123"/>
    <n v="0"/>
    <n v="0"/>
    <n v="7123"/>
    <n v="22"/>
    <n v="3"/>
    <n v="19"/>
    <n v="1090.909090909091"/>
    <n v="0.86363636363636365"/>
    <n v="0.89037500000000003"/>
    <n v="1"/>
    <n v="0.76896022727272728"/>
    <s v="3hr downtime due to maintanance &amp; Limit switch problem"/>
  </r>
  <r>
    <x v="37"/>
    <x v="1"/>
    <x v="8"/>
    <x v="4"/>
    <n v="6000"/>
    <n v="3087"/>
    <n v="0"/>
    <n v="0"/>
    <n v="3087"/>
    <n v="22"/>
    <n v="0"/>
    <n v="22"/>
    <n v="0"/>
    <n v="1"/>
    <n v="0.51449999999999996"/>
    <n v="1"/>
    <n v="0.51449999999999996"/>
    <s v="Due to insufficient tube fabric"/>
  </r>
  <r>
    <x v="37"/>
    <x v="1"/>
    <x v="9"/>
    <x v="4"/>
    <n v="5000"/>
    <n v="2836"/>
    <n v="0"/>
    <n v="0"/>
    <n v="2836"/>
    <n v="22"/>
    <n v="2"/>
    <n v="20"/>
    <n v="454.54545454545456"/>
    <n v="0.90909090909090906"/>
    <n v="0.56720000000000004"/>
    <n v="1"/>
    <n v="0.51563636363636367"/>
    <s v="Shift A was dismissed at 5:00 PM, due to insufficient tube fabric"/>
  </r>
  <r>
    <x v="38"/>
    <x v="0"/>
    <x v="0"/>
    <x v="0"/>
    <n v="10000"/>
    <n v="8312"/>
    <n v="0"/>
    <n v="0"/>
    <n v="8312"/>
    <n v="22"/>
    <n v="0"/>
    <n v="22"/>
    <n v="0"/>
    <n v="1"/>
    <n v="0.83120000000000005"/>
    <n v="1"/>
    <n v="0.83120000000000005"/>
    <m/>
  </r>
  <r>
    <x v="38"/>
    <x v="0"/>
    <x v="1"/>
    <x v="1"/>
    <n v="5000"/>
    <n v="4343"/>
    <n v="0"/>
    <n v="0"/>
    <n v="4343"/>
    <m/>
    <n v="0"/>
    <s v=""/>
    <s v=""/>
    <s v=""/>
    <n v="0.86860000000000004"/>
    <n v="1"/>
    <s v=""/>
    <m/>
  </r>
  <r>
    <x v="38"/>
    <x v="0"/>
    <x v="1"/>
    <x v="2"/>
    <n v="4000"/>
    <n v="4468"/>
    <n v="0"/>
    <n v="0"/>
    <n v="4468"/>
    <n v="22"/>
    <n v="0"/>
    <n v="22"/>
    <n v="0"/>
    <n v="1"/>
    <n v="1.117"/>
    <n v="1"/>
    <n v="1.117"/>
    <m/>
  </r>
  <r>
    <x v="38"/>
    <x v="0"/>
    <x v="2"/>
    <x v="2"/>
    <n v="7000"/>
    <n v="7065"/>
    <n v="0"/>
    <n v="0"/>
    <n v="7065"/>
    <n v="22"/>
    <n v="0"/>
    <n v="22"/>
    <n v="0"/>
    <n v="1"/>
    <n v="1.0092857142857143"/>
    <n v="1"/>
    <n v="1.0092857142857143"/>
    <m/>
  </r>
  <r>
    <x v="38"/>
    <x v="0"/>
    <x v="3"/>
    <x v="3"/>
    <n v="7800"/>
    <n v="4409"/>
    <n v="0"/>
    <n v="0"/>
    <n v="4409"/>
    <n v="22"/>
    <n v="7"/>
    <n v="15"/>
    <n v="2481.818181818182"/>
    <n v="0.68181818181818177"/>
    <n v="0.56525641025641027"/>
    <n v="1"/>
    <n v="0.3854020979020979"/>
    <s v="7hr downtime due to needle breakage"/>
  </r>
  <r>
    <x v="38"/>
    <x v="0"/>
    <x v="10"/>
    <x v="3"/>
    <m/>
    <n v="1804"/>
    <m/>
    <m/>
    <m/>
    <m/>
    <m/>
    <s v=""/>
    <m/>
    <m/>
    <m/>
    <m/>
    <m/>
    <s v="Old m/c operated for only 7 hrs due to technical issues with the new m/c"/>
  </r>
  <r>
    <x v="38"/>
    <x v="0"/>
    <x v="4"/>
    <x v="4"/>
    <n v="9000"/>
    <n v="8864"/>
    <n v="0"/>
    <n v="0"/>
    <n v="8864"/>
    <n v="22"/>
    <n v="3"/>
    <n v="19"/>
    <n v="1227.2727272727273"/>
    <n v="0.86363636363636365"/>
    <n v="0.98488888888888892"/>
    <n v="1"/>
    <n v="0.85058585858585867"/>
    <m/>
  </r>
  <r>
    <x v="38"/>
    <x v="0"/>
    <x v="5"/>
    <x v="4"/>
    <n v="0"/>
    <n v="0"/>
    <m/>
    <m/>
    <m/>
    <m/>
    <m/>
    <s v=""/>
    <m/>
    <m/>
    <m/>
    <m/>
    <m/>
    <m/>
  </r>
  <r>
    <x v="38"/>
    <x v="1"/>
    <x v="6"/>
    <x v="5"/>
    <n v="9000"/>
    <n v="8561"/>
    <n v="0"/>
    <n v="0"/>
    <n v="8561"/>
    <n v="22"/>
    <n v="0"/>
    <n v="22"/>
    <n v="0"/>
    <n v="1"/>
    <n v="0.95122222222222219"/>
    <n v="1"/>
    <n v="0.95122222222222219"/>
    <m/>
  </r>
  <r>
    <x v="38"/>
    <x v="1"/>
    <x v="7"/>
    <x v="6"/>
    <n v="8000"/>
    <n v="8114"/>
    <n v="0"/>
    <n v="0"/>
    <n v="8114"/>
    <n v="22"/>
    <n v="2"/>
    <n v="20"/>
    <n v="727.27272727272725"/>
    <n v="0.90909090909090906"/>
    <n v="1.0142500000000001"/>
    <n v="1"/>
    <n v="0.92204545454545461"/>
    <s v="2hr downtime due to maintanance"/>
  </r>
  <r>
    <x v="38"/>
    <x v="1"/>
    <x v="8"/>
    <x v="4"/>
    <n v="6000"/>
    <n v="3695"/>
    <n v="0"/>
    <n v="0"/>
    <n v="3695"/>
    <n v="22"/>
    <n v="0"/>
    <n v="22"/>
    <n v="0"/>
    <n v="1"/>
    <n v="0.61583333333333334"/>
    <n v="1"/>
    <n v="0.61583333333333334"/>
    <s v="Due to insufficient tube fabric"/>
  </r>
  <r>
    <x v="38"/>
    <x v="1"/>
    <x v="9"/>
    <x v="4"/>
    <n v="5000"/>
    <n v="2627"/>
    <n v="0"/>
    <n v="0"/>
    <n v="2627"/>
    <n v="22"/>
    <n v="0"/>
    <n v="22"/>
    <n v="0"/>
    <n v="1"/>
    <n v="0.52539999999999998"/>
    <n v="1"/>
    <n v="0.52539999999999998"/>
    <s v="Due to insufficient tube fabric"/>
  </r>
  <r>
    <x v="39"/>
    <x v="0"/>
    <x v="0"/>
    <x v="0"/>
    <n v="10000"/>
    <n v="7521"/>
    <n v="0"/>
    <n v="0"/>
    <n v="7521"/>
    <n v="22"/>
    <n v="2"/>
    <n v="20"/>
    <n v="909.09090909090912"/>
    <n v="0.90909090909090906"/>
    <n v="0.75209999999999999"/>
    <n v="1"/>
    <n v="0.68372727272727274"/>
    <s v="M/C off 2 hrs due to dyeing table bearing damage &amp; basket belt torn"/>
  </r>
  <r>
    <x v="39"/>
    <x v="0"/>
    <x v="1"/>
    <x v="1"/>
    <n v="5000"/>
    <n v="4359"/>
    <n v="0"/>
    <n v="0"/>
    <n v="4359"/>
    <m/>
    <n v="0"/>
    <s v=""/>
    <s v=""/>
    <s v=""/>
    <n v="0.87180000000000002"/>
    <n v="1"/>
    <s v=""/>
    <m/>
  </r>
  <r>
    <x v="39"/>
    <x v="0"/>
    <x v="1"/>
    <x v="2"/>
    <n v="4000"/>
    <n v="3717"/>
    <n v="0"/>
    <n v="0"/>
    <n v="3717"/>
    <n v="22"/>
    <n v="0"/>
    <n v="22"/>
    <n v="0"/>
    <n v="1"/>
    <n v="0.92925000000000002"/>
    <n v="1"/>
    <n v="0.92925000000000002"/>
    <m/>
  </r>
  <r>
    <x v="39"/>
    <x v="0"/>
    <x v="2"/>
    <x v="2"/>
    <n v="7000"/>
    <n v="6361"/>
    <n v="0"/>
    <n v="0"/>
    <n v="6361"/>
    <n v="22"/>
    <n v="0"/>
    <n v="22"/>
    <n v="0"/>
    <n v="1"/>
    <n v="0.9087142857142857"/>
    <n v="1"/>
    <n v="0.9087142857142857"/>
    <m/>
  </r>
  <r>
    <x v="39"/>
    <x v="0"/>
    <x v="3"/>
    <x v="3"/>
    <n v="7800"/>
    <n v="7051"/>
    <n v="0"/>
    <n v="0"/>
    <n v="7051"/>
    <n v="22"/>
    <n v="0"/>
    <n v="22"/>
    <n v="0"/>
    <n v="1"/>
    <n v="0.90397435897435896"/>
    <n v="1"/>
    <n v="0.90397435897435896"/>
    <m/>
  </r>
  <r>
    <x v="39"/>
    <x v="0"/>
    <x v="10"/>
    <x v="3"/>
    <m/>
    <n v="0"/>
    <m/>
    <m/>
    <m/>
    <m/>
    <m/>
    <s v=""/>
    <m/>
    <m/>
    <m/>
    <m/>
    <m/>
    <m/>
  </r>
  <r>
    <x v="39"/>
    <x v="0"/>
    <x v="4"/>
    <x v="4"/>
    <n v="9000"/>
    <n v="8707"/>
    <n v="0"/>
    <n v="0"/>
    <n v="8707"/>
    <n v="22"/>
    <n v="0"/>
    <n v="22"/>
    <n v="0"/>
    <n v="1"/>
    <n v="0.96744444444444444"/>
    <n v="1"/>
    <n v="0.96744444444444444"/>
    <m/>
  </r>
  <r>
    <x v="39"/>
    <x v="0"/>
    <x v="5"/>
    <x v="4"/>
    <n v="0"/>
    <n v="0"/>
    <m/>
    <m/>
    <m/>
    <m/>
    <m/>
    <s v=""/>
    <m/>
    <m/>
    <m/>
    <m/>
    <m/>
    <m/>
  </r>
  <r>
    <x v="39"/>
    <x v="1"/>
    <x v="6"/>
    <x v="5"/>
    <n v="9000"/>
    <n v="5798"/>
    <n v="0"/>
    <n v="0"/>
    <n v="5798"/>
    <n v="22"/>
    <n v="0"/>
    <n v="22"/>
    <n v="0"/>
    <n v="1"/>
    <n v="0.64422222222222225"/>
    <n v="1"/>
    <n v="0.64422222222222225"/>
    <m/>
  </r>
  <r>
    <x v="39"/>
    <x v="1"/>
    <x v="7"/>
    <x v="6"/>
    <n v="8000"/>
    <n v="6734"/>
    <n v="0"/>
    <n v="0"/>
    <n v="6734"/>
    <n v="22"/>
    <n v="0"/>
    <n v="22"/>
    <n v="0"/>
    <n v="1"/>
    <n v="0.84175"/>
    <n v="1"/>
    <n v="0.84175"/>
    <m/>
  </r>
  <r>
    <x v="39"/>
    <x v="1"/>
    <x v="8"/>
    <x v="4"/>
    <n v="6000"/>
    <n v="2369"/>
    <n v="0"/>
    <n v="0"/>
    <n v="2369"/>
    <n v="22"/>
    <n v="0"/>
    <n v="22"/>
    <n v="0"/>
    <n v="1"/>
    <n v="0.39483333333333331"/>
    <n v="1"/>
    <n v="0.39483333333333331"/>
    <m/>
  </r>
  <r>
    <x v="39"/>
    <x v="1"/>
    <x v="9"/>
    <x v="4"/>
    <n v="5000"/>
    <n v="3465"/>
    <n v="0"/>
    <n v="0"/>
    <n v="3465"/>
    <n v="22"/>
    <n v="0"/>
    <n v="22"/>
    <n v="0"/>
    <n v="1"/>
    <n v="0.69299999999999995"/>
    <n v="1"/>
    <n v="0.69299999999999995"/>
    <m/>
  </r>
  <r>
    <x v="40"/>
    <x v="0"/>
    <x v="0"/>
    <x v="0"/>
    <n v="5000"/>
    <n v="4507"/>
    <n v="0"/>
    <n v="0"/>
    <n v="4507"/>
    <n v="11"/>
    <n v="0"/>
    <n v="11"/>
    <n v="0"/>
    <n v="1"/>
    <n v="0.90139999999999998"/>
    <n v="1"/>
    <n v="0.90139999999999998"/>
    <m/>
  </r>
  <r>
    <x v="40"/>
    <x v="0"/>
    <x v="1"/>
    <x v="1"/>
    <n v="2500"/>
    <n v="2847"/>
    <n v="0"/>
    <n v="0"/>
    <n v="2847"/>
    <m/>
    <n v="0"/>
    <s v=""/>
    <s v=""/>
    <s v=""/>
    <n v="1.1388"/>
    <n v="1"/>
    <s v=""/>
    <m/>
  </r>
  <r>
    <x v="40"/>
    <x v="0"/>
    <x v="1"/>
    <x v="2"/>
    <n v="2000"/>
    <n v="1653"/>
    <n v="0"/>
    <n v="0"/>
    <n v="1653"/>
    <n v="11"/>
    <n v="0"/>
    <n v="11"/>
    <n v="0"/>
    <n v="1"/>
    <n v="0.82650000000000001"/>
    <n v="1"/>
    <n v="0.82650000000000001"/>
    <m/>
  </r>
  <r>
    <x v="40"/>
    <x v="0"/>
    <x v="2"/>
    <x v="2"/>
    <n v="3500"/>
    <n v="3770"/>
    <n v="0"/>
    <n v="0"/>
    <n v="3770"/>
    <n v="11"/>
    <n v="0"/>
    <n v="11"/>
    <n v="0"/>
    <n v="1"/>
    <n v="1.0771428571428572"/>
    <n v="1"/>
    <n v="1.0771428571428572"/>
    <m/>
  </r>
  <r>
    <x v="40"/>
    <x v="0"/>
    <x v="3"/>
    <x v="3"/>
    <n v="3900"/>
    <n v="4366"/>
    <n v="0"/>
    <n v="0"/>
    <n v="4366"/>
    <n v="11"/>
    <n v="0"/>
    <n v="11"/>
    <n v="0"/>
    <n v="1"/>
    <n v="1.1194871794871795"/>
    <n v="1"/>
    <n v="1.1194871794871795"/>
    <m/>
  </r>
  <r>
    <x v="40"/>
    <x v="0"/>
    <x v="10"/>
    <x v="3"/>
    <m/>
    <n v="0"/>
    <m/>
    <m/>
    <m/>
    <m/>
    <m/>
    <s v=""/>
    <m/>
    <m/>
    <m/>
    <m/>
    <m/>
    <m/>
  </r>
  <r>
    <x v="40"/>
    <x v="0"/>
    <x v="4"/>
    <x v="4"/>
    <n v="4500"/>
    <n v="4051"/>
    <n v="0"/>
    <n v="0"/>
    <n v="4051"/>
    <n v="11"/>
    <n v="0"/>
    <n v="11"/>
    <n v="0"/>
    <n v="1"/>
    <n v="0.90022222222222226"/>
    <n v="1"/>
    <n v="0.90022222222222226"/>
    <m/>
  </r>
  <r>
    <x v="40"/>
    <x v="0"/>
    <x v="5"/>
    <x v="4"/>
    <n v="0"/>
    <n v="0"/>
    <m/>
    <m/>
    <m/>
    <m/>
    <m/>
    <s v=""/>
    <m/>
    <m/>
    <m/>
    <m/>
    <m/>
    <m/>
  </r>
  <r>
    <x v="40"/>
    <x v="1"/>
    <x v="6"/>
    <x v="5"/>
    <n v="4500"/>
    <n v="3541"/>
    <n v="0"/>
    <n v="0"/>
    <n v="3541"/>
    <n v="11"/>
    <n v="0"/>
    <n v="11"/>
    <n v="0"/>
    <n v="1"/>
    <n v="0.78688888888888886"/>
    <n v="1"/>
    <n v="0.78688888888888886"/>
    <m/>
  </r>
  <r>
    <x v="40"/>
    <x v="1"/>
    <x v="7"/>
    <x v="6"/>
    <n v="4000"/>
    <n v="3335"/>
    <n v="0"/>
    <n v="0"/>
    <n v="3335"/>
    <n v="11"/>
    <n v="0"/>
    <n v="11"/>
    <n v="0"/>
    <n v="1"/>
    <n v="0.83374999999999999"/>
    <n v="1"/>
    <n v="0.83374999999999999"/>
    <m/>
  </r>
  <r>
    <x v="40"/>
    <x v="1"/>
    <x v="8"/>
    <x v="4"/>
    <n v="3000"/>
    <n v="1628"/>
    <n v="0"/>
    <n v="0"/>
    <n v="1628"/>
    <n v="11"/>
    <n v="0"/>
    <n v="11"/>
    <n v="0"/>
    <n v="1"/>
    <n v="0.54266666666666663"/>
    <n v="1"/>
    <n v="0.54266666666666663"/>
    <s v="Due to insufficient tube fabric"/>
  </r>
  <r>
    <x v="40"/>
    <x v="1"/>
    <x v="9"/>
    <x v="4"/>
    <n v="2500"/>
    <n v="427"/>
    <n v="0"/>
    <n v="0"/>
    <n v="427"/>
    <n v="11"/>
    <n v="0"/>
    <n v="11"/>
    <n v="0"/>
    <n v="1"/>
    <n v="0.17080000000000001"/>
    <n v="1"/>
    <n v="0.17080000000000001"/>
    <s v="Due to insufficient tube fabric"/>
  </r>
  <r>
    <x v="41"/>
    <x v="0"/>
    <x v="0"/>
    <x v="0"/>
    <n v="10000"/>
    <n v="9207"/>
    <n v="0"/>
    <n v="0"/>
    <n v="9207"/>
    <n v="22"/>
    <n v="0"/>
    <n v="22"/>
    <n v="0"/>
    <n v="1"/>
    <n v="0.92069999999999996"/>
    <n v="1"/>
    <n v="0.92069999999999996"/>
    <m/>
  </r>
  <r>
    <x v="41"/>
    <x v="0"/>
    <x v="1"/>
    <x v="1"/>
    <n v="5000"/>
    <n v="4774"/>
    <n v="0"/>
    <n v="0"/>
    <n v="4774"/>
    <m/>
    <n v="0"/>
    <s v=""/>
    <s v=""/>
    <s v=""/>
    <n v="0.95479999999999998"/>
    <n v="1"/>
    <s v=""/>
    <m/>
  </r>
  <r>
    <x v="41"/>
    <x v="0"/>
    <x v="1"/>
    <x v="2"/>
    <n v="4000"/>
    <n v="4556"/>
    <n v="0"/>
    <n v="0"/>
    <n v="4556"/>
    <n v="22"/>
    <n v="0"/>
    <n v="22"/>
    <n v="0"/>
    <n v="1"/>
    <n v="1.139"/>
    <n v="1"/>
    <n v="1.139"/>
    <m/>
  </r>
  <r>
    <x v="41"/>
    <x v="0"/>
    <x v="2"/>
    <x v="2"/>
    <n v="7000"/>
    <n v="7878"/>
    <n v="0"/>
    <n v="0"/>
    <n v="7878"/>
    <n v="22"/>
    <n v="0"/>
    <n v="22"/>
    <n v="0"/>
    <n v="1"/>
    <n v="1.1254285714285714"/>
    <n v="1"/>
    <n v="1.1254285714285714"/>
    <m/>
  </r>
  <r>
    <x v="41"/>
    <x v="0"/>
    <x v="3"/>
    <x v="3"/>
    <n v="7800"/>
    <n v="4184"/>
    <n v="0"/>
    <n v="0"/>
    <n v="4184"/>
    <n v="22"/>
    <n v="0"/>
    <n v="22"/>
    <n v="0"/>
    <n v="1"/>
    <n v="0.53641025641025641"/>
    <n v="1"/>
    <n v="0.53641025641025641"/>
    <s v="Due to insufficient fabric"/>
  </r>
  <r>
    <x v="41"/>
    <x v="0"/>
    <x v="10"/>
    <x v="3"/>
    <m/>
    <n v="0"/>
    <m/>
    <m/>
    <m/>
    <m/>
    <m/>
    <s v=""/>
    <m/>
    <m/>
    <m/>
    <m/>
    <m/>
    <m/>
  </r>
  <r>
    <x v="41"/>
    <x v="0"/>
    <x v="4"/>
    <x v="4"/>
    <n v="9000"/>
    <n v="9246"/>
    <n v="0"/>
    <n v="0"/>
    <n v="9246"/>
    <n v="22"/>
    <n v="0"/>
    <n v="22"/>
    <n v="0"/>
    <n v="1"/>
    <n v="1.0273333333333334"/>
    <n v="1"/>
    <n v="1.0273333333333334"/>
    <m/>
  </r>
  <r>
    <x v="41"/>
    <x v="0"/>
    <x v="5"/>
    <x v="4"/>
    <n v="0"/>
    <n v="0"/>
    <m/>
    <m/>
    <m/>
    <m/>
    <m/>
    <s v=""/>
    <m/>
    <m/>
    <m/>
    <m/>
    <m/>
    <m/>
  </r>
  <r>
    <x v="41"/>
    <x v="1"/>
    <x v="6"/>
    <x v="5"/>
    <n v="9000"/>
    <n v="4509"/>
    <n v="0"/>
    <n v="0"/>
    <n v="4509"/>
    <n v="22"/>
    <n v="0"/>
    <n v="22"/>
    <n v="0"/>
    <n v="1"/>
    <n v="0.501"/>
    <n v="1"/>
    <n v="0.501"/>
    <m/>
  </r>
  <r>
    <x v="41"/>
    <x v="1"/>
    <x v="7"/>
    <x v="6"/>
    <n v="8000"/>
    <n v="4882"/>
    <n v="0"/>
    <n v="0"/>
    <n v="4882"/>
    <n v="22"/>
    <n v="7"/>
    <n v="15"/>
    <n v="2545.4545454545455"/>
    <n v="0.68181818181818177"/>
    <n v="0.61024999999999996"/>
    <n v="1"/>
    <n v="0.4160795454545454"/>
    <s v="M/C off for 5 hrs due to maintenance &amp; no fabric. B shift ended at 6 PM."/>
  </r>
  <r>
    <x v="41"/>
    <x v="1"/>
    <x v="8"/>
    <x v="4"/>
    <n v="6000"/>
    <n v="2293"/>
    <n v="0"/>
    <n v="0"/>
    <n v="2293"/>
    <n v="22"/>
    <n v="0"/>
    <n v="22"/>
    <n v="0"/>
    <n v="1"/>
    <n v="0.38216666666666665"/>
    <n v="1"/>
    <n v="0.38216666666666665"/>
    <s v="Due to insufficient tube fabric"/>
  </r>
  <r>
    <x v="41"/>
    <x v="1"/>
    <x v="9"/>
    <x v="4"/>
    <n v="5000"/>
    <n v="3869"/>
    <n v="0"/>
    <n v="0"/>
    <n v="3869"/>
    <n v="22"/>
    <n v="0"/>
    <n v="22"/>
    <n v="0"/>
    <n v="1"/>
    <n v="0.77380000000000004"/>
    <n v="1"/>
    <n v="0.77380000000000004"/>
    <s v="Due to insufficient tube fabric"/>
  </r>
  <r>
    <x v="42"/>
    <x v="0"/>
    <x v="0"/>
    <x v="0"/>
    <n v="10000"/>
    <n v="8317"/>
    <n v="0"/>
    <n v="0"/>
    <n v="8317"/>
    <n v="22"/>
    <n v="0"/>
    <n v="22"/>
    <n v="0"/>
    <n v="1"/>
    <n v="0.83169999999999999"/>
    <n v="1"/>
    <n v="0.83169999999999999"/>
    <m/>
  </r>
  <r>
    <x v="42"/>
    <x v="0"/>
    <x v="1"/>
    <x v="1"/>
    <n v="5000"/>
    <n v="5116"/>
    <n v="0"/>
    <n v="0"/>
    <n v="5116"/>
    <n v="22"/>
    <n v="2"/>
    <n v="20"/>
    <n v="454.54545454545456"/>
    <n v="0.90909090909090906"/>
    <n v="1.0232000000000001"/>
    <n v="1"/>
    <n v="0.93018181818181822"/>
    <s v="M/C off 2 hrs for tension roller bearing replacement"/>
  </r>
  <r>
    <x v="42"/>
    <x v="0"/>
    <x v="1"/>
    <x v="2"/>
    <n v="4000"/>
    <n v="3082"/>
    <n v="0"/>
    <n v="0"/>
    <n v="3082"/>
    <m/>
    <m/>
    <s v=""/>
    <s v=""/>
    <s v=""/>
    <n v="0.77049999999999996"/>
    <n v="1"/>
    <s v=""/>
    <m/>
  </r>
  <r>
    <x v="42"/>
    <x v="0"/>
    <x v="2"/>
    <x v="2"/>
    <n v="7000"/>
    <n v="7544"/>
    <n v="0"/>
    <n v="0"/>
    <n v="7544"/>
    <n v="22"/>
    <n v="0"/>
    <n v="22"/>
    <n v="0"/>
    <n v="1"/>
    <n v="1.0777142857142856"/>
    <n v="1"/>
    <n v="1.0777142857142856"/>
    <m/>
  </r>
  <r>
    <x v="42"/>
    <x v="0"/>
    <x v="3"/>
    <x v="3"/>
    <n v="7800"/>
    <n v="6444"/>
    <n v="0"/>
    <n v="0"/>
    <n v="6444"/>
    <n v="22"/>
    <n v="2"/>
    <n v="20"/>
    <n v="709.09090909090912"/>
    <n v="0.90909090909090906"/>
    <n v="0.82615384615384613"/>
    <n v="1"/>
    <n v="0.75104895104895097"/>
    <s v="Production low due to Bruckner M/C problem"/>
  </r>
  <r>
    <x v="42"/>
    <x v="0"/>
    <x v="10"/>
    <x v="3"/>
    <m/>
    <n v="0"/>
    <m/>
    <m/>
    <m/>
    <m/>
    <m/>
    <s v=""/>
    <m/>
    <m/>
    <m/>
    <m/>
    <m/>
    <m/>
  </r>
  <r>
    <x v="42"/>
    <x v="0"/>
    <x v="4"/>
    <x v="4"/>
    <n v="9000"/>
    <n v="8344"/>
    <n v="0"/>
    <n v="0"/>
    <n v="8344"/>
    <n v="22"/>
    <n v="0"/>
    <n v="22"/>
    <n v="0"/>
    <n v="1"/>
    <n v="0.92711111111111111"/>
    <n v="1"/>
    <n v="0.92711111111111111"/>
    <m/>
  </r>
  <r>
    <x v="42"/>
    <x v="0"/>
    <x v="5"/>
    <x v="4"/>
    <n v="2185"/>
    <n v="2185"/>
    <m/>
    <m/>
    <m/>
    <m/>
    <m/>
    <s v=""/>
    <m/>
    <m/>
    <m/>
    <m/>
    <m/>
    <m/>
  </r>
  <r>
    <x v="42"/>
    <x v="1"/>
    <x v="6"/>
    <x v="5"/>
    <n v="9000"/>
    <n v="7505"/>
    <n v="0"/>
    <n v="0"/>
    <n v="7505"/>
    <n v="22"/>
    <n v="0"/>
    <n v="22"/>
    <n v="0"/>
    <n v="1"/>
    <n v="0.8338888888888889"/>
    <n v="1"/>
    <n v="0.8338888888888889"/>
    <m/>
  </r>
  <r>
    <x v="42"/>
    <x v="1"/>
    <x v="7"/>
    <x v="6"/>
    <n v="8000"/>
    <n v="7164"/>
    <n v="0"/>
    <n v="0"/>
    <n v="7164"/>
    <n v="22"/>
    <n v="2"/>
    <n v="20"/>
    <n v="727.27272727272725"/>
    <n v="0.90909090909090906"/>
    <n v="0.89549999999999996"/>
    <n v="1"/>
    <n v="0.81409090909090898"/>
    <s v="M/C off for 2 hrs due to maintenance "/>
  </r>
  <r>
    <x v="42"/>
    <x v="1"/>
    <x v="8"/>
    <x v="4"/>
    <n v="6000"/>
    <n v="2574"/>
    <n v="0"/>
    <n v="0"/>
    <n v="2574"/>
    <n v="22"/>
    <n v="0"/>
    <n v="22"/>
    <n v="0"/>
    <n v="1"/>
    <n v="0.42899999999999999"/>
    <n v="1"/>
    <n v="0.42899999999999999"/>
    <s v="Due to insufficient tube fabric &amp; A-shift Monty M/C run"/>
  </r>
  <r>
    <x v="42"/>
    <x v="1"/>
    <x v="9"/>
    <x v="4"/>
    <n v="5000"/>
    <n v="3057"/>
    <n v="0"/>
    <n v="0"/>
    <n v="3057"/>
    <n v="22"/>
    <n v="0"/>
    <n v="22"/>
    <n v="0"/>
    <n v="1"/>
    <n v="0.61140000000000005"/>
    <n v="1"/>
    <n v="0.61140000000000005"/>
    <s v="Due to insufficient tube fabric"/>
  </r>
  <r>
    <x v="43"/>
    <x v="0"/>
    <x v="0"/>
    <x v="0"/>
    <n v="10000"/>
    <n v="8362"/>
    <n v="0"/>
    <n v="0"/>
    <n v="8362"/>
    <n v="22"/>
    <n v="0"/>
    <n v="22"/>
    <n v="0"/>
    <n v="1"/>
    <n v="0.83620000000000005"/>
    <n v="1"/>
    <n v="0.83620000000000005"/>
    <m/>
  </r>
  <r>
    <x v="43"/>
    <x v="0"/>
    <x v="1"/>
    <x v="1"/>
    <n v="5000"/>
    <n v="4947"/>
    <n v="0"/>
    <n v="0"/>
    <n v="4947"/>
    <n v="22"/>
    <n v="0"/>
    <n v="22"/>
    <n v="0"/>
    <n v="1"/>
    <n v="0.98939999999999995"/>
    <n v="1"/>
    <n v="0.98939999999999995"/>
    <m/>
  </r>
  <r>
    <x v="43"/>
    <x v="0"/>
    <x v="1"/>
    <x v="2"/>
    <n v="4000"/>
    <n v="2905"/>
    <n v="0"/>
    <n v="0"/>
    <n v="2905"/>
    <m/>
    <n v="0"/>
    <s v=""/>
    <s v=""/>
    <s v=""/>
    <n v="0.72624999999999995"/>
    <n v="1"/>
    <s v=""/>
    <m/>
  </r>
  <r>
    <x v="43"/>
    <x v="0"/>
    <x v="2"/>
    <x v="2"/>
    <n v="7000"/>
    <n v="7392"/>
    <n v="0"/>
    <n v="0"/>
    <n v="7392"/>
    <n v="22"/>
    <n v="0"/>
    <n v="22"/>
    <n v="0"/>
    <n v="1"/>
    <n v="1.056"/>
    <n v="1"/>
    <n v="1.056"/>
    <m/>
  </r>
  <r>
    <x v="43"/>
    <x v="0"/>
    <x v="3"/>
    <x v="3"/>
    <n v="7800"/>
    <n v="6412"/>
    <n v="0"/>
    <n v="0"/>
    <n v="6412"/>
    <n v="22"/>
    <n v="0"/>
    <n v="22"/>
    <n v="0"/>
    <n v="1"/>
    <n v="0.82205128205128208"/>
    <n v="1"/>
    <n v="0.82205128205128208"/>
    <s v="Low production due to low fabric availability"/>
  </r>
  <r>
    <x v="43"/>
    <x v="0"/>
    <x v="10"/>
    <x v="3"/>
    <m/>
    <n v="0"/>
    <m/>
    <m/>
    <m/>
    <m/>
    <m/>
    <s v=""/>
    <m/>
    <m/>
    <m/>
    <m/>
    <m/>
    <m/>
  </r>
  <r>
    <x v="43"/>
    <x v="0"/>
    <x v="4"/>
    <x v="4"/>
    <n v="9000"/>
    <n v="6964"/>
    <n v="0"/>
    <n v="0"/>
    <n v="6964"/>
    <n v="22"/>
    <n v="1"/>
    <n v="21"/>
    <n v="409.09090909090907"/>
    <n v="0.95454545454545459"/>
    <n v="0.77377777777777779"/>
    <n v="1"/>
    <n v="0.7386060606060606"/>
    <s v="1hr downtime due to fabric shortage"/>
  </r>
  <r>
    <x v="43"/>
    <x v="0"/>
    <x v="5"/>
    <x v="4"/>
    <n v="0"/>
    <n v="0"/>
    <m/>
    <m/>
    <m/>
    <m/>
    <m/>
    <s v=""/>
    <m/>
    <m/>
    <m/>
    <m/>
    <m/>
    <s v="Monty machine was off due to no fabric availability"/>
  </r>
  <r>
    <x v="43"/>
    <x v="1"/>
    <x v="6"/>
    <x v="5"/>
    <n v="9000"/>
    <n v="7763"/>
    <n v="0"/>
    <n v="0"/>
    <n v="7763"/>
    <n v="22"/>
    <n v="0"/>
    <n v="22"/>
    <n v="0"/>
    <n v="1"/>
    <n v="0.86255555555555552"/>
    <n v="1"/>
    <n v="0.86255555555555552"/>
    <s v="Low production due to flat dryer issue"/>
  </r>
  <r>
    <x v="43"/>
    <x v="1"/>
    <x v="7"/>
    <x v="6"/>
    <n v="8000"/>
    <n v="6839"/>
    <n v="0"/>
    <n v="0"/>
    <n v="6839"/>
    <n v="22"/>
    <n v="5"/>
    <n v="17"/>
    <n v="1818.181818181818"/>
    <n v="0.77272727272727271"/>
    <n v="0.85487500000000005"/>
    <n v="1"/>
    <n v="0.66058522727272728"/>
    <s v="M/C off for 5 hrs due to maintenance &amp; steam line repair"/>
  </r>
  <r>
    <x v="43"/>
    <x v="1"/>
    <x v="8"/>
    <x v="4"/>
    <n v="6000"/>
    <n v="2293"/>
    <n v="0"/>
    <n v="0"/>
    <n v="2293"/>
    <n v="22"/>
    <n v="0"/>
    <n v="22"/>
    <n v="0"/>
    <n v="1"/>
    <n v="0.38216666666666665"/>
    <n v="1"/>
    <n v="0.38216666666666665"/>
    <s v="Low production due to flat dryer issue"/>
  </r>
  <r>
    <x v="43"/>
    <x v="1"/>
    <x v="9"/>
    <x v="4"/>
    <n v="5000"/>
    <n v="3621"/>
    <n v="0"/>
    <n v="0"/>
    <n v="3621"/>
    <n v="22"/>
    <n v="0"/>
    <n v="22"/>
    <n v="0"/>
    <n v="1"/>
    <n v="0.72419999999999995"/>
    <n v="1"/>
    <n v="0.72419999999999995"/>
    <s v="Low production due to flat dryer issue"/>
  </r>
  <r>
    <x v="44"/>
    <x v="0"/>
    <x v="0"/>
    <x v="0"/>
    <n v="10000"/>
    <n v="8245"/>
    <n v="0"/>
    <n v="0"/>
    <n v="8245"/>
    <n v="22"/>
    <n v="2"/>
    <n v="20"/>
    <n v="909.09090909090912"/>
    <n v="0.90909090909090906"/>
    <n v="0.82450000000000001"/>
    <n v="1"/>
    <n v="0.74954545454545451"/>
    <s v="2hr downtime due to fabric shortage"/>
  </r>
  <r>
    <x v="44"/>
    <x v="0"/>
    <x v="1"/>
    <x v="1"/>
    <n v="5000"/>
    <n v="5581"/>
    <n v="0"/>
    <n v="0"/>
    <n v="5581"/>
    <n v="22"/>
    <n v="0"/>
    <n v="22"/>
    <n v="0"/>
    <n v="1"/>
    <n v="1.1162000000000001"/>
    <n v="1"/>
    <n v="1.1162000000000001"/>
    <m/>
  </r>
  <r>
    <x v="44"/>
    <x v="0"/>
    <x v="1"/>
    <x v="2"/>
    <n v="4000"/>
    <n v="2784"/>
    <n v="0"/>
    <n v="0"/>
    <n v="2784"/>
    <m/>
    <n v="0"/>
    <s v=""/>
    <s v=""/>
    <s v=""/>
    <n v="0.69599999999999995"/>
    <n v="1"/>
    <s v=""/>
    <m/>
  </r>
  <r>
    <x v="44"/>
    <x v="0"/>
    <x v="2"/>
    <x v="2"/>
    <n v="7000"/>
    <n v="7197"/>
    <n v="0"/>
    <n v="0"/>
    <n v="7197"/>
    <n v="22"/>
    <n v="0"/>
    <n v="22"/>
    <n v="0"/>
    <n v="1"/>
    <n v="1.0281428571428572"/>
    <n v="1"/>
    <n v="1.0281428571428572"/>
    <m/>
  </r>
  <r>
    <x v="44"/>
    <x v="0"/>
    <x v="3"/>
    <x v="3"/>
    <n v="7800"/>
    <n v="6766"/>
    <n v="0"/>
    <n v="0"/>
    <n v="6766"/>
    <n v="22"/>
    <n v="0"/>
    <n v="22"/>
    <n v="0"/>
    <n v="1"/>
    <n v="0.86743589743589744"/>
    <n v="1"/>
    <n v="0.86743589743589744"/>
    <m/>
  </r>
  <r>
    <x v="44"/>
    <x v="0"/>
    <x v="10"/>
    <x v="3"/>
    <m/>
    <n v="0"/>
    <m/>
    <m/>
    <m/>
    <m/>
    <m/>
    <s v=""/>
    <m/>
    <m/>
    <m/>
    <m/>
    <m/>
    <m/>
  </r>
  <r>
    <x v="44"/>
    <x v="0"/>
    <x v="4"/>
    <x v="4"/>
    <n v="9000"/>
    <n v="6947"/>
    <n v="0"/>
    <n v="0"/>
    <n v="6947"/>
    <n v="22"/>
    <n v="0"/>
    <n v="22"/>
    <n v="0"/>
    <n v="1"/>
    <n v="0.77188888888888885"/>
    <n v="1"/>
    <n v="0.77188888888888885"/>
    <m/>
  </r>
  <r>
    <x v="44"/>
    <x v="0"/>
    <x v="5"/>
    <x v="4"/>
    <n v="0"/>
    <n v="0"/>
    <m/>
    <m/>
    <m/>
    <m/>
    <m/>
    <s v=""/>
    <m/>
    <m/>
    <m/>
    <m/>
    <m/>
    <s v="Monty machine was off due to no fabric availability"/>
  </r>
  <r>
    <x v="44"/>
    <x v="1"/>
    <x v="6"/>
    <x v="5"/>
    <n v="9000"/>
    <n v="8289"/>
    <n v="0"/>
    <n v="0"/>
    <n v="8289"/>
    <n v="22"/>
    <n v="0"/>
    <n v="22"/>
    <n v="0"/>
    <n v="1"/>
    <n v="0.92100000000000004"/>
    <n v="1"/>
    <n v="0.92100000000000004"/>
    <m/>
  </r>
  <r>
    <x v="44"/>
    <x v="1"/>
    <x v="7"/>
    <x v="6"/>
    <n v="8000"/>
    <n v="7977"/>
    <n v="0"/>
    <n v="0"/>
    <n v="7977"/>
    <n v="22"/>
    <n v="1"/>
    <n v="21"/>
    <n v="363.63636363636363"/>
    <n v="0.95454545454545459"/>
    <n v="0.99712500000000004"/>
    <n v="1"/>
    <n v="0.95180113636363639"/>
    <s v="M/C off for 1 hrs due to maintenance "/>
  </r>
  <r>
    <x v="44"/>
    <x v="1"/>
    <x v="8"/>
    <x v="4"/>
    <n v="6000"/>
    <n v="3194"/>
    <n v="0"/>
    <n v="0"/>
    <n v="3194"/>
    <n v="22"/>
    <n v="0"/>
    <n v="22"/>
    <n v="0"/>
    <n v="1"/>
    <n v="0.53233333333333333"/>
    <n v="1"/>
    <n v="0.53233333333333333"/>
    <m/>
  </r>
  <r>
    <x v="44"/>
    <x v="1"/>
    <x v="9"/>
    <x v="4"/>
    <n v="5000"/>
    <n v="3042"/>
    <n v="0"/>
    <n v="0"/>
    <n v="3042"/>
    <n v="22"/>
    <n v="0"/>
    <n v="22"/>
    <n v="0"/>
    <n v="1"/>
    <n v="0.60840000000000005"/>
    <n v="1"/>
    <n v="0.60840000000000005"/>
    <m/>
  </r>
  <r>
    <x v="45"/>
    <x v="0"/>
    <x v="0"/>
    <x v="0"/>
    <n v="10000"/>
    <n v="8479"/>
    <n v="0"/>
    <n v="0"/>
    <n v="8479"/>
    <n v="22"/>
    <n v="0"/>
    <n v="22"/>
    <n v="0"/>
    <n v="1"/>
    <n v="0.84789999999999999"/>
    <n v="1"/>
    <n v="0.84789999999999999"/>
    <m/>
  </r>
  <r>
    <x v="45"/>
    <x v="0"/>
    <x v="1"/>
    <x v="1"/>
    <n v="5000"/>
    <n v="6297"/>
    <n v="0"/>
    <n v="0"/>
    <n v="6297"/>
    <n v="22"/>
    <n v="0"/>
    <n v="22"/>
    <n v="0"/>
    <n v="1"/>
    <n v="1.2594000000000001"/>
    <n v="1"/>
    <n v="1.2594000000000001"/>
    <m/>
  </r>
  <r>
    <x v="45"/>
    <x v="0"/>
    <x v="1"/>
    <x v="2"/>
    <n v="4000"/>
    <n v="2497"/>
    <n v="0"/>
    <n v="0"/>
    <n v="2497"/>
    <m/>
    <n v="0"/>
    <s v=""/>
    <s v=""/>
    <s v=""/>
    <n v="0.62424999999999997"/>
    <n v="1"/>
    <s v=""/>
    <m/>
  </r>
  <r>
    <x v="45"/>
    <x v="0"/>
    <x v="2"/>
    <x v="2"/>
    <n v="7000"/>
    <n v="7902"/>
    <n v="0"/>
    <n v="0"/>
    <n v="7902"/>
    <n v="22"/>
    <n v="0"/>
    <n v="22"/>
    <n v="0"/>
    <n v="1"/>
    <n v="1.1288571428571428"/>
    <n v="1"/>
    <n v="1.1288571428571428"/>
    <m/>
  </r>
  <r>
    <x v="45"/>
    <x v="0"/>
    <x v="3"/>
    <x v="3"/>
    <n v="7800"/>
    <n v="7163"/>
    <n v="0"/>
    <n v="0"/>
    <n v="7163"/>
    <n v="22"/>
    <n v="0"/>
    <n v="22"/>
    <n v="0"/>
    <n v="1"/>
    <n v="0.91833333333333333"/>
    <n v="1"/>
    <n v="0.91833333333333333"/>
    <m/>
  </r>
  <r>
    <x v="45"/>
    <x v="0"/>
    <x v="10"/>
    <x v="3"/>
    <m/>
    <n v="0"/>
    <m/>
    <m/>
    <m/>
    <m/>
    <m/>
    <s v=""/>
    <m/>
    <m/>
    <m/>
    <m/>
    <m/>
    <m/>
  </r>
  <r>
    <x v="45"/>
    <x v="0"/>
    <x v="4"/>
    <x v="4"/>
    <n v="9000"/>
    <n v="6959"/>
    <n v="0"/>
    <n v="0"/>
    <n v="6959"/>
    <n v="22"/>
    <n v="2"/>
    <n v="20"/>
    <n v="818.18181818181813"/>
    <n v="0.90909090909090906"/>
    <n v="0.77322222222222226"/>
    <n v="1"/>
    <n v="0.70292929292929296"/>
    <s v="2hr downtime due to fabric shortage"/>
  </r>
  <r>
    <x v="45"/>
    <x v="0"/>
    <x v="5"/>
    <x v="4"/>
    <n v="0"/>
    <n v="0"/>
    <m/>
    <m/>
    <m/>
    <m/>
    <m/>
    <s v=""/>
    <m/>
    <m/>
    <m/>
    <m/>
    <m/>
    <s v="Monty machine was off due to no fabric availability"/>
  </r>
  <r>
    <x v="45"/>
    <x v="1"/>
    <x v="6"/>
    <x v="5"/>
    <n v="9000"/>
    <n v="7323"/>
    <n v="0"/>
    <n v="0"/>
    <n v="7323"/>
    <n v="22"/>
    <n v="0"/>
    <n v="22"/>
    <n v="0"/>
    <n v="1"/>
    <n v="0.81366666666666665"/>
    <n v="1"/>
    <n v="0.81366666666666665"/>
    <m/>
  </r>
  <r>
    <x v="45"/>
    <x v="1"/>
    <x v="7"/>
    <x v="6"/>
    <n v="8000"/>
    <n v="8574"/>
    <n v="0"/>
    <n v="0"/>
    <n v="8574"/>
    <n v="22"/>
    <n v="1"/>
    <n v="21"/>
    <n v="363.63636363636363"/>
    <n v="0.95454545454545459"/>
    <n v="1.07175"/>
    <n v="1"/>
    <n v="1.0230340909090909"/>
    <s v="M/C off for 1 hrs due to maintenance "/>
  </r>
  <r>
    <x v="45"/>
    <x v="1"/>
    <x v="8"/>
    <x v="4"/>
    <n v="6000"/>
    <n v="3278"/>
    <n v="0"/>
    <n v="0"/>
    <n v="3278"/>
    <n v="22"/>
    <n v="0"/>
    <n v="22"/>
    <n v="0"/>
    <n v="1"/>
    <n v="0.54633333333333334"/>
    <n v="1"/>
    <n v="0.54633333333333334"/>
    <m/>
  </r>
  <r>
    <x v="45"/>
    <x v="1"/>
    <x v="9"/>
    <x v="4"/>
    <n v="5000"/>
    <n v="4460"/>
    <n v="0"/>
    <n v="0"/>
    <n v="4460"/>
    <n v="22"/>
    <n v="0"/>
    <n v="22"/>
    <n v="0"/>
    <n v="1"/>
    <n v="0.89200000000000002"/>
    <n v="1"/>
    <n v="0.89200000000000002"/>
    <m/>
  </r>
  <r>
    <x v="46"/>
    <x v="0"/>
    <x v="0"/>
    <x v="0"/>
    <n v="10000"/>
    <n v="8694"/>
    <n v="0"/>
    <n v="0"/>
    <n v="8694"/>
    <n v="22"/>
    <n v="0"/>
    <n v="22"/>
    <n v="0"/>
    <n v="1"/>
    <n v="0.86939999999999995"/>
    <n v="1"/>
    <n v="0.86939999999999995"/>
    <m/>
  </r>
  <r>
    <x v="46"/>
    <x v="0"/>
    <x v="1"/>
    <x v="1"/>
    <n v="5000"/>
    <n v="3345"/>
    <n v="0"/>
    <n v="0"/>
    <n v="3345"/>
    <n v="22"/>
    <n v="0"/>
    <n v="22"/>
    <n v="0"/>
    <n v="1"/>
    <n v="0.66900000000000004"/>
    <n v="1"/>
    <n v="0.66900000000000004"/>
    <m/>
  </r>
  <r>
    <x v="46"/>
    <x v="0"/>
    <x v="1"/>
    <x v="2"/>
    <n v="4000"/>
    <n v="4000"/>
    <n v="0"/>
    <n v="0"/>
    <n v="4000"/>
    <m/>
    <n v="0"/>
    <s v=""/>
    <s v=""/>
    <s v=""/>
    <n v="1"/>
    <n v="1"/>
    <s v=""/>
    <m/>
  </r>
  <r>
    <x v="46"/>
    <x v="0"/>
    <x v="2"/>
    <x v="2"/>
    <n v="7000"/>
    <n v="7019"/>
    <n v="0"/>
    <n v="0"/>
    <n v="7019"/>
    <n v="22"/>
    <n v="0"/>
    <n v="22"/>
    <n v="0"/>
    <n v="1"/>
    <n v="1.0027142857142857"/>
    <n v="1"/>
    <n v="1.0027142857142857"/>
    <m/>
  </r>
  <r>
    <x v="46"/>
    <x v="0"/>
    <x v="3"/>
    <x v="3"/>
    <n v="7800"/>
    <n v="5312"/>
    <n v="0"/>
    <n v="0"/>
    <n v="5312"/>
    <n v="22"/>
    <n v="0"/>
    <n v="22"/>
    <n v="0"/>
    <n v="1"/>
    <n v="0.681025641025641"/>
    <n v="1"/>
    <n v="0.681025641025641"/>
    <s v="Output below target: Insufficient fabric availability."/>
  </r>
  <r>
    <x v="46"/>
    <x v="0"/>
    <x v="10"/>
    <x v="3"/>
    <m/>
    <n v="0"/>
    <m/>
    <m/>
    <m/>
    <m/>
    <m/>
    <s v=""/>
    <m/>
    <m/>
    <m/>
    <m/>
    <m/>
    <s v="On standby"/>
  </r>
  <r>
    <x v="46"/>
    <x v="0"/>
    <x v="4"/>
    <x v="4"/>
    <n v="9000"/>
    <n v="7354"/>
    <n v="0"/>
    <n v="0"/>
    <n v="7354"/>
    <n v="22"/>
    <n v="0"/>
    <n v="22"/>
    <n v="0"/>
    <n v="1"/>
    <n v="0.81711111111111112"/>
    <n v="1"/>
    <n v="0.81711111111111112"/>
    <m/>
  </r>
  <r>
    <x v="46"/>
    <x v="0"/>
    <x v="5"/>
    <x v="4"/>
    <n v="955"/>
    <n v="955"/>
    <m/>
    <m/>
    <m/>
    <m/>
    <m/>
    <s v=""/>
    <m/>
    <m/>
    <m/>
    <m/>
    <m/>
    <s v="Output below target: Insufficient fabric availability."/>
  </r>
  <r>
    <x v="46"/>
    <x v="1"/>
    <x v="6"/>
    <x v="5"/>
    <n v="9000"/>
    <n v="5957"/>
    <n v="0"/>
    <n v="0"/>
    <n v="5957"/>
    <n v="22"/>
    <n v="0"/>
    <n v="22"/>
    <n v="0"/>
    <n v="1"/>
    <n v="0.66188888888888886"/>
    <n v="1"/>
    <n v="0.66188888888888886"/>
    <s v="Output below target: Insufficient fabric availability."/>
  </r>
  <r>
    <x v="46"/>
    <x v="1"/>
    <x v="7"/>
    <x v="6"/>
    <n v="8000"/>
    <n v="6482"/>
    <n v="0"/>
    <n v="0"/>
    <n v="6482"/>
    <n v="22"/>
    <n v="1"/>
    <n v="21"/>
    <n v="363.63636363636363"/>
    <n v="0.95454545454545459"/>
    <n v="0.81025000000000003"/>
    <n v="1"/>
    <n v="0.77342045454545461"/>
    <s v="M/C off for 1 hrs due to maintenance "/>
  </r>
  <r>
    <x v="46"/>
    <x v="1"/>
    <x v="8"/>
    <x v="4"/>
    <n v="6000"/>
    <n v="3145"/>
    <n v="0"/>
    <n v="0"/>
    <n v="3145"/>
    <n v="22"/>
    <n v="0"/>
    <n v="22"/>
    <n v="0"/>
    <n v="1"/>
    <n v="0.52416666666666667"/>
    <n v="1"/>
    <n v="0.52416666666666667"/>
    <s v="Output below target: Insufficient fabric availability."/>
  </r>
  <r>
    <x v="46"/>
    <x v="1"/>
    <x v="9"/>
    <x v="4"/>
    <n v="5000"/>
    <n v="2419"/>
    <n v="0"/>
    <n v="0"/>
    <n v="2419"/>
    <n v="22"/>
    <n v="0"/>
    <n v="22"/>
    <n v="0"/>
    <n v="1"/>
    <n v="0.48380000000000001"/>
    <n v="1"/>
    <n v="0.48380000000000001"/>
    <s v="Output below target: Insufficient fabric availability."/>
  </r>
  <r>
    <x v="47"/>
    <x v="0"/>
    <x v="0"/>
    <x v="0"/>
    <n v="10000"/>
    <n v="3725"/>
    <n v="0"/>
    <n v="0"/>
    <n v="3725"/>
    <n v="15"/>
    <n v="0"/>
    <n v="15"/>
    <n v="0"/>
    <n v="1"/>
    <n v="0.3725"/>
    <n v="1"/>
    <n v="0.3725"/>
    <m/>
  </r>
  <r>
    <x v="47"/>
    <x v="0"/>
    <x v="1"/>
    <x v="1"/>
    <n v="5000"/>
    <n v="1539"/>
    <n v="0"/>
    <n v="0"/>
    <n v="1539"/>
    <n v="15"/>
    <n v="0"/>
    <n v="15"/>
    <n v="0"/>
    <n v="1"/>
    <n v="0.30780000000000002"/>
    <n v="1"/>
    <n v="0.30780000000000002"/>
    <m/>
  </r>
  <r>
    <x v="47"/>
    <x v="0"/>
    <x v="1"/>
    <x v="2"/>
    <n v="4000"/>
    <n v="3940"/>
    <n v="0"/>
    <n v="0"/>
    <n v="3940"/>
    <m/>
    <n v="0"/>
    <s v=""/>
    <s v=""/>
    <s v=""/>
    <n v="0.98499999999999999"/>
    <n v="1"/>
    <s v=""/>
    <m/>
  </r>
  <r>
    <x v="47"/>
    <x v="0"/>
    <x v="2"/>
    <x v="2"/>
    <n v="7000"/>
    <n v="4204"/>
    <n v="0"/>
    <n v="0"/>
    <n v="4204"/>
    <n v="15"/>
    <n v="0"/>
    <n v="15"/>
    <n v="0"/>
    <n v="1"/>
    <n v="0.60057142857142853"/>
    <n v="1"/>
    <n v="0.60057142857142853"/>
    <m/>
  </r>
  <r>
    <x v="47"/>
    <x v="0"/>
    <x v="3"/>
    <x v="3"/>
    <n v="7800"/>
    <n v="3234"/>
    <n v="0"/>
    <n v="0"/>
    <n v="3234"/>
    <n v="15"/>
    <n v="0"/>
    <n v="15"/>
    <n v="0"/>
    <n v="1"/>
    <n v="0.41461538461538461"/>
    <n v="1"/>
    <n v="0.41461538461538461"/>
    <s v="Output below target: Insufficient fabric availability."/>
  </r>
  <r>
    <x v="47"/>
    <x v="0"/>
    <x v="10"/>
    <x v="3"/>
    <m/>
    <n v="0"/>
    <m/>
    <m/>
    <m/>
    <m/>
    <m/>
    <s v=""/>
    <m/>
    <m/>
    <m/>
    <m/>
    <m/>
    <s v="On standby"/>
  </r>
  <r>
    <x v="47"/>
    <x v="0"/>
    <x v="4"/>
    <x v="4"/>
    <n v="9000"/>
    <n v="4885"/>
    <n v="0"/>
    <n v="0"/>
    <n v="4885"/>
    <n v="15"/>
    <n v="0"/>
    <n v="15"/>
    <n v="0"/>
    <n v="1"/>
    <n v="0.5427777777777778"/>
    <n v="1"/>
    <n v="0.5427777777777778"/>
    <m/>
  </r>
  <r>
    <x v="47"/>
    <x v="0"/>
    <x v="5"/>
    <x v="4"/>
    <n v="0"/>
    <n v="0"/>
    <m/>
    <m/>
    <m/>
    <m/>
    <m/>
    <s v=""/>
    <m/>
    <m/>
    <m/>
    <m/>
    <m/>
    <s v="On standby"/>
  </r>
  <r>
    <x v="47"/>
    <x v="1"/>
    <x v="6"/>
    <x v="5"/>
    <n v="9000"/>
    <n v="4095"/>
    <n v="0"/>
    <n v="0"/>
    <n v="4095"/>
    <n v="15"/>
    <n v="0"/>
    <n v="15"/>
    <n v="0"/>
    <n v="1"/>
    <n v="0.45500000000000002"/>
    <n v="1"/>
    <n v="0.45500000000000002"/>
    <s v="Output below target: Insufficient tube fabric availability."/>
  </r>
  <r>
    <x v="47"/>
    <x v="1"/>
    <x v="7"/>
    <x v="6"/>
    <n v="8000"/>
    <n v="3442"/>
    <n v="0"/>
    <n v="0"/>
    <n v="3442"/>
    <n v="15"/>
    <n v="1"/>
    <n v="14"/>
    <n v="533.33333333333337"/>
    <n v="0.93333333333333335"/>
    <n v="0.43025000000000002"/>
    <n v="1"/>
    <n v="0.40156666666666668"/>
    <s v="Output below target: Insufficient tube fabric availability."/>
  </r>
  <r>
    <x v="47"/>
    <x v="1"/>
    <x v="8"/>
    <x v="4"/>
    <n v="6000"/>
    <n v="1686"/>
    <n v="0"/>
    <n v="0"/>
    <n v="1686"/>
    <n v="15"/>
    <n v="0"/>
    <n v="15"/>
    <n v="0"/>
    <n v="1"/>
    <n v="0.28100000000000003"/>
    <n v="1"/>
    <n v="0.28100000000000003"/>
    <s v="Output below target: Insufficient tube fabric availability."/>
  </r>
  <r>
    <x v="47"/>
    <x v="1"/>
    <x v="9"/>
    <x v="4"/>
    <n v="5000"/>
    <n v="1836"/>
    <n v="0"/>
    <n v="0"/>
    <n v="1836"/>
    <n v="15"/>
    <n v="2"/>
    <n v="13"/>
    <n v="666.66666666666663"/>
    <n v="0.8666666666666667"/>
    <n v="0.36720000000000003"/>
    <n v="1"/>
    <n v="0.31824000000000002"/>
    <s v="Output below target: Insufficient tube-finish &amp; Blade set-up problem."/>
  </r>
  <r>
    <x v="48"/>
    <x v="0"/>
    <x v="0"/>
    <x v="0"/>
    <n v="10000"/>
    <n v="7378"/>
    <n v="0"/>
    <n v="0"/>
    <n v="7378"/>
    <n v="22"/>
    <n v="2"/>
    <n v="20"/>
    <n v="909.09090909090912"/>
    <n v="0.90909090909090906"/>
    <n v="0.73780000000000001"/>
    <n v="1"/>
    <n v="0.67072727272727273"/>
    <s v="Scheduled weekly maintenance completed (2 hr downtime)"/>
  </r>
  <r>
    <x v="48"/>
    <x v="0"/>
    <x v="1"/>
    <x v="1"/>
    <n v="5000"/>
    <n v="5902"/>
    <n v="0"/>
    <n v="0"/>
    <n v="5902"/>
    <m/>
    <m/>
    <s v=""/>
    <s v=""/>
    <s v=""/>
    <n v="1.1803999999999999"/>
    <n v="1"/>
    <s v=""/>
    <m/>
  </r>
  <r>
    <x v="48"/>
    <x v="0"/>
    <x v="1"/>
    <x v="2"/>
    <n v="4000"/>
    <n v="1760"/>
    <n v="0"/>
    <n v="0"/>
    <n v="1760"/>
    <n v="22"/>
    <n v="2"/>
    <n v="20"/>
    <n v="363.63636363636363"/>
    <n v="0.90909090909090906"/>
    <n v="0.44"/>
    <n v="1"/>
    <n v="0.39999999999999997"/>
    <s v="Scheduled weekly maintenance completed (2 hr downtime)"/>
  </r>
  <r>
    <x v="48"/>
    <x v="0"/>
    <x v="2"/>
    <x v="2"/>
    <n v="7000"/>
    <n v="5699"/>
    <n v="0"/>
    <n v="0"/>
    <n v="5699"/>
    <n v="22"/>
    <n v="2"/>
    <n v="20"/>
    <n v="636.36363636363637"/>
    <n v="0.90909090909090906"/>
    <n v="0.81414285714285717"/>
    <n v="1"/>
    <n v="0.74012987012987008"/>
    <s v="Scheduled weekly maintenance completed (2 hr downtime)"/>
  </r>
  <r>
    <x v="48"/>
    <x v="0"/>
    <x v="3"/>
    <x v="3"/>
    <n v="7800"/>
    <n v="6033"/>
    <n v="0"/>
    <n v="0"/>
    <n v="6033"/>
    <n v="22"/>
    <n v="0"/>
    <n v="22"/>
    <n v="0"/>
    <n v="1"/>
    <n v="0.77346153846153842"/>
    <n v="1"/>
    <n v="0.77346153846153842"/>
    <s v="Output below target: Insufficient fabric availability."/>
  </r>
  <r>
    <x v="48"/>
    <x v="0"/>
    <x v="10"/>
    <x v="3"/>
    <m/>
    <n v="0"/>
    <m/>
    <m/>
    <m/>
    <m/>
    <m/>
    <s v=""/>
    <m/>
    <m/>
    <m/>
    <m/>
    <m/>
    <s v="On standby"/>
  </r>
  <r>
    <x v="48"/>
    <x v="0"/>
    <x v="4"/>
    <x v="4"/>
    <n v="9000"/>
    <n v="8428"/>
    <n v="0"/>
    <n v="0"/>
    <n v="8428"/>
    <n v="22"/>
    <n v="1"/>
    <n v="21"/>
    <n v="409.09090909090907"/>
    <n v="0.95454545454545459"/>
    <n v="0.93644444444444441"/>
    <n v="1"/>
    <n v="0.89387878787878794"/>
    <s v="Scheduled weekly maintenance completed (1 hr downtime)"/>
  </r>
  <r>
    <x v="48"/>
    <x v="0"/>
    <x v="5"/>
    <x v="4"/>
    <n v="0"/>
    <n v="0"/>
    <m/>
    <m/>
    <m/>
    <m/>
    <m/>
    <s v=""/>
    <m/>
    <m/>
    <m/>
    <m/>
    <m/>
    <s v="On standby"/>
  </r>
  <r>
    <x v="48"/>
    <x v="1"/>
    <x v="6"/>
    <x v="5"/>
    <n v="9000"/>
    <n v="7250"/>
    <n v="0"/>
    <n v="0"/>
    <n v="7250"/>
    <n v="22"/>
    <n v="0"/>
    <n v="22"/>
    <n v="0"/>
    <n v="1"/>
    <n v="0.80555555555555558"/>
    <n v="1"/>
    <n v="0.80555555555555558"/>
    <s v="Output below target: Insufficient tube fabric availability."/>
  </r>
  <r>
    <x v="48"/>
    <x v="1"/>
    <x v="7"/>
    <x v="6"/>
    <n v="8000"/>
    <n v="7499"/>
    <n v="0"/>
    <n v="0"/>
    <n v="7499"/>
    <n v="22"/>
    <n v="1"/>
    <n v="21"/>
    <n v="363.63636363636363"/>
    <n v="0.95454545454545459"/>
    <n v="0.93737499999999996"/>
    <n v="1"/>
    <n v="0.89476704545454544"/>
    <s v="Output below target: Insufficient tube fabric availability &amp; 1 hr M/C maintenance downtime."/>
  </r>
  <r>
    <x v="48"/>
    <x v="1"/>
    <x v="8"/>
    <x v="4"/>
    <n v="6000"/>
    <n v="3280"/>
    <n v="0"/>
    <n v="0"/>
    <n v="3280"/>
    <n v="22"/>
    <n v="0"/>
    <n v="22"/>
    <n v="0"/>
    <n v="1"/>
    <n v="0.54666666666666663"/>
    <n v="1"/>
    <n v="0.54666666666666663"/>
    <s v="Output below target: Insufficient tube-finish fabric availability."/>
  </r>
  <r>
    <x v="48"/>
    <x v="1"/>
    <x v="9"/>
    <x v="4"/>
    <n v="5000"/>
    <n v="3799"/>
    <n v="0"/>
    <n v="0"/>
    <n v="3799"/>
    <n v="22"/>
    <n v="3"/>
    <n v="19"/>
    <n v="681.81818181818187"/>
    <n v="0.86363636363636365"/>
    <n v="0.75980000000000003"/>
    <n v="1"/>
    <n v="0.65619090909090916"/>
    <s v="Output below target: Insufficient tube fabric availability &amp; &amp; 3 hrs M/C off for main roller bearing replacement."/>
  </r>
  <r>
    <x v="49"/>
    <x v="0"/>
    <x v="0"/>
    <x v="0"/>
    <n v="10000"/>
    <n v="8567"/>
    <n v="0"/>
    <n v="0"/>
    <n v="8567"/>
    <n v="22"/>
    <n v="3"/>
    <n v="19"/>
    <n v="1363.6363636363637"/>
    <n v="0.86363636363636365"/>
    <n v="0.85670000000000002"/>
    <n v="1"/>
    <n v="0.73987727272727277"/>
    <s v="M/C off 3 hrs due to pump issue &amp; big tank roller bush replacement."/>
  </r>
  <r>
    <x v="49"/>
    <x v="0"/>
    <x v="1"/>
    <x v="1"/>
    <n v="5000"/>
    <n v="5289"/>
    <n v="0"/>
    <n v="0"/>
    <n v="5289"/>
    <m/>
    <n v="0"/>
    <s v=""/>
    <s v=""/>
    <s v=""/>
    <n v="1.0578000000000001"/>
    <n v="1"/>
    <s v=""/>
    <m/>
  </r>
  <r>
    <x v="49"/>
    <x v="0"/>
    <x v="1"/>
    <x v="2"/>
    <n v="4000"/>
    <n v="3736"/>
    <n v="0"/>
    <n v="0"/>
    <n v="3736"/>
    <n v="22"/>
    <n v="0"/>
    <n v="22"/>
    <n v="0"/>
    <n v="1"/>
    <n v="0.93400000000000005"/>
    <n v="1"/>
    <n v="0.93400000000000005"/>
    <m/>
  </r>
  <r>
    <x v="49"/>
    <x v="0"/>
    <x v="2"/>
    <x v="2"/>
    <n v="7000"/>
    <n v="7388"/>
    <n v="0"/>
    <n v="0"/>
    <n v="7388"/>
    <n v="22"/>
    <n v="0"/>
    <n v="22"/>
    <n v="0"/>
    <n v="1"/>
    <n v="1.0554285714285714"/>
    <n v="1"/>
    <n v="1.0554285714285714"/>
    <m/>
  </r>
  <r>
    <x v="49"/>
    <x v="0"/>
    <x v="3"/>
    <x v="3"/>
    <n v="7800"/>
    <n v="5264"/>
    <n v="0"/>
    <n v="0"/>
    <n v="5264"/>
    <n v="22"/>
    <n v="4"/>
    <n v="18"/>
    <n v="1418.1818181818182"/>
    <n v="0.81818181818181823"/>
    <n v="0.67487179487179483"/>
    <n v="1"/>
    <n v="0.55216783216783216"/>
    <s v="M/C off 4 hrs due to unavailability of heat-set fabric."/>
  </r>
  <r>
    <x v="49"/>
    <x v="0"/>
    <x v="10"/>
    <x v="3"/>
    <m/>
    <n v="0"/>
    <m/>
    <m/>
    <m/>
    <m/>
    <m/>
    <s v=""/>
    <m/>
    <m/>
    <m/>
    <m/>
    <m/>
    <s v="On standby"/>
  </r>
  <r>
    <x v="49"/>
    <x v="0"/>
    <x v="4"/>
    <x v="4"/>
    <n v="9000"/>
    <n v="8615"/>
    <n v="0"/>
    <n v="0"/>
    <n v="8615"/>
    <n v="22"/>
    <n v="0"/>
    <n v="22"/>
    <n v="0"/>
    <n v="1"/>
    <n v="0.9572222222222222"/>
    <n v="1"/>
    <n v="0.9572222222222222"/>
    <m/>
  </r>
  <r>
    <x v="49"/>
    <x v="0"/>
    <x v="5"/>
    <x v="4"/>
    <n v="0"/>
    <n v="0"/>
    <m/>
    <m/>
    <m/>
    <m/>
    <m/>
    <s v=""/>
    <m/>
    <m/>
    <m/>
    <m/>
    <m/>
    <s v="On standby"/>
  </r>
  <r>
    <x v="49"/>
    <x v="1"/>
    <x v="6"/>
    <x v="5"/>
    <n v="9000"/>
    <n v="7716"/>
    <n v="0"/>
    <n v="0"/>
    <n v="7716"/>
    <n v="22"/>
    <n v="0"/>
    <n v="22"/>
    <n v="0"/>
    <n v="1"/>
    <n v="0.85733333333333328"/>
    <n v="1"/>
    <n v="0.85733333333333328"/>
    <s v="Output below target: Insufficient tube fabric availability."/>
  </r>
  <r>
    <x v="49"/>
    <x v="1"/>
    <x v="7"/>
    <x v="6"/>
    <n v="8000"/>
    <n v="8396"/>
    <n v="0"/>
    <n v="0"/>
    <n v="8396"/>
    <n v="22"/>
    <n v="1"/>
    <n v="21"/>
    <n v="363.63636363636363"/>
    <n v="0.95454545454545459"/>
    <n v="1.0495000000000001"/>
    <n v="1"/>
    <n v="1.0017954545454546"/>
    <s v="Output below target: Insufficient tube fabric availability &amp; 1 hr M/C maintenance (Net Cleaning) downtime."/>
  </r>
  <r>
    <x v="49"/>
    <x v="1"/>
    <x v="8"/>
    <x v="4"/>
    <n v="6000"/>
    <n v="3375"/>
    <n v="0"/>
    <n v="0"/>
    <n v="3375"/>
    <n v="22"/>
    <n v="0"/>
    <n v="22"/>
    <n v="0"/>
    <n v="1"/>
    <n v="0.5625"/>
    <n v="1"/>
    <n v="0.5625"/>
    <s v="Output below target: Insufficient tube-finish fabric availability."/>
  </r>
  <r>
    <x v="49"/>
    <x v="1"/>
    <x v="9"/>
    <x v="4"/>
    <n v="5000"/>
    <n v="4080"/>
    <n v="0"/>
    <n v="0"/>
    <n v="4080"/>
    <n v="22"/>
    <n v="0"/>
    <n v="22"/>
    <n v="0"/>
    <n v="1"/>
    <n v="0.81599999999999995"/>
    <n v="1"/>
    <n v="0.81599999999999995"/>
    <s v="Output below target: Insufficient tube fabric availability "/>
  </r>
  <r>
    <x v="50"/>
    <x v="0"/>
    <x v="0"/>
    <x v="0"/>
    <n v="10000"/>
    <n v="9198"/>
    <n v="0"/>
    <n v="0"/>
    <n v="9198"/>
    <n v="22"/>
    <n v="3"/>
    <n v="19"/>
    <n v="1363.6363636363637"/>
    <n v="0.86363636363636365"/>
    <n v="0.91979999999999995"/>
    <n v="1"/>
    <n v="0.79437272727272723"/>
    <s v="M/C off 3 hrs due to pump issue &amp; big tank roller bush replacement."/>
  </r>
  <r>
    <x v="50"/>
    <x v="0"/>
    <x v="1"/>
    <x v="1"/>
    <n v="5000"/>
    <n v="4929"/>
    <n v="0"/>
    <n v="0"/>
    <n v="4929"/>
    <n v="22"/>
    <n v="0"/>
    <n v="22"/>
    <n v="0"/>
    <n v="1"/>
    <n v="0.98580000000000001"/>
    <n v="1"/>
    <n v="0.98580000000000001"/>
    <m/>
  </r>
  <r>
    <x v="50"/>
    <x v="0"/>
    <x v="1"/>
    <x v="2"/>
    <n v="4000"/>
    <n v="3136"/>
    <n v="0"/>
    <n v="0"/>
    <n v="3136"/>
    <m/>
    <n v="0"/>
    <s v=""/>
    <s v=""/>
    <s v=""/>
    <n v="0.78400000000000003"/>
    <n v="1"/>
    <s v=""/>
    <m/>
  </r>
  <r>
    <x v="50"/>
    <x v="0"/>
    <x v="2"/>
    <x v="2"/>
    <n v="7000"/>
    <n v="7220"/>
    <n v="0"/>
    <n v="0"/>
    <n v="7220"/>
    <n v="22"/>
    <n v="0"/>
    <n v="22"/>
    <n v="0"/>
    <n v="1"/>
    <n v="1.0314285714285714"/>
    <n v="1"/>
    <n v="1.0314285714285714"/>
    <m/>
  </r>
  <r>
    <x v="50"/>
    <x v="0"/>
    <x v="3"/>
    <x v="3"/>
    <n v="7800"/>
    <n v="7392"/>
    <n v="0"/>
    <n v="0"/>
    <n v="7392"/>
    <n v="22"/>
    <n v="2"/>
    <n v="20"/>
    <n v="709.09090909090912"/>
    <n v="0.90909090909090906"/>
    <n v="0.94769230769230772"/>
    <n v="1"/>
    <n v="0.86153846153846159"/>
    <s v="M/C off 2 hrs due to unavailability of heat-set fabric."/>
  </r>
  <r>
    <x v="50"/>
    <x v="0"/>
    <x v="10"/>
    <x v="3"/>
    <m/>
    <n v="0"/>
    <m/>
    <m/>
    <m/>
    <m/>
    <m/>
    <s v=""/>
    <m/>
    <m/>
    <m/>
    <m/>
    <m/>
    <s v="On standby"/>
  </r>
  <r>
    <x v="50"/>
    <x v="0"/>
    <x v="4"/>
    <x v="4"/>
    <n v="9000"/>
    <n v="7609"/>
    <n v="0"/>
    <n v="0"/>
    <n v="7609"/>
    <n v="22"/>
    <n v="0"/>
    <n v="22"/>
    <n v="0"/>
    <n v="1"/>
    <n v="0.84544444444444444"/>
    <n v="1"/>
    <n v="0.84544444444444444"/>
    <s v="Insufficient finish fabric."/>
  </r>
  <r>
    <x v="50"/>
    <x v="0"/>
    <x v="5"/>
    <x v="4"/>
    <n v="0"/>
    <n v="0"/>
    <m/>
    <m/>
    <m/>
    <m/>
    <m/>
    <s v=""/>
    <m/>
    <m/>
    <m/>
    <m/>
    <m/>
    <s v="On standby"/>
  </r>
  <r>
    <x v="50"/>
    <x v="1"/>
    <x v="6"/>
    <x v="5"/>
    <n v="9000"/>
    <n v="7847"/>
    <n v="0"/>
    <n v="0"/>
    <n v="7847"/>
    <n v="22"/>
    <n v="0"/>
    <n v="22"/>
    <n v="0"/>
    <n v="1"/>
    <n v="0.87188888888888894"/>
    <n v="1"/>
    <n v="0.87188888888888894"/>
    <s v="Output below target: Insufficient tube fabric availability."/>
  </r>
  <r>
    <x v="50"/>
    <x v="1"/>
    <x v="7"/>
    <x v="6"/>
    <n v="8000"/>
    <n v="7376"/>
    <n v="0"/>
    <n v="0"/>
    <n v="7376"/>
    <n v="22"/>
    <n v="2"/>
    <n v="20"/>
    <n v="727.27272727272725"/>
    <n v="0.90909090909090906"/>
    <n v="0.92200000000000004"/>
    <n v="1"/>
    <n v="0.83818181818181814"/>
    <s v="Output below target: Insufficient tube fabric availability &amp; 1 hr M/C maintenance (Net Cleaning) downtime."/>
  </r>
  <r>
    <x v="50"/>
    <x v="1"/>
    <x v="8"/>
    <x v="4"/>
    <n v="6000"/>
    <n v="3701"/>
    <n v="0"/>
    <n v="0"/>
    <n v="3701"/>
    <n v="22"/>
    <n v="0"/>
    <n v="22"/>
    <n v="0"/>
    <n v="1"/>
    <n v="0.61683333333333334"/>
    <n v="1"/>
    <n v="0.61683333333333334"/>
    <s v="Output below target: Insufficient tube-finish fabric availability."/>
  </r>
  <r>
    <x v="50"/>
    <x v="1"/>
    <x v="9"/>
    <x v="4"/>
    <n v="5000"/>
    <n v="3330"/>
    <n v="0"/>
    <n v="0"/>
    <n v="3330"/>
    <n v="22"/>
    <n v="0"/>
    <n v="22"/>
    <n v="0"/>
    <n v="1"/>
    <n v="0.66600000000000004"/>
    <n v="1"/>
    <n v="0.66600000000000004"/>
    <s v="Output below target: Insufficient tube fabric availability."/>
  </r>
  <r>
    <x v="51"/>
    <x v="0"/>
    <x v="0"/>
    <x v="0"/>
    <n v="10000"/>
    <n v="8568"/>
    <n v="0"/>
    <n v="0"/>
    <n v="8568"/>
    <n v="22"/>
    <n v="0"/>
    <n v="22"/>
    <n v="0"/>
    <n v="1"/>
    <n v="0.85680000000000001"/>
    <n v="1"/>
    <n v="0.85680000000000001"/>
    <m/>
  </r>
  <r>
    <x v="51"/>
    <x v="0"/>
    <x v="1"/>
    <x v="1"/>
    <n v="5000"/>
    <n v="4308"/>
    <n v="0"/>
    <n v="0"/>
    <n v="4308"/>
    <n v="22"/>
    <n v="0"/>
    <n v="22"/>
    <n v="0"/>
    <n v="1"/>
    <n v="0.86160000000000003"/>
    <n v="1"/>
    <n v="0.86160000000000003"/>
    <m/>
  </r>
  <r>
    <x v="51"/>
    <x v="0"/>
    <x v="1"/>
    <x v="2"/>
    <n v="4000"/>
    <n v="4532"/>
    <n v="0"/>
    <n v="0"/>
    <n v="4532"/>
    <m/>
    <n v="0"/>
    <s v=""/>
    <s v=""/>
    <s v=""/>
    <n v="1.133"/>
    <n v="1"/>
    <s v=""/>
    <m/>
  </r>
  <r>
    <x v="51"/>
    <x v="0"/>
    <x v="2"/>
    <x v="2"/>
    <n v="7000"/>
    <n v="6940"/>
    <n v="0"/>
    <n v="0"/>
    <n v="6940"/>
    <n v="22"/>
    <n v="0"/>
    <n v="22"/>
    <n v="0"/>
    <n v="1"/>
    <n v="0.99142857142857144"/>
    <n v="1"/>
    <n v="0.99142857142857144"/>
    <m/>
  </r>
  <r>
    <x v="51"/>
    <x v="0"/>
    <x v="3"/>
    <x v="3"/>
    <n v="7800"/>
    <n v="4674"/>
    <n v="0"/>
    <n v="0"/>
    <n v="4674"/>
    <n v="22"/>
    <n v="0"/>
    <n v="22"/>
    <n v="0"/>
    <n v="1"/>
    <n v="0.59923076923076923"/>
    <n v="1"/>
    <n v="0.59923076923076923"/>
    <m/>
  </r>
  <r>
    <x v="51"/>
    <x v="0"/>
    <x v="10"/>
    <x v="3"/>
    <m/>
    <n v="0"/>
    <m/>
    <m/>
    <m/>
    <m/>
    <m/>
    <s v=""/>
    <m/>
    <m/>
    <m/>
    <m/>
    <m/>
    <s v="On standby"/>
  </r>
  <r>
    <x v="51"/>
    <x v="0"/>
    <x v="4"/>
    <x v="4"/>
    <n v="9000"/>
    <n v="9126"/>
    <n v="0"/>
    <n v="0"/>
    <n v="9126"/>
    <n v="22"/>
    <n v="0"/>
    <n v="22"/>
    <n v="0"/>
    <n v="1"/>
    <n v="1.014"/>
    <n v="1"/>
    <n v="1.014"/>
    <m/>
  </r>
  <r>
    <x v="51"/>
    <x v="0"/>
    <x v="5"/>
    <x v="4"/>
    <n v="0"/>
    <n v="0"/>
    <m/>
    <m/>
    <m/>
    <m/>
    <m/>
    <s v=""/>
    <m/>
    <m/>
    <m/>
    <m/>
    <m/>
    <s v="On standby"/>
  </r>
  <r>
    <x v="51"/>
    <x v="1"/>
    <x v="6"/>
    <x v="5"/>
    <n v="9000"/>
    <n v="6658"/>
    <n v="0"/>
    <n v="0"/>
    <n v="6658"/>
    <n v="22"/>
    <n v="0"/>
    <n v="22"/>
    <n v="0"/>
    <n v="1"/>
    <n v="0.73977777777777776"/>
    <n v="1"/>
    <n v="0.73977777777777776"/>
    <s v="Output below target: Insufficient tube fabric availability."/>
  </r>
  <r>
    <x v="51"/>
    <x v="1"/>
    <x v="7"/>
    <x v="6"/>
    <n v="8000"/>
    <n v="6758"/>
    <n v="0"/>
    <n v="0"/>
    <n v="6758"/>
    <n v="22"/>
    <n v="1"/>
    <n v="21"/>
    <n v="363.63636363636363"/>
    <n v="0.95454545454545459"/>
    <n v="0.84475"/>
    <n v="1"/>
    <n v="0.80635227272727272"/>
    <s v="Output below target: Insufficient tube fabric availability &amp; 1 hr M/C maintenance (Net Cleaning) downtime."/>
  </r>
  <r>
    <x v="51"/>
    <x v="1"/>
    <x v="8"/>
    <x v="4"/>
    <n v="6000"/>
    <n v="3012"/>
    <n v="0"/>
    <n v="0"/>
    <n v="3012"/>
    <n v="22"/>
    <n v="0"/>
    <n v="22"/>
    <n v="0"/>
    <n v="1"/>
    <n v="0.502"/>
    <n v="1"/>
    <n v="0.502"/>
    <s v="Output below target: Insufficient tube-finish fabric availability"/>
  </r>
  <r>
    <x v="51"/>
    <x v="1"/>
    <x v="9"/>
    <x v="4"/>
    <n v="5000"/>
    <n v="2570"/>
    <n v="0"/>
    <n v="0"/>
    <n v="2570"/>
    <n v="22"/>
    <n v="0"/>
    <n v="22"/>
    <n v="0"/>
    <n v="1"/>
    <n v="0.51400000000000001"/>
    <n v="1"/>
    <n v="0.51400000000000001"/>
    <s v="Output below target: Insufficient tube fabric availability "/>
  </r>
  <r>
    <x v="52"/>
    <x v="0"/>
    <x v="0"/>
    <x v="0"/>
    <n v="10000"/>
    <n v="8351"/>
    <n v="0"/>
    <n v="0"/>
    <n v="8351"/>
    <n v="22"/>
    <n v="0"/>
    <n v="22"/>
    <n v="0"/>
    <n v="1"/>
    <n v="0.83509999999999995"/>
    <n v="1"/>
    <n v="0.83509999999999995"/>
    <m/>
  </r>
  <r>
    <x v="52"/>
    <x v="0"/>
    <x v="1"/>
    <x v="1"/>
    <n v="5000"/>
    <n v="6314"/>
    <n v="0"/>
    <n v="0"/>
    <n v="6314"/>
    <m/>
    <n v="0"/>
    <s v=""/>
    <s v=""/>
    <s v=""/>
    <n v="1.2627999999999999"/>
    <n v="1"/>
    <s v=""/>
    <m/>
  </r>
  <r>
    <x v="52"/>
    <x v="0"/>
    <x v="1"/>
    <x v="2"/>
    <n v="4000"/>
    <n v="1360"/>
    <n v="0"/>
    <n v="0"/>
    <n v="1360"/>
    <n v="22"/>
    <n v="0"/>
    <n v="22"/>
    <n v="0"/>
    <n v="1"/>
    <n v="0.34"/>
    <n v="1"/>
    <n v="0.34"/>
    <m/>
  </r>
  <r>
    <x v="52"/>
    <x v="0"/>
    <x v="2"/>
    <x v="2"/>
    <n v="7000"/>
    <n v="6355"/>
    <n v="0"/>
    <n v="0"/>
    <n v="6355"/>
    <n v="22"/>
    <n v="3"/>
    <n v="19"/>
    <n v="954.5454545454545"/>
    <n v="0.86363636363636365"/>
    <n v="0.90785714285714281"/>
    <n v="1"/>
    <n v="0.78405844155844151"/>
    <s v="M/C off 3 hrs due to dancing roller &amp; uncoiler roller bearing damage."/>
  </r>
  <r>
    <x v="52"/>
    <x v="0"/>
    <x v="3"/>
    <x v="3"/>
    <n v="7800"/>
    <n v="7474"/>
    <n v="0"/>
    <n v="0"/>
    <n v="7474"/>
    <n v="22"/>
    <n v="0"/>
    <n v="22"/>
    <n v="0"/>
    <n v="1"/>
    <n v="0.95820512820512815"/>
    <n v="1"/>
    <n v="0.95820512820512815"/>
    <m/>
  </r>
  <r>
    <x v="52"/>
    <x v="0"/>
    <x v="10"/>
    <x v="3"/>
    <m/>
    <n v="0"/>
    <m/>
    <m/>
    <m/>
    <m/>
    <m/>
    <s v=""/>
    <m/>
    <m/>
    <m/>
    <m/>
    <m/>
    <s v="On standby"/>
  </r>
  <r>
    <x v="52"/>
    <x v="0"/>
    <x v="4"/>
    <x v="4"/>
    <n v="9000"/>
    <n v="7570"/>
    <n v="0"/>
    <n v="0"/>
    <n v="7570"/>
    <n v="22"/>
    <n v="0"/>
    <n v="22"/>
    <n v="0"/>
    <n v="1"/>
    <n v="0.84111111111111114"/>
    <n v="1"/>
    <n v="0.84111111111111114"/>
    <m/>
  </r>
  <r>
    <x v="52"/>
    <x v="0"/>
    <x v="5"/>
    <x v="4"/>
    <n v="0"/>
    <n v="0"/>
    <m/>
    <m/>
    <m/>
    <m/>
    <m/>
    <s v=""/>
    <m/>
    <m/>
    <m/>
    <m/>
    <m/>
    <s v="On standby"/>
  </r>
  <r>
    <x v="52"/>
    <x v="1"/>
    <x v="6"/>
    <x v="5"/>
    <n v="9000"/>
    <n v="7652"/>
    <n v="0"/>
    <n v="0"/>
    <n v="7652"/>
    <n v="22"/>
    <n v="0"/>
    <n v="22"/>
    <n v="0"/>
    <n v="1"/>
    <n v="0.85022222222222221"/>
    <n v="1"/>
    <n v="0.85022222222222221"/>
    <s v="Output below target: Insufficient tube fabric availability."/>
  </r>
  <r>
    <x v="52"/>
    <x v="1"/>
    <x v="7"/>
    <x v="6"/>
    <n v="8000"/>
    <n v="7653"/>
    <n v="0"/>
    <n v="0"/>
    <n v="7653"/>
    <n v="22"/>
    <n v="1"/>
    <n v="21"/>
    <n v="363.63636363636363"/>
    <n v="0.95454545454545459"/>
    <n v="0.95662499999999995"/>
    <n v="1"/>
    <n v="0.91314204545454547"/>
    <s v="Output below target: Insufficient tube fabric availability &amp; 1 hr M/C maintenance (Net Cleaning) downtime."/>
  </r>
  <r>
    <x v="52"/>
    <x v="1"/>
    <x v="8"/>
    <x v="4"/>
    <n v="6000"/>
    <n v="2845"/>
    <n v="0"/>
    <n v="0"/>
    <n v="2845"/>
    <n v="22"/>
    <n v="0"/>
    <n v="22"/>
    <n v="0"/>
    <n v="1"/>
    <n v="0.47416666666666668"/>
    <n v="1"/>
    <n v="0.47416666666666668"/>
    <s v="Output below target: Insufficient tube-finish fabric availability."/>
  </r>
  <r>
    <x v="52"/>
    <x v="1"/>
    <x v="9"/>
    <x v="4"/>
    <n v="5000"/>
    <n v="4571"/>
    <n v="0"/>
    <n v="0"/>
    <n v="4571"/>
    <n v="22"/>
    <n v="0"/>
    <n v="22"/>
    <n v="0"/>
    <n v="1"/>
    <n v="0.91420000000000001"/>
    <n v="1"/>
    <n v="0.91420000000000001"/>
    <s v="Output below target: Insufficient tube fabric availability "/>
  </r>
  <r>
    <x v="53"/>
    <x v="0"/>
    <x v="0"/>
    <x v="0"/>
    <n v="10000"/>
    <n v="9481"/>
    <n v="0"/>
    <n v="0"/>
    <n v="9481"/>
    <n v="22"/>
    <n v="0"/>
    <n v="22"/>
    <n v="0"/>
    <n v="1"/>
    <n v="0.94810000000000005"/>
    <n v="1"/>
    <n v="0.94810000000000005"/>
    <m/>
  </r>
  <r>
    <x v="53"/>
    <x v="0"/>
    <x v="1"/>
    <x v="1"/>
    <n v="5000"/>
    <n v="1923"/>
    <n v="0"/>
    <n v="0"/>
    <n v="1923"/>
    <m/>
    <n v="0"/>
    <s v=""/>
    <s v=""/>
    <s v=""/>
    <n v="0.3846"/>
    <n v="1"/>
    <s v=""/>
    <m/>
  </r>
  <r>
    <x v="53"/>
    <x v="0"/>
    <x v="1"/>
    <x v="2"/>
    <n v="4000"/>
    <n v="6764"/>
    <n v="0"/>
    <n v="0"/>
    <n v="6764"/>
    <n v="22"/>
    <n v="0"/>
    <n v="22"/>
    <n v="0"/>
    <n v="1"/>
    <n v="1.6910000000000001"/>
    <n v="1"/>
    <n v="1.6910000000000001"/>
    <m/>
  </r>
  <r>
    <x v="53"/>
    <x v="0"/>
    <x v="2"/>
    <x v="2"/>
    <n v="7000"/>
    <n v="7524"/>
    <n v="0"/>
    <n v="0"/>
    <n v="7524"/>
    <n v="22"/>
    <n v="3"/>
    <n v="19"/>
    <n v="954.5454545454545"/>
    <n v="0.86363636363636365"/>
    <n v="1.074857142857143"/>
    <n v="1"/>
    <n v="0.92828571428571438"/>
    <m/>
  </r>
  <r>
    <x v="53"/>
    <x v="0"/>
    <x v="3"/>
    <x v="3"/>
    <n v="7800"/>
    <n v="6524"/>
    <n v="0"/>
    <n v="0"/>
    <n v="6524"/>
    <n v="22"/>
    <n v="0"/>
    <n v="22"/>
    <n v="0"/>
    <n v="1"/>
    <n v="0.83641025641025646"/>
    <n v="1"/>
    <n v="0.83641025641025646"/>
    <s v="Output below target: Insufficient H/Set fabric availability."/>
  </r>
  <r>
    <x v="53"/>
    <x v="0"/>
    <x v="10"/>
    <x v="3"/>
    <m/>
    <n v="0"/>
    <m/>
    <m/>
    <m/>
    <m/>
    <m/>
    <s v=""/>
    <m/>
    <m/>
    <m/>
    <m/>
    <m/>
    <s v="On standby"/>
  </r>
  <r>
    <x v="53"/>
    <x v="0"/>
    <x v="4"/>
    <x v="4"/>
    <n v="9000"/>
    <n v="8501"/>
    <n v="0"/>
    <n v="0"/>
    <n v="8501"/>
    <n v="22"/>
    <n v="0"/>
    <n v="22"/>
    <n v="0"/>
    <n v="1"/>
    <n v="0.94455555555555559"/>
    <n v="1"/>
    <n v="0.94455555555555559"/>
    <m/>
  </r>
  <r>
    <x v="53"/>
    <x v="0"/>
    <x v="5"/>
    <x v="4"/>
    <n v="0"/>
    <n v="0"/>
    <m/>
    <m/>
    <m/>
    <m/>
    <m/>
    <s v=""/>
    <m/>
    <m/>
    <m/>
    <m/>
    <m/>
    <s v="On standby"/>
  </r>
  <r>
    <x v="53"/>
    <x v="1"/>
    <x v="6"/>
    <x v="5"/>
    <n v="9000"/>
    <n v="5446"/>
    <n v="0"/>
    <n v="0"/>
    <n v="5446"/>
    <n v="22"/>
    <n v="0"/>
    <n v="22"/>
    <n v="0"/>
    <n v="1"/>
    <n v="0.60511111111111116"/>
    <n v="1"/>
    <n v="0.60511111111111116"/>
    <s v="Output below target: Insufficient tube fabric availability."/>
  </r>
  <r>
    <x v="53"/>
    <x v="1"/>
    <x v="7"/>
    <x v="6"/>
    <n v="8000"/>
    <n v="6201"/>
    <n v="0"/>
    <n v="0"/>
    <n v="6201"/>
    <n v="22"/>
    <n v="1"/>
    <n v="21"/>
    <n v="363.63636363636363"/>
    <n v="0.95454545454545459"/>
    <n v="0.77512499999999995"/>
    <n v="1"/>
    <n v="0.73989204545454546"/>
    <s v="Output below target: Insufficient tube fabric availability &amp; 1 hr M/C maintenance (Net Cleaning) downtime."/>
  </r>
  <r>
    <x v="53"/>
    <x v="1"/>
    <x v="8"/>
    <x v="4"/>
    <n v="6000"/>
    <n v="2350"/>
    <n v="0"/>
    <n v="0"/>
    <n v="2350"/>
    <n v="22"/>
    <n v="0"/>
    <n v="22"/>
    <n v="0"/>
    <n v="1"/>
    <n v="0.39166666666666666"/>
    <n v="1"/>
    <n v="0.39166666666666666"/>
    <s v="Output below target: Insufficient tube-finish fabric availability."/>
  </r>
  <r>
    <x v="53"/>
    <x v="1"/>
    <x v="9"/>
    <x v="4"/>
    <n v="5000"/>
    <n v="2443"/>
    <n v="0"/>
    <n v="0"/>
    <n v="2443"/>
    <n v="22"/>
    <n v="0"/>
    <n v="22"/>
    <n v="0"/>
    <n v="1"/>
    <n v="0.48859999999999998"/>
    <n v="1"/>
    <n v="0.48859999999999998"/>
    <s v="Output below target: Insufficient tube fabric availability "/>
  </r>
  <r>
    <x v="54"/>
    <x v="0"/>
    <x v="0"/>
    <x v="0"/>
    <n v="10000"/>
    <n v="8268"/>
    <n v="0"/>
    <n v="0"/>
    <n v="8268"/>
    <n v="22"/>
    <n v="0"/>
    <n v="22"/>
    <n v="0"/>
    <n v="1"/>
    <n v="0.82679999999999998"/>
    <n v="1"/>
    <n v="0.82679999999999998"/>
    <m/>
  </r>
  <r>
    <x v="54"/>
    <x v="0"/>
    <x v="1"/>
    <x v="1"/>
    <n v="5000"/>
    <n v="4586"/>
    <n v="0"/>
    <n v="0"/>
    <n v="4586"/>
    <n v="22"/>
    <n v="0"/>
    <n v="22"/>
    <n v="0"/>
    <n v="1"/>
    <n v="0.91720000000000002"/>
    <n v="1"/>
    <n v="0.91720000000000002"/>
    <m/>
  </r>
  <r>
    <x v="54"/>
    <x v="0"/>
    <x v="1"/>
    <x v="2"/>
    <n v="4000"/>
    <n v="4125"/>
    <n v="0"/>
    <n v="0"/>
    <n v="4125"/>
    <m/>
    <n v="0"/>
    <s v=""/>
    <s v=""/>
    <s v=""/>
    <n v="1.03125"/>
    <n v="1"/>
    <s v=""/>
    <m/>
  </r>
  <r>
    <x v="54"/>
    <x v="0"/>
    <x v="2"/>
    <x v="2"/>
    <n v="7000"/>
    <n v="7376"/>
    <n v="0"/>
    <n v="0"/>
    <n v="7376"/>
    <n v="22"/>
    <n v="3"/>
    <n v="19"/>
    <n v="954.5454545454545"/>
    <n v="0.86363636363636365"/>
    <n v="1.0537142857142856"/>
    <n v="1"/>
    <n v="0.91002597402597396"/>
    <m/>
  </r>
  <r>
    <x v="54"/>
    <x v="0"/>
    <x v="3"/>
    <x v="3"/>
    <n v="7800"/>
    <n v="5508"/>
    <n v="0"/>
    <n v="0"/>
    <n v="5508"/>
    <n v="22"/>
    <n v="0"/>
    <n v="22"/>
    <n v="0"/>
    <n v="1"/>
    <n v="0.70615384615384613"/>
    <n v="1"/>
    <n v="0.70615384615384613"/>
    <s v="Output below target: Insufficient H/Set fabric availability."/>
  </r>
  <r>
    <x v="54"/>
    <x v="0"/>
    <x v="10"/>
    <x v="3"/>
    <m/>
    <n v="0"/>
    <m/>
    <m/>
    <m/>
    <m/>
    <m/>
    <s v=""/>
    <m/>
    <m/>
    <m/>
    <m/>
    <m/>
    <s v="On standby"/>
  </r>
  <r>
    <x v="54"/>
    <x v="0"/>
    <x v="4"/>
    <x v="4"/>
    <n v="9000"/>
    <n v="8141"/>
    <n v="0"/>
    <n v="0"/>
    <n v="8141"/>
    <n v="22"/>
    <n v="0"/>
    <n v="22"/>
    <n v="0"/>
    <n v="1"/>
    <n v="0.90455555555555556"/>
    <n v="1"/>
    <n v="0.90455555555555556"/>
    <m/>
  </r>
  <r>
    <x v="54"/>
    <x v="0"/>
    <x v="5"/>
    <x v="4"/>
    <n v="1708"/>
    <n v="1708"/>
    <m/>
    <m/>
    <m/>
    <m/>
    <m/>
    <s v=""/>
    <m/>
    <m/>
    <m/>
    <m/>
    <m/>
    <s v="Due to low T/F fabric, Monty m/c kept running in night shift with helpers from T/Ferraro &amp; Ind. Compacting."/>
  </r>
  <r>
    <x v="54"/>
    <x v="1"/>
    <x v="6"/>
    <x v="5"/>
    <n v="9000"/>
    <n v="7091"/>
    <n v="0"/>
    <n v="0"/>
    <n v="7091"/>
    <n v="22"/>
    <n v="0"/>
    <n v="22"/>
    <n v="0"/>
    <n v="1"/>
    <n v="0.78788888888888886"/>
    <n v="1"/>
    <n v="0.78788888888888886"/>
    <s v="Output below target: Insufficient tube fabric availability."/>
  </r>
  <r>
    <x v="54"/>
    <x v="1"/>
    <x v="7"/>
    <x v="6"/>
    <n v="8000"/>
    <n v="5846"/>
    <n v="0"/>
    <n v="0"/>
    <n v="5846"/>
    <n v="22"/>
    <n v="1"/>
    <n v="21"/>
    <n v="363.63636363636363"/>
    <n v="0.95454545454545459"/>
    <n v="0.73075000000000001"/>
    <n v="1"/>
    <n v="0.69753409090909091"/>
    <s v="Output below target: Insufficient tube fabric availability &amp; 1 hr M/C maintenance (Net Cleaning) downtime."/>
  </r>
  <r>
    <x v="54"/>
    <x v="1"/>
    <x v="8"/>
    <x v="4"/>
    <n v="6000"/>
    <n v="2410"/>
    <n v="0"/>
    <n v="0"/>
    <n v="2410"/>
    <n v="22"/>
    <n v="0"/>
    <n v="22"/>
    <n v="0"/>
    <n v="1"/>
    <n v="0.40166666666666667"/>
    <n v="1"/>
    <n v="0.40166666666666667"/>
    <s v="Output below target: Insufficient tube-finish fabric availability."/>
  </r>
  <r>
    <x v="54"/>
    <x v="1"/>
    <x v="9"/>
    <x v="4"/>
    <n v="5000"/>
    <n v="3105"/>
    <n v="0"/>
    <n v="0"/>
    <n v="3105"/>
    <n v="22"/>
    <n v="0"/>
    <n v="22"/>
    <n v="0"/>
    <n v="1"/>
    <n v="0.621"/>
    <n v="1"/>
    <n v="0.621"/>
    <s v="Output below target: Insufficient tube fabric availability "/>
  </r>
  <r>
    <x v="55"/>
    <x v="0"/>
    <x v="0"/>
    <x v="0"/>
    <n v="10000"/>
    <n v="8196"/>
    <n v="0"/>
    <n v="0"/>
    <n v="8196"/>
    <n v="22"/>
    <n v="0"/>
    <n v="22"/>
    <n v="0"/>
    <n v="1"/>
    <n v="0.8196"/>
    <n v="1"/>
    <n v="0.8196"/>
    <m/>
  </r>
  <r>
    <x v="55"/>
    <x v="0"/>
    <x v="1"/>
    <x v="1"/>
    <n v="5000"/>
    <n v="4404"/>
    <n v="0"/>
    <n v="0"/>
    <n v="4404"/>
    <n v="22"/>
    <n v="0"/>
    <n v="22"/>
    <n v="0"/>
    <n v="1"/>
    <n v="0.88080000000000003"/>
    <n v="1"/>
    <n v="0.88080000000000003"/>
    <m/>
  </r>
  <r>
    <x v="55"/>
    <x v="0"/>
    <x v="1"/>
    <x v="2"/>
    <n v="4000"/>
    <n v="4233"/>
    <n v="0"/>
    <n v="0"/>
    <n v="4233"/>
    <m/>
    <m/>
    <s v=""/>
    <s v=""/>
    <s v=""/>
    <n v="1.0582499999999999"/>
    <n v="1"/>
    <s v=""/>
    <m/>
  </r>
  <r>
    <x v="55"/>
    <x v="0"/>
    <x v="2"/>
    <x v="2"/>
    <n v="7000"/>
    <n v="6227"/>
    <n v="0"/>
    <n v="0"/>
    <n v="6227"/>
    <n v="22"/>
    <n v="3"/>
    <n v="19"/>
    <n v="954.5454545454545"/>
    <n v="0.86363636363636365"/>
    <n v="0.88957142857142857"/>
    <n v="1"/>
    <n v="0.76826623376623382"/>
    <m/>
  </r>
  <r>
    <x v="55"/>
    <x v="0"/>
    <x v="3"/>
    <x v="3"/>
    <n v="7800"/>
    <n v="4652"/>
    <n v="0"/>
    <n v="0"/>
    <n v="4652"/>
    <n v="22"/>
    <n v="6"/>
    <n v="16"/>
    <n v="2127.2727272727275"/>
    <n v="0.72727272727272729"/>
    <n v="0.59641025641025636"/>
    <n v="1"/>
    <n v="0.43375291375291375"/>
    <s v="M/C for 6 hrs due to unavailability of heat-set fabric."/>
  </r>
  <r>
    <x v="55"/>
    <x v="0"/>
    <x v="10"/>
    <x v="3"/>
    <m/>
    <n v="0"/>
    <m/>
    <m/>
    <m/>
    <m/>
    <m/>
    <s v=""/>
    <m/>
    <m/>
    <m/>
    <m/>
    <m/>
    <s v="On standby"/>
  </r>
  <r>
    <x v="55"/>
    <x v="0"/>
    <x v="4"/>
    <x v="4"/>
    <n v="9000"/>
    <n v="7179"/>
    <n v="0"/>
    <n v="0"/>
    <n v="7179"/>
    <n v="22"/>
    <n v="0"/>
    <n v="22"/>
    <n v="0"/>
    <n v="1"/>
    <n v="0.79766666666666663"/>
    <n v="1"/>
    <n v="0.79766666666666663"/>
    <m/>
  </r>
  <r>
    <x v="55"/>
    <x v="0"/>
    <x v="5"/>
    <x v="4"/>
    <n v="0"/>
    <n v="0"/>
    <m/>
    <m/>
    <m/>
    <m/>
    <m/>
    <s v=""/>
    <m/>
    <m/>
    <m/>
    <m/>
    <m/>
    <s v="On standby"/>
  </r>
  <r>
    <x v="55"/>
    <x v="1"/>
    <x v="6"/>
    <x v="5"/>
    <n v="9000"/>
    <n v="5719"/>
    <n v="0"/>
    <n v="0"/>
    <n v="5719"/>
    <n v="22"/>
    <n v="0"/>
    <n v="22"/>
    <n v="0"/>
    <n v="1"/>
    <n v="0.63544444444444448"/>
    <n v="1"/>
    <n v="0.63544444444444448"/>
    <s v="Output below target: Insufficient tube fabric availability."/>
  </r>
  <r>
    <x v="55"/>
    <x v="1"/>
    <x v="7"/>
    <x v="6"/>
    <n v="8000"/>
    <n v="6539"/>
    <n v="0"/>
    <n v="0"/>
    <n v="6539"/>
    <n v="22"/>
    <n v="1"/>
    <n v="21"/>
    <n v="363.63636363636363"/>
    <n v="0.95454545454545459"/>
    <n v="0.81737499999999996"/>
    <n v="1"/>
    <n v="0.78022159090909093"/>
    <s v="Output below target: Insufficient tube fabric availability &amp; 1 hr M/C maintenance (Net Cleaning) downtime."/>
  </r>
  <r>
    <x v="55"/>
    <x v="1"/>
    <x v="8"/>
    <x v="4"/>
    <n v="6000"/>
    <n v="1895"/>
    <n v="0"/>
    <n v="0"/>
    <n v="1895"/>
    <n v="22"/>
    <n v="0"/>
    <n v="22"/>
    <n v="0"/>
    <n v="1"/>
    <n v="0.31583333333333335"/>
    <n v="1"/>
    <n v="0.31583333333333335"/>
    <s v="Output below target: Insufficient tube-finish fabric availability."/>
  </r>
  <r>
    <x v="55"/>
    <x v="1"/>
    <x v="9"/>
    <x v="4"/>
    <n v="5000"/>
    <n v="3423"/>
    <n v="0"/>
    <n v="0"/>
    <n v="3423"/>
    <n v="22"/>
    <n v="0"/>
    <n v="22"/>
    <n v="0"/>
    <n v="1"/>
    <n v="0.68459999999999999"/>
    <n v="1"/>
    <n v="0.68459999999999999"/>
    <s v="Output below target: Insufficient tube fabric availability "/>
  </r>
  <r>
    <x v="56"/>
    <x v="0"/>
    <x v="0"/>
    <x v="0"/>
    <n v="7272"/>
    <n v="4839"/>
    <n v="0"/>
    <n v="0"/>
    <n v="4839"/>
    <n v="16"/>
    <n v="0"/>
    <n v="16"/>
    <n v="0"/>
    <n v="1"/>
    <n v="0.66542904290429039"/>
    <n v="1"/>
    <n v="0.66542904290429039"/>
    <m/>
  </r>
  <r>
    <x v="56"/>
    <x v="0"/>
    <x v="1"/>
    <x v="1"/>
    <n v="3272"/>
    <n v="0"/>
    <n v="0"/>
    <s v=""/>
    <n v="0"/>
    <m/>
    <n v="0"/>
    <s v=""/>
    <s v=""/>
    <s v=""/>
    <n v="0"/>
    <s v=""/>
    <s v=""/>
    <m/>
  </r>
  <r>
    <x v="56"/>
    <x v="0"/>
    <x v="1"/>
    <x v="2"/>
    <n v="3272"/>
    <n v="5366"/>
    <n v="0"/>
    <n v="0"/>
    <n v="5366"/>
    <n v="16"/>
    <n v="0"/>
    <n v="16"/>
    <n v="0"/>
    <n v="1"/>
    <n v="1.6399755501222495"/>
    <n v="1"/>
    <n v="1.6399755501222495"/>
    <m/>
  </r>
  <r>
    <x v="56"/>
    <x v="0"/>
    <x v="2"/>
    <x v="2"/>
    <n v="5090"/>
    <n v="4157"/>
    <n v="0"/>
    <n v="0"/>
    <n v="4157"/>
    <n v="16"/>
    <n v="0"/>
    <n v="16"/>
    <n v="0"/>
    <n v="1"/>
    <n v="0.81669941060903728"/>
    <n v="1"/>
    <n v="0.81669941060903728"/>
    <m/>
  </r>
  <r>
    <x v="56"/>
    <x v="0"/>
    <x v="3"/>
    <x v="3"/>
    <n v="5672"/>
    <n v="3440"/>
    <n v="0"/>
    <n v="0"/>
    <n v="3440"/>
    <n v="16"/>
    <n v="0"/>
    <n v="16"/>
    <n v="0"/>
    <n v="1"/>
    <n v="0.60648801128349783"/>
    <n v="1"/>
    <n v="0.60648801128349783"/>
    <m/>
  </r>
  <r>
    <x v="56"/>
    <x v="0"/>
    <x v="10"/>
    <x v="3"/>
    <m/>
    <n v="0"/>
    <m/>
    <m/>
    <m/>
    <m/>
    <m/>
    <s v=""/>
    <m/>
    <m/>
    <m/>
    <m/>
    <m/>
    <s v="On standby"/>
  </r>
  <r>
    <x v="56"/>
    <x v="0"/>
    <x v="4"/>
    <x v="4"/>
    <n v="6545"/>
    <n v="4530"/>
    <n v="0"/>
    <n v="0"/>
    <n v="4530"/>
    <n v="16"/>
    <n v="0"/>
    <n v="16"/>
    <n v="0"/>
    <n v="1"/>
    <n v="0.69213139801375101"/>
    <n v="1"/>
    <n v="0.69213139801375101"/>
    <m/>
  </r>
  <r>
    <x v="56"/>
    <x v="0"/>
    <x v="5"/>
    <x v="4"/>
    <n v="0"/>
    <n v="0"/>
    <m/>
    <m/>
    <m/>
    <m/>
    <m/>
    <s v=""/>
    <m/>
    <m/>
    <m/>
    <m/>
    <m/>
    <s v="On standby"/>
  </r>
  <r>
    <x v="56"/>
    <x v="1"/>
    <x v="6"/>
    <x v="5"/>
    <n v="6545"/>
    <n v="3105"/>
    <n v="0"/>
    <n v="0"/>
    <n v="3105"/>
    <n v="16"/>
    <n v="0"/>
    <n v="16"/>
    <n v="0"/>
    <n v="1"/>
    <n v="0.47440794499618028"/>
    <n v="1"/>
    <n v="0.47440794499618028"/>
    <s v="Output below target: Insufficient tube fabric availability."/>
  </r>
  <r>
    <x v="56"/>
    <x v="1"/>
    <x v="7"/>
    <x v="6"/>
    <n v="5818"/>
    <n v="3646"/>
    <n v="0"/>
    <n v="0"/>
    <n v="3646"/>
    <n v="16"/>
    <n v="1"/>
    <n v="15"/>
    <n v="363.625"/>
    <n v="0.9375"/>
    <n v="0.62667583361980062"/>
    <n v="1"/>
    <n v="0.58750859401856304"/>
    <s v="Output below target: Insufficient tube fabric availability &amp; 1 hr M/C maintenance (Net Cleaning) downtime."/>
  </r>
  <r>
    <x v="56"/>
    <x v="1"/>
    <x v="8"/>
    <x v="4"/>
    <n v="4363"/>
    <n v="2238"/>
    <n v="0"/>
    <n v="0"/>
    <n v="2238"/>
    <n v="16"/>
    <n v="0"/>
    <n v="16"/>
    <n v="0"/>
    <n v="1"/>
    <n v="0.51294980517992206"/>
    <n v="1"/>
    <n v="0.51294980517992206"/>
    <s v="Output below target: Insufficient tube fabric availability "/>
  </r>
  <r>
    <x v="56"/>
    <x v="1"/>
    <x v="9"/>
    <x v="4"/>
    <n v="3636"/>
    <n v="2294"/>
    <n v="0"/>
    <n v="0"/>
    <n v="2294"/>
    <n v="16"/>
    <n v="0"/>
    <n v="16"/>
    <n v="0"/>
    <n v="1"/>
    <n v="0.63091309130913087"/>
    <n v="1"/>
    <n v="0.63091309130913087"/>
    <s v="Output below target: Insufficient tube fabric availability "/>
  </r>
  <r>
    <x v="57"/>
    <x v="0"/>
    <x v="0"/>
    <x v="0"/>
    <n v="10000"/>
    <n v="3952"/>
    <n v="0"/>
    <n v="0"/>
    <n v="3952"/>
    <n v="22"/>
    <n v="3"/>
    <n v="19"/>
    <n v="1363.6363636363637"/>
    <n v="0.86363636363636365"/>
    <n v="0.3952"/>
    <n v="1"/>
    <n v="0.3413090909090909"/>
    <s v="Opening Day | Wkly maint. completed (3 hrs DT); low prod. due to fabric shortage."/>
  </r>
  <r>
    <x v="57"/>
    <x v="0"/>
    <x v="1"/>
    <x v="1"/>
    <m/>
    <n v="0"/>
    <m/>
    <s v=""/>
    <m/>
    <n v="22"/>
    <n v="22"/>
    <n v="0"/>
    <n v="0"/>
    <n v="0"/>
    <s v=""/>
    <s v=""/>
    <s v=""/>
    <s v="Production stopped due to master overhauling of Brückner Stenter M/c."/>
  </r>
  <r>
    <x v="57"/>
    <x v="0"/>
    <x v="1"/>
    <x v="2"/>
    <m/>
    <n v="0"/>
    <m/>
    <s v=""/>
    <m/>
    <m/>
    <m/>
    <s v=""/>
    <s v=""/>
    <s v=""/>
    <s v=""/>
    <s v=""/>
    <s v=""/>
    <m/>
  </r>
  <r>
    <x v="57"/>
    <x v="0"/>
    <x v="2"/>
    <x v="2"/>
    <n v="7000"/>
    <n v="5035"/>
    <n v="0"/>
    <n v="0"/>
    <n v="5035"/>
    <n v="22"/>
    <n v="3"/>
    <n v="19"/>
    <n v="954.5454545454545"/>
    <n v="0.86363636363636365"/>
    <n v="0.71928571428571431"/>
    <n v="1"/>
    <n v="0.6212012987012987"/>
    <s v="Weekly maintenance completed (3 hrs DT); low prod. due to fabric shortage."/>
  </r>
  <r>
    <x v="57"/>
    <x v="0"/>
    <x v="3"/>
    <x v="3"/>
    <n v="7800"/>
    <n v="4511"/>
    <n v="0"/>
    <n v="0"/>
    <n v="4511"/>
    <n v="22"/>
    <n v="2"/>
    <n v="20"/>
    <n v="709.09090909090912"/>
    <n v="0.90909090909090906"/>
    <n v="0.57833333333333337"/>
    <n v="1"/>
    <n v="0.52575757575757576"/>
    <s v="Production low due to heatset fabric shortage during Brückner Stenter M/c master overhauling."/>
  </r>
  <r>
    <x v="57"/>
    <x v="0"/>
    <x v="10"/>
    <x v="3"/>
    <m/>
    <n v="0"/>
    <m/>
    <s v=""/>
    <n v="0"/>
    <m/>
    <m/>
    <s v=""/>
    <s v=""/>
    <s v=""/>
    <s v=""/>
    <s v=""/>
    <s v=""/>
    <s v="On standby"/>
  </r>
  <r>
    <x v="57"/>
    <x v="0"/>
    <x v="4"/>
    <x v="4"/>
    <n v="9000"/>
    <n v="3807"/>
    <n v="0"/>
    <n v="0"/>
    <n v="3807"/>
    <n v="22"/>
    <n v="1"/>
    <n v="21"/>
    <n v="409.09090909090907"/>
    <n v="0.95454545454545459"/>
    <n v="0.42299999999999999"/>
    <n v="1"/>
    <n v="0.40377272727272728"/>
    <s v="Production low due to heatset fabric shortage during Brückner Stenter M/c master overhauling."/>
  </r>
  <r>
    <x v="57"/>
    <x v="0"/>
    <x v="5"/>
    <x v="4"/>
    <n v="0"/>
    <n v="0"/>
    <m/>
    <s v=""/>
    <n v="0"/>
    <m/>
    <m/>
    <s v=""/>
    <s v=""/>
    <s v=""/>
    <s v=""/>
    <s v=""/>
    <s v=""/>
    <s v="Due to insufficient fabric,"/>
  </r>
  <r>
    <x v="57"/>
    <x v="1"/>
    <x v="6"/>
    <x v="5"/>
    <n v="9000"/>
    <n v="3474"/>
    <n v="0"/>
    <n v="0"/>
    <n v="3474"/>
    <n v="22"/>
    <n v="0"/>
    <n v="22"/>
    <n v="0"/>
    <n v="1"/>
    <n v="0.38600000000000001"/>
    <n v="1"/>
    <n v="0.38600000000000001"/>
    <s v="Due to insufficient tube fabric,"/>
  </r>
  <r>
    <x v="57"/>
    <x v="1"/>
    <x v="7"/>
    <x v="6"/>
    <n v="8000"/>
    <n v="3065"/>
    <n v="0"/>
    <n v="0"/>
    <n v="3065"/>
    <n v="22"/>
    <n v="2"/>
    <n v="20"/>
    <n v="727.27272727272725"/>
    <n v="0.90909090909090906"/>
    <n v="0.38312499999999999"/>
    <n v="1"/>
    <n v="0.34829545454545452"/>
    <s v="2hr downtime maintenance &amp; insufficient tube fabric."/>
  </r>
  <r>
    <x v="57"/>
    <x v="1"/>
    <x v="8"/>
    <x v="4"/>
    <n v="6000"/>
    <n v="931"/>
    <n v="0"/>
    <n v="0"/>
    <n v="931"/>
    <n v="22"/>
    <n v="0"/>
    <n v="22"/>
    <n v="0"/>
    <n v="1"/>
    <n v="0.15516666666666667"/>
    <n v="1"/>
    <n v="0.15516666666666667"/>
    <s v="Due to insufficient tube fabric,"/>
  </r>
  <r>
    <x v="57"/>
    <x v="1"/>
    <x v="9"/>
    <x v="4"/>
    <n v="5000"/>
    <n v="1003"/>
    <n v="0"/>
    <n v="0"/>
    <n v="1003"/>
    <n v="22"/>
    <n v="0"/>
    <n v="22"/>
    <n v="0"/>
    <n v="1"/>
    <n v="0.2006"/>
    <n v="1"/>
    <n v="0.2006"/>
    <s v="2hr downtime pulley motor failure &amp; insufficient tube fabric."/>
  </r>
  <r>
    <x v="58"/>
    <x v="0"/>
    <x v="0"/>
    <x v="0"/>
    <n v="10000"/>
    <n v="7044"/>
    <n v="0"/>
    <n v="0"/>
    <n v="7044"/>
    <n v="22"/>
    <n v="0"/>
    <n v="22"/>
    <n v="0"/>
    <n v="1"/>
    <n v="0.70440000000000003"/>
    <n v="1"/>
    <n v="0.70440000000000003"/>
    <m/>
  </r>
  <r>
    <x v="58"/>
    <x v="0"/>
    <x v="1"/>
    <x v="1"/>
    <m/>
    <m/>
    <m/>
    <s v=""/>
    <n v="0"/>
    <n v="22"/>
    <n v="22"/>
    <n v="0"/>
    <n v="0"/>
    <n v="0"/>
    <s v=""/>
    <s v=""/>
    <s v=""/>
    <s v="Production stopped due to master overhauling of Brückner Stenter M/c."/>
  </r>
  <r>
    <x v="58"/>
    <x v="0"/>
    <x v="1"/>
    <x v="2"/>
    <m/>
    <m/>
    <m/>
    <s v=""/>
    <n v="0"/>
    <m/>
    <m/>
    <s v=""/>
    <s v=""/>
    <s v=""/>
    <s v=""/>
    <s v=""/>
    <s v=""/>
    <m/>
  </r>
  <r>
    <x v="58"/>
    <x v="0"/>
    <x v="2"/>
    <x v="2"/>
    <n v="7000"/>
    <n v="7619"/>
    <n v="0"/>
    <n v="0"/>
    <n v="7619"/>
    <n v="22"/>
    <n v="0"/>
    <n v="22"/>
    <n v="0"/>
    <n v="1"/>
    <n v="1.0884285714285715"/>
    <n v="1"/>
    <n v="1.0884285714285715"/>
    <m/>
  </r>
  <r>
    <x v="58"/>
    <x v="0"/>
    <x v="3"/>
    <x v="3"/>
    <n v="7800"/>
    <n v="2672"/>
    <n v="0"/>
    <n v="0"/>
    <n v="2672"/>
    <n v="22"/>
    <n v="0"/>
    <n v="22"/>
    <n v="0"/>
    <n v="1"/>
    <n v="0.34256410256410258"/>
    <n v="1"/>
    <n v="0.34256410256410258"/>
    <s v="Production low due to heatset fabric shortage during Brückner Stenter M/c master overhauling."/>
  </r>
  <r>
    <x v="58"/>
    <x v="0"/>
    <x v="10"/>
    <x v="3"/>
    <m/>
    <n v="0"/>
    <m/>
    <s v=""/>
    <n v="0"/>
    <m/>
    <m/>
    <s v=""/>
    <s v=""/>
    <s v=""/>
    <s v=""/>
    <s v=""/>
    <s v=""/>
    <s v="On standby"/>
  </r>
  <r>
    <x v="58"/>
    <x v="0"/>
    <x v="4"/>
    <x v="4"/>
    <n v="9000"/>
    <n v="6284"/>
    <n v="0"/>
    <n v="0"/>
    <n v="6284"/>
    <n v="22"/>
    <n v="2"/>
    <n v="20"/>
    <n v="818.18181818181813"/>
    <n v="0.90909090909090906"/>
    <n v="0.69822222222222219"/>
    <n v="1"/>
    <n v="0.63474747474747473"/>
    <s v="2hr downtime &amp; production low due to insufficient fabric."/>
  </r>
  <r>
    <x v="58"/>
    <x v="0"/>
    <x v="5"/>
    <x v="4"/>
    <n v="0"/>
    <n v="0"/>
    <m/>
    <s v=""/>
    <n v="0"/>
    <m/>
    <m/>
    <s v=""/>
    <s v=""/>
    <s v=""/>
    <s v=""/>
    <s v=""/>
    <s v=""/>
    <s v="On standby"/>
  </r>
  <r>
    <x v="58"/>
    <x v="1"/>
    <x v="6"/>
    <x v="5"/>
    <n v="9000"/>
    <n v="7313"/>
    <n v="0"/>
    <n v="0"/>
    <n v="7313"/>
    <n v="22"/>
    <n v="0"/>
    <n v="22"/>
    <n v="0"/>
    <n v="1"/>
    <n v="0.81255555555555559"/>
    <n v="1"/>
    <n v="0.81255555555555559"/>
    <s v="Output below target: Insufficient tube fabric availability."/>
  </r>
  <r>
    <x v="58"/>
    <x v="1"/>
    <x v="7"/>
    <x v="6"/>
    <n v="8000"/>
    <n v="7123"/>
    <n v="0"/>
    <n v="0"/>
    <n v="7123"/>
    <n v="22"/>
    <n v="1"/>
    <n v="21"/>
    <n v="363.63636363636363"/>
    <n v="0.95454545454545459"/>
    <n v="0.89037500000000003"/>
    <n v="1"/>
    <n v="0.84990340909090911"/>
    <s v="Output below target: Insufficient tube fabric availability &amp; 1 hr M/C maintenance (Net Cleaning) downtime."/>
  </r>
  <r>
    <x v="58"/>
    <x v="1"/>
    <x v="8"/>
    <x v="4"/>
    <n v="6000"/>
    <n v="2638"/>
    <n v="0"/>
    <n v="0"/>
    <n v="2638"/>
    <n v="22"/>
    <n v="0"/>
    <n v="22"/>
    <n v="0"/>
    <n v="1"/>
    <n v="0.43966666666666665"/>
    <n v="1"/>
    <n v="0.43966666666666665"/>
    <s v="Output below target: Insufficient tube-finish fabric availability."/>
  </r>
  <r>
    <x v="58"/>
    <x v="1"/>
    <x v="9"/>
    <x v="4"/>
    <n v="5000"/>
    <n v="3973"/>
    <n v="0"/>
    <n v="0"/>
    <n v="3973"/>
    <n v="22"/>
    <n v="0"/>
    <n v="22"/>
    <n v="0"/>
    <n v="1"/>
    <n v="0.79459999999999997"/>
    <n v="1"/>
    <n v="0.79459999999999997"/>
    <s v="Output below target: Insufficient tube fabric availability "/>
  </r>
  <r>
    <x v="59"/>
    <x v="0"/>
    <x v="0"/>
    <x v="0"/>
    <n v="10000"/>
    <n v="7175"/>
    <n v="0"/>
    <n v="0"/>
    <n v="7175"/>
    <n v="22"/>
    <n v="0"/>
    <n v="22"/>
    <n v="0"/>
    <n v="1"/>
    <n v="0.71750000000000003"/>
    <n v="1"/>
    <n v="0.71750000000000003"/>
    <m/>
  </r>
  <r>
    <x v="59"/>
    <x v="0"/>
    <x v="1"/>
    <x v="1"/>
    <m/>
    <m/>
    <m/>
    <s v=""/>
    <n v="0"/>
    <n v="22"/>
    <n v="22"/>
    <n v="0"/>
    <n v="0"/>
    <n v="0"/>
    <s v=""/>
    <s v=""/>
    <s v=""/>
    <s v="Production stopped due to master overhauling of Brückner Stenter M/c."/>
  </r>
  <r>
    <x v="59"/>
    <x v="0"/>
    <x v="1"/>
    <x v="2"/>
    <m/>
    <m/>
    <m/>
    <s v=""/>
    <n v="0"/>
    <m/>
    <n v="0"/>
    <s v=""/>
    <s v=""/>
    <s v=""/>
    <s v=""/>
    <s v=""/>
    <s v=""/>
    <m/>
  </r>
  <r>
    <x v="59"/>
    <x v="0"/>
    <x v="2"/>
    <x v="2"/>
    <n v="7000"/>
    <n v="7907"/>
    <n v="0"/>
    <n v="0"/>
    <n v="7907"/>
    <n v="22"/>
    <n v="0"/>
    <n v="22"/>
    <n v="0"/>
    <n v="1"/>
    <n v="1.1295714285714287"/>
    <n v="1"/>
    <n v="1.1295714285714287"/>
    <m/>
  </r>
  <r>
    <x v="59"/>
    <x v="0"/>
    <x v="3"/>
    <x v="3"/>
    <n v="7800"/>
    <n v="2146"/>
    <n v="0"/>
    <n v="0"/>
    <n v="2146"/>
    <n v="22"/>
    <n v="0"/>
    <n v="22"/>
    <n v="0"/>
    <n v="1"/>
    <n v="0.27512820512820513"/>
    <n v="1"/>
    <n v="0.27512820512820513"/>
    <s v="Production low due to heatset fabric shortage during Brückner Stenter M/c master overhauling."/>
  </r>
  <r>
    <x v="59"/>
    <x v="0"/>
    <x v="10"/>
    <x v="3"/>
    <m/>
    <m/>
    <m/>
    <s v=""/>
    <n v="0"/>
    <m/>
    <n v="0"/>
    <s v=""/>
    <s v=""/>
    <s v=""/>
    <s v=""/>
    <s v=""/>
    <s v=""/>
    <s v="On standby"/>
  </r>
  <r>
    <x v="59"/>
    <x v="0"/>
    <x v="4"/>
    <x v="4"/>
    <n v="9000"/>
    <n v="4804"/>
    <n v="0"/>
    <n v="0"/>
    <n v="4804"/>
    <n v="22"/>
    <n v="6"/>
    <n v="16"/>
    <n v="2454.5454545454545"/>
    <n v="0.72727272727272729"/>
    <n v="0.5337777777777778"/>
    <n v="1"/>
    <n v="0.38820202020202021"/>
    <s v="6hr downtime &amp; production low due to insufficient fabric."/>
  </r>
  <r>
    <x v="59"/>
    <x v="0"/>
    <x v="5"/>
    <x v="4"/>
    <n v="0"/>
    <m/>
    <m/>
    <s v=""/>
    <n v="0"/>
    <m/>
    <n v="0"/>
    <s v=""/>
    <s v=""/>
    <s v=""/>
    <s v=""/>
    <s v=""/>
    <s v=""/>
    <s v="On standby"/>
  </r>
  <r>
    <x v="59"/>
    <x v="1"/>
    <x v="6"/>
    <x v="5"/>
    <n v="9000"/>
    <n v="7831"/>
    <n v="0"/>
    <n v="0"/>
    <n v="7831"/>
    <n v="22"/>
    <n v="0"/>
    <n v="22"/>
    <n v="0"/>
    <n v="1"/>
    <n v="0.87011111111111106"/>
    <n v="1"/>
    <n v="0.87011111111111106"/>
    <s v="Output below target: Insufficient tube fabric availability."/>
  </r>
  <r>
    <x v="59"/>
    <x v="1"/>
    <x v="7"/>
    <x v="6"/>
    <n v="8000"/>
    <n v="7470"/>
    <n v="0"/>
    <n v="0"/>
    <n v="7470"/>
    <n v="22"/>
    <n v="1"/>
    <n v="21"/>
    <n v="363.63636363636363"/>
    <n v="0.95454545454545459"/>
    <n v="0.93374999999999997"/>
    <n v="1"/>
    <n v="0.89130681818181823"/>
    <s v="Output below target: 1 hr M/C maintenance (Net Cleaning) downtime."/>
  </r>
  <r>
    <x v="59"/>
    <x v="1"/>
    <x v="8"/>
    <x v="4"/>
    <n v="6000"/>
    <n v="3152"/>
    <n v="0"/>
    <n v="0"/>
    <n v="3152"/>
    <n v="22"/>
    <n v="0"/>
    <n v="22"/>
    <n v="0"/>
    <n v="1"/>
    <n v="0.52533333333333332"/>
    <n v="1"/>
    <n v="0.52533333333333332"/>
    <s v="Output below target: Insufficient tube-finish fabric availability."/>
  </r>
  <r>
    <x v="59"/>
    <x v="1"/>
    <x v="9"/>
    <x v="4"/>
    <n v="5000"/>
    <n v="3115"/>
    <n v="0"/>
    <n v="0"/>
    <n v="3115"/>
    <n v="22"/>
    <n v="6"/>
    <n v="16"/>
    <n v="1363.6363636363637"/>
    <n v="0.72727272727272729"/>
    <n v="0.623"/>
    <n v="1"/>
    <n v="0.4530909090909091"/>
    <s v="Output below target: 6hr downtime &amp; production low due to insufficient fabric."/>
  </r>
  <r>
    <x v="60"/>
    <x v="0"/>
    <x v="0"/>
    <x v="0"/>
    <n v="10000"/>
    <n v="1665"/>
    <n v="0"/>
    <n v="0"/>
    <n v="1665"/>
    <n v="8"/>
    <m/>
    <n v="8"/>
    <n v="0"/>
    <n v="1"/>
    <n v="0.16650000000000001"/>
    <n v="1"/>
    <n v="0.16650000000000001"/>
    <m/>
  </r>
  <r>
    <x v="60"/>
    <x v="0"/>
    <x v="1"/>
    <x v="1"/>
    <m/>
    <m/>
    <m/>
    <s v=""/>
    <n v="0"/>
    <m/>
    <m/>
    <s v=""/>
    <s v=""/>
    <s v=""/>
    <s v=""/>
    <s v=""/>
    <s v=""/>
    <m/>
  </r>
  <r>
    <x v="60"/>
    <x v="0"/>
    <x v="1"/>
    <x v="2"/>
    <m/>
    <m/>
    <m/>
    <s v=""/>
    <n v="0"/>
    <m/>
    <m/>
    <s v=""/>
    <s v=""/>
    <s v=""/>
    <s v=""/>
    <s v=""/>
    <s v=""/>
    <m/>
  </r>
  <r>
    <x v="60"/>
    <x v="0"/>
    <x v="2"/>
    <x v="2"/>
    <n v="7000"/>
    <n v="2214"/>
    <n v="0"/>
    <n v="0"/>
    <n v="2214"/>
    <n v="8"/>
    <n v="0"/>
    <n v="8"/>
    <n v="0"/>
    <n v="1"/>
    <n v="0.31628571428571428"/>
    <n v="1"/>
    <n v="0.31628571428571428"/>
    <m/>
  </r>
  <r>
    <x v="60"/>
    <x v="0"/>
    <x v="3"/>
    <x v="3"/>
    <m/>
    <m/>
    <m/>
    <s v=""/>
    <n v="0"/>
    <m/>
    <m/>
    <s v=""/>
    <s v=""/>
    <s v=""/>
    <s v=""/>
    <s v=""/>
    <s v=""/>
    <m/>
  </r>
  <r>
    <x v="60"/>
    <x v="0"/>
    <x v="10"/>
    <x v="3"/>
    <m/>
    <m/>
    <m/>
    <s v=""/>
    <n v="0"/>
    <m/>
    <m/>
    <s v=""/>
    <s v=""/>
    <s v=""/>
    <s v=""/>
    <s v=""/>
    <s v=""/>
    <s v="On standby"/>
  </r>
  <r>
    <x v="60"/>
    <x v="0"/>
    <x v="4"/>
    <x v="4"/>
    <m/>
    <m/>
    <m/>
    <s v=""/>
    <n v="0"/>
    <m/>
    <m/>
    <s v=""/>
    <s v=""/>
    <s v=""/>
    <s v=""/>
    <s v=""/>
    <s v=""/>
    <m/>
  </r>
  <r>
    <x v="60"/>
    <x v="0"/>
    <x v="5"/>
    <x v="4"/>
    <n v="0"/>
    <m/>
    <m/>
    <s v=""/>
    <n v="0"/>
    <m/>
    <m/>
    <s v=""/>
    <s v=""/>
    <s v=""/>
    <s v=""/>
    <s v=""/>
    <s v=""/>
    <s v="On standby"/>
  </r>
  <r>
    <x v="60"/>
    <x v="1"/>
    <x v="6"/>
    <x v="5"/>
    <n v="9000"/>
    <n v="1364"/>
    <n v="0"/>
    <n v="0"/>
    <n v="1364"/>
    <n v="8"/>
    <n v="0"/>
    <n v="8"/>
    <n v="0"/>
    <n v="1"/>
    <n v="0.15155555555555555"/>
    <n v="1"/>
    <n v="0.15155555555555555"/>
    <m/>
  </r>
  <r>
    <x v="60"/>
    <x v="1"/>
    <x v="7"/>
    <x v="6"/>
    <n v="8000"/>
    <n v="2397"/>
    <n v="0"/>
    <n v="0"/>
    <n v="2397"/>
    <n v="8"/>
    <n v="0"/>
    <n v="8"/>
    <n v="0"/>
    <n v="1"/>
    <n v="0.29962499999999997"/>
    <n v="1"/>
    <n v="0.29962499999999997"/>
    <m/>
  </r>
  <r>
    <x v="60"/>
    <x v="1"/>
    <x v="8"/>
    <x v="4"/>
    <m/>
    <m/>
    <m/>
    <s v=""/>
    <n v="0"/>
    <m/>
    <m/>
    <s v=""/>
    <s v=""/>
    <s v=""/>
    <s v=""/>
    <s v=""/>
    <s v=""/>
    <m/>
  </r>
  <r>
    <x v="60"/>
    <x v="1"/>
    <x v="9"/>
    <x v="4"/>
    <m/>
    <m/>
    <m/>
    <s v=""/>
    <n v="0"/>
    <m/>
    <m/>
    <s v=""/>
    <s v=""/>
    <s v=""/>
    <s v=""/>
    <s v=""/>
    <s v=""/>
    <m/>
  </r>
  <r>
    <x v="61"/>
    <x v="0"/>
    <x v="0"/>
    <x v="0"/>
    <n v="10000"/>
    <n v="7710"/>
    <n v="0"/>
    <n v="0"/>
    <n v="7710"/>
    <n v="22"/>
    <n v="2"/>
    <n v="20"/>
    <n v="909.09090909090912"/>
    <n v="0.90909090909090906"/>
    <n v="0.77100000000000002"/>
    <n v="1"/>
    <n v="0.70090909090909093"/>
    <s v="2 hrs downtime due to A Shift closure at 5 PM"/>
  </r>
  <r>
    <x v="61"/>
    <x v="0"/>
    <x v="1"/>
    <x v="1"/>
    <n v="5000"/>
    <n v="5907"/>
    <m/>
    <n v="0"/>
    <n v="5907"/>
    <n v="22"/>
    <m/>
    <n v="22"/>
    <n v="0"/>
    <n v="1"/>
    <n v="1.1814"/>
    <n v="1"/>
    <n v="1.1814"/>
    <m/>
  </r>
  <r>
    <x v="61"/>
    <x v="0"/>
    <x v="1"/>
    <x v="2"/>
    <n v="4000"/>
    <m/>
    <n v="0"/>
    <s v=""/>
    <n v="0"/>
    <n v="0"/>
    <m/>
    <n v="0"/>
    <s v=""/>
    <s v=""/>
    <n v="0"/>
    <s v=""/>
    <s v=""/>
    <m/>
  </r>
  <r>
    <x v="61"/>
    <x v="0"/>
    <x v="2"/>
    <x v="2"/>
    <n v="7000"/>
    <n v="7074"/>
    <n v="0"/>
    <n v="0"/>
    <n v="7074"/>
    <n v="22"/>
    <n v="2"/>
    <n v="20"/>
    <n v="636.36363636363637"/>
    <n v="0.90909090909090906"/>
    <n v="1.0105714285714287"/>
    <n v="1"/>
    <n v="0.9187012987012988"/>
    <s v="1.5 hrs (maintenance &amp; fabric not ready) &amp; 30 min (uncoller roller belt breakage)."/>
  </r>
  <r>
    <x v="61"/>
    <x v="0"/>
    <x v="3"/>
    <x v="3"/>
    <n v="7800"/>
    <n v="6081"/>
    <n v="0"/>
    <n v="0"/>
    <n v="6081"/>
    <n v="22"/>
    <m/>
    <n v="22"/>
    <n v="0"/>
    <n v="1"/>
    <n v="0.7796153846153846"/>
    <n v="1"/>
    <n v="0.7796153846153846"/>
    <m/>
  </r>
  <r>
    <x v="61"/>
    <x v="0"/>
    <x v="10"/>
    <x v="3"/>
    <m/>
    <m/>
    <m/>
    <s v=""/>
    <n v="0"/>
    <m/>
    <m/>
    <s v=""/>
    <s v=""/>
    <s v=""/>
    <s v=""/>
    <s v=""/>
    <s v=""/>
    <s v="On standby"/>
  </r>
  <r>
    <x v="61"/>
    <x v="0"/>
    <x v="4"/>
    <x v="4"/>
    <n v="9000"/>
    <n v="6358"/>
    <n v="0"/>
    <n v="0"/>
    <n v="6358"/>
    <n v="22"/>
    <n v="2"/>
    <n v="20"/>
    <n v="818.18181818181813"/>
    <n v="0.90909090909090906"/>
    <n v="0.70644444444444443"/>
    <n v="1"/>
    <n v="0.64222222222222214"/>
    <s v="2 hrs; fabric shade stop &amp; next fabric not ready."/>
  </r>
  <r>
    <x v="61"/>
    <x v="0"/>
    <x v="5"/>
    <x v="4"/>
    <n v="0"/>
    <m/>
    <m/>
    <s v=""/>
    <n v="0"/>
    <m/>
    <m/>
    <s v=""/>
    <s v=""/>
    <s v=""/>
    <s v=""/>
    <s v=""/>
    <s v=""/>
    <s v="On standby"/>
  </r>
  <r>
    <x v="61"/>
    <x v="1"/>
    <x v="6"/>
    <x v="5"/>
    <n v="9000"/>
    <n v="7610"/>
    <n v="0"/>
    <n v="0"/>
    <n v="7610"/>
    <n v="22"/>
    <m/>
    <n v="22"/>
    <n v="0"/>
    <n v="1"/>
    <n v="0.8455555555555555"/>
    <n v="1"/>
    <n v="0.8455555555555555"/>
    <s v="Output below target: Insufficient tube fabric availability."/>
  </r>
  <r>
    <x v="61"/>
    <x v="1"/>
    <x v="7"/>
    <x v="6"/>
    <n v="8000"/>
    <n v="8192"/>
    <n v="0"/>
    <n v="0"/>
    <n v="8192"/>
    <n v="22"/>
    <m/>
    <n v="22"/>
    <n v="0"/>
    <n v="1"/>
    <n v="1.024"/>
    <n v="1"/>
    <n v="1.024"/>
    <m/>
  </r>
  <r>
    <x v="61"/>
    <x v="1"/>
    <x v="8"/>
    <x v="4"/>
    <n v="6000"/>
    <n v="3884"/>
    <n v="0"/>
    <n v="0"/>
    <n v="3884"/>
    <n v="22"/>
    <m/>
    <n v="22"/>
    <n v="0"/>
    <n v="1"/>
    <n v="0.64733333333333332"/>
    <n v="1"/>
    <n v="0.64733333333333332"/>
    <s v="Output below target: Insufficient tube fabric availability."/>
  </r>
  <r>
    <x v="61"/>
    <x v="1"/>
    <x v="9"/>
    <x v="4"/>
    <n v="5000"/>
    <n v="4840"/>
    <n v="0"/>
    <n v="0"/>
    <n v="4840"/>
    <n v="22"/>
    <m/>
    <n v="22"/>
    <n v="0"/>
    <n v="1"/>
    <n v="0.96799999999999997"/>
    <n v="1"/>
    <n v="0.96799999999999997"/>
    <m/>
  </r>
  <r>
    <x v="62"/>
    <x v="0"/>
    <x v="0"/>
    <x v="0"/>
    <n v="10000"/>
    <n v="7471"/>
    <n v="0"/>
    <n v="0"/>
    <n v="7471"/>
    <n v="22"/>
    <n v="2"/>
    <n v="20"/>
    <n v="909.09090909090912"/>
    <n v="0.90909090909090906"/>
    <n v="0.74709999999999999"/>
    <n v="1"/>
    <n v="0.67918181818181811"/>
    <s v="B Shift closed at 6:00 AM due to fabric shortage."/>
  </r>
  <r>
    <x v="62"/>
    <x v="0"/>
    <x v="1"/>
    <x v="1"/>
    <n v="5000"/>
    <n v="4000"/>
    <n v="0"/>
    <n v="0"/>
    <n v="4000"/>
    <n v="22"/>
    <n v="1"/>
    <n v="21"/>
    <n v="227.27272727272728"/>
    <n v="0.95454545454545459"/>
    <n v="0.8"/>
    <n v="1"/>
    <n v="0.76363636363636367"/>
    <s v="1 hr production loss due to fabric not ready."/>
  </r>
  <r>
    <x v="62"/>
    <x v="0"/>
    <x v="1"/>
    <x v="2"/>
    <n v="4000"/>
    <n v="3236"/>
    <n v="0"/>
    <n v="0"/>
    <n v="3236"/>
    <m/>
    <m/>
    <s v=""/>
    <s v=""/>
    <s v=""/>
    <n v="0.80900000000000005"/>
    <n v="1"/>
    <s v=""/>
    <m/>
  </r>
  <r>
    <x v="62"/>
    <x v="0"/>
    <x v="2"/>
    <x v="2"/>
    <n v="7000"/>
    <n v="6467"/>
    <n v="0"/>
    <n v="0"/>
    <n v="6467"/>
    <n v="22"/>
    <n v="2"/>
    <n v="20"/>
    <n v="636.36363636363637"/>
    <n v="0.90909090909090906"/>
    <n v="0.92385714285714282"/>
    <n v="1"/>
    <n v="0.83987012987012977"/>
    <s v="B Shift closed at 6:00 PM due to fabric shortage."/>
  </r>
  <r>
    <x v="62"/>
    <x v="0"/>
    <x v="3"/>
    <x v="3"/>
    <n v="7800"/>
    <n v="5828"/>
    <n v="0"/>
    <n v="0"/>
    <n v="5828"/>
    <n v="22"/>
    <m/>
    <n v="22"/>
    <n v="0"/>
    <n v="1"/>
    <n v="0.74717948717948723"/>
    <n v="1"/>
    <n v="0.74717948717948723"/>
    <m/>
  </r>
  <r>
    <x v="62"/>
    <x v="0"/>
    <x v="10"/>
    <x v="3"/>
    <m/>
    <m/>
    <m/>
    <s v=""/>
    <n v="0"/>
    <m/>
    <m/>
    <s v=""/>
    <s v=""/>
    <s v=""/>
    <s v=""/>
    <s v=""/>
    <s v=""/>
    <s v="On standby"/>
  </r>
  <r>
    <x v="62"/>
    <x v="0"/>
    <x v="4"/>
    <x v="4"/>
    <n v="9000"/>
    <n v="6502"/>
    <n v="0"/>
    <n v="0"/>
    <n v="6502"/>
    <n v="22"/>
    <m/>
    <n v="22"/>
    <n v="0"/>
    <n v="1"/>
    <n v="0.72244444444444444"/>
    <n v="1"/>
    <n v="0.72244444444444444"/>
    <m/>
  </r>
  <r>
    <x v="62"/>
    <x v="0"/>
    <x v="5"/>
    <x v="4"/>
    <n v="0"/>
    <m/>
    <m/>
    <s v=""/>
    <n v="0"/>
    <m/>
    <m/>
    <s v=""/>
    <s v=""/>
    <s v=""/>
    <s v=""/>
    <s v=""/>
    <s v=""/>
    <s v="On standby"/>
  </r>
  <r>
    <x v="62"/>
    <x v="1"/>
    <x v="6"/>
    <x v="5"/>
    <n v="9000"/>
    <n v="6530"/>
    <n v="0"/>
    <n v="0"/>
    <n v="6530"/>
    <n v="22"/>
    <n v="3"/>
    <n v="19"/>
    <n v="1227.2727272727273"/>
    <n v="0.86363636363636365"/>
    <n v="0.72555555555555551"/>
    <n v="1"/>
    <n v="0.62661616161616163"/>
    <s v="M/C started at 11:00 AM due to heavy squeezer load."/>
  </r>
  <r>
    <x v="62"/>
    <x v="1"/>
    <x v="7"/>
    <x v="6"/>
    <n v="8000"/>
    <n v="6627"/>
    <n v="0"/>
    <n v="0"/>
    <n v="6627"/>
    <n v="22"/>
    <n v="1"/>
    <n v="21"/>
    <n v="363.63636363636363"/>
    <n v="0.95454545454545459"/>
    <n v="0.82837499999999997"/>
    <n v="1"/>
    <n v="0.79072159090909089"/>
    <s v="1 hr M/C maintenance (Net Cleaning) downtime."/>
  </r>
  <r>
    <x v="62"/>
    <x v="1"/>
    <x v="8"/>
    <x v="4"/>
    <n v="6000"/>
    <n v="3192"/>
    <n v="0"/>
    <n v="0"/>
    <n v="3192"/>
    <n v="22"/>
    <m/>
    <n v="22"/>
    <n v="0"/>
    <n v="1"/>
    <n v="0.53200000000000003"/>
    <n v="1"/>
    <n v="0.53200000000000003"/>
    <s v="Production loss due to Insufficient tube fabric availability."/>
  </r>
  <r>
    <x v="62"/>
    <x v="1"/>
    <x v="9"/>
    <x v="4"/>
    <n v="5000"/>
    <n v="3281"/>
    <n v="0"/>
    <n v="0"/>
    <n v="3281"/>
    <n v="22"/>
    <m/>
    <n v="22"/>
    <n v="0"/>
    <n v="1"/>
    <n v="0.65620000000000001"/>
    <n v="1"/>
    <n v="0.65620000000000001"/>
    <s v="Production loss due to Insufficient tube fabric availability."/>
  </r>
  <r>
    <x v="63"/>
    <x v="0"/>
    <x v="0"/>
    <x v="0"/>
    <n v="10000"/>
    <n v="8357"/>
    <n v="0"/>
    <n v="0"/>
    <n v="8357"/>
    <n v="22"/>
    <n v="2"/>
    <n v="20"/>
    <n v="909.09090909090912"/>
    <n v="0.90909090909090906"/>
    <n v="0.8357"/>
    <n v="1"/>
    <n v="0.7597272727272727"/>
    <s v="2 hours downtime due to insufficient finished fabric"/>
  </r>
  <r>
    <x v="63"/>
    <x v="0"/>
    <x v="1"/>
    <x v="1"/>
    <n v="5000"/>
    <n v="4263"/>
    <n v="0"/>
    <n v="0"/>
    <n v="4263"/>
    <n v="22"/>
    <n v="1"/>
    <n v="21"/>
    <n v="227.27272727272728"/>
    <n v="0.95454545454545459"/>
    <n v="0.85260000000000002"/>
    <n v="1"/>
    <n v="0.81384545454545465"/>
    <s v="1 hr M/C maintenance downtime."/>
  </r>
  <r>
    <x v="63"/>
    <x v="0"/>
    <x v="1"/>
    <x v="2"/>
    <n v="4000"/>
    <n v="3683"/>
    <n v="0"/>
    <n v="0"/>
    <n v="3683"/>
    <m/>
    <m/>
    <s v=""/>
    <s v=""/>
    <s v=""/>
    <n v="0.92074999999999996"/>
    <n v="1"/>
    <s v=""/>
    <m/>
  </r>
  <r>
    <x v="63"/>
    <x v="0"/>
    <x v="2"/>
    <x v="2"/>
    <n v="7000"/>
    <n v="6786"/>
    <n v="0"/>
    <n v="0"/>
    <n v="6786"/>
    <n v="22"/>
    <n v="2"/>
    <n v="20"/>
    <n v="636.36363636363637"/>
    <n v="0.90909090909090906"/>
    <n v="0.96942857142857142"/>
    <n v="1"/>
    <n v="0.88129870129870125"/>
    <s v="B Shift closed at 6:00 PM due to fabric shortage."/>
  </r>
  <r>
    <x v="63"/>
    <x v="0"/>
    <x v="3"/>
    <x v="3"/>
    <n v="7800"/>
    <n v="5795"/>
    <n v="0"/>
    <n v="0"/>
    <n v="5795"/>
    <n v="22"/>
    <n v="4"/>
    <n v="18"/>
    <n v="1418.1818181818182"/>
    <n v="0.81818181818181823"/>
    <n v="0.74294871794871797"/>
    <n v="1"/>
    <n v="0.6078671328671329"/>
    <s v="4 hr production loss due to fabric not ready."/>
  </r>
  <r>
    <x v="63"/>
    <x v="0"/>
    <x v="10"/>
    <x v="3"/>
    <m/>
    <m/>
    <m/>
    <s v=""/>
    <n v="0"/>
    <m/>
    <m/>
    <s v=""/>
    <s v=""/>
    <s v=""/>
    <s v=""/>
    <s v=""/>
    <s v=""/>
    <s v="On standby"/>
  </r>
  <r>
    <x v="63"/>
    <x v="0"/>
    <x v="4"/>
    <x v="4"/>
    <n v="9000"/>
    <n v="6628"/>
    <n v="0"/>
    <n v="0"/>
    <n v="6628"/>
    <n v="22"/>
    <m/>
    <n v="22"/>
    <n v="0"/>
    <n v="1"/>
    <n v="0.73644444444444446"/>
    <n v="1"/>
    <n v="0.73644444444444446"/>
    <m/>
  </r>
  <r>
    <x v="63"/>
    <x v="0"/>
    <x v="5"/>
    <x v="4"/>
    <n v="0"/>
    <m/>
    <m/>
    <s v=""/>
    <n v="0"/>
    <m/>
    <m/>
    <s v=""/>
    <s v=""/>
    <s v=""/>
    <s v=""/>
    <s v=""/>
    <s v=""/>
    <s v="On standby"/>
  </r>
  <r>
    <x v="63"/>
    <x v="1"/>
    <x v="6"/>
    <x v="5"/>
    <n v="9000"/>
    <n v="5388"/>
    <n v="0"/>
    <n v="0"/>
    <n v="5388"/>
    <n v="22"/>
    <m/>
    <n v="22"/>
    <n v="0"/>
    <n v="1"/>
    <n v="0.59866666666666668"/>
    <n v="1"/>
    <n v="0.59866666666666668"/>
    <s v="Production loss due to Insufficient tube fabric availability."/>
  </r>
  <r>
    <x v="63"/>
    <x v="1"/>
    <x v="7"/>
    <x v="6"/>
    <n v="8000"/>
    <n v="5589"/>
    <n v="0"/>
    <n v="0"/>
    <n v="5589"/>
    <n v="22"/>
    <n v="1"/>
    <n v="21"/>
    <n v="363.63636363636363"/>
    <n v="0.95454545454545459"/>
    <n v="0.69862500000000005"/>
    <n v="1"/>
    <n v="0.66686931818181827"/>
    <s v="1 hr M/C maintenance (Net Cleaning) downtime."/>
  </r>
  <r>
    <x v="63"/>
    <x v="1"/>
    <x v="8"/>
    <x v="4"/>
    <n v="6000"/>
    <n v="2287"/>
    <n v="0"/>
    <n v="0"/>
    <n v="2287"/>
    <n v="22"/>
    <m/>
    <n v="22"/>
    <n v="0"/>
    <n v="1"/>
    <n v="0.38116666666666665"/>
    <n v="1"/>
    <n v="0.38116666666666665"/>
    <s v="Production loss due to Insufficient tube fabric availability."/>
  </r>
  <r>
    <x v="63"/>
    <x v="1"/>
    <x v="9"/>
    <x v="4"/>
    <n v="5000"/>
    <n v="4043"/>
    <n v="0"/>
    <n v="0"/>
    <n v="4043"/>
    <n v="22"/>
    <m/>
    <n v="22"/>
    <n v="0"/>
    <n v="1"/>
    <n v="0.80859999999999999"/>
    <n v="1"/>
    <n v="0.80859999999999999"/>
    <s v="Production loss due to Insufficient tube fabric availability."/>
  </r>
  <r>
    <x v="64"/>
    <x v="0"/>
    <x v="0"/>
    <x v="0"/>
    <n v="10000"/>
    <n v="9931"/>
    <n v="0"/>
    <n v="0"/>
    <n v="9931"/>
    <n v="22"/>
    <m/>
    <n v="22"/>
    <n v="0"/>
    <n v="1"/>
    <n v="0.99309999999999998"/>
    <n v="1"/>
    <n v="0.99309999999999998"/>
    <m/>
  </r>
  <r>
    <x v="64"/>
    <x v="0"/>
    <x v="1"/>
    <x v="1"/>
    <n v="5000"/>
    <n v="4343"/>
    <n v="0"/>
    <n v="0"/>
    <n v="4343"/>
    <n v="22"/>
    <n v="1"/>
    <n v="21"/>
    <n v="227.27272727272728"/>
    <n v="0.95454545454545459"/>
    <n v="0.86860000000000004"/>
    <n v="1"/>
    <n v="0.82911818181818187"/>
    <s v="Prod. loss due to 1 hr M/C downtime from generator trip and blower off in Chamber #3."/>
  </r>
  <r>
    <x v="64"/>
    <x v="0"/>
    <x v="1"/>
    <x v="2"/>
    <n v="4000"/>
    <n v="4358"/>
    <n v="0"/>
    <n v="0"/>
    <n v="4358"/>
    <m/>
    <m/>
    <s v=""/>
    <s v=""/>
    <s v=""/>
    <n v="1.0894999999999999"/>
    <n v="1"/>
    <s v=""/>
    <m/>
  </r>
  <r>
    <x v="64"/>
    <x v="0"/>
    <x v="2"/>
    <x v="2"/>
    <n v="7000"/>
    <n v="6446"/>
    <n v="0"/>
    <n v="0"/>
    <n v="6446"/>
    <n v="22"/>
    <n v="1"/>
    <n v="21"/>
    <n v="318.18181818181819"/>
    <n v="0.95454545454545459"/>
    <n v="0.92085714285714282"/>
    <n v="1"/>
    <n v="0.879"/>
    <s v="M/C off for 1 hr due to uncoiler belt breakage."/>
  </r>
  <r>
    <x v="64"/>
    <x v="0"/>
    <x v="3"/>
    <x v="3"/>
    <n v="7800"/>
    <n v="7318"/>
    <n v="0"/>
    <n v="0"/>
    <n v="7318"/>
    <n v="22"/>
    <m/>
    <n v="22"/>
    <n v="0"/>
    <n v="1"/>
    <n v="0.93820512820512825"/>
    <n v="1"/>
    <n v="0.93820512820512825"/>
    <m/>
  </r>
  <r>
    <x v="64"/>
    <x v="0"/>
    <x v="10"/>
    <x v="3"/>
    <m/>
    <m/>
    <m/>
    <s v=""/>
    <n v="0"/>
    <m/>
    <m/>
    <s v=""/>
    <s v=""/>
    <s v=""/>
    <s v=""/>
    <s v=""/>
    <s v=""/>
    <s v="On standby"/>
  </r>
  <r>
    <x v="64"/>
    <x v="0"/>
    <x v="4"/>
    <x v="4"/>
    <n v="9000"/>
    <n v="8986"/>
    <n v="0"/>
    <n v="0"/>
    <n v="8986"/>
    <n v="22"/>
    <m/>
    <n v="22"/>
    <n v="0"/>
    <n v="1"/>
    <n v="0.99844444444444447"/>
    <n v="1"/>
    <n v="0.99844444444444447"/>
    <m/>
  </r>
  <r>
    <x v="64"/>
    <x v="0"/>
    <x v="5"/>
    <x v="4"/>
    <n v="0"/>
    <m/>
    <m/>
    <s v=""/>
    <n v="0"/>
    <m/>
    <m/>
    <s v=""/>
    <s v=""/>
    <s v=""/>
    <s v=""/>
    <s v=""/>
    <s v=""/>
    <s v="On standby"/>
  </r>
  <r>
    <x v="64"/>
    <x v="1"/>
    <x v="6"/>
    <x v="5"/>
    <n v="9000"/>
    <n v="6870"/>
    <n v="0"/>
    <n v="0"/>
    <n v="6870"/>
    <n v="22"/>
    <m/>
    <n v="22"/>
    <n v="0"/>
    <n v="1"/>
    <n v="0.76333333333333331"/>
    <n v="1"/>
    <n v="0.76333333333333331"/>
    <s v="Production loss due to Insufficient tube fabric availability."/>
  </r>
  <r>
    <x v="64"/>
    <x v="1"/>
    <x v="7"/>
    <x v="6"/>
    <n v="8000"/>
    <n v="6378"/>
    <n v="0"/>
    <n v="0"/>
    <n v="6378"/>
    <n v="22"/>
    <n v="1"/>
    <n v="21"/>
    <n v="363.63636363636363"/>
    <n v="0.95454545454545459"/>
    <n v="0.79725000000000001"/>
    <n v="1"/>
    <n v="0.76101136363636368"/>
    <s v="1 hr M/C maintenance (Net Cleaning) downtime."/>
  </r>
  <r>
    <x v="64"/>
    <x v="1"/>
    <x v="8"/>
    <x v="4"/>
    <n v="6000"/>
    <n v="1759"/>
    <n v="0"/>
    <n v="0"/>
    <n v="1759"/>
    <n v="22"/>
    <m/>
    <n v="22"/>
    <n v="0"/>
    <n v="1"/>
    <n v="0.29316666666666669"/>
    <n v="1"/>
    <n v="0.29316666666666669"/>
    <s v="Production loss due to Insufficient tube fabric availability."/>
  </r>
  <r>
    <x v="64"/>
    <x v="1"/>
    <x v="9"/>
    <x v="4"/>
    <n v="5000"/>
    <n v="3633"/>
    <n v="0"/>
    <n v="0"/>
    <n v="3633"/>
    <n v="22"/>
    <m/>
    <n v="22"/>
    <n v="0"/>
    <n v="1"/>
    <n v="0.72660000000000002"/>
    <n v="1"/>
    <n v="0.72660000000000002"/>
    <s v="Production loss due to Insufficient tube fabric availability."/>
  </r>
  <r>
    <x v="65"/>
    <x v="0"/>
    <x v="0"/>
    <x v="0"/>
    <n v="10000"/>
    <n v="9171"/>
    <n v="0"/>
    <n v="0"/>
    <n v="9171"/>
    <n v="22"/>
    <m/>
    <n v="22"/>
    <n v="0"/>
    <n v="1"/>
    <n v="0.91710000000000003"/>
    <n v="1"/>
    <n v="0.91710000000000003"/>
    <m/>
  </r>
  <r>
    <x v="65"/>
    <x v="0"/>
    <x v="1"/>
    <x v="1"/>
    <n v="5000"/>
    <n v="3019"/>
    <n v="0"/>
    <n v="0"/>
    <n v="3019"/>
    <n v="22"/>
    <n v="1"/>
    <n v="21"/>
    <n v="227.27272727272728"/>
    <n v="0.95454545454545459"/>
    <n v="0.6038"/>
    <n v="1"/>
    <n v="0.57635454545454545"/>
    <s v="Maximum fabric was H/Set.."/>
  </r>
  <r>
    <x v="65"/>
    <x v="0"/>
    <x v="1"/>
    <x v="2"/>
    <n v="4000"/>
    <n v="4717"/>
    <n v="0"/>
    <n v="0"/>
    <n v="4717"/>
    <m/>
    <m/>
    <s v=""/>
    <s v=""/>
    <s v=""/>
    <n v="1.1792499999999999"/>
    <n v="1"/>
    <s v=""/>
    <m/>
  </r>
  <r>
    <x v="65"/>
    <x v="0"/>
    <x v="2"/>
    <x v="2"/>
    <n v="7500"/>
    <n v="7106"/>
    <n v="0"/>
    <n v="0"/>
    <n v="7106"/>
    <n v="22"/>
    <n v="1"/>
    <n v="21"/>
    <n v="340.90909090909093"/>
    <n v="0.95454545454545459"/>
    <n v="0.94746666666666668"/>
    <n v="1"/>
    <n v="0.90440000000000009"/>
    <m/>
  </r>
  <r>
    <x v="65"/>
    <x v="0"/>
    <x v="3"/>
    <x v="3"/>
    <n v="7800"/>
    <n v="4586"/>
    <n v="0"/>
    <n v="0"/>
    <n v="4586"/>
    <n v="22"/>
    <n v="4"/>
    <n v="18"/>
    <n v="1418.1818181818182"/>
    <n v="0.81818181818181823"/>
    <n v="0.58794871794871795"/>
    <n v="1"/>
    <n v="0.48104895104895107"/>
    <s v="4 hr production loss due to H/Set fabric not ready."/>
  </r>
  <r>
    <x v="65"/>
    <x v="0"/>
    <x v="10"/>
    <x v="3"/>
    <m/>
    <m/>
    <m/>
    <s v=""/>
    <n v="0"/>
    <m/>
    <m/>
    <s v=""/>
    <s v=""/>
    <s v=""/>
    <s v=""/>
    <s v=""/>
    <s v=""/>
    <s v="On standby"/>
  </r>
  <r>
    <x v="65"/>
    <x v="0"/>
    <x v="4"/>
    <x v="4"/>
    <n v="9000"/>
    <n v="7478"/>
    <n v="0"/>
    <n v="0"/>
    <n v="7478"/>
    <n v="22"/>
    <m/>
    <n v="22"/>
    <n v="0"/>
    <n v="1"/>
    <n v="0.8308888888888889"/>
    <n v="1"/>
    <n v="0.8308888888888889"/>
    <m/>
  </r>
  <r>
    <x v="65"/>
    <x v="0"/>
    <x v="5"/>
    <x v="4"/>
    <n v="0"/>
    <m/>
    <m/>
    <s v=""/>
    <n v="0"/>
    <m/>
    <m/>
    <s v=""/>
    <s v=""/>
    <s v=""/>
    <s v=""/>
    <s v=""/>
    <s v=""/>
    <s v="On standby"/>
  </r>
  <r>
    <x v="65"/>
    <x v="1"/>
    <x v="6"/>
    <x v="5"/>
    <n v="9000"/>
    <n v="7057"/>
    <n v="0"/>
    <n v="0"/>
    <n v="7057"/>
    <n v="22"/>
    <m/>
    <n v="22"/>
    <n v="0"/>
    <n v="1"/>
    <n v="0.78411111111111109"/>
    <n v="1"/>
    <n v="0.78411111111111109"/>
    <s v="Production loss due to Insufficient tube fabric availability."/>
  </r>
  <r>
    <x v="65"/>
    <x v="1"/>
    <x v="7"/>
    <x v="6"/>
    <n v="8000"/>
    <n v="7433"/>
    <n v="0"/>
    <n v="0"/>
    <n v="7433"/>
    <n v="22"/>
    <n v="1"/>
    <n v="21"/>
    <n v="363.63636363636363"/>
    <n v="0.95454545454545459"/>
    <n v="0.92912499999999998"/>
    <n v="1"/>
    <n v="0.88689204545454547"/>
    <s v="1 hr M/C maintenance (Net Cleaning) downtime."/>
  </r>
  <r>
    <x v="65"/>
    <x v="1"/>
    <x v="8"/>
    <x v="4"/>
    <n v="6000"/>
    <n v="2762"/>
    <n v="0"/>
    <n v="0"/>
    <n v="2762"/>
    <n v="22"/>
    <m/>
    <n v="22"/>
    <n v="0"/>
    <n v="1"/>
    <n v="0.46033333333333332"/>
    <n v="1"/>
    <n v="0.46033333333333332"/>
    <s v="Production loss due to Insufficient tube fabric availability."/>
  </r>
  <r>
    <x v="65"/>
    <x v="1"/>
    <x v="9"/>
    <x v="4"/>
    <n v="5000"/>
    <n v="4407"/>
    <n v="0"/>
    <n v="0"/>
    <n v="4407"/>
    <n v="22"/>
    <m/>
    <n v="22"/>
    <n v="0"/>
    <n v="1"/>
    <n v="0.88139999999999996"/>
    <n v="1"/>
    <n v="0.88139999999999996"/>
    <s v="Production loss due to Insufficient tube fabric availability."/>
  </r>
  <r>
    <x v="66"/>
    <x v="0"/>
    <x v="0"/>
    <x v="0"/>
    <n v="10000"/>
    <n v="10000"/>
    <n v="0"/>
    <n v="0"/>
    <n v="10000"/>
    <n v="22"/>
    <m/>
    <n v="22"/>
    <n v="0"/>
    <n v="1"/>
    <n v="1"/>
    <n v="1"/>
    <n v="1"/>
    <m/>
  </r>
  <r>
    <x v="66"/>
    <x v="0"/>
    <x v="1"/>
    <x v="1"/>
    <n v="5000"/>
    <n v="1741"/>
    <n v="0"/>
    <n v="0"/>
    <n v="1741"/>
    <n v="22"/>
    <n v="1"/>
    <n v="21"/>
    <n v="227.27272727272728"/>
    <n v="0.95454545454545459"/>
    <n v="0.34820000000000001"/>
    <n v="1"/>
    <n v="0.33237272727272732"/>
    <m/>
  </r>
  <r>
    <x v="66"/>
    <x v="0"/>
    <x v="1"/>
    <x v="2"/>
    <n v="4000"/>
    <n v="7207"/>
    <n v="0"/>
    <n v="0"/>
    <n v="7207"/>
    <m/>
    <m/>
    <s v=""/>
    <s v=""/>
    <s v=""/>
    <n v="1.80175"/>
    <n v="1"/>
    <s v=""/>
    <s v="Most of the Fabric was at &quot;To Finish&quot; stage"/>
  </r>
  <r>
    <x v="66"/>
    <x v="0"/>
    <x v="2"/>
    <x v="2"/>
    <n v="7000"/>
    <n v="7446"/>
    <n v="0"/>
    <n v="0"/>
    <n v="7446"/>
    <n v="22"/>
    <n v="1"/>
    <n v="21"/>
    <n v="318.18181818181819"/>
    <n v="0.95454545454545459"/>
    <n v="1.0637142857142856"/>
    <n v="1"/>
    <n v="1.0153636363636362"/>
    <m/>
  </r>
  <r>
    <x v="66"/>
    <x v="0"/>
    <x v="3"/>
    <x v="3"/>
    <n v="7800"/>
    <n v="4808"/>
    <n v="0"/>
    <n v="0"/>
    <n v="4808"/>
    <n v="22"/>
    <m/>
    <n v="22"/>
    <n v="0"/>
    <n v="1"/>
    <n v="0.61641025641025637"/>
    <n v="1"/>
    <n v="0.61641025641025637"/>
    <m/>
  </r>
  <r>
    <x v="66"/>
    <x v="0"/>
    <x v="10"/>
    <x v="3"/>
    <m/>
    <m/>
    <m/>
    <s v=""/>
    <n v="0"/>
    <m/>
    <m/>
    <s v=""/>
    <s v=""/>
    <s v=""/>
    <s v=""/>
    <s v=""/>
    <s v=""/>
    <s v="On standby"/>
  </r>
  <r>
    <x v="66"/>
    <x v="0"/>
    <x v="4"/>
    <x v="4"/>
    <n v="9000"/>
    <n v="8086"/>
    <n v="0"/>
    <n v="0"/>
    <n v="8086"/>
    <n v="22"/>
    <m/>
    <n v="22"/>
    <n v="0"/>
    <n v="1"/>
    <n v="0.89844444444444449"/>
    <n v="1"/>
    <n v="0.89844444444444449"/>
    <m/>
  </r>
  <r>
    <x v="66"/>
    <x v="0"/>
    <x v="5"/>
    <x v="4"/>
    <n v="0"/>
    <m/>
    <m/>
    <s v=""/>
    <n v="0"/>
    <m/>
    <m/>
    <s v=""/>
    <s v=""/>
    <s v=""/>
    <s v=""/>
    <s v=""/>
    <s v=""/>
    <s v="On standby"/>
  </r>
  <r>
    <x v="66"/>
    <x v="1"/>
    <x v="6"/>
    <x v="5"/>
    <n v="9000"/>
    <n v="6399"/>
    <n v="0"/>
    <n v="0"/>
    <n v="6399"/>
    <n v="22"/>
    <m/>
    <n v="22"/>
    <n v="0"/>
    <n v="1"/>
    <n v="0.71099999999999997"/>
    <n v="1"/>
    <n v="0.71099999999999997"/>
    <s v="Production loss due to Insufficient tube fabric availability."/>
  </r>
  <r>
    <x v="66"/>
    <x v="1"/>
    <x v="7"/>
    <x v="6"/>
    <n v="8000"/>
    <n v="6827"/>
    <n v="0"/>
    <n v="0"/>
    <n v="6827"/>
    <n v="22"/>
    <n v="1"/>
    <n v="21"/>
    <n v="363.63636363636363"/>
    <n v="0.95454545454545459"/>
    <n v="0.85337499999999999"/>
    <n v="1"/>
    <n v="0.81458522727272731"/>
    <s v="1 hr M/C maintenance (Net Cleaning) downtime."/>
  </r>
  <r>
    <x v="66"/>
    <x v="1"/>
    <x v="8"/>
    <x v="4"/>
    <n v="6000"/>
    <n v="2587"/>
    <n v="0"/>
    <n v="0"/>
    <n v="2587"/>
    <n v="22"/>
    <m/>
    <n v="22"/>
    <n v="0"/>
    <n v="1"/>
    <n v="0.43116666666666664"/>
    <n v="1"/>
    <n v="0.43116666666666664"/>
    <s v="Production loss due to Insufficient tube fabric availability."/>
  </r>
  <r>
    <x v="66"/>
    <x v="1"/>
    <x v="9"/>
    <x v="4"/>
    <n v="5000"/>
    <n v="3016"/>
    <n v="0"/>
    <n v="0"/>
    <n v="3016"/>
    <n v="22"/>
    <m/>
    <n v="22"/>
    <n v="0"/>
    <n v="1"/>
    <n v="0.60319999999999996"/>
    <n v="1"/>
    <n v="0.60319999999999996"/>
    <s v="Production loss due to Insufficient tube fabric availability."/>
  </r>
  <r>
    <x v="67"/>
    <x v="0"/>
    <x v="0"/>
    <x v="0"/>
    <n v="10000"/>
    <n v="7465"/>
    <n v="0"/>
    <n v="0"/>
    <n v="7465"/>
    <n v="22"/>
    <n v="3"/>
    <n v="19"/>
    <n v="1363.6363636363637"/>
    <n v="0.86363636363636365"/>
    <n v="0.74650000000000005"/>
    <n v="1"/>
    <n v="0.64470454545454547"/>
    <s v="3 hr M/C maintenance &amp; Unloaded    dyeing downtime."/>
  </r>
  <r>
    <x v="67"/>
    <x v="0"/>
    <x v="1"/>
    <x v="1"/>
    <n v="5000"/>
    <n v="4946"/>
    <n v="0"/>
    <n v="0"/>
    <n v="4946"/>
    <n v="22"/>
    <n v="1"/>
    <n v="21"/>
    <n v="227.27272727272728"/>
    <n v="0.95454545454545459"/>
    <n v="0.98919999999999997"/>
    <n v="1"/>
    <n v="0.94423636363636365"/>
    <s v="Maximum fabric was H/Set.&amp; Chamber No-3 was off due to invertor problem."/>
  </r>
  <r>
    <x v="67"/>
    <x v="0"/>
    <x v="1"/>
    <x v="2"/>
    <n v="4000"/>
    <n v="1431"/>
    <n v="0"/>
    <n v="0"/>
    <n v="1431"/>
    <m/>
    <m/>
    <s v=""/>
    <s v=""/>
    <s v=""/>
    <n v="0.35775000000000001"/>
    <n v="1"/>
    <s v=""/>
    <m/>
  </r>
  <r>
    <x v="67"/>
    <x v="0"/>
    <x v="2"/>
    <x v="2"/>
    <n v="7000"/>
    <n v="6204"/>
    <n v="0"/>
    <n v="0"/>
    <n v="6204"/>
    <n v="22"/>
    <n v="2"/>
    <n v="20"/>
    <n v="636.36363636363637"/>
    <n v="0.90909090909090906"/>
    <n v="0.88628571428571423"/>
    <n v="1"/>
    <n v="0.80571428571428561"/>
    <s v="2 hr M/C maintenance  downtime."/>
  </r>
  <r>
    <x v="67"/>
    <x v="0"/>
    <x v="3"/>
    <x v="3"/>
    <n v="7800"/>
    <n v="5986"/>
    <n v="0"/>
    <n v="0"/>
    <n v="5986"/>
    <n v="22"/>
    <n v="2"/>
    <n v="20"/>
    <n v="709.09090909090912"/>
    <n v="0.90909090909090906"/>
    <n v="0.76743589743589746"/>
    <n v="1"/>
    <n v="0.6976689976689977"/>
    <s v="2 hr production loss due to H/Set fabric not ready."/>
  </r>
  <r>
    <x v="67"/>
    <x v="0"/>
    <x v="10"/>
    <x v="3"/>
    <m/>
    <m/>
    <m/>
    <s v=""/>
    <n v="0"/>
    <m/>
    <m/>
    <s v=""/>
    <s v=""/>
    <s v=""/>
    <s v=""/>
    <s v=""/>
    <s v=""/>
    <s v="On standby"/>
  </r>
  <r>
    <x v="67"/>
    <x v="0"/>
    <x v="4"/>
    <x v="4"/>
    <n v="9000"/>
    <n v="6952"/>
    <n v="0"/>
    <n v="0"/>
    <n v="6952"/>
    <n v="22"/>
    <n v="2"/>
    <n v="20"/>
    <n v="818.18181818181813"/>
    <n v="0.90909090909090906"/>
    <n v="0.77244444444444449"/>
    <n v="1"/>
    <n v="0.70222222222222219"/>
    <s v="2 hr production loss due to finish fabric not ready."/>
  </r>
  <r>
    <x v="67"/>
    <x v="0"/>
    <x v="5"/>
    <x v="4"/>
    <n v="0"/>
    <m/>
    <m/>
    <s v=""/>
    <n v="0"/>
    <m/>
    <m/>
    <s v=""/>
    <s v=""/>
    <s v=""/>
    <s v=""/>
    <s v=""/>
    <s v=""/>
    <s v="On standby"/>
  </r>
  <r>
    <x v="67"/>
    <x v="1"/>
    <x v="6"/>
    <x v="5"/>
    <n v="9000"/>
    <n v="6532"/>
    <n v="0"/>
    <n v="0"/>
    <n v="6532"/>
    <n v="22"/>
    <m/>
    <n v="22"/>
    <n v="0"/>
    <n v="1"/>
    <n v="0.72577777777777774"/>
    <n v="1"/>
    <n v="0.72577777777777774"/>
    <s v="Production loss due to Insufficient tube fabric availability."/>
  </r>
  <r>
    <x v="67"/>
    <x v="1"/>
    <x v="7"/>
    <x v="6"/>
    <n v="8000"/>
    <n v="5979"/>
    <n v="0"/>
    <n v="0"/>
    <n v="5979"/>
    <n v="22"/>
    <n v="1"/>
    <n v="21"/>
    <n v="363.63636363636363"/>
    <n v="0.95454545454545459"/>
    <n v="0.74737500000000001"/>
    <n v="1"/>
    <n v="0.71340340909090916"/>
    <s v="1 hr M/C maintenance (Net Cleaning) downtime."/>
  </r>
  <r>
    <x v="67"/>
    <x v="1"/>
    <x v="8"/>
    <x v="4"/>
    <n v="6000"/>
    <n v="3107"/>
    <n v="0"/>
    <n v="0"/>
    <n v="3107"/>
    <n v="22"/>
    <m/>
    <n v="22"/>
    <n v="0"/>
    <n v="1"/>
    <n v="0.51783333333333337"/>
    <n v="1"/>
    <n v="0.51783333333333337"/>
    <s v="Production loss due to Insufficient tube fabric availability."/>
  </r>
  <r>
    <x v="67"/>
    <x v="1"/>
    <x v="9"/>
    <x v="4"/>
    <n v="5000"/>
    <n v="2468"/>
    <n v="0"/>
    <n v="0"/>
    <n v="2468"/>
    <n v="22"/>
    <m/>
    <n v="22"/>
    <n v="0"/>
    <n v="1"/>
    <n v="0.49359999999999998"/>
    <n v="1"/>
    <n v="0.49359999999999998"/>
    <s v="Production loss due to Insufficient tube fabric availability."/>
  </r>
  <r>
    <x v="68"/>
    <x v="0"/>
    <x v="0"/>
    <x v="0"/>
    <n v="10000"/>
    <n v="9450"/>
    <n v="0"/>
    <n v="0"/>
    <n v="9450"/>
    <n v="22"/>
    <m/>
    <n v="22"/>
    <n v="0"/>
    <n v="1"/>
    <n v="0.94499999999999995"/>
    <n v="1"/>
    <n v="0.94499999999999995"/>
    <m/>
  </r>
  <r>
    <x v="68"/>
    <x v="0"/>
    <x v="1"/>
    <x v="1"/>
    <n v="5000"/>
    <n v="3223"/>
    <n v="0"/>
    <n v="0"/>
    <n v="3223"/>
    <n v="22"/>
    <m/>
    <n v="22"/>
    <n v="0"/>
    <n v="1"/>
    <n v="0.64459999999999995"/>
    <n v="1"/>
    <n v="0.64459999999999995"/>
    <m/>
  </r>
  <r>
    <x v="68"/>
    <x v="0"/>
    <x v="1"/>
    <x v="2"/>
    <n v="4000"/>
    <n v="5186"/>
    <n v="0"/>
    <n v="0"/>
    <n v="5186"/>
    <m/>
    <m/>
    <s v=""/>
    <s v=""/>
    <s v=""/>
    <n v="1.2965"/>
    <n v="1"/>
    <s v=""/>
    <m/>
  </r>
  <r>
    <x v="68"/>
    <x v="0"/>
    <x v="2"/>
    <x v="2"/>
    <n v="7000"/>
    <n v="7530"/>
    <n v="0"/>
    <n v="0"/>
    <n v="7530"/>
    <n v="22"/>
    <m/>
    <n v="22"/>
    <n v="0"/>
    <n v="1"/>
    <n v="1.0757142857142856"/>
    <n v="1"/>
    <n v="1.0757142857142856"/>
    <m/>
  </r>
  <r>
    <x v="68"/>
    <x v="0"/>
    <x v="3"/>
    <x v="3"/>
    <n v="7800"/>
    <n v="5260"/>
    <n v="0"/>
    <n v="0"/>
    <n v="5260"/>
    <n v="22"/>
    <n v="5"/>
    <n v="17"/>
    <n v="1772.7272727272727"/>
    <n v="0.77272727272727271"/>
    <n v="0.67435897435897441"/>
    <n v="1"/>
    <n v="0.52109557109557114"/>
    <s v="5 hr production loss due to H/Set fabric not ready."/>
  </r>
  <r>
    <x v="68"/>
    <x v="0"/>
    <x v="10"/>
    <x v="3"/>
    <m/>
    <m/>
    <m/>
    <s v=""/>
    <n v="0"/>
    <m/>
    <m/>
    <s v=""/>
    <s v=""/>
    <s v=""/>
    <s v=""/>
    <s v=""/>
    <s v=""/>
    <s v="On standby"/>
  </r>
  <r>
    <x v="68"/>
    <x v="0"/>
    <x v="4"/>
    <x v="4"/>
    <n v="9000"/>
    <n v="7509"/>
    <n v="0"/>
    <n v="0"/>
    <n v="7509"/>
    <n v="22"/>
    <m/>
    <n v="22"/>
    <n v="0"/>
    <n v="1"/>
    <n v="0.83433333333333337"/>
    <n v="1"/>
    <n v="0.83433333333333337"/>
    <m/>
  </r>
  <r>
    <x v="68"/>
    <x v="0"/>
    <x v="5"/>
    <x v="4"/>
    <n v="0"/>
    <m/>
    <m/>
    <s v=""/>
    <n v="0"/>
    <m/>
    <m/>
    <s v=""/>
    <s v=""/>
    <s v=""/>
    <s v=""/>
    <s v=""/>
    <s v=""/>
    <s v="On standby"/>
  </r>
  <r>
    <x v="68"/>
    <x v="1"/>
    <x v="6"/>
    <x v="5"/>
    <n v="9000"/>
    <n v="5344"/>
    <n v="0"/>
    <n v="0"/>
    <n v="5344"/>
    <n v="22"/>
    <m/>
    <n v="22"/>
    <n v="0"/>
    <n v="1"/>
    <n v="0.59377777777777774"/>
    <n v="1"/>
    <n v="0.59377777777777774"/>
    <s v="Production loss due to Insufficient tube fabric availability."/>
  </r>
  <r>
    <x v="68"/>
    <x v="1"/>
    <x v="7"/>
    <x v="6"/>
    <n v="8000"/>
    <n v="4629"/>
    <n v="0"/>
    <n v="0"/>
    <n v="4629"/>
    <n v="22"/>
    <n v="1"/>
    <n v="21"/>
    <n v="363.63636363636363"/>
    <n v="0.95454545454545459"/>
    <n v="0.57862499999999994"/>
    <n v="1"/>
    <n v="0.55232386363636365"/>
    <s v="1 hr M/C maintenance (Net Cleaning) downtime."/>
  </r>
  <r>
    <x v="68"/>
    <x v="1"/>
    <x v="8"/>
    <x v="4"/>
    <n v="6000"/>
    <n v="1787"/>
    <n v="0"/>
    <n v="0"/>
    <n v="1787"/>
    <n v="22"/>
    <m/>
    <n v="22"/>
    <n v="0"/>
    <n v="1"/>
    <n v="0.29783333333333334"/>
    <n v="1"/>
    <n v="0.29783333333333334"/>
    <s v="Production loss due to Insufficient tube fabric availability."/>
  </r>
  <r>
    <x v="68"/>
    <x v="1"/>
    <x v="9"/>
    <x v="4"/>
    <n v="5000"/>
    <n v="2890"/>
    <n v="0"/>
    <n v="0"/>
    <n v="2890"/>
    <n v="22"/>
    <m/>
    <n v="22"/>
    <n v="0"/>
    <n v="1"/>
    <n v="0.57799999999999996"/>
    <n v="1"/>
    <n v="0.57799999999999996"/>
    <s v="Production loss due to Insufficient tube fabric availability."/>
  </r>
  <r>
    <x v="69"/>
    <x v="0"/>
    <x v="0"/>
    <x v="0"/>
    <n v="10000"/>
    <n v="8642"/>
    <n v="0"/>
    <n v="0"/>
    <n v="8642"/>
    <n v="22"/>
    <m/>
    <n v="22"/>
    <n v="0"/>
    <n v="1"/>
    <n v="0.86419999999999997"/>
    <n v="1"/>
    <n v="0.86419999999999997"/>
    <m/>
  </r>
  <r>
    <x v="69"/>
    <x v="0"/>
    <x v="1"/>
    <x v="1"/>
    <n v="5000"/>
    <n v="3539"/>
    <n v="0"/>
    <n v="0"/>
    <n v="3539"/>
    <n v="22"/>
    <m/>
    <n v="22"/>
    <n v="0"/>
    <n v="1"/>
    <n v="0.70779999999999998"/>
    <n v="1"/>
    <n v="0.70779999999999998"/>
    <s v="Production Loss Due to Chamber No. 6 Off for Inverter Problem."/>
  </r>
  <r>
    <x v="69"/>
    <x v="0"/>
    <x v="1"/>
    <x v="2"/>
    <n v="4000"/>
    <n v="4621"/>
    <n v="0"/>
    <n v="0"/>
    <n v="4621"/>
    <m/>
    <m/>
    <s v=""/>
    <s v=""/>
    <s v=""/>
    <n v="1.1552500000000001"/>
    <n v="1"/>
    <s v=""/>
    <m/>
  </r>
  <r>
    <x v="69"/>
    <x v="0"/>
    <x v="2"/>
    <x v="2"/>
    <n v="7000"/>
    <n v="7436"/>
    <n v="0"/>
    <n v="0"/>
    <n v="7436"/>
    <n v="22"/>
    <m/>
    <n v="22"/>
    <n v="0"/>
    <n v="1"/>
    <n v="1.0622857142857143"/>
    <n v="1"/>
    <n v="1.0622857142857143"/>
    <m/>
  </r>
  <r>
    <x v="69"/>
    <x v="0"/>
    <x v="3"/>
    <x v="3"/>
    <n v="7800"/>
    <n v="5850"/>
    <n v="0"/>
    <n v="0"/>
    <n v="5850"/>
    <n v="22"/>
    <n v="4"/>
    <n v="18"/>
    <n v="1418.1818181818182"/>
    <n v="0.81818181818181823"/>
    <n v="0.75"/>
    <n v="1"/>
    <n v="0.61363636363636365"/>
    <s v="4 hr production loss due to H/Set fabric not ready."/>
  </r>
  <r>
    <x v="69"/>
    <x v="0"/>
    <x v="10"/>
    <x v="3"/>
    <m/>
    <m/>
    <m/>
    <s v=""/>
    <n v="0"/>
    <m/>
    <m/>
    <s v=""/>
    <s v=""/>
    <s v=""/>
    <s v=""/>
    <s v=""/>
    <s v=""/>
    <m/>
  </r>
  <r>
    <x v="69"/>
    <x v="0"/>
    <x v="4"/>
    <x v="4"/>
    <n v="9000"/>
    <n v="7472"/>
    <n v="0"/>
    <n v="0"/>
    <n v="7472"/>
    <n v="22"/>
    <m/>
    <n v="22"/>
    <n v="0"/>
    <n v="1"/>
    <n v="0.83022222222222219"/>
    <n v="1"/>
    <n v="0.83022222222222219"/>
    <m/>
  </r>
  <r>
    <x v="69"/>
    <x v="0"/>
    <x v="5"/>
    <x v="4"/>
    <n v="0"/>
    <m/>
    <m/>
    <s v=""/>
    <n v="0"/>
    <m/>
    <m/>
    <s v=""/>
    <s v=""/>
    <s v=""/>
    <s v=""/>
    <s v=""/>
    <s v=""/>
    <m/>
  </r>
  <r>
    <x v="69"/>
    <x v="1"/>
    <x v="6"/>
    <x v="5"/>
    <n v="9000"/>
    <n v="6125"/>
    <n v="0"/>
    <n v="0"/>
    <n v="6125"/>
    <n v="22"/>
    <m/>
    <n v="22"/>
    <n v="0"/>
    <n v="1"/>
    <n v="0.68055555555555558"/>
    <n v="1"/>
    <n v="0.68055555555555558"/>
    <s v="Production loss due to Insufficient tube fabric availability."/>
  </r>
  <r>
    <x v="69"/>
    <x v="1"/>
    <x v="7"/>
    <x v="6"/>
    <n v="8000"/>
    <n v="6235"/>
    <n v="0"/>
    <n v="0"/>
    <n v="6235"/>
    <n v="22"/>
    <n v="2"/>
    <n v="20"/>
    <n v="727.27272727272725"/>
    <n v="0.90909090909090906"/>
    <n v="0.77937500000000004"/>
    <n v="1"/>
    <n v="0.70852272727272725"/>
    <s v="1 Hr Net Cleaning DT, 1 Hr M/C Off (No Fabric) &amp; Prod. Loss Due to Low Steam."/>
  </r>
  <r>
    <x v="69"/>
    <x v="1"/>
    <x v="8"/>
    <x v="4"/>
    <n v="6000"/>
    <n v="2423"/>
    <n v="0"/>
    <n v="0"/>
    <n v="2423"/>
    <n v="22"/>
    <m/>
    <n v="22"/>
    <n v="0"/>
    <n v="1"/>
    <n v="0.40383333333333332"/>
    <n v="1"/>
    <n v="0.40383333333333332"/>
    <s v="Production loss due to Insufficient tube fabric availability."/>
  </r>
  <r>
    <x v="69"/>
    <x v="1"/>
    <x v="9"/>
    <x v="4"/>
    <n v="5000"/>
    <n v="3291"/>
    <n v="0"/>
    <n v="0"/>
    <n v="3291"/>
    <n v="22"/>
    <m/>
    <n v="22"/>
    <n v="0"/>
    <n v="1"/>
    <n v="0.65820000000000001"/>
    <n v="1"/>
    <n v="0.65820000000000001"/>
    <s v="Production loss due to Insufficient tube fabric availability."/>
  </r>
  <r>
    <x v="70"/>
    <x v="0"/>
    <x v="0"/>
    <x v="0"/>
    <n v="10000"/>
    <n v="8521"/>
    <n v="0"/>
    <n v="0"/>
    <n v="8521"/>
    <n v="22"/>
    <n v="2"/>
    <n v="20"/>
    <n v="909.09090909090912"/>
    <n v="0.90909090909090906"/>
    <n v="0.85209999999999997"/>
    <n v="1"/>
    <n v="0.77463636363636357"/>
    <s v="2 hrs M/C Off – Trolley unavailable &amp; small water tank repair work."/>
  </r>
  <r>
    <x v="70"/>
    <x v="0"/>
    <x v="1"/>
    <x v="1"/>
    <n v="5000"/>
    <n v="4833"/>
    <n v="0"/>
    <n v="0"/>
    <n v="4833"/>
    <n v="22"/>
    <m/>
    <n v="22"/>
    <n v="0"/>
    <n v="1"/>
    <n v="0.96660000000000001"/>
    <n v="1"/>
    <n v="0.96660000000000001"/>
    <s v="Production Loss Due to Chamber No. 6 Off for Inverter Problem."/>
  </r>
  <r>
    <x v="70"/>
    <x v="0"/>
    <x v="1"/>
    <x v="2"/>
    <n v="4000"/>
    <n v="3790"/>
    <n v="0"/>
    <n v="0"/>
    <n v="3790"/>
    <m/>
    <m/>
    <s v=""/>
    <s v=""/>
    <s v=""/>
    <n v="0.94750000000000001"/>
    <n v="1"/>
    <s v=""/>
    <m/>
  </r>
  <r>
    <x v="70"/>
    <x v="0"/>
    <x v="2"/>
    <x v="2"/>
    <n v="7000"/>
    <n v="8246"/>
    <n v="0"/>
    <n v="0"/>
    <n v="8246"/>
    <n v="22"/>
    <m/>
    <n v="22"/>
    <n v="0"/>
    <n v="1"/>
    <n v="1.1779999999999999"/>
    <n v="1"/>
    <n v="1.1779999999999999"/>
    <s v="M/C run at lunch &amp; dinner break due to high open width  fabric load."/>
  </r>
  <r>
    <x v="70"/>
    <x v="0"/>
    <x v="3"/>
    <x v="3"/>
    <n v="7800"/>
    <n v="5537"/>
    <n v="0"/>
    <n v="0"/>
    <n v="5537"/>
    <n v="22"/>
    <n v="4"/>
    <n v="18"/>
    <n v="1418.1818181818182"/>
    <n v="0.81818181818181823"/>
    <n v="0.70987179487179486"/>
    <n v="1"/>
    <n v="0.58080419580419584"/>
    <s v="4 hr production loss due to H/Set fabric not ready."/>
  </r>
  <r>
    <x v="70"/>
    <x v="0"/>
    <x v="10"/>
    <x v="3"/>
    <m/>
    <m/>
    <m/>
    <s v=""/>
    <n v="0"/>
    <m/>
    <m/>
    <s v=""/>
    <s v=""/>
    <s v=""/>
    <s v=""/>
    <s v=""/>
    <s v=""/>
    <m/>
  </r>
  <r>
    <x v="70"/>
    <x v="0"/>
    <x v="4"/>
    <x v="4"/>
    <n v="9000"/>
    <n v="8608"/>
    <n v="0"/>
    <n v="0"/>
    <n v="8608"/>
    <n v="22"/>
    <m/>
    <n v="22"/>
    <n v="0"/>
    <n v="1"/>
    <n v="0.95644444444444443"/>
    <n v="1"/>
    <n v="0.95644444444444443"/>
    <m/>
  </r>
  <r>
    <x v="70"/>
    <x v="0"/>
    <x v="5"/>
    <x v="4"/>
    <n v="0"/>
    <m/>
    <m/>
    <s v=""/>
    <n v="0"/>
    <m/>
    <m/>
    <s v=""/>
    <s v=""/>
    <s v=""/>
    <s v=""/>
    <s v=""/>
    <s v=""/>
    <m/>
  </r>
  <r>
    <x v="70"/>
    <x v="1"/>
    <x v="6"/>
    <x v="5"/>
    <n v="9000"/>
    <n v="5857"/>
    <n v="0"/>
    <n v="0"/>
    <n v="5857"/>
    <n v="22"/>
    <m/>
    <n v="22"/>
    <n v="0"/>
    <n v="1"/>
    <n v="0.65077777777777779"/>
    <n v="1"/>
    <n v="0.65077777777777779"/>
    <s v="Production loss due to Insufficient tube fabric availability."/>
  </r>
  <r>
    <x v="70"/>
    <x v="1"/>
    <x v="7"/>
    <x v="6"/>
    <n v="8000"/>
    <n v="5849"/>
    <n v="0"/>
    <n v="0"/>
    <n v="5849"/>
    <n v="22"/>
    <n v="4"/>
    <n v="18"/>
    <n v="1454.5454545454545"/>
    <n v="0.81818181818181823"/>
    <n v="0.73112500000000002"/>
    <n v="1"/>
    <n v="0.59819318181818193"/>
    <s v="2 Hr Net Cleaning DT, 2 Hr M/C Off (No Fabric) &amp; Prod. Loss Due to Low Steam."/>
  </r>
  <r>
    <x v="70"/>
    <x v="1"/>
    <x v="8"/>
    <x v="4"/>
    <n v="6000"/>
    <n v="1787"/>
    <n v="0"/>
    <n v="0"/>
    <n v="1787"/>
    <n v="22"/>
    <m/>
    <n v="22"/>
    <n v="0"/>
    <n v="1"/>
    <n v="0.29783333333333334"/>
    <n v="1"/>
    <n v="0.29783333333333334"/>
    <s v="Production loss due to Insufficient tube fabric availability."/>
  </r>
  <r>
    <x v="70"/>
    <x v="1"/>
    <x v="9"/>
    <x v="4"/>
    <n v="5000"/>
    <n v="3061"/>
    <n v="0"/>
    <n v="0"/>
    <n v="3061"/>
    <n v="22"/>
    <m/>
    <n v="22"/>
    <n v="0"/>
    <n v="1"/>
    <n v="0.61219999999999997"/>
    <n v="1"/>
    <n v="0.61219999999999997"/>
    <s v="Production loss due to Insufficient tube fabric availability."/>
  </r>
  <r>
    <x v="71"/>
    <x v="0"/>
    <x v="0"/>
    <x v="0"/>
    <n v="10000"/>
    <n v="8240"/>
    <n v="0"/>
    <n v="0"/>
    <n v="8240"/>
    <n v="22"/>
    <m/>
    <n v="22"/>
    <n v="0"/>
    <n v="1"/>
    <n v="0.82399999999999995"/>
    <n v="1"/>
    <n v="0.82399999999999995"/>
    <m/>
  </r>
  <r>
    <x v="71"/>
    <x v="0"/>
    <x v="1"/>
    <x v="1"/>
    <n v="5000"/>
    <n v="5104"/>
    <n v="0"/>
    <n v="0"/>
    <n v="5104"/>
    <n v="22"/>
    <m/>
    <n v="22"/>
    <n v="0"/>
    <n v="1"/>
    <n v="1.0207999999999999"/>
    <n v="1"/>
    <n v="1.0207999999999999"/>
    <s v="Production Loss Due to Chamber No. 6 Off for Inverter Problem."/>
  </r>
  <r>
    <x v="71"/>
    <x v="0"/>
    <x v="1"/>
    <x v="2"/>
    <n v="4000"/>
    <n v="3321"/>
    <n v="0"/>
    <n v="0"/>
    <n v="3321"/>
    <m/>
    <m/>
    <s v=""/>
    <s v=""/>
    <s v=""/>
    <n v="0.83025000000000004"/>
    <n v="1"/>
    <s v=""/>
    <m/>
  </r>
  <r>
    <x v="71"/>
    <x v="0"/>
    <x v="2"/>
    <x v="2"/>
    <n v="7000"/>
    <n v="7284"/>
    <n v="0"/>
    <n v="0"/>
    <n v="7284"/>
    <n v="22"/>
    <m/>
    <n v="22"/>
    <n v="0"/>
    <n v="1"/>
    <n v="1.0405714285714285"/>
    <n v="1"/>
    <n v="1.0405714285714285"/>
    <s v="M/C run at dinner break due to high open width  fabric load."/>
  </r>
  <r>
    <x v="71"/>
    <x v="0"/>
    <x v="3"/>
    <x v="3"/>
    <n v="7800"/>
    <n v="7623"/>
    <n v="0"/>
    <n v="0"/>
    <n v="7623"/>
    <n v="22"/>
    <m/>
    <n v="22"/>
    <n v="0"/>
    <n v="1"/>
    <n v="0.97730769230769232"/>
    <n v="1"/>
    <n v="0.97730769230769232"/>
    <m/>
  </r>
  <r>
    <x v="71"/>
    <x v="0"/>
    <x v="10"/>
    <x v="3"/>
    <m/>
    <m/>
    <m/>
    <s v=""/>
    <n v="0"/>
    <m/>
    <m/>
    <s v=""/>
    <s v=""/>
    <s v=""/>
    <s v=""/>
    <s v=""/>
    <s v=""/>
    <m/>
  </r>
  <r>
    <x v="71"/>
    <x v="0"/>
    <x v="4"/>
    <x v="4"/>
    <n v="9000"/>
    <n v="8352"/>
    <n v="0"/>
    <n v="0"/>
    <n v="8352"/>
    <n v="22"/>
    <m/>
    <n v="22"/>
    <n v="0"/>
    <n v="1"/>
    <n v="0.92800000000000005"/>
    <n v="1"/>
    <n v="0.92800000000000005"/>
    <m/>
  </r>
  <r>
    <x v="71"/>
    <x v="0"/>
    <x v="5"/>
    <x v="4"/>
    <n v="0"/>
    <m/>
    <m/>
    <s v=""/>
    <n v="0"/>
    <m/>
    <m/>
    <s v=""/>
    <s v=""/>
    <s v=""/>
    <s v=""/>
    <s v=""/>
    <s v=""/>
    <m/>
  </r>
  <r>
    <x v="71"/>
    <x v="1"/>
    <x v="6"/>
    <x v="5"/>
    <n v="9000"/>
    <n v="5756"/>
    <n v="0"/>
    <n v="0"/>
    <n v="5756"/>
    <n v="22"/>
    <m/>
    <n v="22"/>
    <n v="0"/>
    <n v="1"/>
    <n v="0.63955555555555554"/>
    <n v="1"/>
    <n v="0.63955555555555554"/>
    <s v="Production loss due to Insufficient tube fabric availability."/>
  </r>
  <r>
    <x v="71"/>
    <x v="1"/>
    <x v="7"/>
    <x v="6"/>
    <n v="8000"/>
    <n v="6397"/>
    <n v="0"/>
    <n v="0"/>
    <n v="6397"/>
    <n v="22"/>
    <n v="1"/>
    <n v="21"/>
    <n v="363.63636363636363"/>
    <n v="0.95454545454545459"/>
    <n v="0.79962500000000003"/>
    <n v="1"/>
    <n v="0.76327840909090916"/>
    <s v="1 Hr Net Cleaning DT &amp; Prod. Loss Due to Low Steam."/>
  </r>
  <r>
    <x v="71"/>
    <x v="1"/>
    <x v="8"/>
    <x v="4"/>
    <n v="6000"/>
    <n v="1748"/>
    <n v="0"/>
    <n v="0"/>
    <n v="1748"/>
    <n v="22"/>
    <m/>
    <n v="22"/>
    <n v="0"/>
    <n v="1"/>
    <n v="0.29133333333333333"/>
    <n v="1"/>
    <n v="0.29133333333333333"/>
    <s v="Production loss due to Insufficient tube fabric availability."/>
  </r>
  <r>
    <x v="71"/>
    <x v="1"/>
    <x v="9"/>
    <x v="4"/>
    <n v="5000"/>
    <n v="4614"/>
    <n v="0"/>
    <n v="0"/>
    <n v="4614"/>
    <n v="22"/>
    <m/>
    <n v="22"/>
    <n v="0"/>
    <n v="1"/>
    <n v="0.92279999999999995"/>
    <n v="1"/>
    <n v="0.92279999999999995"/>
    <m/>
  </r>
  <r>
    <x v="72"/>
    <x v="0"/>
    <x v="0"/>
    <x v="0"/>
    <n v="10000"/>
    <n v="8384"/>
    <n v="0"/>
    <n v="0"/>
    <n v="8384"/>
    <n v="22"/>
    <m/>
    <n v="22"/>
    <n v="0"/>
    <n v="1"/>
    <n v="0.83840000000000003"/>
    <n v="1"/>
    <n v="0.83840000000000003"/>
    <m/>
  </r>
  <r>
    <x v="72"/>
    <x v="0"/>
    <x v="1"/>
    <x v="1"/>
    <n v="5000"/>
    <n v="3678"/>
    <n v="0"/>
    <n v="0"/>
    <n v="3678"/>
    <n v="22"/>
    <m/>
    <n v="22"/>
    <n v="0"/>
    <n v="1"/>
    <n v="0.73560000000000003"/>
    <n v="1"/>
    <n v="0.73560000000000003"/>
    <s v="Production Loss Due to Chamber No. 6 Off for Inverter Problem."/>
  </r>
  <r>
    <x v="72"/>
    <x v="0"/>
    <x v="1"/>
    <x v="2"/>
    <n v="4000"/>
    <n v="5373"/>
    <n v="0"/>
    <n v="0"/>
    <n v="5373"/>
    <m/>
    <m/>
    <s v=""/>
    <s v=""/>
    <s v=""/>
    <n v="1.3432500000000001"/>
    <n v="1"/>
    <s v=""/>
    <m/>
  </r>
  <r>
    <x v="72"/>
    <x v="0"/>
    <x v="2"/>
    <x v="2"/>
    <n v="7000"/>
    <n v="7394"/>
    <n v="0"/>
    <n v="0"/>
    <n v="7394"/>
    <n v="22"/>
    <m/>
    <n v="22"/>
    <n v="0"/>
    <n v="1"/>
    <n v="1.0562857142857143"/>
    <n v="1"/>
    <n v="1.0562857142857143"/>
    <s v="M/C run at lunch &amp; dinner break due to high open width  fabric load."/>
  </r>
  <r>
    <x v="72"/>
    <x v="0"/>
    <x v="3"/>
    <x v="3"/>
    <n v="7800"/>
    <n v="3411"/>
    <n v="0"/>
    <n v="0"/>
    <n v="3411"/>
    <n v="22"/>
    <n v="6"/>
    <n v="16"/>
    <n v="2127.2727272727275"/>
    <n v="0.72727272727272729"/>
    <n v="0.43730769230769229"/>
    <n v="1"/>
    <n v="0.31804195804195806"/>
    <s v="6 hr production loss due to H/Set fabric not ready."/>
  </r>
  <r>
    <x v="72"/>
    <x v="0"/>
    <x v="10"/>
    <x v="3"/>
    <m/>
    <m/>
    <m/>
    <s v=""/>
    <n v="0"/>
    <m/>
    <m/>
    <s v=""/>
    <s v=""/>
    <s v=""/>
    <s v=""/>
    <s v=""/>
    <s v=""/>
    <m/>
  </r>
  <r>
    <x v="72"/>
    <x v="0"/>
    <x v="4"/>
    <x v="4"/>
    <n v="9000"/>
    <n v="317"/>
    <n v="0"/>
    <n v="0"/>
    <n v="317"/>
    <n v="22"/>
    <n v="21"/>
    <n v="1"/>
    <n v="8590.9090909090901"/>
    <n v="4.5454545454545456E-2"/>
    <n v="3.5222222222222224E-2"/>
    <n v="1"/>
    <n v="1.601010101010101E-3"/>
    <s v="M/C off for 21 hrs due to blanket damage."/>
  </r>
  <r>
    <x v="72"/>
    <x v="0"/>
    <x v="5"/>
    <x v="4"/>
    <n v="6221"/>
    <n v="6221"/>
    <m/>
    <n v="0"/>
    <n v="6221"/>
    <m/>
    <m/>
    <s v=""/>
    <s v=""/>
    <s v=""/>
    <n v="1"/>
    <n v="1"/>
    <s v=""/>
    <m/>
  </r>
  <r>
    <x v="72"/>
    <x v="1"/>
    <x v="6"/>
    <x v="5"/>
    <n v="9000"/>
    <n v="3151"/>
    <n v="0"/>
    <n v="0"/>
    <n v="3151"/>
    <n v="22"/>
    <m/>
    <n v="22"/>
    <n v="0"/>
    <n v="1"/>
    <n v="0.3501111111111111"/>
    <n v="1"/>
    <n v="0.3501111111111111"/>
    <s v="Production loss due to Insufficient tube fabric availability."/>
  </r>
  <r>
    <x v="72"/>
    <x v="1"/>
    <x v="7"/>
    <x v="6"/>
    <n v="8000"/>
    <n v="3299"/>
    <n v="0"/>
    <n v="0"/>
    <n v="3299"/>
    <n v="22"/>
    <n v="9"/>
    <n v="13"/>
    <n v="3272.7272727272725"/>
    <n v="0.59090909090909094"/>
    <n v="0.41237499999999999"/>
    <n v="1"/>
    <n v="0.24367613636363636"/>
    <s v="1 hr Net Cleaning DT; M/C off for 4 hrs due to no fabric availability; both shifts released 2 hrs early."/>
  </r>
  <r>
    <x v="72"/>
    <x v="1"/>
    <x v="8"/>
    <x v="4"/>
    <n v="6000"/>
    <n v="1749"/>
    <n v="0"/>
    <n v="0"/>
    <n v="1749"/>
    <n v="22"/>
    <n v="10"/>
    <n v="12"/>
    <n v="2727.2727272727275"/>
    <n v="0.54545454545454541"/>
    <n v="0.29149999999999998"/>
    <n v="1"/>
    <n v="0.15899999999999997"/>
    <s v="6 hrs M/C off (no fabric); both shifts released 2 hrs early."/>
  </r>
  <r>
    <x v="72"/>
    <x v="1"/>
    <x v="9"/>
    <x v="4"/>
    <n v="5000"/>
    <n v="1919"/>
    <n v="0"/>
    <n v="0"/>
    <n v="1919"/>
    <n v="22"/>
    <n v="11"/>
    <n v="11"/>
    <n v="2500"/>
    <n v="0.5"/>
    <n v="0.38379999999999997"/>
    <n v="1"/>
    <n v="0.19189999999999999"/>
    <s v="7 hrs M/C off (no fabric); both shifts released 2 hrs early."/>
  </r>
  <r>
    <x v="73"/>
    <x v="0"/>
    <x v="0"/>
    <x v="0"/>
    <n v="10000"/>
    <n v="10161"/>
    <n v="0"/>
    <n v="0"/>
    <n v="10161"/>
    <n v="22"/>
    <m/>
    <n v="22"/>
    <n v="0"/>
    <n v="1"/>
    <n v="1.0161"/>
    <n v="1"/>
    <n v="1.0161"/>
    <s v="M/C run at lunch break due to high open width  fabric load."/>
  </r>
  <r>
    <x v="73"/>
    <x v="0"/>
    <x v="1"/>
    <x v="1"/>
    <n v="5000"/>
    <n v="3050"/>
    <n v="0"/>
    <n v="0"/>
    <n v="3050"/>
    <n v="22"/>
    <n v="3"/>
    <n v="19"/>
    <n v="681.81818181818187"/>
    <n v="0.86363636363636365"/>
    <n v="0.61"/>
    <n v="1"/>
    <n v="0.52681818181818185"/>
    <s v="Production Loss: 2 hr Maintenence. + 1 hr PDB issue &amp; Chamber No. 6 Off for Inverter Problem."/>
  </r>
  <r>
    <x v="73"/>
    <x v="0"/>
    <x v="1"/>
    <x v="2"/>
    <n v="4000"/>
    <n v="4527"/>
    <n v="0"/>
    <n v="0"/>
    <n v="4527"/>
    <m/>
    <m/>
    <s v=""/>
    <s v=""/>
    <s v=""/>
    <n v="1.13175"/>
    <n v="1"/>
    <s v=""/>
    <m/>
  </r>
  <r>
    <x v="73"/>
    <x v="0"/>
    <x v="2"/>
    <x v="2"/>
    <n v="7000"/>
    <n v="7108"/>
    <n v="0"/>
    <n v="0"/>
    <n v="7108"/>
    <n v="22"/>
    <n v="3"/>
    <n v="19"/>
    <n v="954.5454545454545"/>
    <n v="0.86363636363636365"/>
    <n v="1.0154285714285713"/>
    <n v="1"/>
    <n v="0.87696103896103894"/>
    <s v="Production Loss: 2 hr Maintenence. + 1 hr PDB issue. M/C run at lunch &amp; dinner break due to high open width fabric load."/>
  </r>
  <r>
    <x v="73"/>
    <x v="0"/>
    <x v="3"/>
    <x v="3"/>
    <n v="7800"/>
    <n v="3710"/>
    <n v="0"/>
    <n v="0"/>
    <n v="3710"/>
    <n v="22"/>
    <n v="11"/>
    <n v="11"/>
    <n v="3900"/>
    <n v="0.5"/>
    <n v="0.47564102564102562"/>
    <n v="1"/>
    <n v="0.23782051282051281"/>
    <s v="11 hr production loss due to H/Set fabric not ready."/>
  </r>
  <r>
    <x v="73"/>
    <x v="0"/>
    <x v="10"/>
    <x v="3"/>
    <m/>
    <m/>
    <m/>
    <s v=""/>
    <n v="0"/>
    <m/>
    <m/>
    <s v=""/>
    <s v=""/>
    <s v=""/>
    <s v=""/>
    <s v=""/>
    <s v=""/>
    <m/>
  </r>
  <r>
    <x v="73"/>
    <x v="0"/>
    <x v="4"/>
    <x v="4"/>
    <n v="9000"/>
    <n v="0"/>
    <n v="0"/>
    <s v=""/>
    <n v="0"/>
    <n v="22"/>
    <n v="22"/>
    <n v="0"/>
    <n v="9000"/>
    <n v="0"/>
    <n v="0"/>
    <s v=""/>
    <s v=""/>
    <s v="M/C off for 22 hrs due to Felt changing work as per Periodic maintenance (blanket damage)"/>
  </r>
  <r>
    <x v="73"/>
    <x v="0"/>
    <x v="5"/>
    <x v="4"/>
    <n v="5631"/>
    <n v="5631"/>
    <m/>
    <n v="0"/>
    <n v="5631"/>
    <m/>
    <m/>
    <s v=""/>
    <s v=""/>
    <s v=""/>
    <n v="1"/>
    <n v="1"/>
    <s v=""/>
    <s v="Monti Comp. kept running as backup due to Open Compactor blanket damage."/>
  </r>
  <r>
    <x v="73"/>
    <x v="1"/>
    <x v="6"/>
    <x v="5"/>
    <n v="9000"/>
    <n v="6350"/>
    <n v="0"/>
    <n v="0"/>
    <n v="6350"/>
    <n v="22"/>
    <m/>
    <n v="22"/>
    <n v="0"/>
    <n v="1"/>
    <n v="0.7055555555555556"/>
    <n v="1"/>
    <n v="0.7055555555555556"/>
    <s v="Production loss due to unavailability of fabric "/>
  </r>
  <r>
    <x v="73"/>
    <x v="1"/>
    <x v="7"/>
    <x v="6"/>
    <n v="8000"/>
    <n v="5875"/>
    <n v="0"/>
    <n v="0"/>
    <n v="5875"/>
    <n v="22"/>
    <n v="3"/>
    <n v="19"/>
    <n v="1090.909090909091"/>
    <n v="0.86363636363636365"/>
    <n v="0.734375"/>
    <n v="1"/>
    <n v="0.63423295454545459"/>
    <s v="Production loss: 1 hr PDB issue, 1 hr maintenance, and 1 hr steam line problem)."/>
  </r>
  <r>
    <x v="73"/>
    <x v="1"/>
    <x v="8"/>
    <x v="4"/>
    <n v="6000"/>
    <n v="2062"/>
    <n v="0"/>
    <n v="0"/>
    <n v="2062"/>
    <n v="22"/>
    <n v="4"/>
    <n v="18"/>
    <n v="1090.909090909091"/>
    <n v="0.81818181818181823"/>
    <n v="0.34366666666666668"/>
    <n v="1"/>
    <n v="0.2811818181818182"/>
    <s v="Production loss due to no fabric &amp; both shifts released 2 hrs early."/>
  </r>
  <r>
    <x v="73"/>
    <x v="1"/>
    <x v="9"/>
    <x v="4"/>
    <n v="5000"/>
    <n v="1962"/>
    <n v="0"/>
    <n v="0"/>
    <n v="1962"/>
    <n v="22"/>
    <n v="4"/>
    <n v="18"/>
    <n v="909.09090909090912"/>
    <n v="0.81818181818181823"/>
    <n v="0.39240000000000003"/>
    <n v="1"/>
    <n v="0.32105454545454548"/>
    <s v="Production loss due to no fabric &amp; both shifts released 2 hrs early."/>
  </r>
  <r>
    <x v="74"/>
    <x v="0"/>
    <x v="0"/>
    <x v="0"/>
    <n v="10000"/>
    <n v="7767"/>
    <n v="0"/>
    <n v="0"/>
    <n v="7767"/>
    <n v="22"/>
    <n v="2"/>
    <n v="20"/>
    <n v="909.09090909090912"/>
    <n v="0.90909090909090906"/>
    <n v="0.77669999999999995"/>
    <n v="1"/>
    <n v="0.70609090909090899"/>
    <s v="M/C off for 2 hrs due to unavailability of fabric"/>
  </r>
  <r>
    <x v="74"/>
    <x v="0"/>
    <x v="1"/>
    <x v="1"/>
    <n v="5000"/>
    <n v="4104"/>
    <n v="0"/>
    <n v="0"/>
    <n v="4104"/>
    <n v="22"/>
    <m/>
    <n v="22"/>
    <n v="0"/>
    <n v="1"/>
    <n v="0.82079999999999997"/>
    <n v="1"/>
    <n v="0.82079999999999997"/>
    <s v="Production Loss Due to Chamber No. 6 Off for Inverter Problem."/>
  </r>
  <r>
    <x v="74"/>
    <x v="0"/>
    <x v="1"/>
    <x v="2"/>
    <n v="4000"/>
    <n v="4032"/>
    <n v="0"/>
    <n v="0"/>
    <n v="4032"/>
    <m/>
    <m/>
    <s v=""/>
    <s v=""/>
    <s v=""/>
    <n v="1.008"/>
    <n v="1"/>
    <s v=""/>
    <m/>
  </r>
  <r>
    <x v="74"/>
    <x v="0"/>
    <x v="2"/>
    <x v="2"/>
    <n v="7000"/>
    <n v="6502"/>
    <n v="0"/>
    <n v="0"/>
    <n v="6502"/>
    <n v="22"/>
    <n v="0.5"/>
    <n v="21.5"/>
    <n v="159.09090909090909"/>
    <n v="0.97727272727272729"/>
    <n v="0.92885714285714283"/>
    <n v="1"/>
    <n v="0.90774675324675325"/>
    <s v="Production loss due to 30 min Stenter M/C downtime for overfeed meter installation and high short batch/sample load."/>
  </r>
  <r>
    <x v="74"/>
    <x v="0"/>
    <x v="3"/>
    <x v="3"/>
    <n v="7800"/>
    <n v="4507"/>
    <n v="0"/>
    <n v="0"/>
    <n v="4507"/>
    <n v="22"/>
    <n v="5"/>
    <n v="17"/>
    <n v="1772.7272727272727"/>
    <n v="0.77272727272727271"/>
    <n v="0.57782051282051283"/>
    <n v="1"/>
    <n v="0.44649766899766902"/>
    <s v="5 hr production loss due to H/Set fabric not ready."/>
  </r>
  <r>
    <x v="74"/>
    <x v="0"/>
    <x v="10"/>
    <x v="3"/>
    <m/>
    <m/>
    <m/>
    <s v=""/>
    <n v="0"/>
    <m/>
    <m/>
    <s v=""/>
    <s v=""/>
    <s v=""/>
    <s v=""/>
    <s v=""/>
    <s v=""/>
    <s v="On standby"/>
  </r>
  <r>
    <x v="74"/>
    <x v="0"/>
    <x v="4"/>
    <x v="4"/>
    <n v="9000"/>
    <n v="0"/>
    <n v="0"/>
    <s v=""/>
    <n v="0"/>
    <n v="22"/>
    <n v="22"/>
    <n v="0"/>
    <n v="9000"/>
    <n v="0"/>
    <n v="0"/>
    <s v=""/>
    <s v=""/>
    <s v="M/C off for 22 hrs due to Felt changing work as per Periodic maintenance (blanket damage)"/>
  </r>
  <r>
    <x v="74"/>
    <x v="0"/>
    <x v="5"/>
    <x v="4"/>
    <n v="6258"/>
    <n v="6258"/>
    <m/>
    <n v="0"/>
    <n v="6258"/>
    <m/>
    <m/>
    <s v=""/>
    <s v=""/>
    <s v=""/>
    <n v="1"/>
    <n v="1"/>
    <s v=""/>
    <s v="Monti Comp. kept running as backup due to Open Comp. blanket damage."/>
  </r>
  <r>
    <x v="74"/>
    <x v="1"/>
    <x v="6"/>
    <x v="5"/>
    <n v="9000"/>
    <n v="6310"/>
    <n v="0"/>
    <n v="0"/>
    <n v="6310"/>
    <n v="22"/>
    <m/>
    <n v="22"/>
    <n v="0"/>
    <n v="1"/>
    <n v="0.70111111111111113"/>
    <n v="1"/>
    <n v="0.70111111111111113"/>
    <s v="Production loss due to unavailability of fabric "/>
  </r>
  <r>
    <x v="74"/>
    <x v="1"/>
    <x v="7"/>
    <x v="6"/>
    <n v="8000"/>
    <n v="6575"/>
    <n v="0"/>
    <n v="0"/>
    <n v="6575"/>
    <n v="22"/>
    <n v="2.5"/>
    <n v="19.5"/>
    <n v="909.09090909090901"/>
    <n v="0.88636363636363635"/>
    <n v="0.82187500000000002"/>
    <n v="1"/>
    <n v="0.72848011363636367"/>
    <s v="Production loss: 1 hr PDB issue, 1.5 hr maintenance, and steam line problem."/>
  </r>
  <r>
    <x v="74"/>
    <x v="1"/>
    <x v="8"/>
    <x v="4"/>
    <n v="6000"/>
    <n v="2978"/>
    <n v="0"/>
    <n v="0"/>
    <n v="2978"/>
    <n v="22"/>
    <m/>
    <n v="22"/>
    <n v="0"/>
    <n v="1"/>
    <n v="0.49633333333333335"/>
    <n v="1"/>
    <n v="0.49633333333333335"/>
    <s v="Production loss due to unavailability of fabric "/>
  </r>
  <r>
    <x v="74"/>
    <x v="1"/>
    <x v="9"/>
    <x v="4"/>
    <n v="5000"/>
    <n v="4114"/>
    <n v="0"/>
    <n v="0"/>
    <n v="4114"/>
    <n v="22"/>
    <m/>
    <n v="22"/>
    <n v="0"/>
    <n v="1"/>
    <n v="0.82279999999999998"/>
    <n v="1"/>
    <n v="0.82279999999999998"/>
    <s v="Production loss due to unavailability of fabric "/>
  </r>
  <r>
    <x v="75"/>
    <x v="0"/>
    <x v="0"/>
    <x v="0"/>
    <n v="10000"/>
    <n v="7895"/>
    <n v="0"/>
    <n v="0"/>
    <n v="7895"/>
    <n v="22"/>
    <n v="1.5"/>
    <n v="20.5"/>
    <n v="681.81818181818187"/>
    <n v="0.93181818181818177"/>
    <n v="0.78949999999999998"/>
    <n v="1"/>
    <n v="0.73567045454545443"/>
    <s v="M/C off 1.5 hrs for dancing roller repair/work."/>
  </r>
  <r>
    <x v="75"/>
    <x v="0"/>
    <x v="1"/>
    <x v="1"/>
    <n v="5000"/>
    <n v="4718"/>
    <n v="0"/>
    <n v="0"/>
    <n v="4718"/>
    <n v="22"/>
    <m/>
    <n v="22"/>
    <n v="0"/>
    <n v="1"/>
    <n v="0.94359999999999999"/>
    <n v="1"/>
    <n v="0.94359999999999999"/>
    <s v="Production Loss Due to Chamber No. 6 Off for Inverter Problem."/>
  </r>
  <r>
    <x v="75"/>
    <x v="0"/>
    <x v="1"/>
    <x v="2"/>
    <n v="4000"/>
    <n v="3966"/>
    <n v="0"/>
    <n v="0"/>
    <n v="3966"/>
    <m/>
    <m/>
    <s v=""/>
    <s v=""/>
    <s v=""/>
    <n v="0.99150000000000005"/>
    <n v="1"/>
    <s v=""/>
    <m/>
  </r>
  <r>
    <x v="75"/>
    <x v="0"/>
    <x v="2"/>
    <x v="2"/>
    <n v="7000"/>
    <n v="7356"/>
    <n v="0"/>
    <n v="0"/>
    <n v="7356"/>
    <n v="22"/>
    <m/>
    <n v="22"/>
    <n v="0"/>
    <n v="1"/>
    <n v="1.0508571428571429"/>
    <n v="1"/>
    <n v="1.0508571428571429"/>
    <m/>
  </r>
  <r>
    <x v="75"/>
    <x v="0"/>
    <x v="3"/>
    <x v="3"/>
    <n v="7800"/>
    <n v="4711"/>
    <n v="0"/>
    <n v="0"/>
    <n v="4711"/>
    <n v="22"/>
    <n v="8.5"/>
    <n v="13.5"/>
    <n v="3013.636363636364"/>
    <n v="0.61363636363636365"/>
    <n v="0.60397435897435903"/>
    <n v="1"/>
    <n v="0.3706206293706294"/>
    <s v="8.5 hr production loss due to H/Set fabric not ready."/>
  </r>
  <r>
    <x v="75"/>
    <x v="0"/>
    <x v="10"/>
    <x v="3"/>
    <m/>
    <m/>
    <m/>
    <s v=""/>
    <n v="0"/>
    <m/>
    <m/>
    <s v=""/>
    <s v=""/>
    <s v=""/>
    <s v=""/>
    <s v=""/>
    <s v=""/>
    <m/>
  </r>
  <r>
    <x v="75"/>
    <x v="0"/>
    <x v="4"/>
    <x v="4"/>
    <n v="9000"/>
    <n v="6511"/>
    <n v="0"/>
    <n v="0"/>
    <n v="6511"/>
    <n v="22"/>
    <n v="4"/>
    <n v="18"/>
    <n v="1636.3636363636363"/>
    <n v="0.81818181818181823"/>
    <n v="0.72344444444444445"/>
    <n v="1"/>
    <n v="0.59190909090909094"/>
    <s v="M/C off 3 hrs due to blanket damage; additional 1 hr off for gearbox oiling due to continuous inverter tripping."/>
  </r>
  <r>
    <x v="75"/>
    <x v="0"/>
    <x v="5"/>
    <x v="4"/>
    <n v="6210"/>
    <n v="6210"/>
    <m/>
    <n v="0"/>
    <n v="6210"/>
    <m/>
    <m/>
    <s v=""/>
    <s v=""/>
    <s v=""/>
    <n v="1"/>
    <n v="1"/>
    <s v=""/>
    <s v="Monti Comp. kept running as backup due to Open Comp. blanket damage."/>
  </r>
  <r>
    <x v="75"/>
    <x v="1"/>
    <x v="6"/>
    <x v="5"/>
    <n v="9000"/>
    <n v="4669"/>
    <n v="0"/>
    <n v="0"/>
    <n v="4669"/>
    <n v="22"/>
    <m/>
    <n v="22"/>
    <n v="0"/>
    <n v="1"/>
    <n v="0.51877777777777778"/>
    <n v="1"/>
    <n v="0.51877777777777778"/>
    <s v="Production loss due to fabric unavailability"/>
  </r>
  <r>
    <x v="75"/>
    <x v="1"/>
    <x v="7"/>
    <x v="6"/>
    <n v="8000"/>
    <n v="5020"/>
    <n v="0"/>
    <n v="0"/>
    <n v="5020"/>
    <n v="22"/>
    <n v="4.7"/>
    <n v="17.3"/>
    <n v="1709.090909090909"/>
    <n v="0.78636363636363638"/>
    <n v="0.62749999999999995"/>
    <n v="1"/>
    <n v="0.49344318181818181"/>
    <s v="M/C off 1.5 hrs for maintenance and 3.20 hrs due to fabric unavailability."/>
  </r>
  <r>
    <x v="75"/>
    <x v="1"/>
    <x v="8"/>
    <x v="4"/>
    <n v="6000"/>
    <n v="211"/>
    <n v="0"/>
    <n v="0"/>
    <n v="211"/>
    <n v="22"/>
    <m/>
    <n v="22"/>
    <n v="0"/>
    <n v="1"/>
    <n v="3.5166666666666666E-2"/>
    <n v="1"/>
    <n v="3.5166666666666666E-2"/>
    <s v="Production loss due to operator and helper deployment from both shifts to run Monti Compacting Machine"/>
  </r>
  <r>
    <x v="75"/>
    <x v="1"/>
    <x v="9"/>
    <x v="4"/>
    <n v="5000"/>
    <n v="4568"/>
    <n v="0"/>
    <n v="0"/>
    <n v="4568"/>
    <n v="22"/>
    <m/>
    <n v="22"/>
    <n v="0"/>
    <n v="1"/>
    <n v="0.91359999999999997"/>
    <n v="1"/>
    <n v="0.91359999999999997"/>
    <s v="Production loss due to fabric unavailability"/>
  </r>
  <r>
    <x v="76"/>
    <x v="0"/>
    <x v="0"/>
    <x v="0"/>
    <n v="10000"/>
    <n v="8899"/>
    <n v="0"/>
    <n v="0"/>
    <n v="8899"/>
    <n v="22"/>
    <n v="0.5"/>
    <n v="21.5"/>
    <n v="227.27272727272728"/>
    <n v="0.97727272727272729"/>
    <n v="0.88990000000000002"/>
    <n v="1"/>
    <n v="0.86967500000000009"/>
    <s v="M/C Off 30 min for tension roller maintenance."/>
  </r>
  <r>
    <x v="76"/>
    <x v="0"/>
    <x v="11"/>
    <x v="0"/>
    <n v="8459"/>
    <n v="8459"/>
    <n v="0"/>
    <n v="0"/>
    <n v="8459"/>
    <m/>
    <n v="3.2"/>
    <s v=""/>
    <s v=""/>
    <s v=""/>
    <n v="1"/>
    <n v="1"/>
    <s v=""/>
    <s v="M/C Off: 3.20 hrs due to pinion chain &amp; belt maintenance work on 1 No. M/C."/>
  </r>
  <r>
    <x v="76"/>
    <x v="0"/>
    <x v="1"/>
    <x v="1"/>
    <n v="5000"/>
    <n v="4308"/>
    <n v="0"/>
    <n v="0"/>
    <n v="4308"/>
    <n v="22"/>
    <m/>
    <n v="22"/>
    <n v="0"/>
    <n v="1"/>
    <n v="0.86160000000000003"/>
    <n v="1"/>
    <n v="0.86160000000000003"/>
    <s v="Production Loss Due to Chamber No. 6 Off for Inverter Problem."/>
  </r>
  <r>
    <x v="76"/>
    <x v="0"/>
    <x v="1"/>
    <x v="2"/>
    <n v="4000"/>
    <n v="3599"/>
    <n v="0"/>
    <n v="0"/>
    <n v="3599"/>
    <m/>
    <m/>
    <s v=""/>
    <s v=""/>
    <s v=""/>
    <n v="0.89975000000000005"/>
    <n v="1"/>
    <s v=""/>
    <m/>
  </r>
  <r>
    <x v="76"/>
    <x v="0"/>
    <x v="2"/>
    <x v="2"/>
    <n v="7000"/>
    <n v="7474"/>
    <n v="0"/>
    <n v="0"/>
    <n v="7474"/>
    <n v="22"/>
    <m/>
    <n v="22"/>
    <n v="0"/>
    <n v="1"/>
    <n v="1.0677142857142856"/>
    <n v="1"/>
    <n v="1.0677142857142856"/>
    <s v="M/C run at lunch &amp; Dinner break due to high open width fabric load."/>
  </r>
  <r>
    <x v="76"/>
    <x v="0"/>
    <x v="3"/>
    <x v="3"/>
    <n v="7800"/>
    <n v="5548"/>
    <n v="0"/>
    <n v="0"/>
    <n v="5548"/>
    <n v="22"/>
    <n v="3"/>
    <n v="19"/>
    <n v="1063.6363636363637"/>
    <n v="0.86363636363636365"/>
    <n v="0.71128205128205124"/>
    <n v="1"/>
    <n v="0.61428904428904429"/>
    <s v="3 hr production loss due to H/Set fabric not ready."/>
  </r>
  <r>
    <x v="76"/>
    <x v="0"/>
    <x v="10"/>
    <x v="3"/>
    <m/>
    <m/>
    <m/>
    <s v=""/>
    <n v="0"/>
    <m/>
    <m/>
    <s v=""/>
    <s v=""/>
    <s v=""/>
    <s v=""/>
    <s v=""/>
    <s v=""/>
    <m/>
  </r>
  <r>
    <x v="76"/>
    <x v="0"/>
    <x v="4"/>
    <x v="4"/>
    <n v="9000"/>
    <n v="7119"/>
    <n v="0"/>
    <n v="0"/>
    <n v="7119"/>
    <n v="22"/>
    <m/>
    <n v="22"/>
    <n v="0"/>
    <n v="1"/>
    <n v="0.79100000000000004"/>
    <n v="1"/>
    <n v="0.79100000000000004"/>
    <s v="Production loss due to excess Stenter printed fabric running, causing lower compacting production."/>
  </r>
  <r>
    <x v="76"/>
    <x v="0"/>
    <x v="5"/>
    <x v="4"/>
    <n v="1177"/>
    <n v="1177"/>
    <m/>
    <n v="0"/>
    <n v="1177"/>
    <m/>
    <m/>
    <s v=""/>
    <s v=""/>
    <s v=""/>
    <n v="1"/>
    <n v="1"/>
    <s v=""/>
    <s v="Monti Comp. kept running as backup due to Open Comp. blanket damage."/>
  </r>
  <r>
    <x v="76"/>
    <x v="1"/>
    <x v="6"/>
    <x v="5"/>
    <n v="9000"/>
    <n v="8165"/>
    <n v="0"/>
    <n v="0"/>
    <n v="8165"/>
    <n v="22"/>
    <m/>
    <n v="22"/>
    <n v="0"/>
    <n v="1"/>
    <n v="0.90722222222222226"/>
    <n v="1"/>
    <n v="0.90722222222222226"/>
    <s v="Production loss due to unavailability of fabric "/>
  </r>
  <r>
    <x v="76"/>
    <x v="1"/>
    <x v="7"/>
    <x v="6"/>
    <n v="8000"/>
    <n v="7297"/>
    <n v="0"/>
    <n v="0"/>
    <n v="7297"/>
    <n v="22"/>
    <n v="3.5"/>
    <n v="18.5"/>
    <n v="1272.7272727272727"/>
    <n v="0.84090909090909094"/>
    <n v="0.91212499999999996"/>
    <n v="1"/>
    <n v="0.76701420454545455"/>
    <s v="M/C off 1.5 hrs for maintenance and 2 hrs due to PDB issue"/>
  </r>
  <r>
    <x v="76"/>
    <x v="1"/>
    <x v="8"/>
    <x v="4"/>
    <n v="6000"/>
    <n v="3253"/>
    <n v="0"/>
    <n v="0"/>
    <n v="3253"/>
    <n v="22"/>
    <m/>
    <n v="22"/>
    <n v="0"/>
    <n v="1"/>
    <n v="0.54216666666666669"/>
    <n v="1"/>
    <n v="0.54216666666666669"/>
    <s v="Production loss due to unavailability of fabric "/>
  </r>
  <r>
    <x v="76"/>
    <x v="1"/>
    <x v="9"/>
    <x v="4"/>
    <n v="5000"/>
    <n v="2314"/>
    <n v="0"/>
    <n v="0"/>
    <n v="2314"/>
    <n v="22"/>
    <m/>
    <n v="22"/>
    <n v="0"/>
    <n v="1"/>
    <n v="0.46279999999999999"/>
    <n v="1"/>
    <n v="0.46279999999999999"/>
    <s v="Production loss due to unavailability of fabric "/>
  </r>
  <r>
    <x v="77"/>
    <x v="0"/>
    <x v="0"/>
    <x v="0"/>
    <n v="10000"/>
    <n v="6740"/>
    <n v="0"/>
    <n v="0"/>
    <n v="6740"/>
    <n v="22"/>
    <n v="2.2000000000000002"/>
    <n v="19.8"/>
    <n v="1000.0000000000001"/>
    <n v="0.9"/>
    <n v="0.67400000000000004"/>
    <n v="1"/>
    <n v="0.60660000000000003"/>
    <s v="M/C stoppage 2.2 hrs due to Dancing Roller Maintenance Work."/>
  </r>
  <r>
    <x v="77"/>
    <x v="0"/>
    <x v="11"/>
    <x v="0"/>
    <n v="5808"/>
    <n v="5808"/>
    <n v="0"/>
    <n v="0"/>
    <n v="5808"/>
    <m/>
    <m/>
    <s v=""/>
    <s v=""/>
    <s v=""/>
    <n v="1"/>
    <n v="1"/>
    <s v=""/>
    <m/>
  </r>
  <r>
    <x v="77"/>
    <x v="0"/>
    <x v="1"/>
    <x v="1"/>
    <n v="5000"/>
    <n v="5788"/>
    <n v="0"/>
    <n v="0"/>
    <n v="5788"/>
    <n v="22"/>
    <m/>
    <n v="22"/>
    <n v="0"/>
    <n v="1"/>
    <n v="1.1576"/>
    <n v="1"/>
    <n v="1.1576"/>
    <s v="Production Loss Due to Chamber No. 6 Off for Inverter Problem."/>
  </r>
  <r>
    <x v="77"/>
    <x v="0"/>
    <x v="1"/>
    <x v="2"/>
    <n v="4000"/>
    <n v="2646"/>
    <n v="0"/>
    <n v="0"/>
    <n v="2646"/>
    <m/>
    <m/>
    <s v=""/>
    <s v=""/>
    <s v=""/>
    <n v="0.66149999999999998"/>
    <n v="1"/>
    <s v=""/>
    <m/>
  </r>
  <r>
    <x v="77"/>
    <x v="0"/>
    <x v="2"/>
    <x v="2"/>
    <n v="7000"/>
    <n v="7287"/>
    <n v="0"/>
    <n v="0"/>
    <n v="7287"/>
    <n v="22"/>
    <m/>
    <n v="22"/>
    <n v="0"/>
    <n v="1"/>
    <n v="1.0409999999999999"/>
    <n v="1"/>
    <n v="1.0409999999999999"/>
    <s v="M/C run at lunch break due to high open width fabric load."/>
  </r>
  <r>
    <x v="77"/>
    <x v="0"/>
    <x v="3"/>
    <x v="3"/>
    <n v="7800"/>
    <n v="5696"/>
    <n v="0"/>
    <n v="0"/>
    <n v="5696"/>
    <n v="22"/>
    <n v="6"/>
    <n v="16"/>
    <n v="2127.2727272727275"/>
    <n v="0.72727272727272729"/>
    <n v="0.7302564102564103"/>
    <n v="1"/>
    <n v="0.53109557109557115"/>
    <s v="6 hr production loss due to H/Set fabric not ready."/>
  </r>
  <r>
    <x v="77"/>
    <x v="0"/>
    <x v="10"/>
    <x v="3"/>
    <m/>
    <m/>
    <m/>
    <s v=""/>
    <n v="0"/>
    <m/>
    <m/>
    <s v=""/>
    <s v=""/>
    <s v=""/>
    <s v=""/>
    <s v=""/>
    <s v=""/>
    <m/>
  </r>
  <r>
    <x v="77"/>
    <x v="0"/>
    <x v="4"/>
    <x v="4"/>
    <n v="9000"/>
    <n v="4707"/>
    <n v="0"/>
    <n v="0"/>
    <n v="4707"/>
    <n v="22"/>
    <n v="7.2"/>
    <n v="14.8"/>
    <n v="2945.4545454545455"/>
    <n v="0.67272727272727273"/>
    <n v="0.52300000000000002"/>
    <n v="1"/>
    <n v="0.35183636363636367"/>
    <s v="M/C stoppage 5.2 hrs due to excess Stenter printed fabric running; B-Shift closed at 6:00 PM."/>
  </r>
  <r>
    <x v="77"/>
    <x v="0"/>
    <x v="5"/>
    <x v="4"/>
    <n v="0"/>
    <m/>
    <m/>
    <s v=""/>
    <n v="0"/>
    <m/>
    <m/>
    <s v=""/>
    <s v=""/>
    <s v=""/>
    <s v=""/>
    <s v=""/>
    <s v=""/>
    <m/>
  </r>
  <r>
    <x v="77"/>
    <x v="1"/>
    <x v="6"/>
    <x v="5"/>
    <n v="9000"/>
    <n v="8822"/>
    <n v="0"/>
    <n v="0"/>
    <n v="8822"/>
    <n v="22"/>
    <m/>
    <n v="22"/>
    <n v="0"/>
    <n v="1"/>
    <n v="0.98022222222222222"/>
    <n v="1"/>
    <n v="0.98022222222222222"/>
    <m/>
  </r>
  <r>
    <x v="77"/>
    <x v="1"/>
    <x v="7"/>
    <x v="6"/>
    <n v="8000"/>
    <n v="7864"/>
    <n v="0"/>
    <n v="0"/>
    <n v="7864"/>
    <n v="22"/>
    <n v="1.5"/>
    <n v="20.5"/>
    <n v="545.4545454545455"/>
    <n v="0.93181818181818177"/>
    <n v="0.98299999999999998"/>
    <n v="1"/>
    <n v="0.9159772727272727"/>
    <s v="M/C off 1.5 hrs for net cleaning "/>
  </r>
  <r>
    <x v="77"/>
    <x v="1"/>
    <x v="8"/>
    <x v="4"/>
    <n v="6000"/>
    <n v="3472"/>
    <n v="0"/>
    <n v="0"/>
    <n v="3472"/>
    <n v="22"/>
    <m/>
    <n v="22"/>
    <n v="0"/>
    <n v="1"/>
    <n v="0.57866666666666666"/>
    <n v="1"/>
    <n v="0.57866666666666666"/>
    <s v="Production loss due to unavailability of fabric "/>
  </r>
  <r>
    <x v="77"/>
    <x v="1"/>
    <x v="9"/>
    <x v="4"/>
    <n v="5000"/>
    <n v="4656"/>
    <n v="0"/>
    <n v="0"/>
    <n v="4656"/>
    <n v="22"/>
    <m/>
    <n v="22"/>
    <n v="0"/>
    <n v="1"/>
    <n v="0.93120000000000003"/>
    <n v="1"/>
    <n v="0.93120000000000003"/>
    <m/>
  </r>
  <r>
    <x v="78"/>
    <x v="0"/>
    <x v="0"/>
    <x v="0"/>
    <n v="10000"/>
    <n v="7343"/>
    <n v="0"/>
    <n v="0"/>
    <n v="7343"/>
    <n v="22"/>
    <n v="1.4"/>
    <n v="20.6"/>
    <n v="636.36363636363637"/>
    <n v="0.9363636363636364"/>
    <n v="0.73429999999999995"/>
    <n v="1"/>
    <n v="0.68757181818181812"/>
    <s v="M/C stopped for 1 hr 40 min due to overlock M/C repair &amp; slitting M/C power switch problem."/>
  </r>
  <r>
    <x v="78"/>
    <x v="0"/>
    <x v="11"/>
    <x v="0"/>
    <n v="3968"/>
    <n v="3968"/>
    <n v="0"/>
    <n v="0"/>
    <n v="3968"/>
    <m/>
    <m/>
    <s v=""/>
    <s v=""/>
    <s v=""/>
    <n v="1"/>
    <n v="1"/>
    <s v=""/>
    <m/>
  </r>
  <r>
    <x v="78"/>
    <x v="0"/>
    <x v="1"/>
    <x v="1"/>
    <n v="5000"/>
    <n v="5148"/>
    <n v="0"/>
    <n v="0"/>
    <n v="5148"/>
    <n v="22"/>
    <n v="1.1000000000000001"/>
    <n v="20.9"/>
    <n v="250.00000000000003"/>
    <n v="0.95"/>
    <n v="1.0296000000000001"/>
    <n v="1"/>
    <n v="0.97811999999999999"/>
    <s v="Production loss due to Chamber #6 off (inverter issue). M/C stopped for 70 min due to inverter problem &amp; PDB issue."/>
  </r>
  <r>
    <x v="78"/>
    <x v="0"/>
    <x v="1"/>
    <x v="2"/>
    <n v="4000"/>
    <n v="2897"/>
    <n v="0"/>
    <n v="0"/>
    <n v="2897"/>
    <m/>
    <m/>
    <s v=""/>
    <s v=""/>
    <s v=""/>
    <n v="0.72424999999999995"/>
    <n v="1"/>
    <s v=""/>
    <m/>
  </r>
  <r>
    <x v="78"/>
    <x v="0"/>
    <x v="2"/>
    <x v="2"/>
    <n v="7000"/>
    <n v="7382"/>
    <n v="0"/>
    <n v="0"/>
    <n v="7382"/>
    <n v="22"/>
    <m/>
    <n v="22"/>
    <n v="0"/>
    <n v="1"/>
    <n v="1.0545714285714285"/>
    <n v="1"/>
    <n v="1.0545714285714285"/>
    <m/>
  </r>
  <r>
    <x v="78"/>
    <x v="0"/>
    <x v="3"/>
    <x v="3"/>
    <n v="7800"/>
    <n v="4931"/>
    <n v="0"/>
    <n v="0"/>
    <n v="4931"/>
    <n v="22"/>
    <n v="6"/>
    <n v="16"/>
    <n v="2127.2727272727275"/>
    <n v="0.72727272727272729"/>
    <n v="0.63217948717948713"/>
    <n v="1"/>
    <n v="0.45976689976689977"/>
    <s v="6 hr production loss due to H/Set fabric not ready."/>
  </r>
  <r>
    <x v="78"/>
    <x v="0"/>
    <x v="10"/>
    <x v="3"/>
    <m/>
    <m/>
    <m/>
    <s v=""/>
    <n v="0"/>
    <m/>
    <m/>
    <s v=""/>
    <s v=""/>
    <s v=""/>
    <s v=""/>
    <s v=""/>
    <s v=""/>
    <m/>
  </r>
  <r>
    <x v="78"/>
    <x v="0"/>
    <x v="4"/>
    <x v="4"/>
    <n v="9000"/>
    <n v="5878"/>
    <n v="0"/>
    <n v="0"/>
    <n v="5878"/>
    <n v="22"/>
    <m/>
    <n v="22"/>
    <n v="0"/>
    <n v="1"/>
    <n v="0.65311111111111109"/>
    <n v="1"/>
    <n v="0.65311111111111109"/>
    <m/>
  </r>
  <r>
    <x v="78"/>
    <x v="0"/>
    <x v="5"/>
    <x v="4"/>
    <n v="0"/>
    <m/>
    <m/>
    <s v=""/>
    <n v="0"/>
    <m/>
    <m/>
    <s v=""/>
    <s v=""/>
    <s v=""/>
    <s v=""/>
    <s v=""/>
    <s v=""/>
    <m/>
  </r>
  <r>
    <x v="78"/>
    <x v="1"/>
    <x v="6"/>
    <x v="5"/>
    <n v="9000"/>
    <n v="5842"/>
    <n v="0"/>
    <n v="0"/>
    <n v="5842"/>
    <n v="22"/>
    <m/>
    <n v="22"/>
    <n v="0"/>
    <n v="1"/>
    <n v="0.64911111111111108"/>
    <n v="1"/>
    <n v="0.64911111111111108"/>
    <s v="Production loss due to low fabric "/>
  </r>
  <r>
    <x v="78"/>
    <x v="1"/>
    <x v="7"/>
    <x v="6"/>
    <n v="8000"/>
    <n v="7597"/>
    <n v="0"/>
    <n v="0"/>
    <n v="7597"/>
    <n v="22"/>
    <n v="2.5"/>
    <n v="19.5"/>
    <n v="909.09090909090901"/>
    <n v="0.88636363636363635"/>
    <n v="0.94962500000000005"/>
    <n v="1"/>
    <n v="0.84171306818181824"/>
    <s v="M/C off 1.5 hrs for maintenance and 1 hrs due to PDB issue"/>
  </r>
  <r>
    <x v="78"/>
    <x v="1"/>
    <x v="8"/>
    <x v="4"/>
    <n v="6000"/>
    <n v="3410"/>
    <n v="0"/>
    <n v="0"/>
    <n v="3410"/>
    <n v="22"/>
    <m/>
    <n v="22"/>
    <n v="0"/>
    <n v="1"/>
    <n v="0.56833333333333336"/>
    <n v="1"/>
    <n v="0.56833333333333336"/>
    <s v="Production loss due to low fabric "/>
  </r>
  <r>
    <x v="78"/>
    <x v="1"/>
    <x v="9"/>
    <x v="4"/>
    <n v="5000"/>
    <n v="3189"/>
    <n v="0"/>
    <n v="0"/>
    <n v="3189"/>
    <n v="22"/>
    <m/>
    <n v="22"/>
    <n v="0"/>
    <n v="1"/>
    <n v="0.63780000000000003"/>
    <n v="1"/>
    <n v="0.63780000000000003"/>
    <s v="Production loss due to low fabric "/>
  </r>
  <r>
    <x v="79"/>
    <x v="0"/>
    <x v="0"/>
    <x v="0"/>
    <n v="15000"/>
    <n v="12786"/>
    <n v="0"/>
    <n v="0"/>
    <n v="12786"/>
    <n v="33"/>
    <n v="0"/>
    <n v="33"/>
    <n v="0"/>
    <n v="1"/>
    <n v="0.85240000000000005"/>
    <n v="1"/>
    <n v="0.85240000000000005"/>
    <m/>
  </r>
  <r>
    <x v="79"/>
    <x v="0"/>
    <x v="11"/>
    <x v="0"/>
    <n v="10740"/>
    <n v="10740"/>
    <n v="0"/>
    <n v="0"/>
    <n v="10740"/>
    <m/>
    <m/>
    <s v=""/>
    <s v=""/>
    <s v=""/>
    <n v="1"/>
    <n v="1"/>
    <s v=""/>
    <m/>
  </r>
  <r>
    <x v="79"/>
    <x v="0"/>
    <x v="1"/>
    <x v="1"/>
    <n v="7000"/>
    <n v="7860"/>
    <n v="0"/>
    <n v="0"/>
    <n v="7860"/>
    <n v="33"/>
    <n v="0.4"/>
    <n v="32.6"/>
    <n v="84.848484848484858"/>
    <n v="0.98787878787878791"/>
    <n v="1.1228571428571428"/>
    <n v="1"/>
    <n v="1.1092467532467531"/>
    <s v="M/c off 40 min due to PDB issue, ran during lunch &amp; dinner breaks to cover high O/W fabric load."/>
  </r>
  <r>
    <x v="79"/>
    <x v="0"/>
    <x v="1"/>
    <x v="2"/>
    <n v="6000"/>
    <n v="4961"/>
    <n v="0"/>
    <n v="0"/>
    <n v="4961"/>
    <m/>
    <m/>
    <s v=""/>
    <s v=""/>
    <s v=""/>
    <n v="0.82683333333333331"/>
    <n v="1"/>
    <s v=""/>
    <m/>
  </r>
  <r>
    <x v="79"/>
    <x v="0"/>
    <x v="2"/>
    <x v="2"/>
    <n v="10500"/>
    <n v="11090"/>
    <n v="0"/>
    <n v="0"/>
    <n v="11090"/>
    <m/>
    <n v="0.4"/>
    <s v=""/>
    <s v=""/>
    <s v=""/>
    <n v="1.0561904761904761"/>
    <n v="1"/>
    <s v=""/>
    <s v="M/c off 40 min due to PDB issue, ran during lunch &amp; dinner breaks to cover high O/W fabric load."/>
  </r>
  <r>
    <x v="79"/>
    <x v="0"/>
    <x v="3"/>
    <x v="3"/>
    <n v="11700"/>
    <n v="6669"/>
    <n v="0"/>
    <n v="0"/>
    <n v="6669"/>
    <n v="33"/>
    <n v="8"/>
    <n v="25"/>
    <n v="2836.3636363636365"/>
    <n v="0.75757575757575757"/>
    <n v="0.56999999999999995"/>
    <n v="1"/>
    <n v="0.43181818181818177"/>
    <s v="M/c off 8 hr due to H/Set fabric not ready."/>
  </r>
  <r>
    <x v="79"/>
    <x v="0"/>
    <x v="10"/>
    <x v="3"/>
    <m/>
    <m/>
    <m/>
    <s v=""/>
    <n v="0"/>
    <m/>
    <m/>
    <s v=""/>
    <s v=""/>
    <s v=""/>
    <s v=""/>
    <s v=""/>
    <s v=""/>
    <m/>
  </r>
  <r>
    <x v="79"/>
    <x v="0"/>
    <x v="4"/>
    <x v="4"/>
    <n v="13500"/>
    <n v="9355"/>
    <n v="0"/>
    <n v="0"/>
    <n v="9355"/>
    <n v="33"/>
    <n v="8"/>
    <n v="25"/>
    <n v="3272.7272727272725"/>
    <n v="0.75757575757575757"/>
    <n v="0.692962962962963"/>
    <n v="1"/>
    <n v="0.52497194163860839"/>
    <s v="M/C remained off for 8 hrs due to repeated inverter tripping."/>
  </r>
  <r>
    <x v="79"/>
    <x v="0"/>
    <x v="5"/>
    <x v="4"/>
    <n v="2013"/>
    <n v="2013"/>
    <m/>
    <n v="0"/>
    <n v="2013"/>
    <m/>
    <m/>
    <s v=""/>
    <s v=""/>
    <s v=""/>
    <n v="1"/>
    <n v="1"/>
    <s v=""/>
    <s v="Open Ferraro compacting was off; Monti compacting was run from 1:00 AM as backup"/>
  </r>
  <r>
    <x v="79"/>
    <x v="1"/>
    <x v="6"/>
    <x v="5"/>
    <n v="13500"/>
    <n v="12231"/>
    <n v="0"/>
    <n v="0"/>
    <n v="12231"/>
    <n v="33"/>
    <m/>
    <n v="33"/>
    <n v="0"/>
    <n v="1"/>
    <n v="0.90600000000000003"/>
    <n v="1"/>
    <n v="0.90600000000000003"/>
    <m/>
  </r>
  <r>
    <x v="79"/>
    <x v="1"/>
    <x v="7"/>
    <x v="6"/>
    <n v="12000"/>
    <n v="11534"/>
    <n v="0"/>
    <n v="0"/>
    <n v="11534"/>
    <n v="33"/>
    <n v="2.4"/>
    <n v="30.6"/>
    <n v="872.72727272727263"/>
    <n v="0.92727272727272736"/>
    <n v="0.96116666666666661"/>
    <n v="1"/>
    <n v="0.89126363636363637"/>
    <s v="M/C off 40 minutes for net cleaning, 2 hrs due to net cleaning &amp; PDB issue."/>
  </r>
  <r>
    <x v="79"/>
    <x v="1"/>
    <x v="8"/>
    <x v="4"/>
    <n v="9000"/>
    <n v="3088"/>
    <n v="0"/>
    <n v="0"/>
    <n v="3088"/>
    <n v="33"/>
    <m/>
    <n v="33"/>
    <n v="0"/>
    <n v="1"/>
    <n v="0.34311111111111109"/>
    <n v="1"/>
    <n v="0.34311111111111109"/>
    <m/>
  </r>
  <r>
    <x v="79"/>
    <x v="1"/>
    <x v="9"/>
    <x v="4"/>
    <n v="7500"/>
    <n v="6460"/>
    <n v="0"/>
    <n v="0"/>
    <n v="6460"/>
    <n v="33"/>
    <m/>
    <n v="33"/>
    <n v="0"/>
    <n v="1"/>
    <n v="0.86133333333333328"/>
    <n v="1"/>
    <n v="0.86133333333333328"/>
    <m/>
  </r>
  <r>
    <x v="80"/>
    <x v="0"/>
    <x v="0"/>
    <x v="0"/>
    <n v="10000"/>
    <n v="8625"/>
    <n v="0"/>
    <n v="0"/>
    <n v="8625"/>
    <n v="22"/>
    <m/>
    <n v="22"/>
    <n v="0"/>
    <n v="1"/>
    <n v="0.86250000000000004"/>
    <n v="1"/>
    <n v="0.86250000000000004"/>
    <m/>
  </r>
  <r>
    <x v="80"/>
    <x v="0"/>
    <x v="11"/>
    <x v="0"/>
    <n v="9011"/>
    <n v="9011"/>
    <n v="0"/>
    <n v="0"/>
    <n v="9011"/>
    <m/>
    <m/>
    <s v=""/>
    <s v=""/>
    <s v=""/>
    <n v="1"/>
    <n v="1"/>
    <s v=""/>
    <m/>
  </r>
  <r>
    <x v="80"/>
    <x v="0"/>
    <x v="1"/>
    <x v="1"/>
    <n v="5000"/>
    <n v="5821"/>
    <n v="0"/>
    <n v="0"/>
    <n v="5821"/>
    <n v="22"/>
    <m/>
    <n v="22"/>
    <n v="0"/>
    <n v="1"/>
    <n v="1.1641999999999999"/>
    <n v="1"/>
    <n v="1.1641999999999999"/>
    <s v="M/C run at lunch &amp; dinner break due to high open width fabric load."/>
  </r>
  <r>
    <x v="80"/>
    <x v="0"/>
    <x v="1"/>
    <x v="2"/>
    <n v="4000"/>
    <n v="3358"/>
    <n v="0"/>
    <n v="0"/>
    <n v="3358"/>
    <m/>
    <m/>
    <s v=""/>
    <s v=""/>
    <s v=""/>
    <n v="0.83950000000000002"/>
    <n v="1"/>
    <s v=""/>
    <m/>
  </r>
  <r>
    <x v="80"/>
    <x v="0"/>
    <x v="2"/>
    <x v="2"/>
    <n v="7000"/>
    <n v="8103"/>
    <n v="0"/>
    <n v="0"/>
    <n v="8103"/>
    <n v="22"/>
    <m/>
    <n v="22"/>
    <n v="0"/>
    <n v="1"/>
    <n v="1.1575714285714285"/>
    <n v="1"/>
    <n v="1.1575714285714285"/>
    <m/>
  </r>
  <r>
    <x v="80"/>
    <x v="0"/>
    <x v="3"/>
    <x v="3"/>
    <n v="7800"/>
    <n v="4399"/>
    <n v="0"/>
    <n v="0"/>
    <n v="4399"/>
    <n v="22"/>
    <n v="5"/>
    <n v="17"/>
    <n v="1772.7272727272727"/>
    <n v="0.77272727272727271"/>
    <n v="0.56397435897435899"/>
    <n v="1"/>
    <n v="0.43579836829836832"/>
    <s v="M/c off 5 hr due to unavailability of Heat-Set fabric"/>
  </r>
  <r>
    <x v="80"/>
    <x v="0"/>
    <x v="10"/>
    <x v="3"/>
    <m/>
    <m/>
    <m/>
    <s v=""/>
    <n v="0"/>
    <m/>
    <m/>
    <s v=""/>
    <s v=""/>
    <s v=""/>
    <s v=""/>
    <s v=""/>
    <s v=""/>
    <m/>
  </r>
  <r>
    <x v="80"/>
    <x v="0"/>
    <x v="4"/>
    <x v="4"/>
    <n v="9000"/>
    <n v="7281"/>
    <n v="0"/>
    <n v="0"/>
    <n v="7281"/>
    <n v="22"/>
    <m/>
    <n v="22"/>
    <n v="0"/>
    <n v="1"/>
    <n v="0.80900000000000005"/>
    <n v="1"/>
    <n v="0.80900000000000005"/>
    <m/>
  </r>
  <r>
    <x v="80"/>
    <x v="0"/>
    <x v="5"/>
    <x v="4"/>
    <n v="0"/>
    <m/>
    <m/>
    <s v=""/>
    <n v="0"/>
    <m/>
    <m/>
    <s v=""/>
    <s v=""/>
    <s v=""/>
    <s v=""/>
    <s v=""/>
    <s v=""/>
    <m/>
  </r>
  <r>
    <x v="80"/>
    <x v="1"/>
    <x v="6"/>
    <x v="5"/>
    <n v="9000"/>
    <n v="8343"/>
    <n v="0"/>
    <n v="0"/>
    <n v="8343"/>
    <n v="22"/>
    <m/>
    <n v="22"/>
    <n v="0"/>
    <n v="1"/>
    <n v="0.92700000000000005"/>
    <n v="1"/>
    <n v="0.92700000000000005"/>
    <m/>
  </r>
  <r>
    <x v="80"/>
    <x v="1"/>
    <x v="7"/>
    <x v="6"/>
    <n v="8000"/>
    <n v="7991"/>
    <n v="0"/>
    <n v="0"/>
    <n v="7991"/>
    <n v="22"/>
    <n v="2.2999999999999998"/>
    <n v="19.7"/>
    <n v="836.36363636363626"/>
    <n v="0.89545454545454539"/>
    <n v="0.99887499999999996"/>
    <n v="1"/>
    <n v="0.89444715909090899"/>
    <s v="M/c off for 2.30 hrs due to net cleaning &amp; PDB issue."/>
  </r>
  <r>
    <x v="80"/>
    <x v="1"/>
    <x v="8"/>
    <x v="4"/>
    <n v="6000"/>
    <n v="3060"/>
    <n v="0"/>
    <n v="0"/>
    <n v="3060"/>
    <n v="22"/>
    <m/>
    <n v="22"/>
    <n v="0"/>
    <n v="1"/>
    <n v="0.51"/>
    <n v="1"/>
    <n v="0.51"/>
    <m/>
  </r>
  <r>
    <x v="80"/>
    <x v="1"/>
    <x v="9"/>
    <x v="4"/>
    <n v="5000"/>
    <n v="4597"/>
    <n v="0"/>
    <n v="0"/>
    <n v="4597"/>
    <n v="22"/>
    <m/>
    <n v="22"/>
    <n v="0"/>
    <n v="1"/>
    <n v="0.9194"/>
    <n v="1"/>
    <n v="0.9194"/>
    <m/>
  </r>
  <r>
    <x v="81"/>
    <x v="0"/>
    <x v="0"/>
    <x v="0"/>
    <n v="10000"/>
    <n v="9242"/>
    <n v="0"/>
    <n v="0"/>
    <n v="9242"/>
    <n v="22"/>
    <m/>
    <n v="22"/>
    <n v="0"/>
    <n v="1"/>
    <n v="0.92420000000000002"/>
    <n v="1"/>
    <n v="0.92420000000000002"/>
    <m/>
  </r>
  <r>
    <x v="81"/>
    <x v="0"/>
    <x v="11"/>
    <x v="0"/>
    <n v="8900"/>
    <n v="8900"/>
    <n v="0"/>
    <n v="0"/>
    <n v="8900"/>
    <m/>
    <m/>
    <s v=""/>
    <s v=""/>
    <s v=""/>
    <n v="1"/>
    <n v="1"/>
    <s v=""/>
    <m/>
  </r>
  <r>
    <x v="81"/>
    <x v="0"/>
    <x v="1"/>
    <x v="1"/>
    <n v="5000"/>
    <n v="6565"/>
    <n v="0"/>
    <n v="0"/>
    <n v="6565"/>
    <n v="22"/>
    <m/>
    <n v="22"/>
    <n v="0"/>
    <n v="1"/>
    <n v="1.3129999999999999"/>
    <n v="1"/>
    <n v="1.3129999999999999"/>
    <m/>
  </r>
  <r>
    <x v="81"/>
    <x v="0"/>
    <x v="1"/>
    <x v="2"/>
    <n v="4000"/>
    <n v="1757"/>
    <n v="0"/>
    <n v="0"/>
    <n v="1757"/>
    <m/>
    <m/>
    <s v=""/>
    <s v=""/>
    <s v=""/>
    <n v="0.43924999999999997"/>
    <n v="1"/>
    <s v=""/>
    <m/>
  </r>
  <r>
    <x v="81"/>
    <x v="0"/>
    <x v="2"/>
    <x v="2"/>
    <n v="7000"/>
    <n v="8454"/>
    <n v="0"/>
    <n v="0"/>
    <n v="8454"/>
    <n v="22"/>
    <m/>
    <n v="22"/>
    <n v="0"/>
    <n v="1"/>
    <n v="1.2077142857142857"/>
    <n v="1"/>
    <n v="1.2077142857142857"/>
    <s v="M/C run at lunch &amp; dinner break due to high open width fabric load."/>
  </r>
  <r>
    <x v="81"/>
    <x v="0"/>
    <x v="3"/>
    <x v="3"/>
    <n v="7800"/>
    <n v="7241"/>
    <n v="0"/>
    <n v="0"/>
    <n v="7241"/>
    <n v="22"/>
    <n v="3"/>
    <n v="19"/>
    <n v="1063.6363636363637"/>
    <n v="0.86363636363636365"/>
    <n v="0.92833333333333334"/>
    <n v="1"/>
    <n v="0.80174242424242426"/>
    <s v="M/c off 3 hr due to H/Set fabric not ready."/>
  </r>
  <r>
    <x v="81"/>
    <x v="0"/>
    <x v="10"/>
    <x v="3"/>
    <m/>
    <m/>
    <m/>
    <s v=""/>
    <n v="0"/>
    <m/>
    <m/>
    <s v=""/>
    <s v=""/>
    <s v=""/>
    <s v=""/>
    <s v=""/>
    <s v=""/>
    <m/>
  </r>
  <r>
    <x v="81"/>
    <x v="0"/>
    <x v="4"/>
    <x v="4"/>
    <n v="9000"/>
    <n v="7820"/>
    <n v="0"/>
    <n v="0"/>
    <n v="7820"/>
    <n v="22"/>
    <m/>
    <n v="22"/>
    <n v="0"/>
    <n v="1"/>
    <n v="0.86888888888888893"/>
    <n v="1"/>
    <n v="0.86888888888888893"/>
    <m/>
  </r>
  <r>
    <x v="81"/>
    <x v="0"/>
    <x v="5"/>
    <x v="4"/>
    <n v="0"/>
    <m/>
    <m/>
    <s v=""/>
    <n v="0"/>
    <m/>
    <m/>
    <s v=""/>
    <s v=""/>
    <s v=""/>
    <s v=""/>
    <s v=""/>
    <s v=""/>
    <m/>
  </r>
  <r>
    <x v="81"/>
    <x v="1"/>
    <x v="6"/>
    <x v="5"/>
    <n v="9000"/>
    <n v="6633"/>
    <n v="0"/>
    <n v="0"/>
    <n v="6633"/>
    <n v="22"/>
    <m/>
    <n v="22"/>
    <n v="0"/>
    <n v="1"/>
    <n v="0.73699999999999999"/>
    <n v="1"/>
    <n v="0.73699999999999999"/>
    <s v="Production loss occurred due to a conveyor belt issue in the flat dryer."/>
  </r>
  <r>
    <x v="81"/>
    <x v="1"/>
    <x v="7"/>
    <x v="6"/>
    <n v="8000"/>
    <n v="5419"/>
    <n v="0"/>
    <n v="0"/>
    <n v="5419"/>
    <n v="22"/>
    <n v="10.5"/>
    <n v="11.5"/>
    <n v="3818.181818181818"/>
    <n v="0.52272727272727271"/>
    <n v="0.67737499999999995"/>
    <n v="1"/>
    <n v="0.35408238636363631"/>
    <s v="M/c off 50 min due to net cleaning, followed by 10 hrs of downtime for conveyor belt stitching work."/>
  </r>
  <r>
    <x v="81"/>
    <x v="1"/>
    <x v="8"/>
    <x v="4"/>
    <n v="6000"/>
    <n v="2399"/>
    <n v="0"/>
    <n v="0"/>
    <n v="2399"/>
    <n v="22"/>
    <m/>
    <n v="22"/>
    <n v="0"/>
    <n v="1"/>
    <n v="0.39983333333333332"/>
    <n v="1"/>
    <n v="0.39983333333333332"/>
    <s v="Production loss occurred due to a conveyor belt issue in the flat dryer."/>
  </r>
  <r>
    <x v="81"/>
    <x v="1"/>
    <x v="9"/>
    <x v="4"/>
    <n v="5000"/>
    <n v="3421"/>
    <n v="0"/>
    <n v="0"/>
    <n v="3421"/>
    <n v="22"/>
    <m/>
    <n v="22"/>
    <n v="0"/>
    <n v="1"/>
    <n v="0.68420000000000003"/>
    <n v="1"/>
    <n v="0.68420000000000003"/>
    <s v="Production loss occurred due to a conveyor belt issue in the flat dryer."/>
  </r>
  <r>
    <x v="82"/>
    <x v="0"/>
    <x v="0"/>
    <x v="0"/>
    <n v="10000"/>
    <n v="8621"/>
    <n v="0"/>
    <n v="0"/>
    <n v="8621"/>
    <n v="22"/>
    <n v="1.5"/>
    <n v="20.5"/>
    <n v="681.81818181818187"/>
    <n v="0.93181818181818177"/>
    <n v="0.86209999999999998"/>
    <n v="1"/>
    <n v="0.80332045454545453"/>
    <s v="M/C off 1.50 hrs for fabric cutter replacement."/>
  </r>
  <r>
    <x v="82"/>
    <x v="0"/>
    <x v="11"/>
    <x v="0"/>
    <n v="10185"/>
    <n v="10185"/>
    <n v="0"/>
    <n v="0"/>
    <n v="10185"/>
    <m/>
    <m/>
    <s v=""/>
    <s v=""/>
    <s v=""/>
    <n v="1"/>
    <n v="1"/>
    <s v=""/>
    <m/>
  </r>
  <r>
    <x v="82"/>
    <x v="0"/>
    <x v="1"/>
    <x v="1"/>
    <n v="5000"/>
    <n v="5454"/>
    <n v="0"/>
    <n v="0"/>
    <n v="5454"/>
    <n v="22"/>
    <m/>
    <n v="22"/>
    <n v="0"/>
    <n v="1"/>
    <n v="1.0908"/>
    <n v="1"/>
    <n v="1.0908"/>
    <m/>
  </r>
  <r>
    <x v="82"/>
    <x v="0"/>
    <x v="1"/>
    <x v="2"/>
    <n v="4000"/>
    <n v="3422"/>
    <n v="0"/>
    <n v="0"/>
    <n v="3422"/>
    <m/>
    <m/>
    <s v=""/>
    <s v=""/>
    <s v=""/>
    <n v="0.85550000000000004"/>
    <n v="1"/>
    <s v=""/>
    <m/>
  </r>
  <r>
    <x v="82"/>
    <x v="0"/>
    <x v="2"/>
    <x v="2"/>
    <n v="7000"/>
    <n v="7860"/>
    <n v="0"/>
    <n v="0"/>
    <n v="7860"/>
    <n v="22"/>
    <m/>
    <n v="22"/>
    <n v="0"/>
    <n v="1"/>
    <n v="1.1228571428571428"/>
    <n v="1"/>
    <n v="1.1228571428571428"/>
    <s v="M/C run at lunch &amp; dinner break due to high open width fabric load."/>
  </r>
  <r>
    <x v="82"/>
    <x v="0"/>
    <x v="3"/>
    <x v="3"/>
    <n v="7800"/>
    <n v="5044"/>
    <n v="0"/>
    <n v="0"/>
    <n v="5044"/>
    <n v="22"/>
    <n v="4.5"/>
    <n v="17.5"/>
    <n v="1595.4545454545455"/>
    <n v="0.79545454545454541"/>
    <n v="0.64666666666666661"/>
    <n v="1"/>
    <n v="0.51439393939393929"/>
    <s v="M/c off 4.50 hr due to unavailability of Heat-Set fabric"/>
  </r>
  <r>
    <x v="82"/>
    <x v="0"/>
    <x v="10"/>
    <x v="3"/>
    <m/>
    <m/>
    <m/>
    <s v=""/>
    <n v="0"/>
    <m/>
    <m/>
    <s v=""/>
    <s v=""/>
    <s v=""/>
    <s v=""/>
    <s v=""/>
    <s v=""/>
    <m/>
  </r>
  <r>
    <x v="82"/>
    <x v="0"/>
    <x v="4"/>
    <x v="4"/>
    <n v="9000"/>
    <n v="9143"/>
    <n v="0"/>
    <n v="0"/>
    <n v="9143"/>
    <n v="22"/>
    <m/>
    <n v="22"/>
    <n v="0"/>
    <n v="1"/>
    <n v="1.0158888888888888"/>
    <n v="1"/>
    <n v="1.0158888888888888"/>
    <m/>
  </r>
  <r>
    <x v="82"/>
    <x v="0"/>
    <x v="5"/>
    <x v="4"/>
    <n v="0"/>
    <m/>
    <m/>
    <s v=""/>
    <n v="0"/>
    <m/>
    <m/>
    <s v=""/>
    <s v=""/>
    <s v=""/>
    <s v=""/>
    <s v=""/>
    <s v=""/>
    <m/>
  </r>
  <r>
    <x v="82"/>
    <x v="1"/>
    <x v="6"/>
    <x v="5"/>
    <n v="9000"/>
    <n v="10006"/>
    <n v="0"/>
    <n v="0"/>
    <n v="10006"/>
    <n v="22"/>
    <m/>
    <n v="22"/>
    <n v="0"/>
    <n v="1"/>
    <n v="1.1117777777777778"/>
    <n v="1"/>
    <n v="1.1117777777777778"/>
    <s v="M/C run at lunch &amp; dinner break due to excess Tube fabric load."/>
  </r>
  <r>
    <x v="82"/>
    <x v="1"/>
    <x v="7"/>
    <x v="6"/>
    <n v="8000"/>
    <n v="9461"/>
    <n v="0"/>
    <n v="0"/>
    <n v="9461"/>
    <n v="22"/>
    <n v="1.5"/>
    <n v="20.5"/>
    <n v="545.4545454545455"/>
    <n v="0.93181818181818177"/>
    <n v="1.182625"/>
    <n v="1"/>
    <n v="1.1019914772727273"/>
    <s v="M/C off 1.50 hrs for net cleaning. M/C run during lunch &amp; dinner breaks due to high Tube fabric load."/>
  </r>
  <r>
    <x v="82"/>
    <x v="1"/>
    <x v="8"/>
    <x v="4"/>
    <n v="6000"/>
    <n v="3967"/>
    <n v="0"/>
    <n v="0"/>
    <n v="3967"/>
    <n v="22"/>
    <m/>
    <n v="22"/>
    <n v="0"/>
    <n v="1"/>
    <n v="0.66116666666666668"/>
    <n v="1"/>
    <n v="0.66116666666666668"/>
    <m/>
  </r>
  <r>
    <x v="82"/>
    <x v="1"/>
    <x v="9"/>
    <x v="4"/>
    <n v="5000"/>
    <n v="4513"/>
    <n v="0"/>
    <n v="0"/>
    <n v="4513"/>
    <n v="22"/>
    <m/>
    <n v="22"/>
    <n v="0"/>
    <n v="1"/>
    <n v="0.90259999999999996"/>
    <n v="1"/>
    <n v="0.90259999999999996"/>
    <m/>
  </r>
  <r>
    <x v="83"/>
    <x v="0"/>
    <x v="0"/>
    <x v="0"/>
    <n v="10000"/>
    <n v="8238"/>
    <n v="0"/>
    <n v="0"/>
    <n v="8238"/>
    <n v="22"/>
    <n v="1.6"/>
    <n v="20.399999999999999"/>
    <n v="727.27272727272737"/>
    <n v="0.92727272727272725"/>
    <n v="0.82379999999999998"/>
    <n v="1"/>
    <n v="0.76388727272727264"/>
    <s v="M/c was off for 1.60 hrs due to the unavailability of an empty trolley."/>
  </r>
  <r>
    <x v="83"/>
    <x v="0"/>
    <x v="11"/>
    <x v="0"/>
    <n v="8620"/>
    <n v="8620"/>
    <n v="0"/>
    <n v="0"/>
    <n v="8620"/>
    <m/>
    <m/>
    <s v=""/>
    <s v=""/>
    <s v=""/>
    <n v="1"/>
    <n v="1"/>
    <s v=""/>
    <m/>
  </r>
  <r>
    <x v="83"/>
    <x v="0"/>
    <x v="1"/>
    <x v="1"/>
    <n v="5000"/>
    <n v="3045"/>
    <n v="0"/>
    <n v="0"/>
    <n v="3045"/>
    <n v="22"/>
    <m/>
    <n v="22"/>
    <n v="0"/>
    <n v="1"/>
    <n v="0.60899999999999999"/>
    <n v="1"/>
    <n v="0.60899999999999999"/>
    <m/>
  </r>
  <r>
    <x v="83"/>
    <x v="0"/>
    <x v="1"/>
    <x v="2"/>
    <n v="4000"/>
    <n v="6312"/>
    <n v="0"/>
    <n v="0"/>
    <n v="6312"/>
    <m/>
    <m/>
    <s v=""/>
    <s v=""/>
    <s v=""/>
    <n v="1.5780000000000001"/>
    <n v="1"/>
    <s v=""/>
    <s v="Most of the Fabric was at &quot;To Finish&quot; stage"/>
  </r>
  <r>
    <x v="83"/>
    <x v="0"/>
    <x v="2"/>
    <x v="2"/>
    <n v="7000"/>
    <n v="8168"/>
    <n v="0"/>
    <n v="0"/>
    <n v="8168"/>
    <n v="22"/>
    <m/>
    <n v="22"/>
    <n v="0"/>
    <n v="1"/>
    <n v="1.1668571428571428"/>
    <n v="1"/>
    <n v="1.1668571428571428"/>
    <s v="M/C run at lunch &amp; dinner break due to high open width fabric load."/>
  </r>
  <r>
    <x v="83"/>
    <x v="0"/>
    <x v="3"/>
    <x v="3"/>
    <n v="7800"/>
    <n v="5158"/>
    <n v="0"/>
    <n v="0"/>
    <n v="5158"/>
    <n v="22"/>
    <n v="4"/>
    <n v="18"/>
    <n v="1418.1818181818182"/>
    <n v="0.81818181818181823"/>
    <n v="0.66128205128205131"/>
    <n v="1"/>
    <n v="0.54104895104895112"/>
    <s v="M/c was off for 4 hr due to H/Set fabric not ready."/>
  </r>
  <r>
    <x v="83"/>
    <x v="0"/>
    <x v="10"/>
    <x v="3"/>
    <m/>
    <m/>
    <m/>
    <s v=""/>
    <n v="0"/>
    <m/>
    <m/>
    <s v=""/>
    <s v=""/>
    <s v=""/>
    <s v=""/>
    <s v=""/>
    <s v=""/>
    <m/>
  </r>
  <r>
    <x v="83"/>
    <x v="0"/>
    <x v="4"/>
    <x v="4"/>
    <n v="9000"/>
    <n v="8905"/>
    <n v="0"/>
    <n v="0"/>
    <n v="8905"/>
    <n v="22"/>
    <m/>
    <n v="22"/>
    <n v="0"/>
    <n v="1"/>
    <n v="0.98944444444444446"/>
    <n v="1"/>
    <n v="0.98944444444444446"/>
    <m/>
  </r>
  <r>
    <x v="83"/>
    <x v="0"/>
    <x v="5"/>
    <x v="4"/>
    <n v="0"/>
    <m/>
    <m/>
    <s v=""/>
    <n v="0"/>
    <m/>
    <m/>
    <s v=""/>
    <s v=""/>
    <s v=""/>
    <s v=""/>
    <s v=""/>
    <s v=""/>
    <m/>
  </r>
  <r>
    <x v="83"/>
    <x v="1"/>
    <x v="6"/>
    <x v="5"/>
    <n v="9000"/>
    <n v="8655"/>
    <n v="0"/>
    <n v="0"/>
    <n v="8655"/>
    <n v="22"/>
    <m/>
    <n v="22"/>
    <n v="0"/>
    <n v="1"/>
    <n v="0.96166666666666667"/>
    <n v="1"/>
    <n v="0.96166666666666667"/>
    <s v="M/C run during lunch &amp; dinner breaks due to high tube width fabric load."/>
  </r>
  <r>
    <x v="83"/>
    <x v="1"/>
    <x v="7"/>
    <x v="6"/>
    <n v="8000"/>
    <n v="9547"/>
    <n v="0"/>
    <n v="0"/>
    <n v="9547"/>
    <n v="22"/>
    <n v="1.5"/>
    <n v="20.5"/>
    <n v="545.4545454545455"/>
    <n v="0.93181818181818177"/>
    <n v="1.1933750000000001"/>
    <n v="1"/>
    <n v="1.1120085227272727"/>
    <s v="M/C was off 1.50 hrs for net cleaning and was operated during the lunch and dinner breaks due to the high tube-width fabric load."/>
  </r>
  <r>
    <x v="83"/>
    <x v="1"/>
    <x v="8"/>
    <x v="4"/>
    <n v="6000"/>
    <n v="4095"/>
    <n v="0"/>
    <n v="0"/>
    <n v="4095"/>
    <n v="22"/>
    <m/>
    <n v="22"/>
    <n v="0"/>
    <n v="1"/>
    <n v="0.6825"/>
    <n v="1"/>
    <n v="0.6825"/>
    <m/>
  </r>
  <r>
    <x v="83"/>
    <x v="1"/>
    <x v="9"/>
    <x v="4"/>
    <n v="5000"/>
    <n v="5246"/>
    <n v="0"/>
    <n v="0"/>
    <n v="5246"/>
    <n v="22"/>
    <m/>
    <n v="22"/>
    <n v="0"/>
    <n v="1"/>
    <n v="1.0491999999999999"/>
    <n v="1"/>
    <n v="1.0491999999999999"/>
    <m/>
  </r>
  <r>
    <x v="84"/>
    <x v="0"/>
    <x v="0"/>
    <x v="0"/>
    <n v="13000"/>
    <n v="12432"/>
    <n v="0"/>
    <n v="0"/>
    <n v="12432"/>
    <n v="33"/>
    <m/>
    <n v="33"/>
    <n v="0"/>
    <n v="1"/>
    <n v="0.9563076923076923"/>
    <n v="1"/>
    <n v="0.9563076923076923"/>
    <m/>
  </r>
  <r>
    <x v="84"/>
    <x v="0"/>
    <x v="11"/>
    <x v="0"/>
    <n v="15006"/>
    <n v="15006"/>
    <n v="0"/>
    <n v="0"/>
    <n v="15006"/>
    <m/>
    <m/>
    <s v=""/>
    <s v=""/>
    <s v=""/>
    <n v="1"/>
    <n v="1"/>
    <s v=""/>
    <m/>
  </r>
  <r>
    <x v="84"/>
    <x v="0"/>
    <x v="1"/>
    <x v="1"/>
    <n v="6500"/>
    <n v="6584"/>
    <n v="0"/>
    <n v="0"/>
    <n v="6584"/>
    <n v="33"/>
    <m/>
    <n v="33"/>
    <n v="0"/>
    <n v="1"/>
    <n v="1.0129230769230768"/>
    <n v="1"/>
    <n v="1.0129230769230768"/>
    <m/>
  </r>
  <r>
    <x v="84"/>
    <x v="0"/>
    <x v="1"/>
    <x v="2"/>
    <n v="6500"/>
    <n v="6536"/>
    <n v="0"/>
    <n v="0"/>
    <n v="6536"/>
    <m/>
    <m/>
    <s v=""/>
    <s v=""/>
    <s v=""/>
    <n v="1.0055384615384615"/>
    <n v="1"/>
    <s v=""/>
    <m/>
  </r>
  <r>
    <x v="84"/>
    <x v="0"/>
    <x v="2"/>
    <x v="2"/>
    <n v="9500"/>
    <n v="10939"/>
    <n v="0"/>
    <n v="0"/>
    <n v="10939"/>
    <n v="33"/>
    <m/>
    <n v="33"/>
    <n v="0"/>
    <n v="1"/>
    <n v="1.1514736842105262"/>
    <n v="1"/>
    <n v="1.1514736842105262"/>
    <m/>
  </r>
  <r>
    <x v="84"/>
    <x v="0"/>
    <x v="3"/>
    <x v="3"/>
    <n v="7800"/>
    <n v="7586"/>
    <n v="0"/>
    <n v="0"/>
    <n v="7586"/>
    <n v="33"/>
    <n v="7"/>
    <n v="26"/>
    <n v="1654.5454545454545"/>
    <n v="0.78787878787878785"/>
    <n v="0.97256410256410253"/>
    <n v="1"/>
    <n v="0.7662626262626262"/>
    <s v="M/c off 7 hr due to unavailability of Heat-Set fabric"/>
  </r>
  <r>
    <x v="84"/>
    <x v="0"/>
    <x v="10"/>
    <x v="3"/>
    <m/>
    <m/>
    <m/>
    <s v=""/>
    <n v="0"/>
    <m/>
    <m/>
    <s v=""/>
    <s v=""/>
    <s v=""/>
    <s v=""/>
    <s v=""/>
    <s v=""/>
    <m/>
  </r>
  <r>
    <x v="84"/>
    <x v="0"/>
    <x v="4"/>
    <x v="4"/>
    <n v="11000"/>
    <n v="10248"/>
    <n v="0"/>
    <n v="0"/>
    <n v="10248"/>
    <n v="33"/>
    <m/>
    <n v="33"/>
    <n v="0"/>
    <n v="1"/>
    <n v="0.9316363636363636"/>
    <n v="1"/>
    <n v="0.9316363636363636"/>
    <m/>
  </r>
  <r>
    <x v="84"/>
    <x v="0"/>
    <x v="5"/>
    <x v="4"/>
    <n v="1128"/>
    <n v="1128"/>
    <m/>
    <n v="0"/>
    <n v="1128"/>
    <m/>
    <m/>
    <s v=""/>
    <s v=""/>
    <s v=""/>
    <n v="1"/>
    <n v="1"/>
    <s v=""/>
    <s v="Due to low T/F fabric, Monty m/c kept running  with the helpers from Tube Ferraro"/>
  </r>
  <r>
    <x v="84"/>
    <x v="1"/>
    <x v="6"/>
    <x v="5"/>
    <n v="9000"/>
    <n v="4977"/>
    <n v="0"/>
    <n v="0"/>
    <n v="4977"/>
    <n v="22"/>
    <m/>
    <n v="22"/>
    <n v="0"/>
    <n v="1"/>
    <n v="0.55300000000000005"/>
    <n v="1"/>
    <n v="0.55300000000000005"/>
    <m/>
  </r>
  <r>
    <x v="84"/>
    <x v="1"/>
    <x v="7"/>
    <x v="6"/>
    <n v="8000"/>
    <n v="7671"/>
    <n v="0"/>
    <n v="0"/>
    <n v="7671"/>
    <n v="22"/>
    <n v="1.5"/>
    <n v="20.5"/>
    <n v="545.4545454545455"/>
    <n v="0.93181818181818177"/>
    <n v="0.95887500000000003"/>
    <n v="1"/>
    <n v="0.8934971590909091"/>
    <s v="M/C off 1.50 hrs for net cleaning"/>
  </r>
  <r>
    <x v="84"/>
    <x v="1"/>
    <x v="8"/>
    <x v="4"/>
    <n v="6000"/>
    <n v="3222"/>
    <n v="0"/>
    <n v="0"/>
    <n v="3222"/>
    <n v="22"/>
    <m/>
    <n v="22"/>
    <n v="0"/>
    <n v="1"/>
    <n v="0.53700000000000003"/>
    <n v="1"/>
    <n v="0.53700000000000003"/>
    <m/>
  </r>
  <r>
    <x v="84"/>
    <x v="1"/>
    <x v="9"/>
    <x v="4"/>
    <n v="7500"/>
    <n v="5113"/>
    <n v="0"/>
    <n v="0"/>
    <n v="5113"/>
    <n v="33"/>
    <m/>
    <n v="33"/>
    <n v="0"/>
    <n v="1"/>
    <n v="0.6817333333333333"/>
    <n v="1"/>
    <n v="0.6817333333333333"/>
    <m/>
  </r>
  <r>
    <x v="85"/>
    <x v="0"/>
    <x v="0"/>
    <x v="0"/>
    <n v="12000"/>
    <n v="10601"/>
    <n v="0"/>
    <n v="0"/>
    <n v="10601"/>
    <n v="22"/>
    <m/>
    <n v="22"/>
    <n v="0"/>
    <n v="1"/>
    <n v="0.88341666666666663"/>
    <n v="1"/>
    <n v="0.88341666666666663"/>
    <m/>
  </r>
  <r>
    <x v="85"/>
    <x v="0"/>
    <x v="11"/>
    <x v="0"/>
    <n v="12175"/>
    <n v="12175"/>
    <n v="0"/>
    <n v="0"/>
    <n v="12175"/>
    <m/>
    <m/>
    <s v=""/>
    <s v=""/>
    <s v=""/>
    <n v="1"/>
    <n v="1"/>
    <s v=""/>
    <m/>
  </r>
  <r>
    <x v="85"/>
    <x v="0"/>
    <x v="1"/>
    <x v="1"/>
    <n v="6000"/>
    <n v="5162"/>
    <n v="0"/>
    <n v="0"/>
    <n v="5162"/>
    <n v="22"/>
    <m/>
    <n v="22"/>
    <n v="0"/>
    <n v="1"/>
    <n v="0.86033333333333328"/>
    <n v="1"/>
    <n v="0.86033333333333328"/>
    <m/>
  </r>
  <r>
    <x v="85"/>
    <x v="0"/>
    <x v="1"/>
    <x v="2"/>
    <n v="5000"/>
    <n v="5649"/>
    <n v="0"/>
    <n v="0"/>
    <n v="5649"/>
    <m/>
    <m/>
    <s v=""/>
    <s v=""/>
    <s v=""/>
    <n v="1.1297999999999999"/>
    <n v="1"/>
    <s v=""/>
    <m/>
  </r>
  <r>
    <x v="85"/>
    <x v="0"/>
    <x v="2"/>
    <x v="2"/>
    <n v="8000"/>
    <n v="8923"/>
    <n v="0"/>
    <n v="0"/>
    <n v="8923"/>
    <n v="22"/>
    <m/>
    <n v="22"/>
    <n v="0"/>
    <n v="1"/>
    <n v="1.115375"/>
    <n v="1"/>
    <n v="1.115375"/>
    <m/>
  </r>
  <r>
    <x v="85"/>
    <x v="0"/>
    <x v="3"/>
    <x v="3"/>
    <n v="7800"/>
    <n v="6706"/>
    <n v="0"/>
    <n v="0"/>
    <n v="6706"/>
    <n v="22"/>
    <n v="5"/>
    <n v="17"/>
    <n v="1772.7272727272727"/>
    <n v="0.77272727272727271"/>
    <n v="0.85974358974358978"/>
    <n v="1"/>
    <n v="0.66434731934731939"/>
    <s v="M/c off 5 hr due to unavailability of Heat-Set fabric"/>
  </r>
  <r>
    <x v="85"/>
    <x v="0"/>
    <x v="10"/>
    <x v="3"/>
    <m/>
    <m/>
    <m/>
    <s v=""/>
    <n v="0"/>
    <m/>
    <m/>
    <s v=""/>
    <s v=""/>
    <s v=""/>
    <s v=""/>
    <s v=""/>
    <s v=""/>
    <m/>
  </r>
  <r>
    <x v="85"/>
    <x v="0"/>
    <x v="4"/>
    <x v="4"/>
    <n v="11000"/>
    <n v="10749"/>
    <n v="0"/>
    <n v="0"/>
    <n v="10749"/>
    <n v="22"/>
    <m/>
    <n v="22"/>
    <n v="0"/>
    <n v="1"/>
    <n v="0.97718181818181815"/>
    <n v="1"/>
    <n v="0.97718181818181815"/>
    <m/>
  </r>
  <r>
    <x v="85"/>
    <x v="0"/>
    <x v="5"/>
    <x v="4"/>
    <n v="3394"/>
    <n v="3394"/>
    <m/>
    <n v="0"/>
    <n v="3394"/>
    <m/>
    <m/>
    <s v=""/>
    <s v=""/>
    <s v=""/>
    <n v="1"/>
    <n v="1"/>
    <s v=""/>
    <s v="Due to low T/F fabric, Monty m/c kept running  with the helpers from Tube Ferraro"/>
  </r>
  <r>
    <x v="85"/>
    <x v="1"/>
    <x v="6"/>
    <x v="5"/>
    <n v="9000"/>
    <n v="4387"/>
    <n v="0"/>
    <n v="0"/>
    <n v="4387"/>
    <n v="22"/>
    <m/>
    <n v="22"/>
    <n v="0"/>
    <n v="1"/>
    <n v="0.48744444444444446"/>
    <n v="1"/>
    <n v="0.48744444444444446"/>
    <s v="Insufficient fabric input from Dyeing"/>
  </r>
  <r>
    <x v="85"/>
    <x v="1"/>
    <x v="7"/>
    <x v="6"/>
    <n v="8000"/>
    <n v="2391"/>
    <n v="0"/>
    <n v="0"/>
    <n v="2391"/>
    <n v="22"/>
    <n v="13.1"/>
    <n v="8.9"/>
    <n v="4763.6363636363631"/>
    <n v="0.40454545454545454"/>
    <n v="0.298875"/>
    <n v="1"/>
    <n v="0.12090852272727273"/>
    <s v="M/C off 13.10 hrs due to insufficient fabric input from Dyeing"/>
  </r>
  <r>
    <x v="85"/>
    <x v="1"/>
    <x v="8"/>
    <x v="4"/>
    <n v="6000"/>
    <m/>
    <n v="0"/>
    <s v=""/>
    <n v="0"/>
    <n v="22"/>
    <n v="22"/>
    <n v="0"/>
    <n v="6000"/>
    <n v="0"/>
    <n v="0"/>
    <s v=""/>
    <s v=""/>
    <s v="M/C off for blanket change, roller repair, and bearing replacement."/>
  </r>
  <r>
    <x v="85"/>
    <x v="1"/>
    <x v="9"/>
    <x v="4"/>
    <n v="5000"/>
    <n v="1167"/>
    <n v="0"/>
    <n v="0"/>
    <n v="1167"/>
    <n v="22"/>
    <m/>
    <n v="22"/>
    <n v="0"/>
    <n v="1"/>
    <n v="0.2334"/>
    <n v="1"/>
    <n v="0.2334"/>
    <s v="Insufficient fabric input from Dyeing"/>
  </r>
  <r>
    <x v="86"/>
    <x v="0"/>
    <x v="0"/>
    <x v="0"/>
    <n v="10000"/>
    <n v="9140"/>
    <n v="0"/>
    <n v="0"/>
    <n v="9140"/>
    <n v="22"/>
    <m/>
    <n v="22"/>
    <n v="0"/>
    <n v="1"/>
    <n v="0.91400000000000003"/>
    <n v="1"/>
    <n v="0.91400000000000003"/>
    <m/>
  </r>
  <r>
    <x v="86"/>
    <x v="0"/>
    <x v="11"/>
    <x v="0"/>
    <n v="10506"/>
    <n v="10506"/>
    <n v="0"/>
    <n v="0"/>
    <n v="10506"/>
    <m/>
    <m/>
    <s v=""/>
    <s v=""/>
    <s v=""/>
    <n v="1"/>
    <n v="1"/>
    <s v=""/>
    <m/>
  </r>
  <r>
    <x v="86"/>
    <x v="0"/>
    <x v="1"/>
    <x v="1"/>
    <n v="5000"/>
    <n v="5199"/>
    <n v="0"/>
    <n v="0"/>
    <n v="5199"/>
    <n v="22"/>
    <m/>
    <n v="22"/>
    <n v="0"/>
    <n v="1"/>
    <n v="1.0398000000000001"/>
    <n v="1"/>
    <n v="1.0398000000000001"/>
    <m/>
  </r>
  <r>
    <x v="86"/>
    <x v="0"/>
    <x v="1"/>
    <x v="2"/>
    <n v="4000"/>
    <n v="4460"/>
    <n v="0"/>
    <n v="0"/>
    <n v="4460"/>
    <m/>
    <m/>
    <s v=""/>
    <s v=""/>
    <s v=""/>
    <n v="1.115"/>
    <n v="1"/>
    <s v=""/>
    <m/>
  </r>
  <r>
    <x v="86"/>
    <x v="0"/>
    <x v="2"/>
    <x v="2"/>
    <n v="7000"/>
    <n v="8450"/>
    <n v="0"/>
    <n v="0"/>
    <n v="8450"/>
    <n v="22"/>
    <m/>
    <n v="22"/>
    <n v="0"/>
    <n v="1"/>
    <n v="1.2071428571428571"/>
    <n v="1"/>
    <n v="1.2071428571428571"/>
    <m/>
  </r>
  <r>
    <x v="86"/>
    <x v="0"/>
    <x v="3"/>
    <x v="3"/>
    <n v="7800"/>
    <n v="7635"/>
    <n v="0"/>
    <n v="0"/>
    <n v="7635"/>
    <n v="22"/>
    <m/>
    <n v="22"/>
    <n v="0"/>
    <n v="1"/>
    <n v="0.97884615384615381"/>
    <n v="1"/>
    <n v="0.97884615384615381"/>
    <m/>
  </r>
  <r>
    <x v="86"/>
    <x v="0"/>
    <x v="10"/>
    <x v="3"/>
    <m/>
    <m/>
    <m/>
    <s v=""/>
    <n v="0"/>
    <m/>
    <m/>
    <s v=""/>
    <s v=""/>
    <s v=""/>
    <s v=""/>
    <s v=""/>
    <s v=""/>
    <m/>
  </r>
  <r>
    <x v="86"/>
    <x v="0"/>
    <x v="4"/>
    <x v="4"/>
    <n v="9000"/>
    <n v="7039"/>
    <n v="0"/>
    <n v="0"/>
    <n v="7039"/>
    <n v="22"/>
    <m/>
    <n v="22"/>
    <n v="0"/>
    <n v="1"/>
    <n v="0.78211111111111109"/>
    <n v="1"/>
    <n v="0.78211111111111109"/>
    <m/>
  </r>
  <r>
    <x v="86"/>
    <x v="0"/>
    <x v="5"/>
    <x v="4"/>
    <n v="2947"/>
    <n v="2947"/>
    <m/>
    <n v="0"/>
    <n v="2947"/>
    <m/>
    <m/>
    <s v=""/>
    <s v=""/>
    <s v=""/>
    <n v="1"/>
    <n v="1"/>
    <s v=""/>
    <s v="Due to low T/F fabric, Monty m/c kept running  with the helpers from Tube Ferraro"/>
  </r>
  <r>
    <x v="86"/>
    <x v="1"/>
    <x v="6"/>
    <x v="5"/>
    <n v="9000"/>
    <n v="5844"/>
    <n v="0"/>
    <n v="0"/>
    <n v="5844"/>
    <n v="22"/>
    <m/>
    <n v="22"/>
    <n v="0"/>
    <n v="1"/>
    <n v="0.64933333333333332"/>
    <n v="1"/>
    <n v="0.64933333333333332"/>
    <m/>
  </r>
  <r>
    <x v="86"/>
    <x v="1"/>
    <x v="7"/>
    <x v="6"/>
    <n v="8000"/>
    <n v="5711"/>
    <n v="0"/>
    <n v="0"/>
    <n v="5711"/>
    <n v="22"/>
    <n v="3.1"/>
    <n v="18.899999999999999"/>
    <n v="1127.2727272727273"/>
    <n v="0.85909090909090902"/>
    <n v="0.71387500000000004"/>
    <n v="1"/>
    <n v="0.61328352272727271"/>
    <s v="M/C off for 3.10 hrs due to insufficient fabric input from the Dyeing and net cleaning."/>
  </r>
  <r>
    <x v="86"/>
    <x v="1"/>
    <x v="8"/>
    <x v="4"/>
    <n v="6000"/>
    <n v="0"/>
    <n v="0"/>
    <s v=""/>
    <n v="0"/>
    <n v="22"/>
    <n v="22"/>
    <n v="0"/>
    <n v="6000"/>
    <n v="0"/>
    <n v="0"/>
    <s v=""/>
    <s v=""/>
    <s v="M/C off for blanket change, roller repair, and bearing replacement."/>
  </r>
  <r>
    <x v="86"/>
    <x v="1"/>
    <x v="9"/>
    <x v="4"/>
    <n v="5000"/>
    <n v="4255"/>
    <n v="0"/>
    <n v="0"/>
    <n v="4255"/>
    <n v="22"/>
    <m/>
    <n v="22"/>
    <n v="0"/>
    <n v="1"/>
    <n v="0.85099999999999998"/>
    <n v="1"/>
    <n v="0.85099999999999998"/>
    <m/>
  </r>
  <r>
    <x v="87"/>
    <x v="0"/>
    <x v="0"/>
    <x v="0"/>
    <n v="10000"/>
    <n v="10922"/>
    <n v="0"/>
    <n v="0"/>
    <n v="10922"/>
    <n v="22"/>
    <m/>
    <n v="22"/>
    <n v="0"/>
    <n v="1"/>
    <n v="1.0922000000000001"/>
    <n v="1"/>
    <n v="1.0922000000000001"/>
    <m/>
  </r>
  <r>
    <x v="87"/>
    <x v="0"/>
    <x v="11"/>
    <x v="0"/>
    <n v="8433"/>
    <n v="8433"/>
    <n v="0"/>
    <n v="0"/>
    <n v="8433"/>
    <m/>
    <m/>
    <s v=""/>
    <s v=""/>
    <s v=""/>
    <n v="1"/>
    <n v="1"/>
    <s v=""/>
    <m/>
  </r>
  <r>
    <x v="87"/>
    <x v="0"/>
    <x v="1"/>
    <x v="1"/>
    <n v="5000"/>
    <n v="2402"/>
    <n v="0"/>
    <n v="0"/>
    <n v="2402"/>
    <n v="22"/>
    <m/>
    <n v="22"/>
    <n v="0"/>
    <n v="1"/>
    <n v="0.48039999999999999"/>
    <n v="1"/>
    <n v="0.48039999999999999"/>
    <s v="Most of the Fabric was at &quot;To Finish&quot; stage"/>
  </r>
  <r>
    <x v="87"/>
    <x v="0"/>
    <x v="1"/>
    <x v="2"/>
    <n v="4000"/>
    <n v="7639"/>
    <n v="0"/>
    <n v="0"/>
    <n v="7639"/>
    <m/>
    <m/>
    <s v=""/>
    <s v=""/>
    <s v=""/>
    <n v="1.9097500000000001"/>
    <n v="1"/>
    <s v=""/>
    <m/>
  </r>
  <r>
    <x v="87"/>
    <x v="0"/>
    <x v="2"/>
    <x v="2"/>
    <n v="7000"/>
    <n v="8253"/>
    <n v="0"/>
    <n v="0"/>
    <n v="8253"/>
    <n v="22"/>
    <m/>
    <n v="22"/>
    <n v="0"/>
    <n v="1"/>
    <n v="1.179"/>
    <n v="1"/>
    <n v="1.179"/>
    <m/>
  </r>
  <r>
    <x v="87"/>
    <x v="0"/>
    <x v="3"/>
    <x v="3"/>
    <n v="7800"/>
    <n v="3025"/>
    <n v="0"/>
    <n v="0"/>
    <n v="3025"/>
    <n v="22"/>
    <n v="13"/>
    <n v="9"/>
    <n v="4609.090909090909"/>
    <n v="0.40909090909090912"/>
    <n v="0.38782051282051283"/>
    <n v="1"/>
    <n v="0.15865384615384617"/>
    <s v="M/c off 13 hr due to H/Set fabric not ready"/>
  </r>
  <r>
    <x v="87"/>
    <x v="0"/>
    <x v="10"/>
    <x v="3"/>
    <m/>
    <m/>
    <m/>
    <s v=""/>
    <n v="0"/>
    <m/>
    <m/>
    <s v=""/>
    <s v=""/>
    <s v=""/>
    <s v=""/>
    <s v=""/>
    <s v=""/>
    <m/>
  </r>
  <r>
    <x v="87"/>
    <x v="0"/>
    <x v="4"/>
    <x v="4"/>
    <n v="9000"/>
    <n v="8206"/>
    <n v="0"/>
    <n v="0"/>
    <n v="8206"/>
    <n v="22"/>
    <m/>
    <n v="22"/>
    <n v="0"/>
    <n v="1"/>
    <n v="0.9117777777777778"/>
    <n v="1"/>
    <n v="0.9117777777777778"/>
    <m/>
  </r>
  <r>
    <x v="87"/>
    <x v="0"/>
    <x v="5"/>
    <x v="4"/>
    <n v="2374"/>
    <n v="2374"/>
    <m/>
    <n v="0"/>
    <n v="2374"/>
    <m/>
    <n v="2"/>
    <s v=""/>
    <s v=""/>
    <s v=""/>
    <n v="1"/>
    <n v="1"/>
    <s v=""/>
    <s v="Low T/F fabric; Monty M/C operated with helpers from Tube F/N. M/C off 2 hrs due to gearbox chain breakage."/>
  </r>
  <r>
    <x v="87"/>
    <x v="1"/>
    <x v="6"/>
    <x v="5"/>
    <n v="9000"/>
    <n v="4983"/>
    <n v="0"/>
    <n v="0"/>
    <n v="4983"/>
    <n v="22"/>
    <m/>
    <n v="22"/>
    <n v="0"/>
    <n v="1"/>
    <n v="0.55366666666666664"/>
    <n v="1"/>
    <n v="0.55366666666666664"/>
    <s v="Low production due to Squeezer M/C (New) padder damage and insufficient fabric input from Dyeing."/>
  </r>
  <r>
    <x v="87"/>
    <x v="1"/>
    <x v="7"/>
    <x v="6"/>
    <n v="8000"/>
    <n v="4453"/>
    <n v="0"/>
    <n v="0"/>
    <n v="4453"/>
    <n v="22"/>
    <n v="8.5"/>
    <n v="13.5"/>
    <n v="3090.909090909091"/>
    <n v="0.61363636363636365"/>
    <n v="0.55662500000000004"/>
    <n v="1"/>
    <n v="0.34156534090909096"/>
    <s v="M/C off for 8.50 hrs due to insufficient fabric input from the Dyeing and net cleaning."/>
  </r>
  <r>
    <x v="87"/>
    <x v="1"/>
    <x v="8"/>
    <x v="4"/>
    <n v="6000"/>
    <n v="2201"/>
    <n v="0"/>
    <n v="0"/>
    <n v="2201"/>
    <n v="22"/>
    <n v="4"/>
    <n v="18"/>
    <n v="1090.909090909091"/>
    <n v="0.81818181818181823"/>
    <n v="0.36683333333333334"/>
    <n v="1"/>
    <n v="0.30013636363636365"/>
    <s v="M/C off for 4 hrs for blanket change, roller repair &amp; bearing replacement. Low production due to insufficient fabric input from Dyeing."/>
  </r>
  <r>
    <x v="87"/>
    <x v="1"/>
    <x v="9"/>
    <x v="4"/>
    <n v="5000"/>
    <n v="1926"/>
    <n v="0"/>
    <n v="0"/>
    <n v="1926"/>
    <n v="22"/>
    <m/>
    <n v="22"/>
    <n v="0"/>
    <n v="1"/>
    <n v="0.38519999999999999"/>
    <n v="1"/>
    <n v="0.38519999999999999"/>
    <s v="Insufficient fabric input from Dyeing"/>
  </r>
  <r>
    <x v="88"/>
    <x v="0"/>
    <x v="0"/>
    <x v="0"/>
    <n v="10000"/>
    <n v="8716"/>
    <n v="0"/>
    <n v="0"/>
    <n v="8716"/>
    <n v="22"/>
    <m/>
    <n v="22"/>
    <n v="0"/>
    <n v="1"/>
    <n v="0.87160000000000004"/>
    <n v="1"/>
    <n v="0.87160000000000004"/>
    <m/>
  </r>
  <r>
    <x v="88"/>
    <x v="0"/>
    <x v="11"/>
    <x v="0"/>
    <n v="8714"/>
    <n v="8714"/>
    <n v="0"/>
    <n v="0"/>
    <n v="8714"/>
    <m/>
    <m/>
    <s v=""/>
    <s v=""/>
    <s v=""/>
    <n v="1"/>
    <n v="1"/>
    <s v=""/>
    <m/>
  </r>
  <r>
    <x v="88"/>
    <x v="0"/>
    <x v="1"/>
    <x v="1"/>
    <n v="5000"/>
    <n v="4893"/>
    <n v="0"/>
    <n v="0"/>
    <n v="4893"/>
    <n v="22"/>
    <m/>
    <n v="22"/>
    <n v="0"/>
    <n v="1"/>
    <n v="0.97860000000000003"/>
    <n v="1"/>
    <n v="0.97860000000000003"/>
    <m/>
  </r>
  <r>
    <x v="88"/>
    <x v="0"/>
    <x v="1"/>
    <x v="2"/>
    <n v="4000"/>
    <n v="4253"/>
    <n v="0"/>
    <n v="0"/>
    <n v="4253"/>
    <m/>
    <m/>
    <s v=""/>
    <s v=""/>
    <s v=""/>
    <n v="1.06325"/>
    <n v="1"/>
    <s v=""/>
    <m/>
  </r>
  <r>
    <x v="88"/>
    <x v="0"/>
    <x v="2"/>
    <x v="2"/>
    <n v="7000"/>
    <n v="6743"/>
    <n v="0"/>
    <n v="0"/>
    <n v="6743"/>
    <n v="22"/>
    <n v="0.4"/>
    <n v="21.6"/>
    <n v="127.27272727272728"/>
    <n v="0.98181818181818192"/>
    <n v="0.9632857142857143"/>
    <n v="1"/>
    <n v="0.94577142857142871"/>
    <s v="M/C off 40 minutes due to wheel air brush replacement."/>
  </r>
  <r>
    <x v="88"/>
    <x v="0"/>
    <x v="3"/>
    <x v="3"/>
    <n v="7800"/>
    <n v="5325"/>
    <n v="0"/>
    <n v="0"/>
    <n v="5325"/>
    <n v="22"/>
    <n v="4.3"/>
    <n v="17.7"/>
    <n v="1524.5454545454545"/>
    <n v="0.80454545454545456"/>
    <n v="0.68269230769230771"/>
    <n v="1"/>
    <n v="0.54925699300699304"/>
    <s v="M/c off 4.30 hr due to unavailability of Heat-Set fabric"/>
  </r>
  <r>
    <x v="88"/>
    <x v="0"/>
    <x v="10"/>
    <x v="3"/>
    <m/>
    <m/>
    <m/>
    <s v=""/>
    <n v="0"/>
    <m/>
    <m/>
    <s v=""/>
    <s v=""/>
    <s v=""/>
    <s v=""/>
    <s v=""/>
    <s v=""/>
    <m/>
  </r>
  <r>
    <x v="88"/>
    <x v="0"/>
    <x v="4"/>
    <x v="4"/>
    <n v="9000"/>
    <n v="8486"/>
    <n v="0"/>
    <n v="0"/>
    <n v="8486"/>
    <n v="22"/>
    <m/>
    <n v="22"/>
    <n v="0"/>
    <n v="1"/>
    <n v="0.94288888888888889"/>
    <n v="1"/>
    <n v="0.94288888888888889"/>
    <m/>
  </r>
  <r>
    <x v="88"/>
    <x v="0"/>
    <x v="5"/>
    <x v="4"/>
    <n v="760"/>
    <n v="760"/>
    <m/>
    <n v="0"/>
    <n v="760"/>
    <m/>
    <m/>
    <s v=""/>
    <s v=""/>
    <s v=""/>
    <n v="1"/>
    <n v="1"/>
    <s v=""/>
    <s v="Monty M/C operated with helpers from Indian Compacting"/>
  </r>
  <r>
    <x v="88"/>
    <x v="1"/>
    <x v="6"/>
    <x v="5"/>
    <n v="9000"/>
    <n v="7625"/>
    <n v="0"/>
    <n v="0"/>
    <n v="7625"/>
    <n v="22"/>
    <m/>
    <n v="22"/>
    <n v="0"/>
    <n v="1"/>
    <n v="0.84722222222222221"/>
    <n v="1"/>
    <n v="0.84722222222222221"/>
    <s v="Low production due to Squeezer M/C (New) padder damage and insufficient fabric input from Dyeing."/>
  </r>
  <r>
    <x v="88"/>
    <x v="1"/>
    <x v="7"/>
    <x v="6"/>
    <n v="8000"/>
    <n v="7850"/>
    <n v="0"/>
    <n v="0"/>
    <n v="7850"/>
    <n v="22"/>
    <n v="1.5"/>
    <n v="20.5"/>
    <n v="545.4545454545455"/>
    <n v="0.93181818181818177"/>
    <n v="0.98124999999999996"/>
    <n v="1"/>
    <n v="0.91434659090909087"/>
    <s v="M/C off 1.50 hrs for net cleaning. "/>
  </r>
  <r>
    <x v="88"/>
    <x v="1"/>
    <x v="8"/>
    <x v="4"/>
    <n v="6000"/>
    <n v="4491"/>
    <n v="0"/>
    <n v="0"/>
    <n v="4491"/>
    <n v="22"/>
    <m/>
    <n v="22"/>
    <n v="0"/>
    <n v="1"/>
    <n v="0.74850000000000005"/>
    <n v="1"/>
    <n v="0.74850000000000005"/>
    <m/>
  </r>
  <r>
    <x v="88"/>
    <x v="1"/>
    <x v="9"/>
    <x v="4"/>
    <n v="5000"/>
    <n v="2769"/>
    <n v="0"/>
    <n v="0"/>
    <n v="2769"/>
    <n v="22"/>
    <m/>
    <n v="22"/>
    <n v="0"/>
    <n v="1"/>
    <n v="0.55379999999999996"/>
    <n v="1"/>
    <n v="0.55379999999999996"/>
    <s v="Insufficient fabric input from Dyeing"/>
  </r>
  <r>
    <x v="89"/>
    <x v="0"/>
    <x v="0"/>
    <x v="0"/>
    <n v="10000"/>
    <n v="8047"/>
    <n v="0"/>
    <n v="0"/>
    <n v="8047"/>
    <n v="22"/>
    <m/>
    <n v="22"/>
    <n v="0"/>
    <n v="1"/>
    <n v="0.80469999999999997"/>
    <n v="1"/>
    <n v="0.80469999999999997"/>
    <m/>
  </r>
  <r>
    <x v="89"/>
    <x v="0"/>
    <x v="11"/>
    <x v="0"/>
    <n v="9665"/>
    <n v="9665"/>
    <n v="0"/>
    <n v="0"/>
    <n v="9665"/>
    <m/>
    <m/>
    <s v=""/>
    <s v=""/>
    <s v=""/>
    <n v="1"/>
    <n v="1"/>
    <s v=""/>
    <m/>
  </r>
  <r>
    <x v="89"/>
    <x v="0"/>
    <x v="1"/>
    <x v="1"/>
    <n v="5000"/>
    <n v="6865"/>
    <n v="0"/>
    <n v="0"/>
    <n v="6865"/>
    <n v="22"/>
    <m/>
    <n v="22"/>
    <n v="0"/>
    <n v="1"/>
    <n v="1.373"/>
    <n v="1"/>
    <n v="1.373"/>
    <s v="Most of the Fabric was at &quot;Heat-Set&quot; stage"/>
  </r>
  <r>
    <x v="89"/>
    <x v="0"/>
    <x v="1"/>
    <x v="2"/>
    <n v="4000"/>
    <n v="1547"/>
    <n v="0"/>
    <n v="0"/>
    <n v="1547"/>
    <m/>
    <m/>
    <s v=""/>
    <s v=""/>
    <s v=""/>
    <n v="0.38674999999999998"/>
    <n v="1"/>
    <s v=""/>
    <m/>
  </r>
  <r>
    <x v="89"/>
    <x v="0"/>
    <x v="2"/>
    <x v="2"/>
    <n v="7000"/>
    <n v="7328"/>
    <n v="0"/>
    <n v="0"/>
    <n v="7328"/>
    <n v="22"/>
    <m/>
    <n v="22"/>
    <n v="0"/>
    <n v="1"/>
    <n v="1.0468571428571429"/>
    <n v="1"/>
    <n v="1.0468571428571429"/>
    <m/>
  </r>
  <r>
    <x v="89"/>
    <x v="0"/>
    <x v="3"/>
    <x v="3"/>
    <n v="7800"/>
    <n v="6840"/>
    <n v="0"/>
    <n v="0"/>
    <n v="6840"/>
    <n v="22"/>
    <n v="2.2999999999999998"/>
    <n v="19.7"/>
    <n v="815.45454545454538"/>
    <n v="0.89545454545454539"/>
    <n v="0.87692307692307692"/>
    <n v="1"/>
    <n v="0.78524475524475523"/>
    <s v="M/c off 2.30 hr due to H/Set fabric not ready."/>
  </r>
  <r>
    <x v="89"/>
    <x v="0"/>
    <x v="10"/>
    <x v="3"/>
    <m/>
    <m/>
    <m/>
    <s v=""/>
    <n v="0"/>
    <m/>
    <m/>
    <s v=""/>
    <s v=""/>
    <s v=""/>
    <s v=""/>
    <s v=""/>
    <s v=""/>
    <m/>
  </r>
  <r>
    <x v="89"/>
    <x v="0"/>
    <x v="4"/>
    <x v="4"/>
    <n v="9000"/>
    <n v="7377"/>
    <n v="0"/>
    <n v="0"/>
    <n v="7377"/>
    <n v="22"/>
    <m/>
    <n v="22"/>
    <n v="0"/>
    <n v="1"/>
    <n v="0.81966666666666665"/>
    <n v="1"/>
    <n v="0.81966666666666665"/>
    <m/>
  </r>
  <r>
    <x v="89"/>
    <x v="0"/>
    <x v="5"/>
    <x v="4"/>
    <n v="0"/>
    <m/>
    <m/>
    <s v=""/>
    <n v="0"/>
    <m/>
    <m/>
    <s v=""/>
    <s v=""/>
    <s v=""/>
    <s v=""/>
    <s v=""/>
    <s v=""/>
    <m/>
  </r>
  <r>
    <x v="89"/>
    <x v="1"/>
    <x v="6"/>
    <x v="5"/>
    <n v="9000"/>
    <n v="7224"/>
    <n v="0"/>
    <n v="0"/>
    <n v="7224"/>
    <n v="22"/>
    <m/>
    <n v="22"/>
    <n v="0"/>
    <n v="1"/>
    <n v="0.80266666666666664"/>
    <n v="1"/>
    <n v="0.80266666666666664"/>
    <m/>
  </r>
  <r>
    <x v="89"/>
    <x v="1"/>
    <x v="7"/>
    <x v="6"/>
    <n v="8000"/>
    <n v="7850"/>
    <n v="0"/>
    <n v="0"/>
    <n v="7850"/>
    <n v="22"/>
    <n v="1.5"/>
    <n v="20.5"/>
    <n v="545.4545454545455"/>
    <n v="0.93181818181818177"/>
    <n v="0.98124999999999996"/>
    <n v="1"/>
    <n v="0.91434659090909087"/>
    <s v="M/C off 1.50 hrs for net cleaning. "/>
  </r>
  <r>
    <x v="89"/>
    <x v="1"/>
    <x v="8"/>
    <x v="4"/>
    <n v="6000"/>
    <n v="3338"/>
    <n v="0"/>
    <n v="0"/>
    <n v="3338"/>
    <n v="22"/>
    <m/>
    <n v="22"/>
    <n v="0"/>
    <n v="1"/>
    <n v="0.55633333333333335"/>
    <n v="1"/>
    <n v="0.55633333333333335"/>
    <s v=" Insufficient fabric input from Dyeing"/>
  </r>
  <r>
    <x v="89"/>
    <x v="1"/>
    <x v="9"/>
    <x v="4"/>
    <n v="5000"/>
    <n v="2760"/>
    <n v="0"/>
    <n v="0"/>
    <n v="2760"/>
    <n v="22"/>
    <m/>
    <n v="22"/>
    <n v="0"/>
    <n v="1"/>
    <n v="0.55200000000000005"/>
    <n v="1"/>
    <n v="0.55200000000000005"/>
    <s v="Insufficient fabric input from Dyeing"/>
  </r>
  <r>
    <x v="90"/>
    <x v="0"/>
    <x v="0"/>
    <x v="0"/>
    <n v="10000"/>
    <n v="7304"/>
    <n v="0"/>
    <n v="0"/>
    <n v="7304"/>
    <n v="22"/>
    <m/>
    <n v="22"/>
    <n v="0"/>
    <n v="1"/>
    <n v="0.73040000000000005"/>
    <n v="1"/>
    <n v="0.73040000000000005"/>
    <m/>
  </r>
  <r>
    <x v="90"/>
    <x v="0"/>
    <x v="11"/>
    <x v="0"/>
    <n v="8951"/>
    <n v="8951"/>
    <n v="0"/>
    <n v="0"/>
    <n v="8951"/>
    <m/>
    <m/>
    <s v=""/>
    <s v=""/>
    <s v=""/>
    <n v="1"/>
    <n v="1"/>
    <s v=""/>
    <m/>
  </r>
  <r>
    <x v="90"/>
    <x v="0"/>
    <x v="1"/>
    <x v="1"/>
    <n v="5000"/>
    <n v="2720"/>
    <n v="0"/>
    <n v="0"/>
    <n v="2720"/>
    <n v="22"/>
    <m/>
    <n v="22"/>
    <n v="0"/>
    <n v="1"/>
    <n v="0.54400000000000004"/>
    <n v="1"/>
    <n v="0.54400000000000004"/>
    <m/>
  </r>
  <r>
    <x v="90"/>
    <x v="0"/>
    <x v="1"/>
    <x v="2"/>
    <n v="4000"/>
    <n v="7073"/>
    <n v="0"/>
    <n v="0"/>
    <n v="7073"/>
    <m/>
    <m/>
    <s v=""/>
    <s v=""/>
    <s v=""/>
    <n v="1.7682500000000001"/>
    <n v="1"/>
    <s v=""/>
    <m/>
  </r>
  <r>
    <x v="90"/>
    <x v="0"/>
    <x v="2"/>
    <x v="2"/>
    <n v="7000"/>
    <n v="7400"/>
    <n v="0"/>
    <n v="0"/>
    <n v="7400"/>
    <n v="22"/>
    <m/>
    <n v="22"/>
    <n v="0"/>
    <n v="1"/>
    <n v="1.0571428571428572"/>
    <n v="1"/>
    <n v="1.0571428571428572"/>
    <m/>
  </r>
  <r>
    <x v="90"/>
    <x v="0"/>
    <x v="3"/>
    <x v="3"/>
    <n v="7800"/>
    <n v="4293"/>
    <n v="0"/>
    <n v="0"/>
    <n v="4293"/>
    <n v="22"/>
    <n v="4.3"/>
    <n v="17.7"/>
    <n v="1524.5454545454545"/>
    <n v="0.80454545454545456"/>
    <n v="0.55038461538461536"/>
    <n v="1"/>
    <n v="0.44280944055944055"/>
    <s v="M/c off 4.3 hr due to H/Set fabric not ready."/>
  </r>
  <r>
    <x v="90"/>
    <x v="0"/>
    <x v="10"/>
    <x v="3"/>
    <m/>
    <m/>
    <m/>
    <s v=""/>
    <n v="0"/>
    <m/>
    <m/>
    <s v=""/>
    <s v=""/>
    <s v=""/>
    <s v=""/>
    <s v=""/>
    <s v=""/>
    <m/>
  </r>
  <r>
    <x v="90"/>
    <x v="0"/>
    <x v="4"/>
    <x v="4"/>
    <n v="9000"/>
    <n v="7946"/>
    <n v="0"/>
    <n v="0"/>
    <n v="7946"/>
    <n v="22"/>
    <m/>
    <n v="22"/>
    <n v="0"/>
    <n v="1"/>
    <n v="0.88288888888888883"/>
    <n v="1"/>
    <n v="0.88288888888888883"/>
    <m/>
  </r>
  <r>
    <x v="90"/>
    <x v="0"/>
    <x v="5"/>
    <x v="4"/>
    <n v="0"/>
    <m/>
    <m/>
    <s v=""/>
    <n v="0"/>
    <m/>
    <m/>
    <s v=""/>
    <s v=""/>
    <s v=""/>
    <s v=""/>
    <s v=""/>
    <s v=""/>
    <m/>
  </r>
  <r>
    <x v="90"/>
    <x v="1"/>
    <x v="6"/>
    <x v="5"/>
    <n v="9000"/>
    <n v="5318"/>
    <n v="0"/>
    <n v="0"/>
    <n v="5318"/>
    <n v="22"/>
    <m/>
    <n v="22"/>
    <n v="0"/>
    <n v="1"/>
    <n v="0.59088888888888891"/>
    <n v="1"/>
    <n v="0.59088888888888891"/>
    <m/>
  </r>
  <r>
    <x v="90"/>
    <x v="1"/>
    <x v="7"/>
    <x v="6"/>
    <n v="8000"/>
    <n v="6664"/>
    <n v="0"/>
    <n v="0"/>
    <n v="6664"/>
    <n v="22"/>
    <n v="1.5"/>
    <n v="20.5"/>
    <n v="545.4545454545455"/>
    <n v="0.93181818181818177"/>
    <n v="0.83299999999999996"/>
    <n v="1"/>
    <n v="0.77620454545454542"/>
    <s v="M/C off 1.50 hrs for net cleaning. "/>
  </r>
  <r>
    <x v="90"/>
    <x v="1"/>
    <x v="8"/>
    <x v="4"/>
    <n v="6000"/>
    <n v="3460"/>
    <n v="0"/>
    <n v="0"/>
    <n v="3460"/>
    <n v="22"/>
    <m/>
    <n v="22"/>
    <n v="0"/>
    <n v="1"/>
    <n v="0.57666666666666666"/>
    <n v="1"/>
    <n v="0.57666666666666666"/>
    <s v="Insufficient fabric input from Dyeing"/>
  </r>
  <r>
    <x v="90"/>
    <x v="1"/>
    <x v="9"/>
    <x v="4"/>
    <n v="5000"/>
    <n v="3767"/>
    <n v="0"/>
    <n v="0"/>
    <n v="3767"/>
    <n v="22"/>
    <m/>
    <n v="22"/>
    <n v="0"/>
    <n v="1"/>
    <n v="0.75339999999999996"/>
    <n v="1"/>
    <n v="0.75339999999999996"/>
    <s v="Insufficient fabric input from Dyeing"/>
  </r>
  <r>
    <x v="91"/>
    <x v="0"/>
    <x v="0"/>
    <x v="0"/>
    <n v="10000"/>
    <n v="7557"/>
    <n v="0"/>
    <n v="0"/>
    <n v="7557"/>
    <n v="22"/>
    <n v="4.4000000000000004"/>
    <n v="17.600000000000001"/>
    <n v="2000.0000000000002"/>
    <n v="0.8"/>
    <n v="0.75570000000000004"/>
    <n v="1"/>
    <n v="0.6045600000000001"/>
    <s v="Machine off 4.40 hrs due to scheduled weekly maintenance and free roller bearing replacement."/>
  </r>
  <r>
    <x v="91"/>
    <x v="0"/>
    <x v="11"/>
    <x v="0"/>
    <n v="9274"/>
    <n v="9274"/>
    <n v="0"/>
    <n v="0"/>
    <n v="9274"/>
    <m/>
    <m/>
    <s v=""/>
    <s v=""/>
    <s v=""/>
    <n v="1"/>
    <n v="1"/>
    <s v=""/>
    <m/>
  </r>
  <r>
    <x v="91"/>
    <x v="0"/>
    <x v="1"/>
    <x v="1"/>
    <n v="5000"/>
    <n v="5808"/>
    <n v="0"/>
    <n v="0"/>
    <n v="5808"/>
    <n v="22"/>
    <n v="2.5"/>
    <n v="19.5"/>
    <n v="568.18181818181824"/>
    <n v="0.88636363636363635"/>
    <n v="1.1616"/>
    <n v="1"/>
    <n v="1.0295999999999998"/>
    <s v="Machine off 2.50 hrs due to scheduled weekly maintenance"/>
  </r>
  <r>
    <x v="91"/>
    <x v="0"/>
    <x v="1"/>
    <x v="2"/>
    <n v="4000"/>
    <n v="1855"/>
    <n v="0"/>
    <n v="0"/>
    <n v="1855"/>
    <m/>
    <m/>
    <s v=""/>
    <s v=""/>
    <s v=""/>
    <n v="0.46375"/>
    <n v="1"/>
    <s v=""/>
    <m/>
  </r>
  <r>
    <x v="91"/>
    <x v="0"/>
    <x v="2"/>
    <x v="2"/>
    <n v="7000"/>
    <n v="6454"/>
    <n v="0"/>
    <n v="0"/>
    <n v="6454"/>
    <n v="22"/>
    <n v="4.5"/>
    <n v="17.5"/>
    <n v="1431.8181818181818"/>
    <n v="0.79545454545454541"/>
    <n v="0.92200000000000004"/>
    <n v="1"/>
    <n v="0.7334090909090909"/>
    <s v="Machine off 4.50 hrs due to scheduled weekly maintenance and repair of the padder bearing housing."/>
  </r>
  <r>
    <x v="91"/>
    <x v="0"/>
    <x v="3"/>
    <x v="3"/>
    <n v="7800"/>
    <n v="5331"/>
    <n v="0"/>
    <n v="0"/>
    <n v="5331"/>
    <n v="22"/>
    <n v="7"/>
    <n v="15"/>
    <n v="2481.818181818182"/>
    <n v="0.68181818181818177"/>
    <n v="0.68346153846153845"/>
    <n v="1"/>
    <n v="0.46599650349650346"/>
    <s v="M/c off 7 hr due to H/Set fabric not ready."/>
  </r>
  <r>
    <x v="91"/>
    <x v="0"/>
    <x v="10"/>
    <x v="3"/>
    <m/>
    <m/>
    <m/>
    <s v=""/>
    <n v="0"/>
    <m/>
    <m/>
    <s v=""/>
    <s v=""/>
    <s v=""/>
    <s v=""/>
    <s v=""/>
    <s v=""/>
    <m/>
  </r>
  <r>
    <x v="91"/>
    <x v="0"/>
    <x v="4"/>
    <x v="4"/>
    <n v="9000"/>
    <n v="8102"/>
    <n v="0"/>
    <n v="0"/>
    <n v="8102"/>
    <n v="22"/>
    <m/>
    <n v="22"/>
    <n v="0"/>
    <n v="1"/>
    <n v="0.90022222222222226"/>
    <n v="1"/>
    <n v="0.90022222222222226"/>
    <m/>
  </r>
  <r>
    <x v="91"/>
    <x v="0"/>
    <x v="5"/>
    <x v="4"/>
    <n v="3063"/>
    <n v="3063"/>
    <m/>
    <n v="0"/>
    <n v="3063"/>
    <m/>
    <m/>
    <s v=""/>
    <s v=""/>
    <s v=""/>
    <n v="1"/>
    <n v="1"/>
    <s v=""/>
    <s v="Low T/F fabric; Monty M/C operated with helpers from Indian Compacting"/>
  </r>
  <r>
    <x v="91"/>
    <x v="1"/>
    <x v="6"/>
    <x v="5"/>
    <n v="9000"/>
    <n v="7189"/>
    <n v="0"/>
    <n v="0"/>
    <n v="7189"/>
    <n v="22"/>
    <m/>
    <n v="22"/>
    <n v="0"/>
    <n v="1"/>
    <n v="0.79877777777777781"/>
    <n v="1"/>
    <n v="0.79877777777777781"/>
    <s v="Low production due to insufficient fabric input from Dyeing."/>
  </r>
  <r>
    <x v="91"/>
    <x v="1"/>
    <x v="7"/>
    <x v="6"/>
    <n v="8000"/>
    <n v="6446"/>
    <n v="0"/>
    <n v="0"/>
    <n v="6446"/>
    <n v="22"/>
    <n v="4.55"/>
    <n v="17.45"/>
    <n v="1654.5454545454545"/>
    <n v="0.7931818181818181"/>
    <n v="0.80574999999999997"/>
    <n v="1"/>
    <n v="0.63910624999999988"/>
    <s v="Machine off 4.55 hrs due to scheduled weekly maintenance, net cleaning, and insufficient fabric input from the Dyeing"/>
  </r>
  <r>
    <x v="91"/>
    <x v="1"/>
    <x v="8"/>
    <x v="4"/>
    <n v="6000"/>
    <n v="3161"/>
    <n v="0"/>
    <n v="0"/>
    <n v="3161"/>
    <n v="22"/>
    <m/>
    <n v="22"/>
    <n v="0"/>
    <n v="1"/>
    <n v="0.52683333333333338"/>
    <n v="1"/>
    <n v="0.52683333333333338"/>
    <s v="Low production due to insufficient fabric input from Dyeing."/>
  </r>
  <r>
    <x v="91"/>
    <x v="1"/>
    <x v="9"/>
    <x v="4"/>
    <n v="5000"/>
    <n v="1703"/>
    <n v="0"/>
    <n v="0"/>
    <n v="1703"/>
    <n v="22"/>
    <m/>
    <n v="22"/>
    <n v="0"/>
    <n v="1"/>
    <n v="0.34060000000000001"/>
    <n v="1"/>
    <n v="0.34060000000000001"/>
    <s v="Low production due to insufficient fabric input from Dyeing."/>
  </r>
  <r>
    <x v="92"/>
    <x v="0"/>
    <x v="0"/>
    <x v="0"/>
    <n v="10000"/>
    <n v="8957"/>
    <n v="0"/>
    <n v="0"/>
    <n v="8957"/>
    <n v="22"/>
    <n v="2"/>
    <n v="20"/>
    <n v="909.09090909090912"/>
    <n v="0.90909090909090906"/>
    <n v="0.89570000000000005"/>
    <n v="1"/>
    <n v="0.81427272727272726"/>
    <s v="Machine off 2 hrs due to water supply interruption as one of the deep pump was out of service"/>
  </r>
  <r>
    <x v="92"/>
    <x v="0"/>
    <x v="11"/>
    <x v="0"/>
    <n v="10416"/>
    <n v="10416"/>
    <n v="0"/>
    <n v="0"/>
    <n v="10416"/>
    <m/>
    <m/>
    <s v=""/>
    <s v=""/>
    <s v=""/>
    <n v="1"/>
    <n v="1"/>
    <s v=""/>
    <m/>
  </r>
  <r>
    <x v="92"/>
    <x v="0"/>
    <x v="1"/>
    <x v="1"/>
    <n v="5000"/>
    <n v="4522"/>
    <n v="0"/>
    <n v="0"/>
    <n v="4522"/>
    <n v="22"/>
    <m/>
    <n v="22"/>
    <n v="0"/>
    <n v="1"/>
    <n v="0.90439999999999998"/>
    <n v="1"/>
    <n v="0.90439999999999998"/>
    <m/>
  </r>
  <r>
    <x v="92"/>
    <x v="0"/>
    <x v="1"/>
    <x v="2"/>
    <n v="4000"/>
    <n v="4445"/>
    <n v="0"/>
    <n v="0"/>
    <n v="4445"/>
    <m/>
    <m/>
    <s v=""/>
    <s v=""/>
    <s v=""/>
    <n v="1.1112500000000001"/>
    <n v="1"/>
    <s v=""/>
    <m/>
  </r>
  <r>
    <x v="92"/>
    <x v="0"/>
    <x v="2"/>
    <x v="2"/>
    <n v="7000"/>
    <n v="7622"/>
    <n v="0"/>
    <n v="0"/>
    <n v="7622"/>
    <n v="22"/>
    <m/>
    <n v="22"/>
    <n v="0"/>
    <n v="1"/>
    <n v="1.088857142857143"/>
    <n v="1"/>
    <n v="1.088857142857143"/>
    <m/>
  </r>
  <r>
    <x v="92"/>
    <x v="0"/>
    <x v="3"/>
    <x v="3"/>
    <n v="7800"/>
    <n v="5391"/>
    <n v="0"/>
    <n v="0"/>
    <n v="5391"/>
    <n v="22"/>
    <n v="7"/>
    <n v="15"/>
    <n v="2481.818181818182"/>
    <n v="0.68181818181818177"/>
    <n v="0.69115384615384612"/>
    <n v="1"/>
    <n v="0.47124125874125866"/>
    <s v="M/c off 7 hr due to unavailability of Heat-Set fabric"/>
  </r>
  <r>
    <x v="92"/>
    <x v="0"/>
    <x v="10"/>
    <x v="3"/>
    <m/>
    <m/>
    <m/>
    <s v=""/>
    <n v="0"/>
    <m/>
    <m/>
    <s v=""/>
    <s v=""/>
    <s v=""/>
    <s v=""/>
    <s v=""/>
    <s v=""/>
    <m/>
  </r>
  <r>
    <x v="92"/>
    <x v="0"/>
    <x v="4"/>
    <x v="4"/>
    <n v="9000"/>
    <n v="7730"/>
    <n v="0"/>
    <n v="0"/>
    <n v="7730"/>
    <n v="22"/>
    <m/>
    <n v="22"/>
    <n v="0"/>
    <n v="1"/>
    <n v="0.85888888888888892"/>
    <n v="1"/>
    <n v="0.85888888888888892"/>
    <m/>
  </r>
  <r>
    <x v="92"/>
    <x v="0"/>
    <x v="5"/>
    <x v="4"/>
    <n v="1451"/>
    <n v="1451"/>
    <m/>
    <n v="0"/>
    <n v="1451"/>
    <m/>
    <m/>
    <s v=""/>
    <s v=""/>
    <s v=""/>
    <n v="1"/>
    <n v="1"/>
    <s v=""/>
    <s v="Low T/F fabric; Monty M/C operated with helpers from Indian Compacting"/>
  </r>
  <r>
    <x v="92"/>
    <x v="1"/>
    <x v="6"/>
    <x v="5"/>
    <n v="9000"/>
    <n v="4246"/>
    <n v="0"/>
    <n v="0"/>
    <n v="4246"/>
    <n v="22"/>
    <m/>
    <n v="22"/>
    <n v="0"/>
    <n v="1"/>
    <n v="0.4717777777777778"/>
    <n v="1"/>
    <n v="0.4717777777777778"/>
    <s v="Low production due to insufficient fabric input from Dyeing."/>
  </r>
  <r>
    <x v="92"/>
    <x v="1"/>
    <x v="7"/>
    <x v="6"/>
    <n v="8000"/>
    <n v="4413"/>
    <n v="0"/>
    <n v="0"/>
    <n v="4413"/>
    <n v="22"/>
    <n v="6.5"/>
    <n v="15.5"/>
    <n v="2363.6363636363635"/>
    <n v="0.70454545454545459"/>
    <n v="0.55162500000000003"/>
    <n v="1"/>
    <n v="0.38864488636363642"/>
    <s v="Machine off 2.05 hrs due to net cleaning &amp; insufficient fabric input from Dyeing, PDB issue 40 min, and both shifts ended 2 hrs early due to insufficient fabric."/>
  </r>
  <r>
    <x v="92"/>
    <x v="1"/>
    <x v="8"/>
    <x v="4"/>
    <n v="6000"/>
    <n v="2997"/>
    <n v="0"/>
    <n v="0"/>
    <n v="2997"/>
    <n v="22"/>
    <m/>
    <n v="22"/>
    <n v="0"/>
    <n v="1"/>
    <n v="0.4995"/>
    <n v="1"/>
    <n v="0.4995"/>
    <s v="Low production due to insufficient fabric input from Dyeing."/>
  </r>
  <r>
    <x v="92"/>
    <x v="1"/>
    <x v="9"/>
    <x v="4"/>
    <n v="5000"/>
    <n v="1611"/>
    <n v="0"/>
    <n v="0"/>
    <n v="1611"/>
    <n v="22"/>
    <m/>
    <n v="22"/>
    <n v="0"/>
    <n v="1"/>
    <n v="0.32219999999999999"/>
    <n v="1"/>
    <n v="0.32219999999999999"/>
    <s v="Low production due to insufficient fabric input from Dyeing."/>
  </r>
  <r>
    <x v="93"/>
    <x v="0"/>
    <x v="0"/>
    <x v="0"/>
    <n v="10000"/>
    <n v="8046"/>
    <n v="0"/>
    <n v="0"/>
    <n v="8046"/>
    <n v="22"/>
    <n v="5.5"/>
    <n v="16.5"/>
    <n v="2500"/>
    <n v="0.75"/>
    <n v="0.80459999999999998"/>
    <n v="1"/>
    <n v="0.60345000000000004"/>
    <s v="Machine off 5.5 hrs due to water supply interruption as one of the deep pump was out of service"/>
  </r>
  <r>
    <x v="93"/>
    <x v="0"/>
    <x v="11"/>
    <x v="0"/>
    <n v="10882"/>
    <n v="10882"/>
    <n v="0"/>
    <n v="0"/>
    <n v="10882"/>
    <m/>
    <m/>
    <s v=""/>
    <s v=""/>
    <s v=""/>
    <n v="1"/>
    <n v="1"/>
    <s v=""/>
    <m/>
  </r>
  <r>
    <x v="93"/>
    <x v="0"/>
    <x v="1"/>
    <x v="1"/>
    <n v="5000"/>
    <n v="5457"/>
    <n v="0"/>
    <n v="0"/>
    <n v="5457"/>
    <n v="22"/>
    <m/>
    <n v="22"/>
    <n v="0"/>
    <n v="1"/>
    <n v="1.0913999999999999"/>
    <n v="1"/>
    <n v="1.0913999999999999"/>
    <m/>
  </r>
  <r>
    <x v="93"/>
    <x v="0"/>
    <x v="1"/>
    <x v="2"/>
    <n v="4000"/>
    <n v="3067"/>
    <n v="0"/>
    <n v="0"/>
    <n v="3067"/>
    <m/>
    <m/>
    <s v=""/>
    <s v=""/>
    <s v=""/>
    <n v="0.76675000000000004"/>
    <n v="1"/>
    <s v=""/>
    <m/>
  </r>
  <r>
    <x v="93"/>
    <x v="0"/>
    <x v="2"/>
    <x v="2"/>
    <n v="7000"/>
    <n v="7796"/>
    <n v="0"/>
    <n v="0"/>
    <n v="7796"/>
    <n v="22"/>
    <m/>
    <n v="22"/>
    <n v="0"/>
    <n v="1"/>
    <n v="1.1137142857142857"/>
    <n v="1"/>
    <n v="1.1137142857142857"/>
    <m/>
  </r>
  <r>
    <x v="93"/>
    <x v="0"/>
    <x v="3"/>
    <x v="3"/>
    <n v="7800"/>
    <n v="7341"/>
    <n v="0"/>
    <n v="0"/>
    <n v="7341"/>
    <n v="22"/>
    <m/>
    <n v="22"/>
    <n v="0"/>
    <n v="1"/>
    <n v="0.94115384615384612"/>
    <n v="1"/>
    <n v="0.94115384615384612"/>
    <m/>
  </r>
  <r>
    <x v="93"/>
    <x v="0"/>
    <x v="10"/>
    <x v="3"/>
    <m/>
    <m/>
    <m/>
    <s v=""/>
    <n v="0"/>
    <m/>
    <m/>
    <s v=""/>
    <s v=""/>
    <s v=""/>
    <s v=""/>
    <s v=""/>
    <s v=""/>
    <m/>
  </r>
  <r>
    <x v="93"/>
    <x v="0"/>
    <x v="4"/>
    <x v="4"/>
    <n v="9000"/>
    <n v="8237"/>
    <n v="0"/>
    <n v="0"/>
    <n v="8237"/>
    <n v="22"/>
    <m/>
    <n v="22"/>
    <n v="0"/>
    <n v="1"/>
    <n v="0.91522222222222227"/>
    <n v="1"/>
    <n v="0.91522222222222227"/>
    <m/>
  </r>
  <r>
    <x v="93"/>
    <x v="0"/>
    <x v="5"/>
    <x v="4"/>
    <n v="1931"/>
    <n v="1931"/>
    <m/>
    <n v="0"/>
    <n v="1931"/>
    <m/>
    <m/>
    <s v=""/>
    <s v=""/>
    <s v=""/>
    <n v="1"/>
    <n v="1"/>
    <s v=""/>
    <s v="Low T/F fabric; Monty M/C operated with helpers from Indian Compacting"/>
  </r>
  <r>
    <x v="93"/>
    <x v="1"/>
    <x v="6"/>
    <x v="5"/>
    <n v="9000"/>
    <n v="4599"/>
    <n v="0"/>
    <n v="0"/>
    <n v="4599"/>
    <n v="22"/>
    <m/>
    <n v="22"/>
    <n v="0"/>
    <n v="1"/>
    <n v="0.51100000000000001"/>
    <n v="1"/>
    <n v="0.51100000000000001"/>
    <s v="Low production due to insufficient fabric input from Dyeing."/>
  </r>
  <r>
    <x v="93"/>
    <x v="1"/>
    <x v="7"/>
    <x v="6"/>
    <n v="8000"/>
    <n v="3737"/>
    <n v="0"/>
    <n v="0"/>
    <n v="3737"/>
    <n v="22"/>
    <n v="10.45"/>
    <n v="11.55"/>
    <n v="3799.9999999999995"/>
    <n v="0.52500000000000002"/>
    <n v="0.46712500000000001"/>
    <n v="1"/>
    <n v="0.24524062500000002"/>
    <s v="Machine off 5.40 hrs due to net cleaning &amp; insufficient fabric input from Dyeing, PDB issue 1.05 hrs, and both shifts ended 2 hrs early due to insufficient fabric."/>
  </r>
  <r>
    <x v="93"/>
    <x v="1"/>
    <x v="8"/>
    <x v="4"/>
    <n v="6000"/>
    <n v="2142"/>
    <n v="0"/>
    <n v="0"/>
    <n v="2142"/>
    <n v="22"/>
    <m/>
    <n v="22"/>
    <n v="0"/>
    <n v="1"/>
    <n v="0.35699999999999998"/>
    <n v="1"/>
    <n v="0.35699999999999998"/>
    <s v="Low production due to insufficient fabric input from Dyeing."/>
  </r>
  <r>
    <x v="93"/>
    <x v="1"/>
    <x v="9"/>
    <x v="4"/>
    <n v="5000"/>
    <n v="1930"/>
    <n v="0"/>
    <n v="0"/>
    <n v="1930"/>
    <n v="22"/>
    <n v="3"/>
    <n v="19"/>
    <n v="681.81818181818187"/>
    <n v="0.86363636363636365"/>
    <n v="0.38600000000000001"/>
    <n v="1"/>
    <n v="0.33336363636363636"/>
    <s v="M/C  for 3 hrs due to replacement of the edge roller bearing and pulley."/>
  </r>
  <r>
    <x v="94"/>
    <x v="0"/>
    <x v="0"/>
    <x v="0"/>
    <n v="10000"/>
    <n v="8917"/>
    <n v="0"/>
    <n v="0"/>
    <n v="8917"/>
    <n v="22"/>
    <m/>
    <n v="22"/>
    <n v="0"/>
    <n v="1"/>
    <n v="0.89170000000000005"/>
    <n v="1"/>
    <n v="0.89170000000000005"/>
    <m/>
  </r>
  <r>
    <x v="94"/>
    <x v="0"/>
    <x v="11"/>
    <x v="0"/>
    <n v="9690"/>
    <n v="9690"/>
    <n v="0"/>
    <n v="0"/>
    <n v="9690"/>
    <m/>
    <m/>
    <s v=""/>
    <s v=""/>
    <s v=""/>
    <n v="1"/>
    <n v="1"/>
    <s v=""/>
    <m/>
  </r>
  <r>
    <x v="94"/>
    <x v="0"/>
    <x v="1"/>
    <x v="1"/>
    <n v="5000"/>
    <n v="4885"/>
    <n v="0"/>
    <n v="0"/>
    <n v="4885"/>
    <n v="22"/>
    <m/>
    <n v="22"/>
    <n v="0"/>
    <n v="1"/>
    <n v="0.97699999999999998"/>
    <n v="1"/>
    <n v="0.97699999999999998"/>
    <m/>
  </r>
  <r>
    <x v="94"/>
    <x v="0"/>
    <x v="1"/>
    <x v="2"/>
    <n v="4000"/>
    <n v="3816"/>
    <n v="0"/>
    <n v="0"/>
    <n v="3816"/>
    <m/>
    <m/>
    <s v=""/>
    <s v=""/>
    <s v=""/>
    <n v="0.95399999999999996"/>
    <n v="1"/>
    <s v=""/>
    <m/>
  </r>
  <r>
    <x v="94"/>
    <x v="0"/>
    <x v="2"/>
    <x v="2"/>
    <n v="7000"/>
    <n v="7470"/>
    <n v="0"/>
    <n v="0"/>
    <n v="7470"/>
    <n v="22"/>
    <m/>
    <n v="22"/>
    <n v="0"/>
    <n v="1"/>
    <n v="1.0671428571428572"/>
    <n v="1"/>
    <n v="1.0671428571428572"/>
    <m/>
  </r>
  <r>
    <x v="94"/>
    <x v="0"/>
    <x v="3"/>
    <x v="3"/>
    <n v="7800"/>
    <n v="4712"/>
    <n v="0"/>
    <n v="0"/>
    <n v="4712"/>
    <n v="22"/>
    <n v="4.5"/>
    <n v="17.5"/>
    <n v="1595.4545454545455"/>
    <n v="0.79545454545454541"/>
    <n v="0.60410256410256413"/>
    <n v="1"/>
    <n v="0.48053613053613053"/>
    <s v="M/c off 4.5 hr due to unavailability of Heat-Set fabric"/>
  </r>
  <r>
    <x v="94"/>
    <x v="0"/>
    <x v="10"/>
    <x v="3"/>
    <m/>
    <m/>
    <m/>
    <s v=""/>
    <n v="0"/>
    <m/>
    <m/>
    <s v=""/>
    <s v=""/>
    <s v=""/>
    <s v=""/>
    <s v=""/>
    <s v=""/>
    <m/>
  </r>
  <r>
    <x v="94"/>
    <x v="0"/>
    <x v="4"/>
    <x v="4"/>
    <n v="9000"/>
    <n v="6828"/>
    <n v="0"/>
    <n v="0"/>
    <n v="6828"/>
    <n v="22"/>
    <m/>
    <n v="22"/>
    <n v="0"/>
    <n v="1"/>
    <n v="0.75866666666666671"/>
    <n v="1"/>
    <n v="0.75866666666666671"/>
    <m/>
  </r>
  <r>
    <x v="94"/>
    <x v="0"/>
    <x v="5"/>
    <x v="4"/>
    <n v="0"/>
    <m/>
    <m/>
    <s v=""/>
    <n v="0"/>
    <m/>
    <m/>
    <s v=""/>
    <s v=""/>
    <s v=""/>
    <s v=""/>
    <s v=""/>
    <s v=""/>
    <m/>
  </r>
  <r>
    <x v="94"/>
    <x v="1"/>
    <x v="6"/>
    <x v="5"/>
    <n v="9000"/>
    <n v="7499"/>
    <n v="0"/>
    <n v="0"/>
    <n v="7499"/>
    <n v="22"/>
    <m/>
    <n v="22"/>
    <n v="0"/>
    <n v="1"/>
    <n v="0.8332222222222222"/>
    <n v="1"/>
    <n v="0.8332222222222222"/>
    <m/>
  </r>
  <r>
    <x v="94"/>
    <x v="1"/>
    <x v="7"/>
    <x v="6"/>
    <n v="8000"/>
    <n v="7220"/>
    <n v="0"/>
    <n v="0"/>
    <n v="7220"/>
    <n v="22"/>
    <n v="1.5"/>
    <n v="20.5"/>
    <n v="545.4545454545455"/>
    <n v="0.93181818181818177"/>
    <n v="0.90249999999999997"/>
    <n v="1"/>
    <n v="0.84096590909090907"/>
    <s v="Machine off 1.50 hrs due to net cleaning "/>
  </r>
  <r>
    <x v="94"/>
    <x v="1"/>
    <x v="8"/>
    <x v="4"/>
    <n v="6000"/>
    <n v="2710"/>
    <n v="0"/>
    <n v="0"/>
    <n v="2710"/>
    <n v="22"/>
    <m/>
    <n v="22"/>
    <n v="0"/>
    <n v="1"/>
    <n v="0.45166666666666666"/>
    <n v="1"/>
    <n v="0.45166666666666666"/>
    <m/>
  </r>
  <r>
    <x v="94"/>
    <x v="1"/>
    <x v="9"/>
    <x v="4"/>
    <n v="5000"/>
    <n v="2150"/>
    <n v="0"/>
    <n v="0"/>
    <n v="2150"/>
    <n v="22"/>
    <m/>
    <n v="22"/>
    <n v="0"/>
    <n v="1"/>
    <n v="0.43"/>
    <n v="1"/>
    <n v="0.43"/>
    <m/>
  </r>
  <r>
    <x v="95"/>
    <x v="0"/>
    <x v="0"/>
    <x v="0"/>
    <n v="10000"/>
    <n v="8043"/>
    <n v="0"/>
    <n v="0"/>
    <n v="8043"/>
    <n v="22"/>
    <m/>
    <n v="22"/>
    <n v="0"/>
    <n v="1"/>
    <n v="0.80430000000000001"/>
    <n v="1"/>
    <n v="0.80430000000000001"/>
    <m/>
  </r>
  <r>
    <x v="95"/>
    <x v="0"/>
    <x v="11"/>
    <x v="0"/>
    <n v="9607"/>
    <n v="9607"/>
    <n v="0"/>
    <n v="0"/>
    <n v="9607"/>
    <m/>
    <m/>
    <s v=""/>
    <s v=""/>
    <s v=""/>
    <n v="1"/>
    <n v="1"/>
    <s v=""/>
    <m/>
  </r>
  <r>
    <x v="95"/>
    <x v="0"/>
    <x v="1"/>
    <x v="1"/>
    <n v="5000"/>
    <n v="5331"/>
    <n v="0"/>
    <n v="0"/>
    <n v="5331"/>
    <n v="22"/>
    <m/>
    <n v="22"/>
    <n v="0"/>
    <n v="1"/>
    <n v="1.0662"/>
    <n v="1"/>
    <n v="1.0662"/>
    <s v="Most of the Fabric was at &quot;To Heat-Set&quot; stage"/>
  </r>
  <r>
    <x v="95"/>
    <x v="0"/>
    <x v="1"/>
    <x v="2"/>
    <n v="4000"/>
    <n v="3497"/>
    <n v="0"/>
    <n v="0"/>
    <n v="3497"/>
    <m/>
    <m/>
    <s v=""/>
    <s v=""/>
    <s v=""/>
    <n v="0.87424999999999997"/>
    <n v="1"/>
    <s v=""/>
    <m/>
  </r>
  <r>
    <x v="95"/>
    <x v="0"/>
    <x v="2"/>
    <x v="2"/>
    <n v="7000"/>
    <n v="7715"/>
    <n v="0"/>
    <n v="0"/>
    <n v="7715"/>
    <n v="22"/>
    <m/>
    <n v="22"/>
    <n v="0"/>
    <n v="1"/>
    <n v="1.1021428571428571"/>
    <n v="1"/>
    <n v="1.1021428571428571"/>
    <m/>
  </r>
  <r>
    <x v="95"/>
    <x v="0"/>
    <x v="3"/>
    <x v="3"/>
    <n v="7800"/>
    <n v="5452"/>
    <n v="0"/>
    <n v="0"/>
    <n v="5452"/>
    <n v="22"/>
    <n v="6"/>
    <n v="16"/>
    <n v="2127.2727272727275"/>
    <n v="0.72727272727272729"/>
    <n v="0.698974358974359"/>
    <n v="1"/>
    <n v="0.50834498834498842"/>
    <s v="M/c off 6 hrs due to unavailability of Heat-Set fabric"/>
  </r>
  <r>
    <x v="95"/>
    <x v="0"/>
    <x v="10"/>
    <x v="3"/>
    <m/>
    <m/>
    <m/>
    <s v=""/>
    <n v="0"/>
    <m/>
    <m/>
    <s v=""/>
    <s v=""/>
    <s v=""/>
    <s v=""/>
    <s v=""/>
    <s v=""/>
    <m/>
  </r>
  <r>
    <x v="95"/>
    <x v="0"/>
    <x v="4"/>
    <x v="4"/>
    <n v="9000"/>
    <n v="7356"/>
    <n v="0"/>
    <n v="0"/>
    <n v="7356"/>
    <n v="22"/>
    <n v="2"/>
    <n v="20"/>
    <n v="818.18181818181813"/>
    <n v="0.90909090909090906"/>
    <n v="0.81733333333333336"/>
    <n v="1"/>
    <n v="0.74303030303030304"/>
    <s v="M/C off 2 hrs due to  upper gearbox problem."/>
  </r>
  <r>
    <x v="95"/>
    <x v="0"/>
    <x v="5"/>
    <x v="4"/>
    <n v="2084"/>
    <n v="2084"/>
    <m/>
    <n v="0"/>
    <n v="2084"/>
    <m/>
    <m/>
    <s v=""/>
    <s v=""/>
    <s v=""/>
    <n v="1"/>
    <n v="1"/>
    <s v=""/>
    <s v="Monty M/C operated with helpers from Tube Ferraro."/>
  </r>
  <r>
    <x v="95"/>
    <x v="1"/>
    <x v="6"/>
    <x v="5"/>
    <n v="9000"/>
    <n v="6981"/>
    <n v="0"/>
    <n v="0"/>
    <n v="6981"/>
    <n v="22"/>
    <m/>
    <n v="22"/>
    <n v="0"/>
    <n v="1"/>
    <n v="0.77566666666666662"/>
    <n v="1"/>
    <n v="0.77566666666666662"/>
    <m/>
  </r>
  <r>
    <x v="95"/>
    <x v="1"/>
    <x v="7"/>
    <x v="6"/>
    <n v="8000"/>
    <n v="7031"/>
    <n v="0"/>
    <n v="0"/>
    <n v="7031"/>
    <n v="22"/>
    <n v="3.17"/>
    <n v="18.829999999999998"/>
    <n v="1152.7272727272727"/>
    <n v="0.85590909090909084"/>
    <n v="0.87887499999999996"/>
    <n v="1"/>
    <n v="0.75223710227272722"/>
    <s v="M/C off 1.50 hrs due to net cleaning &amp; PDB issue 1.20 hrs."/>
  </r>
  <r>
    <x v="95"/>
    <x v="1"/>
    <x v="8"/>
    <x v="4"/>
    <n v="6000"/>
    <n v="1748"/>
    <n v="0"/>
    <n v="0"/>
    <n v="1748"/>
    <n v="22"/>
    <m/>
    <n v="22"/>
    <n v="0"/>
    <n v="1"/>
    <n v="0.29133333333333333"/>
    <n v="1"/>
    <n v="0.29133333333333333"/>
    <m/>
  </r>
  <r>
    <x v="95"/>
    <x v="1"/>
    <x v="9"/>
    <x v="4"/>
    <n v="5000"/>
    <n v="3713"/>
    <n v="0"/>
    <n v="0"/>
    <n v="3713"/>
    <n v="22"/>
    <m/>
    <n v="22"/>
    <n v="0"/>
    <n v="1"/>
    <n v="0.74260000000000004"/>
    <n v="1"/>
    <n v="0.74260000000000004"/>
    <m/>
  </r>
  <r>
    <x v="96"/>
    <x v="0"/>
    <x v="0"/>
    <x v="0"/>
    <n v="10000"/>
    <n v="8443"/>
    <n v="0"/>
    <n v="0"/>
    <n v="8443"/>
    <n v="22"/>
    <m/>
    <n v="22"/>
    <n v="0"/>
    <n v="1"/>
    <n v="0.84430000000000005"/>
    <n v="1"/>
    <n v="0.84430000000000005"/>
    <m/>
  </r>
  <r>
    <x v="96"/>
    <x v="0"/>
    <x v="11"/>
    <x v="0"/>
    <n v="9351"/>
    <n v="9351"/>
    <n v="0"/>
    <n v="0"/>
    <n v="9351"/>
    <m/>
    <m/>
    <s v=""/>
    <s v=""/>
    <s v=""/>
    <n v="1"/>
    <n v="1"/>
    <s v=""/>
    <m/>
  </r>
  <r>
    <x v="96"/>
    <x v="0"/>
    <x v="1"/>
    <x v="1"/>
    <n v="5000"/>
    <n v="2109"/>
    <n v="0"/>
    <n v="0"/>
    <n v="2109"/>
    <n v="22"/>
    <m/>
    <n v="22"/>
    <n v="0"/>
    <n v="1"/>
    <n v="0.42180000000000001"/>
    <n v="1"/>
    <n v="0.42180000000000001"/>
    <m/>
  </r>
  <r>
    <x v="96"/>
    <x v="0"/>
    <x v="1"/>
    <x v="2"/>
    <n v="4000"/>
    <n v="6920"/>
    <n v="0"/>
    <n v="0"/>
    <n v="6920"/>
    <m/>
    <m/>
    <s v=""/>
    <s v=""/>
    <s v=""/>
    <n v="1.73"/>
    <n v="1"/>
    <s v=""/>
    <m/>
  </r>
  <r>
    <x v="96"/>
    <x v="0"/>
    <x v="2"/>
    <x v="2"/>
    <n v="7000"/>
    <n v="6408"/>
    <n v="0"/>
    <n v="0"/>
    <n v="6408"/>
    <n v="22"/>
    <m/>
    <n v="22"/>
    <n v="0"/>
    <n v="1"/>
    <n v="0.91542857142857148"/>
    <n v="1"/>
    <n v="0.91542857142857148"/>
    <m/>
  </r>
  <r>
    <x v="96"/>
    <x v="0"/>
    <x v="3"/>
    <x v="3"/>
    <n v="7800"/>
    <n v="4321"/>
    <n v="0"/>
    <n v="0"/>
    <n v="4321"/>
    <n v="22"/>
    <n v="6"/>
    <n v="16"/>
    <n v="2127.2727272727275"/>
    <n v="0.72727272727272729"/>
    <n v="0.55397435897435898"/>
    <n v="1"/>
    <n v="0.4028904428904429"/>
    <s v="M/c off 6 hr due to unavailability of Heat-Set fabric"/>
  </r>
  <r>
    <x v="96"/>
    <x v="0"/>
    <x v="10"/>
    <x v="3"/>
    <m/>
    <m/>
    <m/>
    <s v=""/>
    <n v="0"/>
    <m/>
    <m/>
    <s v=""/>
    <s v=""/>
    <s v=""/>
    <s v=""/>
    <s v=""/>
    <s v=""/>
    <m/>
  </r>
  <r>
    <x v="96"/>
    <x v="0"/>
    <x v="4"/>
    <x v="4"/>
    <n v="9000"/>
    <n v="7559"/>
    <n v="0"/>
    <n v="0"/>
    <n v="7559"/>
    <n v="22"/>
    <m/>
    <n v="22"/>
    <n v="0"/>
    <n v="1"/>
    <n v="0.83988888888888891"/>
    <n v="1"/>
    <n v="0.83988888888888891"/>
    <m/>
  </r>
  <r>
    <x v="96"/>
    <x v="0"/>
    <x v="5"/>
    <x v="4"/>
    <n v="1700"/>
    <n v="1700"/>
    <m/>
    <n v="0"/>
    <n v="1700"/>
    <m/>
    <m/>
    <s v=""/>
    <s v=""/>
    <s v=""/>
    <n v="1"/>
    <n v="1"/>
    <s v=""/>
    <s v="Monty M/C operated with helpers from Tube Ferraro."/>
  </r>
  <r>
    <x v="96"/>
    <x v="1"/>
    <x v="6"/>
    <x v="5"/>
    <n v="9000"/>
    <n v="6399"/>
    <n v="0"/>
    <n v="0"/>
    <n v="6399"/>
    <n v="22"/>
    <m/>
    <n v="22"/>
    <n v="0"/>
    <n v="1"/>
    <n v="0.71099999999999997"/>
    <n v="1"/>
    <n v="0.71099999999999997"/>
    <m/>
  </r>
  <r>
    <x v="96"/>
    <x v="1"/>
    <x v="7"/>
    <x v="6"/>
    <n v="8000"/>
    <n v="7143"/>
    <n v="0"/>
    <n v="0"/>
    <n v="7143"/>
    <n v="22"/>
    <n v="1.1000000000000001"/>
    <n v="20.9"/>
    <n v="400"/>
    <n v="0.95"/>
    <n v="0.89287499999999997"/>
    <n v="1"/>
    <n v="0.84823124999999988"/>
    <s v="M/C off 1.10 hrs due to net cleaning"/>
  </r>
  <r>
    <x v="96"/>
    <x v="1"/>
    <x v="8"/>
    <x v="4"/>
    <n v="6000"/>
    <n v="2058"/>
    <n v="0"/>
    <n v="0"/>
    <n v="2058"/>
    <n v="22"/>
    <m/>
    <n v="22"/>
    <n v="0"/>
    <n v="1"/>
    <n v="0.34300000000000003"/>
    <n v="1"/>
    <n v="0.34300000000000003"/>
    <s v="Low production due to insufficient T/F fabric"/>
  </r>
  <r>
    <x v="96"/>
    <x v="1"/>
    <x v="9"/>
    <x v="4"/>
    <n v="5000"/>
    <n v="4795"/>
    <n v="0"/>
    <n v="0"/>
    <n v="4795"/>
    <n v="22"/>
    <m/>
    <n v="22"/>
    <n v="0"/>
    <n v="1"/>
    <n v="0.95899999999999996"/>
    <n v="1"/>
    <n v="0.95899999999999996"/>
    <m/>
  </r>
  <r>
    <x v="97"/>
    <x v="0"/>
    <x v="0"/>
    <x v="0"/>
    <n v="10000"/>
    <n v="9033"/>
    <n v="0"/>
    <n v="0"/>
    <n v="9033"/>
    <n v="22"/>
    <m/>
    <n v="22"/>
    <n v="0"/>
    <n v="1"/>
    <n v="0.90329999999999999"/>
    <n v="1"/>
    <n v="0.90329999999999999"/>
    <m/>
  </r>
  <r>
    <x v="97"/>
    <x v="0"/>
    <x v="11"/>
    <x v="0"/>
    <n v="11187"/>
    <n v="11187"/>
    <n v="0"/>
    <n v="0"/>
    <n v="11187"/>
    <m/>
    <m/>
    <s v=""/>
    <s v=""/>
    <s v=""/>
    <n v="1"/>
    <n v="1"/>
    <s v=""/>
    <m/>
  </r>
  <r>
    <x v="97"/>
    <x v="0"/>
    <x v="1"/>
    <x v="1"/>
    <n v="5000"/>
    <n v="3980"/>
    <n v="0"/>
    <n v="0"/>
    <n v="3980"/>
    <n v="22"/>
    <n v="3"/>
    <n v="19"/>
    <n v="681.81818181818187"/>
    <n v="0.86363636363636365"/>
    <n v="0.79600000000000004"/>
    <n v="1"/>
    <n v="0.68745454545454554"/>
    <s v="M/C stopped for monitor and inverter installation (3 hrs)."/>
  </r>
  <r>
    <x v="97"/>
    <x v="0"/>
    <x v="1"/>
    <x v="2"/>
    <n v="4000"/>
    <n v="4670"/>
    <n v="0"/>
    <n v="0"/>
    <n v="4670"/>
    <m/>
    <m/>
    <s v=""/>
    <s v=""/>
    <s v=""/>
    <n v="1.1675"/>
    <n v="1"/>
    <s v=""/>
    <m/>
  </r>
  <r>
    <x v="97"/>
    <x v="0"/>
    <x v="2"/>
    <x v="2"/>
    <n v="7000"/>
    <n v="6765"/>
    <n v="0"/>
    <n v="0"/>
    <n v="6765"/>
    <n v="22"/>
    <n v="3.5"/>
    <n v="18.5"/>
    <n v="1113.6363636363637"/>
    <n v="0.84090909090909094"/>
    <n v="0.96642857142857141"/>
    <n v="1"/>
    <n v="0.81267857142857147"/>
    <s v="M/C stopped for scheduled maintenance and idle due to the unavailability of ready padder fabric (3.5 hrs)."/>
  </r>
  <r>
    <x v="97"/>
    <x v="0"/>
    <x v="3"/>
    <x v="3"/>
    <n v="7800"/>
    <n v="3420"/>
    <n v="0"/>
    <n v="0"/>
    <n v="3420"/>
    <n v="22"/>
    <n v="5"/>
    <n v="17"/>
    <n v="1772.7272727272727"/>
    <n v="0.77272727272727271"/>
    <n v="0.43846153846153846"/>
    <n v="1"/>
    <n v="0.33881118881118882"/>
    <s v="M/C remained idle due to unavailability of Heat Set fabric (5 hrs)."/>
  </r>
  <r>
    <x v="97"/>
    <x v="0"/>
    <x v="10"/>
    <x v="3"/>
    <m/>
    <m/>
    <m/>
    <s v=""/>
    <n v="0"/>
    <m/>
    <m/>
    <s v=""/>
    <s v=""/>
    <s v=""/>
    <s v=""/>
    <s v=""/>
    <s v=""/>
    <m/>
  </r>
  <r>
    <x v="97"/>
    <x v="0"/>
    <x v="4"/>
    <x v="4"/>
    <n v="9000"/>
    <n v="7812"/>
    <n v="0"/>
    <n v="0"/>
    <n v="7812"/>
    <n v="22"/>
    <m/>
    <n v="22"/>
    <n v="0"/>
    <n v="1"/>
    <n v="0.86799999999999999"/>
    <n v="1"/>
    <n v="0.86799999999999999"/>
    <m/>
  </r>
  <r>
    <x v="97"/>
    <x v="0"/>
    <x v="5"/>
    <x v="4"/>
    <n v="1963"/>
    <n v="1963"/>
    <m/>
    <n v="0"/>
    <n v="1963"/>
    <m/>
    <m/>
    <s v=""/>
    <s v=""/>
    <s v=""/>
    <n v="1"/>
    <n v="1"/>
    <s v=""/>
    <m/>
  </r>
  <r>
    <x v="97"/>
    <x v="1"/>
    <x v="6"/>
    <x v="5"/>
    <n v="9000"/>
    <n v="6886"/>
    <n v="0"/>
    <n v="0"/>
    <n v="6886"/>
    <n v="22"/>
    <m/>
    <n v="22"/>
    <n v="0"/>
    <n v="1"/>
    <n v="0.76511111111111108"/>
    <n v="1"/>
    <n v="0.76511111111111108"/>
    <s v="Production affected due to lower T/F fabric availability."/>
  </r>
  <r>
    <x v="97"/>
    <x v="1"/>
    <x v="7"/>
    <x v="6"/>
    <n v="8000"/>
    <n v="5834"/>
    <n v="0"/>
    <n v="0"/>
    <n v="5834"/>
    <n v="22"/>
    <n v="2.5"/>
    <n v="19.5"/>
    <n v="909.09090909090901"/>
    <n v="0.88636363636363635"/>
    <n v="0.72924999999999995"/>
    <n v="1"/>
    <n v="0.64638068181818176"/>
    <s v="M/C stopped for scheduled maintenance &amp; net cleaning (2.5 hrs)."/>
  </r>
  <r>
    <x v="97"/>
    <x v="1"/>
    <x v="8"/>
    <x v="4"/>
    <n v="6000"/>
    <n v="2095"/>
    <n v="0"/>
    <n v="0"/>
    <n v="2095"/>
    <n v="22"/>
    <m/>
    <n v="22"/>
    <n v="0"/>
    <n v="1"/>
    <n v="0.34916666666666668"/>
    <n v="1"/>
    <n v="0.34916666666666668"/>
    <m/>
  </r>
  <r>
    <x v="97"/>
    <x v="1"/>
    <x v="9"/>
    <x v="4"/>
    <n v="5000"/>
    <n v="3990"/>
    <n v="0"/>
    <n v="0"/>
    <n v="3990"/>
    <n v="22"/>
    <m/>
    <n v="22"/>
    <n v="0"/>
    <n v="1"/>
    <n v="0.79800000000000004"/>
    <n v="1"/>
    <n v="0.79800000000000004"/>
    <m/>
  </r>
  <r>
    <x v="98"/>
    <x v="0"/>
    <x v="0"/>
    <x v="0"/>
    <n v="10000"/>
    <n v="9804"/>
    <n v="0"/>
    <n v="0"/>
    <n v="9804"/>
    <n v="22"/>
    <m/>
    <n v="22"/>
    <n v="0"/>
    <n v="1"/>
    <n v="0.98040000000000005"/>
    <n v="1"/>
    <n v="0.98040000000000005"/>
    <m/>
  </r>
  <r>
    <x v="98"/>
    <x v="0"/>
    <x v="11"/>
    <x v="0"/>
    <n v="10367"/>
    <n v="10367"/>
    <n v="0"/>
    <n v="0"/>
    <n v="10367"/>
    <m/>
    <m/>
    <s v=""/>
    <s v=""/>
    <s v=""/>
    <n v="1"/>
    <n v="1"/>
    <s v=""/>
    <m/>
  </r>
  <r>
    <x v="98"/>
    <x v="0"/>
    <x v="1"/>
    <x v="1"/>
    <n v="5000"/>
    <n v="5944"/>
    <n v="0"/>
    <n v="0"/>
    <n v="5944"/>
    <n v="22"/>
    <m/>
    <n v="22"/>
    <n v="0"/>
    <n v="1"/>
    <n v="1.1888000000000001"/>
    <n v="1"/>
    <n v="1.1888000000000001"/>
    <m/>
  </r>
  <r>
    <x v="98"/>
    <x v="0"/>
    <x v="1"/>
    <x v="2"/>
    <n v="4000"/>
    <n v="4319"/>
    <n v="0"/>
    <n v="0"/>
    <n v="4319"/>
    <m/>
    <m/>
    <s v=""/>
    <s v=""/>
    <s v=""/>
    <n v="1.07975"/>
    <n v="1"/>
    <s v=""/>
    <m/>
  </r>
  <r>
    <x v="98"/>
    <x v="0"/>
    <x v="2"/>
    <x v="2"/>
    <n v="7000"/>
    <n v="7849"/>
    <n v="0"/>
    <n v="0"/>
    <n v="7849"/>
    <n v="22"/>
    <m/>
    <n v="22"/>
    <n v="0"/>
    <n v="1"/>
    <n v="1.1212857142857142"/>
    <n v="1"/>
    <n v="1.1212857142857142"/>
    <m/>
  </r>
  <r>
    <x v="98"/>
    <x v="0"/>
    <x v="3"/>
    <x v="3"/>
    <n v="7800"/>
    <n v="5965"/>
    <n v="0"/>
    <n v="0"/>
    <n v="5965"/>
    <n v="22"/>
    <n v="4"/>
    <n v="18"/>
    <n v="1418.1818181818182"/>
    <n v="0.81818181818181823"/>
    <n v="0.76474358974358969"/>
    <n v="1"/>
    <n v="0.62569930069930069"/>
    <s v="M/C remained idle due to unavailability of Heat Set fabric (4 hrs)."/>
  </r>
  <r>
    <x v="98"/>
    <x v="0"/>
    <x v="10"/>
    <x v="3"/>
    <m/>
    <m/>
    <m/>
    <s v=""/>
    <n v="0"/>
    <m/>
    <m/>
    <s v=""/>
    <s v=""/>
    <s v=""/>
    <s v=""/>
    <s v=""/>
    <s v=""/>
    <m/>
  </r>
  <r>
    <x v="98"/>
    <x v="0"/>
    <x v="4"/>
    <x v="4"/>
    <n v="9000"/>
    <n v="7973"/>
    <n v="0"/>
    <n v="0"/>
    <n v="7973"/>
    <n v="22"/>
    <m/>
    <n v="22"/>
    <n v="0"/>
    <n v="1"/>
    <n v="0.88588888888888884"/>
    <n v="1"/>
    <n v="0.88588888888888884"/>
    <m/>
  </r>
  <r>
    <x v="98"/>
    <x v="0"/>
    <x v="5"/>
    <x v="4"/>
    <n v="2316"/>
    <n v="2316"/>
    <m/>
    <n v="0"/>
    <n v="2316"/>
    <m/>
    <m/>
    <s v=""/>
    <s v=""/>
    <s v=""/>
    <n v="1"/>
    <n v="1"/>
    <s v=""/>
    <s v="Monty M/C operated with helpers from Tube Ferraro."/>
  </r>
  <r>
    <x v="98"/>
    <x v="1"/>
    <x v="6"/>
    <x v="5"/>
    <n v="9000"/>
    <n v="6359"/>
    <n v="0"/>
    <n v="0"/>
    <n v="6359"/>
    <n v="22"/>
    <m/>
    <n v="22"/>
    <n v="0"/>
    <n v="1"/>
    <n v="0.7065555555555556"/>
    <n v="1"/>
    <n v="0.7065555555555556"/>
    <m/>
  </r>
  <r>
    <x v="98"/>
    <x v="1"/>
    <x v="7"/>
    <x v="6"/>
    <n v="8000"/>
    <n v="6616"/>
    <n v="0"/>
    <n v="0"/>
    <n v="6616"/>
    <n v="22"/>
    <m/>
    <n v="22"/>
    <n v="0"/>
    <n v="1"/>
    <n v="0.82699999999999996"/>
    <n v="1"/>
    <n v="0.82699999999999996"/>
    <s v="M/C stopped for scheduled net cleaning (1.5 hrs)."/>
  </r>
  <r>
    <x v="98"/>
    <x v="1"/>
    <x v="8"/>
    <x v="4"/>
    <n v="6000"/>
    <n v="2254"/>
    <n v="0"/>
    <n v="0"/>
    <n v="2254"/>
    <n v="22"/>
    <m/>
    <n v="22"/>
    <n v="0"/>
    <n v="1"/>
    <n v="0.37566666666666665"/>
    <n v="1"/>
    <n v="0.37566666666666665"/>
    <s v="Low production due to insufficient T/F fabric"/>
  </r>
  <r>
    <x v="98"/>
    <x v="1"/>
    <x v="9"/>
    <x v="4"/>
    <n v="5000"/>
    <n v="4212"/>
    <n v="0"/>
    <n v="0"/>
    <n v="4212"/>
    <n v="22"/>
    <m/>
    <n v="22"/>
    <n v="0"/>
    <n v="1"/>
    <n v="0.84240000000000004"/>
    <n v="1"/>
    <n v="0.84240000000000004"/>
    <m/>
  </r>
  <r>
    <x v="99"/>
    <x v="0"/>
    <x v="0"/>
    <x v="0"/>
    <n v="10000"/>
    <n v="9434"/>
    <n v="0"/>
    <n v="0"/>
    <n v="9434"/>
    <n v="22"/>
    <m/>
    <n v="22"/>
    <n v="0"/>
    <n v="1"/>
    <n v="0.94340000000000002"/>
    <n v="1"/>
    <n v="0.94340000000000002"/>
    <m/>
  </r>
  <r>
    <x v="99"/>
    <x v="0"/>
    <x v="11"/>
    <x v="0"/>
    <n v="9225"/>
    <n v="9225"/>
    <n v="0"/>
    <n v="0"/>
    <n v="9225"/>
    <m/>
    <m/>
    <s v=""/>
    <s v=""/>
    <s v=""/>
    <n v="1"/>
    <n v="1"/>
    <s v=""/>
    <m/>
  </r>
  <r>
    <x v="99"/>
    <x v="0"/>
    <x v="1"/>
    <x v="1"/>
    <n v="5000"/>
    <n v="6448"/>
    <n v="0"/>
    <n v="0"/>
    <n v="6448"/>
    <n v="22"/>
    <m/>
    <n v="22"/>
    <n v="0"/>
    <n v="1"/>
    <n v="1.2896000000000001"/>
    <n v="1"/>
    <n v="1.2896000000000001"/>
    <m/>
  </r>
  <r>
    <x v="99"/>
    <x v="0"/>
    <x v="1"/>
    <x v="2"/>
    <n v="4000"/>
    <n v="2576"/>
    <n v="0"/>
    <n v="0"/>
    <n v="2576"/>
    <m/>
    <m/>
    <s v=""/>
    <s v=""/>
    <s v=""/>
    <n v="0.64400000000000002"/>
    <n v="1"/>
    <s v=""/>
    <m/>
  </r>
  <r>
    <x v="99"/>
    <x v="0"/>
    <x v="2"/>
    <x v="2"/>
    <n v="7000"/>
    <n v="7790"/>
    <n v="0"/>
    <n v="0"/>
    <n v="7790"/>
    <n v="22"/>
    <n v="0.4"/>
    <n v="21.6"/>
    <n v="127.27272727272728"/>
    <n v="0.98181818181818192"/>
    <n v="1.1128571428571428"/>
    <n v="1"/>
    <n v="1.0926233766233766"/>
    <s v="M/C Stopped for guider roller instalation &amp; main motor chain repair (40 min)."/>
  </r>
  <r>
    <x v="99"/>
    <x v="0"/>
    <x v="3"/>
    <x v="3"/>
    <n v="7800"/>
    <n v="7441"/>
    <n v="0"/>
    <n v="0"/>
    <n v="7441"/>
    <n v="22"/>
    <m/>
    <n v="22"/>
    <n v="0"/>
    <n v="1"/>
    <n v="0.953974358974359"/>
    <n v="1"/>
    <n v="0.953974358974359"/>
    <m/>
  </r>
  <r>
    <x v="99"/>
    <x v="0"/>
    <x v="10"/>
    <x v="3"/>
    <m/>
    <m/>
    <m/>
    <s v=""/>
    <n v="0"/>
    <m/>
    <m/>
    <s v=""/>
    <s v=""/>
    <s v=""/>
    <s v=""/>
    <s v=""/>
    <s v=""/>
    <m/>
  </r>
  <r>
    <x v="99"/>
    <x v="0"/>
    <x v="4"/>
    <x v="4"/>
    <n v="9000"/>
    <n v="8396"/>
    <n v="0"/>
    <n v="0"/>
    <n v="8396"/>
    <n v="22"/>
    <m/>
    <n v="22"/>
    <n v="0"/>
    <n v="1"/>
    <n v="0.93288888888888888"/>
    <n v="1"/>
    <n v="0.93288888888888888"/>
    <m/>
  </r>
  <r>
    <x v="99"/>
    <x v="0"/>
    <x v="5"/>
    <x v="4"/>
    <n v="916"/>
    <n v="916"/>
    <m/>
    <n v="0"/>
    <n v="916"/>
    <m/>
    <m/>
    <s v=""/>
    <s v=""/>
    <s v=""/>
    <n v="1"/>
    <n v="1"/>
    <s v=""/>
    <s v="Monty M/C operated with helpers from Tube Ferraro."/>
  </r>
  <r>
    <x v="99"/>
    <x v="1"/>
    <x v="6"/>
    <x v="5"/>
    <n v="9000"/>
    <n v="7169"/>
    <n v="0"/>
    <n v="0"/>
    <n v="7169"/>
    <n v="22"/>
    <m/>
    <n v="22"/>
    <n v="0"/>
    <n v="1"/>
    <n v="0.79655555555555557"/>
    <n v="1"/>
    <n v="0.79655555555555557"/>
    <m/>
  </r>
  <r>
    <x v="99"/>
    <x v="1"/>
    <x v="7"/>
    <x v="6"/>
    <n v="8000"/>
    <n v="6851"/>
    <n v="0"/>
    <n v="0"/>
    <n v="6851"/>
    <n v="22"/>
    <n v="1.5"/>
    <n v="20.5"/>
    <n v="545.4545454545455"/>
    <n v="0.93181818181818177"/>
    <n v="0.856375"/>
    <n v="1"/>
    <n v="0.7979857954545454"/>
    <s v="M/C stopped for scheduled net cleaning (1.5 hrs)."/>
  </r>
  <r>
    <x v="99"/>
    <x v="1"/>
    <x v="8"/>
    <x v="4"/>
    <n v="6000"/>
    <n v="2066"/>
    <n v="0"/>
    <n v="0"/>
    <n v="2066"/>
    <n v="22"/>
    <m/>
    <n v="22"/>
    <n v="0"/>
    <n v="1"/>
    <n v="0.34433333333333332"/>
    <n v="1"/>
    <n v="0.34433333333333332"/>
    <s v="Low production due to insufficient T/F fabric"/>
  </r>
  <r>
    <x v="99"/>
    <x v="1"/>
    <x v="9"/>
    <x v="4"/>
    <n v="5000"/>
    <n v="4034"/>
    <n v="0"/>
    <n v="0"/>
    <n v="4034"/>
    <n v="22"/>
    <m/>
    <n v="22"/>
    <n v="0"/>
    <n v="1"/>
    <n v="0.80679999999999996"/>
    <n v="1"/>
    <n v="0.80679999999999996"/>
    <m/>
  </r>
  <r>
    <x v="100"/>
    <x v="0"/>
    <x v="0"/>
    <x v="0"/>
    <n v="10000"/>
    <n v="9409"/>
    <n v="0"/>
    <n v="0"/>
    <n v="9409"/>
    <n v="22"/>
    <n v="0.4"/>
    <n v="21.6"/>
    <n v="181.81818181818184"/>
    <n v="0.98181818181818192"/>
    <n v="0.94089999999999996"/>
    <n v="1"/>
    <n v="0.92379272727272732"/>
    <s v="M/C Stopped for PDB Issue (40min) &amp; run at lunch &amp; dinner break due to open width fabric load. "/>
  </r>
  <r>
    <x v="100"/>
    <x v="0"/>
    <x v="11"/>
    <x v="0"/>
    <n v="10184"/>
    <n v="10184"/>
    <n v="0"/>
    <n v="0"/>
    <n v="10184"/>
    <m/>
    <m/>
    <s v=""/>
    <s v=""/>
    <s v=""/>
    <n v="1"/>
    <n v="1"/>
    <s v=""/>
    <m/>
  </r>
  <r>
    <x v="100"/>
    <x v="0"/>
    <x v="1"/>
    <x v="1"/>
    <n v="5000"/>
    <n v="4993"/>
    <n v="0"/>
    <n v="0"/>
    <n v="4993"/>
    <n v="22"/>
    <n v="0.4"/>
    <n v="21.6"/>
    <n v="90.909090909090921"/>
    <n v="0.98181818181818192"/>
    <n v="0.99860000000000004"/>
    <n v="1"/>
    <n v="0.98044363636363652"/>
    <s v="M/C Stopped for PDB Issue (40min) &amp; run at lunch &amp; dinner break due to open width fabric load. "/>
  </r>
  <r>
    <x v="100"/>
    <x v="0"/>
    <x v="1"/>
    <x v="2"/>
    <n v="4000"/>
    <n v="5043"/>
    <n v="0"/>
    <n v="0"/>
    <n v="5043"/>
    <m/>
    <m/>
    <s v=""/>
    <s v=""/>
    <s v=""/>
    <n v="1.26075"/>
    <n v="1"/>
    <s v=""/>
    <m/>
  </r>
  <r>
    <x v="100"/>
    <x v="0"/>
    <x v="2"/>
    <x v="2"/>
    <n v="7000"/>
    <n v="7466"/>
    <n v="0"/>
    <n v="0"/>
    <n v="7466"/>
    <n v="22"/>
    <n v="0.4"/>
    <n v="21.6"/>
    <n v="127.27272727272728"/>
    <n v="0.98181818181818192"/>
    <n v="1.0665714285714285"/>
    <n v="1"/>
    <n v="1.0471792207792208"/>
    <s v="M/C Stopped for guider roller instalation &amp; main motor chain repair (40 min)."/>
  </r>
  <r>
    <x v="100"/>
    <x v="0"/>
    <x v="3"/>
    <x v="3"/>
    <n v="7800"/>
    <n v="5820"/>
    <n v="0"/>
    <n v="0"/>
    <n v="5820"/>
    <n v="22"/>
    <n v="5.5"/>
    <n v="16.5"/>
    <n v="1950"/>
    <n v="0.75"/>
    <n v="0.74615384615384617"/>
    <n v="1"/>
    <n v="0.55961538461538463"/>
    <s v="M/C Stopped for unavailability of Heat Set fabric (5.50 hrs)."/>
  </r>
  <r>
    <x v="100"/>
    <x v="0"/>
    <x v="10"/>
    <x v="3"/>
    <m/>
    <m/>
    <m/>
    <s v=""/>
    <n v="0"/>
    <m/>
    <m/>
    <s v=""/>
    <s v=""/>
    <s v=""/>
    <s v=""/>
    <s v=""/>
    <s v=""/>
    <m/>
  </r>
  <r>
    <x v="100"/>
    <x v="0"/>
    <x v="4"/>
    <x v="4"/>
    <n v="9000"/>
    <n v="7656"/>
    <n v="0"/>
    <n v="0"/>
    <n v="7656"/>
    <n v="22"/>
    <m/>
    <n v="22"/>
    <n v="0"/>
    <n v="1"/>
    <n v="0.85066666666666668"/>
    <n v="1"/>
    <n v="0.85066666666666668"/>
    <m/>
  </r>
  <r>
    <x v="100"/>
    <x v="0"/>
    <x v="5"/>
    <x v="4"/>
    <m/>
    <m/>
    <m/>
    <s v=""/>
    <n v="0"/>
    <m/>
    <m/>
    <s v=""/>
    <s v=""/>
    <s v=""/>
    <s v=""/>
    <s v=""/>
    <s v=""/>
    <m/>
  </r>
  <r>
    <x v="100"/>
    <x v="1"/>
    <x v="6"/>
    <x v="5"/>
    <n v="9000"/>
    <n v="4827"/>
    <n v="0"/>
    <n v="0"/>
    <n v="4827"/>
    <n v="22"/>
    <m/>
    <n v="22"/>
    <n v="0"/>
    <n v="1"/>
    <n v="0.53633333333333333"/>
    <n v="1"/>
    <n v="0.53633333333333333"/>
    <m/>
  </r>
  <r>
    <x v="100"/>
    <x v="1"/>
    <x v="7"/>
    <x v="6"/>
    <n v="8000"/>
    <n v="5134"/>
    <n v="0"/>
    <n v="0"/>
    <n v="5134"/>
    <n v="22"/>
    <n v="1.7"/>
    <n v="20.3"/>
    <n v="618.18181818181813"/>
    <n v="0.92272727272727273"/>
    <n v="0.64175000000000004"/>
    <n v="1"/>
    <n v="0.59216022727272732"/>
    <s v="M/C stopped for scheduled net cleaning &amp; PDB Issue (1.7 hrs)."/>
  </r>
  <r>
    <x v="100"/>
    <x v="1"/>
    <x v="8"/>
    <x v="4"/>
    <n v="6000"/>
    <n v="2196"/>
    <n v="0"/>
    <n v="0"/>
    <n v="2196"/>
    <n v="22"/>
    <m/>
    <n v="22"/>
    <n v="0"/>
    <n v="1"/>
    <n v="0.36599999999999999"/>
    <n v="1"/>
    <n v="0.36599999999999999"/>
    <s v="Low production due to insufficient T/F fabric"/>
  </r>
  <r>
    <x v="100"/>
    <x v="1"/>
    <x v="9"/>
    <x v="4"/>
    <n v="5000"/>
    <n v="3971"/>
    <n v="0"/>
    <n v="0"/>
    <n v="3971"/>
    <n v="22"/>
    <m/>
    <n v="22"/>
    <n v="0"/>
    <n v="1"/>
    <n v="0.79420000000000002"/>
    <n v="1"/>
    <n v="0.79420000000000002"/>
    <s v="Low production due to insufficient T/F fabric"/>
  </r>
  <r>
    <x v="101"/>
    <x v="0"/>
    <x v="0"/>
    <x v="0"/>
    <n v="10000"/>
    <n v="8423"/>
    <n v="0"/>
    <n v="0"/>
    <n v="8423"/>
    <n v="22"/>
    <m/>
    <n v="22"/>
    <n v="0"/>
    <n v="1"/>
    <n v="0.84230000000000005"/>
    <n v="1"/>
    <n v="0.84230000000000005"/>
    <m/>
  </r>
  <r>
    <x v="101"/>
    <x v="0"/>
    <x v="11"/>
    <x v="0"/>
    <n v="10083"/>
    <n v="10083"/>
    <n v="0"/>
    <n v="0"/>
    <n v="10083"/>
    <m/>
    <m/>
    <s v=""/>
    <s v=""/>
    <s v=""/>
    <n v="1"/>
    <n v="1"/>
    <s v=""/>
    <m/>
  </r>
  <r>
    <x v="101"/>
    <x v="0"/>
    <x v="1"/>
    <x v="1"/>
    <n v="5000"/>
    <n v="5686"/>
    <n v="0"/>
    <n v="0"/>
    <n v="5686"/>
    <n v="22"/>
    <m/>
    <n v="22"/>
    <n v="0"/>
    <n v="1"/>
    <n v="1.1372"/>
    <n v="1"/>
    <n v="1.1372"/>
    <m/>
  </r>
  <r>
    <x v="101"/>
    <x v="0"/>
    <x v="1"/>
    <x v="2"/>
    <n v="4000"/>
    <n v="2886"/>
    <n v="0"/>
    <n v="0"/>
    <n v="2886"/>
    <m/>
    <m/>
    <s v=""/>
    <s v=""/>
    <s v=""/>
    <n v="0.72150000000000003"/>
    <n v="1"/>
    <s v=""/>
    <m/>
  </r>
  <r>
    <x v="101"/>
    <x v="0"/>
    <x v="2"/>
    <x v="2"/>
    <n v="7000"/>
    <n v="7664"/>
    <n v="0"/>
    <n v="0"/>
    <n v="7664"/>
    <n v="22"/>
    <n v="0.4"/>
    <n v="21.6"/>
    <n v="127.27272727272728"/>
    <n v="0.98181818181818192"/>
    <n v="1.0948571428571428"/>
    <n v="1"/>
    <n v="1.0749506493506493"/>
    <s v="Machine stopped due to shade mismatch in Lot No. 2359 and PDB power issues (40 min)  &amp; run at lunch &amp; dinner break due to open width fabric load. "/>
  </r>
  <r>
    <x v="101"/>
    <x v="0"/>
    <x v="3"/>
    <x v="3"/>
    <n v="7800"/>
    <n v="7780"/>
    <n v="0"/>
    <n v="0"/>
    <n v="7780"/>
    <n v="22"/>
    <n v="4"/>
    <n v="18"/>
    <n v="1418.1818181818182"/>
    <n v="0.81818181818181823"/>
    <n v="0.99743589743589745"/>
    <n v="1"/>
    <n v="0.81608391608391617"/>
    <s v="M/C Stopped for unavailability of Heat Set fabric (4 hrs)."/>
  </r>
  <r>
    <x v="101"/>
    <x v="0"/>
    <x v="10"/>
    <x v="3"/>
    <m/>
    <m/>
    <m/>
    <s v=""/>
    <n v="0"/>
    <m/>
    <m/>
    <s v=""/>
    <s v=""/>
    <s v=""/>
    <s v=""/>
    <s v=""/>
    <s v=""/>
    <m/>
  </r>
  <r>
    <x v="101"/>
    <x v="0"/>
    <x v="4"/>
    <x v="4"/>
    <n v="9000"/>
    <n v="8245"/>
    <n v="0"/>
    <n v="0"/>
    <n v="8245"/>
    <n v="22"/>
    <m/>
    <n v="22"/>
    <n v="0"/>
    <n v="1"/>
    <n v="0.9161111111111111"/>
    <n v="1"/>
    <n v="0.9161111111111111"/>
    <m/>
  </r>
  <r>
    <x v="101"/>
    <x v="0"/>
    <x v="5"/>
    <x v="4"/>
    <m/>
    <m/>
    <m/>
    <s v=""/>
    <n v="0"/>
    <m/>
    <m/>
    <s v=""/>
    <s v=""/>
    <s v=""/>
    <s v=""/>
    <s v=""/>
    <s v=""/>
    <m/>
  </r>
  <r>
    <x v="101"/>
    <x v="1"/>
    <x v="6"/>
    <x v="5"/>
    <n v="9000"/>
    <n v="6389"/>
    <n v="0"/>
    <n v="0"/>
    <n v="6389"/>
    <n v="22"/>
    <m/>
    <n v="22"/>
    <n v="0"/>
    <n v="1"/>
    <n v="0.7098888888888889"/>
    <n v="1"/>
    <n v="0.7098888888888889"/>
    <m/>
  </r>
  <r>
    <x v="101"/>
    <x v="1"/>
    <x v="7"/>
    <x v="6"/>
    <n v="8000"/>
    <n v="6913"/>
    <n v="0"/>
    <n v="0"/>
    <n v="6913"/>
    <n v="22"/>
    <n v="1.5"/>
    <n v="20.5"/>
    <n v="545.4545454545455"/>
    <n v="0.93181818181818177"/>
    <n v="0.86412500000000003"/>
    <n v="1"/>
    <n v="0.80520738636363631"/>
    <s v="M/C stopped for scheduled net cleaning (1.5 hrs)."/>
  </r>
  <r>
    <x v="101"/>
    <x v="1"/>
    <x v="8"/>
    <x v="4"/>
    <n v="6000"/>
    <n v="2862"/>
    <n v="0"/>
    <n v="0"/>
    <n v="2862"/>
    <n v="22"/>
    <m/>
    <n v="22"/>
    <n v="0"/>
    <n v="1"/>
    <n v="0.47699999999999998"/>
    <n v="1"/>
    <n v="0.47699999999999998"/>
    <m/>
  </r>
  <r>
    <x v="101"/>
    <x v="1"/>
    <x v="9"/>
    <x v="4"/>
    <n v="5000"/>
    <n v="2649"/>
    <n v="0"/>
    <n v="0"/>
    <n v="2649"/>
    <n v="22"/>
    <m/>
    <n v="22"/>
    <n v="0"/>
    <n v="1"/>
    <n v="0.52980000000000005"/>
    <n v="1"/>
    <n v="0.52980000000000005"/>
    <m/>
  </r>
  <r>
    <x v="102"/>
    <x v="0"/>
    <x v="0"/>
    <x v="0"/>
    <n v="10000"/>
    <n v="9101"/>
    <n v="0"/>
    <n v="0"/>
    <n v="9101"/>
    <n v="22"/>
    <m/>
    <n v="22"/>
    <n v="0"/>
    <n v="1"/>
    <n v="0.91010000000000002"/>
    <n v="1"/>
    <n v="0.91010000000000002"/>
    <m/>
  </r>
  <r>
    <x v="102"/>
    <x v="0"/>
    <x v="11"/>
    <x v="0"/>
    <n v="10216"/>
    <n v="10216"/>
    <n v="0"/>
    <n v="0"/>
    <n v="10216"/>
    <m/>
    <m/>
    <s v=""/>
    <s v=""/>
    <s v=""/>
    <n v="1"/>
    <n v="1"/>
    <s v=""/>
    <m/>
  </r>
  <r>
    <x v="102"/>
    <x v="0"/>
    <x v="1"/>
    <x v="1"/>
    <n v="5000"/>
    <n v="716"/>
    <n v="0"/>
    <n v="0"/>
    <n v="716"/>
    <n v="22"/>
    <m/>
    <n v="22"/>
    <n v="0"/>
    <n v="1"/>
    <n v="0.14319999999999999"/>
    <n v="1"/>
    <n v="0.14319999999999999"/>
    <m/>
  </r>
  <r>
    <x v="102"/>
    <x v="0"/>
    <x v="1"/>
    <x v="2"/>
    <n v="4000"/>
    <n v="9809"/>
    <n v="0"/>
    <n v="0"/>
    <n v="9809"/>
    <m/>
    <m/>
    <s v=""/>
    <s v=""/>
    <s v=""/>
    <n v="2.4522499999999998"/>
    <n v="1"/>
    <s v=""/>
    <m/>
  </r>
  <r>
    <x v="102"/>
    <x v="0"/>
    <x v="2"/>
    <x v="2"/>
    <n v="7000"/>
    <n v="7481"/>
    <n v="0"/>
    <n v="0"/>
    <n v="7481"/>
    <n v="22"/>
    <m/>
    <n v="22"/>
    <n v="0"/>
    <n v="1"/>
    <n v="1.0687142857142857"/>
    <n v="1"/>
    <n v="1.0687142857142857"/>
    <m/>
  </r>
  <r>
    <x v="102"/>
    <x v="0"/>
    <x v="3"/>
    <x v="3"/>
    <n v="7800"/>
    <n v="3652"/>
    <n v="0"/>
    <n v="0"/>
    <n v="3652"/>
    <n v="22"/>
    <n v="4"/>
    <n v="18"/>
    <n v="1418.1818181818182"/>
    <n v="0.81818181818181823"/>
    <n v="0.46820512820512822"/>
    <n v="1"/>
    <n v="0.38307692307692309"/>
    <s v="M/C Stopped for unavailability of Heat Set fabric (4 hrs)."/>
  </r>
  <r>
    <x v="102"/>
    <x v="0"/>
    <x v="10"/>
    <x v="3"/>
    <m/>
    <m/>
    <m/>
    <s v=""/>
    <n v="0"/>
    <m/>
    <m/>
    <s v=""/>
    <s v=""/>
    <s v=""/>
    <s v=""/>
    <s v=""/>
    <s v=""/>
    <m/>
  </r>
  <r>
    <x v="102"/>
    <x v="0"/>
    <x v="4"/>
    <x v="4"/>
    <n v="9000"/>
    <n v="7983"/>
    <n v="0"/>
    <n v="0"/>
    <n v="7983"/>
    <n v="22"/>
    <m/>
    <n v="22"/>
    <n v="0"/>
    <n v="1"/>
    <n v="0.88700000000000001"/>
    <n v="1"/>
    <n v="0.88700000000000001"/>
    <m/>
  </r>
  <r>
    <x v="102"/>
    <x v="0"/>
    <x v="5"/>
    <x v="4"/>
    <n v="1929"/>
    <n v="1929"/>
    <m/>
    <n v="0"/>
    <n v="1929"/>
    <m/>
    <m/>
    <s v=""/>
    <s v=""/>
    <s v=""/>
    <n v="1"/>
    <n v="1"/>
    <s v=""/>
    <m/>
  </r>
  <r>
    <x v="102"/>
    <x v="1"/>
    <x v="6"/>
    <x v="5"/>
    <n v="9000"/>
    <n v="4289"/>
    <n v="0"/>
    <n v="0"/>
    <n v="4289"/>
    <n v="22"/>
    <m/>
    <n v="22"/>
    <n v="0"/>
    <n v="1"/>
    <n v="0.47655555555555557"/>
    <n v="1"/>
    <n v="0.47655555555555557"/>
    <m/>
  </r>
  <r>
    <x v="102"/>
    <x v="1"/>
    <x v="7"/>
    <x v="6"/>
    <n v="8000"/>
    <n v="4290"/>
    <n v="0"/>
    <n v="0"/>
    <n v="4290"/>
    <n v="22"/>
    <n v="1.5"/>
    <n v="20.5"/>
    <n v="545.4545454545455"/>
    <n v="0.93181818181818177"/>
    <n v="0.53625"/>
    <n v="1"/>
    <n v="0.49968749999999995"/>
    <s v="M/C stopped for scheduled net cleaning (1.5 hrs)."/>
  </r>
  <r>
    <x v="102"/>
    <x v="1"/>
    <x v="8"/>
    <x v="4"/>
    <n v="6000"/>
    <n v="2200"/>
    <n v="0"/>
    <n v="0"/>
    <n v="2200"/>
    <n v="22"/>
    <m/>
    <n v="22"/>
    <n v="0"/>
    <n v="1"/>
    <n v="0.36666666666666664"/>
    <n v="1"/>
    <n v="0.36666666666666664"/>
    <s v="Low production due to insufficient T/F fabric"/>
  </r>
  <r>
    <x v="102"/>
    <x v="1"/>
    <x v="9"/>
    <x v="4"/>
    <n v="5000"/>
    <n v="1622"/>
    <n v="0"/>
    <n v="0"/>
    <n v="1622"/>
    <n v="22"/>
    <m/>
    <n v="22"/>
    <n v="0"/>
    <n v="1"/>
    <n v="0.32440000000000002"/>
    <n v="1"/>
    <n v="0.32440000000000002"/>
    <s v="Low production due to insufficient T/F fabric"/>
  </r>
  <r>
    <x v="103"/>
    <x v="0"/>
    <x v="0"/>
    <x v="0"/>
    <n v="10000"/>
    <n v="6310"/>
    <n v="0"/>
    <n v="0"/>
    <n v="6310"/>
    <n v="22"/>
    <n v="2.5"/>
    <n v="19.5"/>
    <n v="1136.3636363636365"/>
    <n v="0.88636363636363635"/>
    <n v="0.63100000000000001"/>
    <n v="1"/>
    <n v="0.5592954545454546"/>
    <s v="M/C stopped for scheduled maintenance (2.50 hrs)"/>
  </r>
  <r>
    <x v="103"/>
    <x v="0"/>
    <x v="11"/>
    <x v="0"/>
    <n v="9014"/>
    <n v="9014"/>
    <n v="0"/>
    <n v="0"/>
    <n v="9014"/>
    <m/>
    <m/>
    <s v=""/>
    <s v=""/>
    <s v=""/>
    <n v="1"/>
    <n v="1"/>
    <s v=""/>
    <m/>
  </r>
  <r>
    <x v="103"/>
    <x v="0"/>
    <x v="1"/>
    <x v="1"/>
    <n v="5000"/>
    <n v="5591"/>
    <n v="0"/>
    <n v="0"/>
    <n v="5591"/>
    <n v="22"/>
    <m/>
    <n v="22"/>
    <n v="0"/>
    <n v="1"/>
    <n v="1.1182000000000001"/>
    <n v="1"/>
    <n v="1.1182000000000001"/>
    <m/>
  </r>
  <r>
    <x v="103"/>
    <x v="0"/>
    <x v="1"/>
    <x v="2"/>
    <n v="4000"/>
    <n v="1641"/>
    <n v="0"/>
    <n v="0"/>
    <n v="1641"/>
    <m/>
    <n v="3.15"/>
    <s v=""/>
    <s v=""/>
    <s v=""/>
    <n v="0.41025"/>
    <n v="1"/>
    <s v=""/>
    <s v="M/C stopped for scheduled maintenance &amp; gas unavailability (8.50 hrs)."/>
  </r>
  <r>
    <x v="103"/>
    <x v="0"/>
    <x v="2"/>
    <x v="2"/>
    <n v="7000"/>
    <n v="4934"/>
    <n v="0"/>
    <n v="0"/>
    <n v="4934"/>
    <n v="22"/>
    <n v="8.5"/>
    <n v="13.5"/>
    <n v="2704.5454545454545"/>
    <n v="0.61363636363636365"/>
    <n v="0.70485714285714285"/>
    <n v="1"/>
    <n v="0.43252597402597404"/>
    <s v="M/C stopped for scheduled maintenance &amp; gas unavailability (8.50 hrs)."/>
  </r>
  <r>
    <x v="103"/>
    <x v="0"/>
    <x v="3"/>
    <x v="3"/>
    <n v="7800"/>
    <n v="5063"/>
    <n v="0"/>
    <n v="0"/>
    <n v="5063"/>
    <n v="22"/>
    <n v="7"/>
    <n v="15"/>
    <n v="2481.818181818182"/>
    <n v="0.68181818181818177"/>
    <n v="0.64910256410256406"/>
    <n v="1"/>
    <n v="0.44256993006993001"/>
    <s v="M/C Stopped for unavailability of Heat Set fabric (7 hrs)"/>
  </r>
  <r>
    <x v="103"/>
    <x v="0"/>
    <x v="10"/>
    <x v="3"/>
    <m/>
    <m/>
    <m/>
    <s v=""/>
    <n v="0"/>
    <m/>
    <m/>
    <s v=""/>
    <s v=""/>
    <s v=""/>
    <s v=""/>
    <s v=""/>
    <s v=""/>
    <m/>
  </r>
  <r>
    <x v="103"/>
    <x v="0"/>
    <x v="4"/>
    <x v="4"/>
    <n v="9000"/>
    <n v="6874"/>
    <n v="0"/>
    <n v="0"/>
    <n v="6874"/>
    <n v="22"/>
    <m/>
    <n v="22"/>
    <n v="0"/>
    <n v="1"/>
    <n v="0.76377777777777778"/>
    <n v="1"/>
    <n v="0.76377777777777778"/>
    <m/>
  </r>
  <r>
    <x v="103"/>
    <x v="0"/>
    <x v="5"/>
    <x v="4"/>
    <n v="1059"/>
    <n v="1059"/>
    <m/>
    <n v="0"/>
    <n v="1059"/>
    <m/>
    <m/>
    <s v=""/>
    <s v=""/>
    <s v=""/>
    <n v="1"/>
    <n v="1"/>
    <s v=""/>
    <m/>
  </r>
  <r>
    <x v="103"/>
    <x v="1"/>
    <x v="6"/>
    <x v="5"/>
    <n v="9000"/>
    <n v="7180"/>
    <n v="0"/>
    <n v="0"/>
    <n v="7180"/>
    <n v="22"/>
    <m/>
    <n v="22"/>
    <n v="0"/>
    <n v="1"/>
    <n v="0.79777777777777781"/>
    <n v="1"/>
    <n v="0.79777777777777781"/>
    <m/>
  </r>
  <r>
    <x v="103"/>
    <x v="1"/>
    <x v="7"/>
    <x v="6"/>
    <n v="8000"/>
    <n v="6553"/>
    <n v="0"/>
    <n v="0"/>
    <n v="6553"/>
    <n v="22"/>
    <n v="3.15"/>
    <n v="18.850000000000001"/>
    <n v="1145.4545454545455"/>
    <n v="0.85681818181818192"/>
    <n v="0.81912499999999999"/>
    <n v="1"/>
    <n v="0.70184119318181826"/>
    <s v="M/C stopped for scheduled maintenance, net cleaning &amp; PDB issues. (3.15 hrs). Production affected due to lower steam &amp; lower T/F fabric availability."/>
  </r>
  <r>
    <x v="103"/>
    <x v="1"/>
    <x v="8"/>
    <x v="4"/>
    <n v="6000"/>
    <n v="3069"/>
    <n v="0"/>
    <n v="0"/>
    <n v="3069"/>
    <n v="22"/>
    <n v="3"/>
    <n v="19"/>
    <n v="818.18181818181824"/>
    <n v="0.86363636363636365"/>
    <n v="0.51149999999999995"/>
    <n v="1"/>
    <n v="0.44174999999999998"/>
    <s v="M/C stopped due to PDB issues and gearbox breakdown (3hrs). Production was also affected by lower T/F fabric availability."/>
  </r>
  <r>
    <x v="103"/>
    <x v="1"/>
    <x v="9"/>
    <x v="4"/>
    <n v="5000"/>
    <n v="3740"/>
    <n v="0"/>
    <n v="0"/>
    <n v="3740"/>
    <n v="22"/>
    <m/>
    <n v="22"/>
    <n v="0"/>
    <n v="1"/>
    <n v="0.748"/>
    <n v="1"/>
    <n v="0.748"/>
    <m/>
  </r>
  <r>
    <x v="104"/>
    <x v="0"/>
    <x v="0"/>
    <x v="0"/>
    <n v="10000"/>
    <n v="6529"/>
    <n v="0"/>
    <n v="0"/>
    <n v="6529"/>
    <n v="22"/>
    <n v="3"/>
    <n v="19"/>
    <n v="1363.6363636363637"/>
    <n v="0.86363636363636365"/>
    <n v="0.65290000000000004"/>
    <n v="1"/>
    <n v="0.56386818181818188"/>
    <s v="Machine stopped for padder pressure regulator installation and pressure line maintenance (2 hrs). Production was affected due to gas unavailability. A Shift closed at 6:00 PM."/>
  </r>
  <r>
    <x v="104"/>
    <x v="0"/>
    <x v="11"/>
    <x v="0"/>
    <n v="9933"/>
    <n v="9933"/>
    <n v="0"/>
    <n v="0"/>
    <n v="9933"/>
    <m/>
    <m/>
    <s v=""/>
    <s v=""/>
    <s v=""/>
    <n v="1"/>
    <n v="1"/>
    <s v=""/>
    <m/>
  </r>
  <r>
    <x v="104"/>
    <x v="0"/>
    <x v="1"/>
    <x v="1"/>
    <n v="5000"/>
    <n v="4253"/>
    <n v="0"/>
    <n v="0"/>
    <n v="4253"/>
    <n v="22"/>
    <m/>
    <n v="22"/>
    <n v="0"/>
    <n v="1"/>
    <n v="0.85060000000000002"/>
    <n v="1"/>
    <n v="0.85060000000000002"/>
    <m/>
  </r>
  <r>
    <x v="104"/>
    <x v="0"/>
    <x v="1"/>
    <x v="2"/>
    <n v="4000"/>
    <n v="4944"/>
    <n v="0"/>
    <n v="0"/>
    <n v="4944"/>
    <m/>
    <m/>
    <s v=""/>
    <s v=""/>
    <s v=""/>
    <n v="1.236"/>
    <n v="1"/>
    <s v=""/>
    <m/>
  </r>
  <r>
    <x v="104"/>
    <x v="0"/>
    <x v="2"/>
    <x v="2"/>
    <n v="7000"/>
    <n v="4890"/>
    <n v="0"/>
    <n v="0"/>
    <n v="4890"/>
    <n v="22"/>
    <n v="6"/>
    <n v="16"/>
    <n v="1909.090909090909"/>
    <n v="0.72727272727272729"/>
    <n v="0.69857142857142862"/>
    <n v="1"/>
    <n v="0.50805194805194809"/>
    <s v="M/C stopped due to gas unavailability (5 hrs). A Shift closed at 6:00 PM due to gas unavailability."/>
  </r>
  <r>
    <x v="104"/>
    <x v="0"/>
    <x v="3"/>
    <x v="3"/>
    <n v="7800"/>
    <n v="5082"/>
    <n v="0"/>
    <n v="0"/>
    <n v="5082"/>
    <n v="22"/>
    <n v="5"/>
    <n v="17"/>
    <n v="1772.7272727272727"/>
    <n v="0.77272727272727271"/>
    <n v="0.65153846153846151"/>
    <n v="1"/>
    <n v="0.5034615384615384"/>
    <s v="M/C Stopped for unavailability of Heat Set fabric (5 hrs)"/>
  </r>
  <r>
    <x v="104"/>
    <x v="0"/>
    <x v="10"/>
    <x v="3"/>
    <m/>
    <m/>
    <m/>
    <s v=""/>
    <n v="0"/>
    <m/>
    <m/>
    <s v=""/>
    <s v=""/>
    <s v=""/>
    <s v=""/>
    <s v=""/>
    <s v=""/>
    <m/>
  </r>
  <r>
    <x v="104"/>
    <x v="0"/>
    <x v="4"/>
    <x v="4"/>
    <n v="9000"/>
    <n v="8038"/>
    <n v="0"/>
    <n v="0"/>
    <n v="8038"/>
    <n v="22"/>
    <m/>
    <n v="22"/>
    <n v="0"/>
    <n v="1"/>
    <n v="0.89311111111111108"/>
    <n v="1"/>
    <n v="0.89311111111111108"/>
    <m/>
  </r>
  <r>
    <x v="104"/>
    <x v="0"/>
    <x v="5"/>
    <x v="4"/>
    <m/>
    <m/>
    <m/>
    <s v=""/>
    <n v="0"/>
    <m/>
    <m/>
    <s v=""/>
    <s v=""/>
    <s v=""/>
    <s v=""/>
    <s v=""/>
    <s v=""/>
    <m/>
  </r>
  <r>
    <x v="104"/>
    <x v="1"/>
    <x v="6"/>
    <x v="5"/>
    <n v="9000"/>
    <n v="7764"/>
    <n v="0"/>
    <n v="0"/>
    <n v="7764"/>
    <n v="22"/>
    <m/>
    <n v="22"/>
    <n v="0"/>
    <n v="1"/>
    <n v="0.86266666666666669"/>
    <n v="1"/>
    <n v="0.86266666666666669"/>
    <m/>
  </r>
  <r>
    <x v="104"/>
    <x v="1"/>
    <x v="7"/>
    <x v="6"/>
    <n v="8000"/>
    <n v="7216"/>
    <n v="0"/>
    <n v="0"/>
    <n v="7216"/>
    <n v="22"/>
    <n v="1.5"/>
    <n v="20.5"/>
    <n v="545.4545454545455"/>
    <n v="0.93181818181818177"/>
    <n v="0.90200000000000002"/>
    <n v="1"/>
    <n v="0.84050000000000002"/>
    <s v="M/C stopped for scheduled net cleaning (1.50 hrs)."/>
  </r>
  <r>
    <x v="104"/>
    <x v="1"/>
    <x v="8"/>
    <x v="4"/>
    <n v="6000"/>
    <n v="2762"/>
    <n v="0"/>
    <n v="0"/>
    <n v="2762"/>
    <n v="22"/>
    <m/>
    <n v="22"/>
    <n v="0"/>
    <n v="1"/>
    <n v="0.46033333333333332"/>
    <n v="1"/>
    <n v="0.46033333333333332"/>
    <s v="Low production due to insufficient T/F fabric"/>
  </r>
  <r>
    <x v="104"/>
    <x v="1"/>
    <x v="9"/>
    <x v="4"/>
    <n v="5000"/>
    <n v="3289"/>
    <n v="0"/>
    <n v="0"/>
    <n v="3289"/>
    <n v="22"/>
    <m/>
    <n v="22"/>
    <n v="0"/>
    <n v="1"/>
    <n v="0.65780000000000005"/>
    <n v="1"/>
    <n v="0.65780000000000005"/>
    <m/>
  </r>
  <r>
    <x v="105"/>
    <x v="0"/>
    <x v="0"/>
    <x v="0"/>
    <n v="10000"/>
    <n v="8985"/>
    <n v="0"/>
    <n v="0"/>
    <n v="8985"/>
    <n v="22"/>
    <m/>
    <n v="22"/>
    <n v="0"/>
    <n v="1"/>
    <n v="0.89849999999999997"/>
    <n v="1"/>
    <n v="0.89849999999999997"/>
    <m/>
  </r>
  <r>
    <x v="105"/>
    <x v="0"/>
    <x v="11"/>
    <x v="0"/>
    <n v="8415"/>
    <n v="8415"/>
    <n v="0"/>
    <n v="0"/>
    <n v="8415"/>
    <m/>
    <m/>
    <s v=""/>
    <s v=""/>
    <s v=""/>
    <n v="1"/>
    <n v="1"/>
    <s v=""/>
    <m/>
  </r>
  <r>
    <x v="105"/>
    <x v="0"/>
    <x v="1"/>
    <x v="1"/>
    <n v="5000"/>
    <n v="5156"/>
    <n v="0"/>
    <n v="0"/>
    <n v="5156"/>
    <n v="22"/>
    <m/>
    <n v="22"/>
    <n v="0"/>
    <n v="1"/>
    <n v="1.0311999999999999"/>
    <n v="1"/>
    <n v="1.0311999999999999"/>
    <m/>
  </r>
  <r>
    <x v="105"/>
    <x v="0"/>
    <x v="1"/>
    <x v="2"/>
    <n v="4000"/>
    <n v="3707"/>
    <n v="0"/>
    <n v="0"/>
    <n v="3707"/>
    <m/>
    <m/>
    <s v=""/>
    <s v=""/>
    <s v=""/>
    <n v="0.92674999999999996"/>
    <n v="1"/>
    <s v=""/>
    <m/>
  </r>
  <r>
    <x v="105"/>
    <x v="0"/>
    <x v="2"/>
    <x v="2"/>
    <n v="7000"/>
    <n v="7465"/>
    <n v="0"/>
    <n v="0"/>
    <n v="7465"/>
    <n v="22"/>
    <n v="0.75"/>
    <n v="21.25"/>
    <n v="238.63636363636363"/>
    <n v="0.96590909090909094"/>
    <n v="1.0664285714285715"/>
    <n v="1"/>
    <n v="1.0300730519480521"/>
    <s v="M/C stopped due to gas unavailability (45 min - 0.75 hours)."/>
  </r>
  <r>
    <x v="105"/>
    <x v="0"/>
    <x v="3"/>
    <x v="3"/>
    <n v="7800"/>
    <n v="4450"/>
    <n v="0"/>
    <n v="0"/>
    <n v="4450"/>
    <n v="22"/>
    <n v="5"/>
    <n v="17"/>
    <n v="1772.7272727272727"/>
    <n v="0.77272727272727271"/>
    <n v="0.57051282051282048"/>
    <n v="1"/>
    <n v="0.44085081585081581"/>
    <s v="M/C Stopped for unavailability of Heat Set fabric (5 hrs)"/>
  </r>
  <r>
    <x v="105"/>
    <x v="0"/>
    <x v="10"/>
    <x v="3"/>
    <m/>
    <m/>
    <m/>
    <s v=""/>
    <n v="0"/>
    <m/>
    <m/>
    <s v=""/>
    <s v=""/>
    <s v=""/>
    <s v=""/>
    <s v=""/>
    <s v=""/>
    <m/>
  </r>
  <r>
    <x v="105"/>
    <x v="0"/>
    <x v="4"/>
    <x v="4"/>
    <n v="9000"/>
    <n v="8435"/>
    <n v="0"/>
    <n v="0"/>
    <n v="8435"/>
    <n v="22"/>
    <m/>
    <n v="22"/>
    <n v="0"/>
    <n v="1"/>
    <n v="0.93722222222222218"/>
    <n v="1"/>
    <n v="0.93722222222222218"/>
    <m/>
  </r>
  <r>
    <x v="105"/>
    <x v="0"/>
    <x v="5"/>
    <x v="4"/>
    <m/>
    <m/>
    <m/>
    <s v=""/>
    <n v="0"/>
    <m/>
    <m/>
    <s v=""/>
    <s v=""/>
    <s v=""/>
    <s v=""/>
    <s v=""/>
    <s v=""/>
    <m/>
  </r>
  <r>
    <x v="105"/>
    <x v="1"/>
    <x v="6"/>
    <x v="5"/>
    <n v="9000"/>
    <n v="8568"/>
    <n v="0"/>
    <n v="0"/>
    <n v="8568"/>
    <n v="22"/>
    <m/>
    <n v="22"/>
    <n v="0"/>
    <n v="1"/>
    <n v="0.95199999999999996"/>
    <n v="1"/>
    <n v="0.95199999999999996"/>
    <m/>
  </r>
  <r>
    <x v="105"/>
    <x v="1"/>
    <x v="7"/>
    <x v="6"/>
    <n v="8000"/>
    <n v="7598"/>
    <n v="0"/>
    <n v="0"/>
    <n v="7598"/>
    <n v="22"/>
    <n v="1.5"/>
    <n v="20.5"/>
    <n v="545.4545454545455"/>
    <n v="0.93181818181818177"/>
    <n v="0.94974999999999998"/>
    <n v="1"/>
    <n v="0.88499431818181806"/>
    <s v="M/C stopped for scheduled net cleaning (1.50 hrs)."/>
  </r>
  <r>
    <x v="105"/>
    <x v="1"/>
    <x v="8"/>
    <x v="4"/>
    <n v="6000"/>
    <n v="3325"/>
    <n v="0"/>
    <n v="0"/>
    <n v="3325"/>
    <n v="22"/>
    <m/>
    <n v="22"/>
    <n v="0"/>
    <n v="1"/>
    <n v="0.5541666666666667"/>
    <n v="1"/>
    <n v="0.5541666666666667"/>
    <m/>
  </r>
  <r>
    <x v="105"/>
    <x v="1"/>
    <x v="9"/>
    <x v="4"/>
    <n v="5000"/>
    <n v="3474"/>
    <n v="0"/>
    <n v="0"/>
    <n v="3474"/>
    <n v="22"/>
    <m/>
    <n v="22"/>
    <n v="0"/>
    <n v="1"/>
    <n v="0.69479999999999997"/>
    <n v="1"/>
    <n v="0.69479999999999997"/>
    <m/>
  </r>
  <r>
    <x v="106"/>
    <x v="0"/>
    <x v="0"/>
    <x v="0"/>
    <n v="10000"/>
    <n v="8375"/>
    <n v="0"/>
    <n v="0"/>
    <n v="8375"/>
    <n v="22"/>
    <m/>
    <n v="22"/>
    <n v="0"/>
    <n v="1"/>
    <n v="0.83750000000000002"/>
    <n v="1"/>
    <n v="0.83750000000000002"/>
    <m/>
  </r>
  <r>
    <x v="106"/>
    <x v="0"/>
    <x v="11"/>
    <x v="0"/>
    <n v="9539"/>
    <n v="9539"/>
    <n v="0"/>
    <n v="0"/>
    <n v="9539"/>
    <m/>
    <m/>
    <s v=""/>
    <s v=""/>
    <s v=""/>
    <n v="1"/>
    <n v="1"/>
    <s v=""/>
    <m/>
  </r>
  <r>
    <x v="106"/>
    <x v="0"/>
    <x v="1"/>
    <x v="1"/>
    <n v="5000"/>
    <n v="4829"/>
    <n v="0"/>
    <n v="0"/>
    <n v="4829"/>
    <n v="22"/>
    <m/>
    <n v="22"/>
    <n v="0"/>
    <n v="1"/>
    <n v="0.96579999999999999"/>
    <n v="1"/>
    <n v="0.96579999999999999"/>
    <m/>
  </r>
  <r>
    <x v="106"/>
    <x v="0"/>
    <x v="1"/>
    <x v="2"/>
    <n v="4000"/>
    <n v="3576"/>
    <n v="0"/>
    <n v="0"/>
    <n v="3576"/>
    <m/>
    <m/>
    <s v=""/>
    <s v=""/>
    <s v=""/>
    <n v="0.89400000000000002"/>
    <n v="1"/>
    <s v=""/>
    <m/>
  </r>
  <r>
    <x v="106"/>
    <x v="0"/>
    <x v="2"/>
    <x v="2"/>
    <n v="7000"/>
    <n v="7976"/>
    <n v="0"/>
    <n v="0"/>
    <n v="7976"/>
    <n v="22"/>
    <m/>
    <n v="22"/>
    <n v="0"/>
    <n v="1"/>
    <n v="1.1394285714285715"/>
    <n v="1"/>
    <n v="1.1394285714285715"/>
    <m/>
  </r>
  <r>
    <x v="106"/>
    <x v="0"/>
    <x v="3"/>
    <x v="3"/>
    <n v="7800"/>
    <n v="6689"/>
    <n v="0"/>
    <n v="0"/>
    <n v="6689"/>
    <n v="22"/>
    <n v="2.5"/>
    <n v="19.5"/>
    <n v="886.36363636363637"/>
    <n v="0.88636363636363635"/>
    <n v="0.85756410256410254"/>
    <n v="1"/>
    <n v="0.76011363636363638"/>
    <s v="M/C Stopped for unavailability of Heat Set fabric (2.50 hrs)"/>
  </r>
  <r>
    <x v="106"/>
    <x v="0"/>
    <x v="10"/>
    <x v="3"/>
    <m/>
    <m/>
    <m/>
    <s v=""/>
    <n v="0"/>
    <m/>
    <m/>
    <s v=""/>
    <s v=""/>
    <s v=""/>
    <s v=""/>
    <s v=""/>
    <s v=""/>
    <m/>
  </r>
  <r>
    <x v="106"/>
    <x v="0"/>
    <x v="4"/>
    <x v="4"/>
    <n v="9000"/>
    <n v="7890"/>
    <n v="0"/>
    <n v="0"/>
    <n v="7890"/>
    <n v="22"/>
    <m/>
    <n v="22"/>
    <n v="0"/>
    <n v="1"/>
    <n v="0.87666666666666671"/>
    <n v="1"/>
    <n v="0.87666666666666671"/>
    <m/>
  </r>
  <r>
    <x v="106"/>
    <x v="0"/>
    <x v="5"/>
    <x v="4"/>
    <m/>
    <m/>
    <m/>
    <s v=""/>
    <n v="0"/>
    <m/>
    <m/>
    <s v=""/>
    <s v=""/>
    <s v=""/>
    <s v=""/>
    <s v=""/>
    <s v=""/>
    <m/>
  </r>
  <r>
    <x v="106"/>
    <x v="1"/>
    <x v="6"/>
    <x v="5"/>
    <n v="9000"/>
    <n v="7088"/>
    <n v="0"/>
    <n v="0"/>
    <n v="7088"/>
    <n v="22"/>
    <m/>
    <n v="22"/>
    <n v="0"/>
    <n v="1"/>
    <n v="0.78755555555555556"/>
    <n v="1"/>
    <n v="0.78755555555555556"/>
    <m/>
  </r>
  <r>
    <x v="106"/>
    <x v="1"/>
    <x v="7"/>
    <x v="6"/>
    <n v="8000"/>
    <n v="7691"/>
    <n v="0"/>
    <n v="0"/>
    <n v="7691"/>
    <n v="22"/>
    <n v="2.85"/>
    <n v="19.149999999999999"/>
    <n v="1036.3636363636363"/>
    <n v="0.87045454545454537"/>
    <n v="0.96137499999999998"/>
    <n v="1"/>
    <n v="0.8368332386363635"/>
    <s v="M/C stopped for scheduled net cleaning (1.50 hrs)  &amp; Stopped for PDB Issue and limit problem (1.35 hrs)"/>
  </r>
  <r>
    <x v="106"/>
    <x v="1"/>
    <x v="8"/>
    <x v="4"/>
    <n v="6000"/>
    <n v="3550"/>
    <n v="0"/>
    <n v="0"/>
    <n v="3550"/>
    <n v="22"/>
    <m/>
    <n v="22"/>
    <n v="0"/>
    <n v="1"/>
    <n v="0.59166666666666667"/>
    <n v="1"/>
    <n v="0.59166666666666667"/>
    <m/>
  </r>
  <r>
    <x v="106"/>
    <x v="1"/>
    <x v="9"/>
    <x v="4"/>
    <n v="5000"/>
    <n v="3474"/>
    <n v="0"/>
    <n v="0"/>
    <n v="3474"/>
    <n v="22"/>
    <m/>
    <n v="22"/>
    <n v="0"/>
    <n v="1"/>
    <n v="0.69479999999999997"/>
    <n v="1"/>
    <n v="0.69479999999999997"/>
    <m/>
  </r>
  <r>
    <x v="107"/>
    <x v="0"/>
    <x v="0"/>
    <x v="0"/>
    <n v="10000"/>
    <n v="8407"/>
    <n v="0"/>
    <n v="0"/>
    <n v="8407"/>
    <n v="22"/>
    <n v="1.17"/>
    <n v="20.83"/>
    <n v="531.81818181818176"/>
    <n v="0.94681818181818178"/>
    <n v="0.8407"/>
    <n v="1"/>
    <n v="0.79599004545454544"/>
    <s v="M/C stop for basket belt torn.(1.17hrs)"/>
  </r>
  <r>
    <x v="107"/>
    <x v="0"/>
    <x v="11"/>
    <x v="0"/>
    <n v="10163"/>
    <n v="10163"/>
    <n v="0"/>
    <n v="0"/>
    <n v="10163"/>
    <m/>
    <m/>
    <s v=""/>
    <s v=""/>
    <s v=""/>
    <n v="1"/>
    <n v="1"/>
    <s v=""/>
    <m/>
  </r>
  <r>
    <x v="107"/>
    <x v="0"/>
    <x v="1"/>
    <x v="1"/>
    <n v="5000"/>
    <n v="5469"/>
    <n v="0"/>
    <n v="0"/>
    <n v="5469"/>
    <n v="22"/>
    <m/>
    <n v="22"/>
    <n v="0"/>
    <n v="1"/>
    <n v="1.0938000000000001"/>
    <n v="1"/>
    <n v="1.0938000000000001"/>
    <m/>
  </r>
  <r>
    <x v="107"/>
    <x v="0"/>
    <x v="1"/>
    <x v="2"/>
    <n v="4000"/>
    <n v="3597"/>
    <n v="0"/>
    <n v="0"/>
    <n v="3597"/>
    <m/>
    <m/>
    <s v=""/>
    <s v=""/>
    <s v=""/>
    <n v="0.89924999999999999"/>
    <n v="1"/>
    <s v=""/>
    <m/>
  </r>
  <r>
    <x v="107"/>
    <x v="0"/>
    <x v="2"/>
    <x v="2"/>
    <n v="7000"/>
    <n v="7441"/>
    <n v="0"/>
    <n v="0"/>
    <n v="7441"/>
    <n v="22"/>
    <m/>
    <n v="22"/>
    <n v="0"/>
    <n v="1"/>
    <n v="1.0629999999999999"/>
    <n v="1"/>
    <n v="1.0629999999999999"/>
    <m/>
  </r>
  <r>
    <x v="107"/>
    <x v="0"/>
    <x v="3"/>
    <x v="3"/>
    <n v="7800"/>
    <n v="7746"/>
    <n v="0"/>
    <n v="0"/>
    <n v="7746"/>
    <n v="22"/>
    <m/>
    <n v="22"/>
    <n v="0"/>
    <n v="1"/>
    <n v="0.99307692307692308"/>
    <n v="1"/>
    <n v="0.99307692307692308"/>
    <m/>
  </r>
  <r>
    <x v="107"/>
    <x v="0"/>
    <x v="10"/>
    <x v="3"/>
    <m/>
    <m/>
    <m/>
    <s v=""/>
    <n v="0"/>
    <m/>
    <m/>
    <s v=""/>
    <s v=""/>
    <s v=""/>
    <s v=""/>
    <s v=""/>
    <s v=""/>
    <m/>
  </r>
  <r>
    <x v="107"/>
    <x v="0"/>
    <x v="4"/>
    <x v="4"/>
    <n v="9000"/>
    <n v="5428"/>
    <n v="0"/>
    <n v="0"/>
    <n v="5428"/>
    <n v="22"/>
    <m/>
    <n v="22"/>
    <n v="0"/>
    <n v="1"/>
    <n v="0.60311111111111115"/>
    <n v="1"/>
    <n v="0.60311111111111115"/>
    <m/>
  </r>
  <r>
    <x v="107"/>
    <x v="0"/>
    <x v="5"/>
    <x v="4"/>
    <m/>
    <m/>
    <m/>
    <s v=""/>
    <n v="0"/>
    <m/>
    <m/>
    <s v=""/>
    <s v=""/>
    <s v=""/>
    <s v=""/>
    <s v=""/>
    <s v=""/>
    <m/>
  </r>
  <r>
    <x v="107"/>
    <x v="1"/>
    <x v="6"/>
    <x v="5"/>
    <n v="9000"/>
    <n v="6942"/>
    <n v="0"/>
    <n v="0"/>
    <n v="6942"/>
    <n v="22"/>
    <m/>
    <n v="22"/>
    <n v="0"/>
    <n v="1"/>
    <n v="0.77133333333333332"/>
    <n v="1"/>
    <n v="0.77133333333333332"/>
    <m/>
  </r>
  <r>
    <x v="107"/>
    <x v="1"/>
    <x v="7"/>
    <x v="6"/>
    <n v="8000"/>
    <n v="7768"/>
    <n v="0"/>
    <n v="0"/>
    <n v="7768"/>
    <n v="22"/>
    <n v="4.45"/>
    <n v="17.55"/>
    <n v="1618.1818181818182"/>
    <n v="0.79772727272727273"/>
    <n v="0.97099999999999997"/>
    <n v="1"/>
    <n v="0.77459318181818182"/>
    <s v="M/C stopped for scheduled net cleaning (1.50 hrs)  &amp; Stopped for PDB Issue and limit problem (2.95 hrs)"/>
  </r>
  <r>
    <x v="107"/>
    <x v="1"/>
    <x v="8"/>
    <x v="4"/>
    <n v="6000"/>
    <n v="2715"/>
    <n v="0"/>
    <n v="0"/>
    <n v="2715"/>
    <n v="22"/>
    <m/>
    <n v="22"/>
    <n v="0"/>
    <n v="1"/>
    <n v="0.45250000000000001"/>
    <n v="1"/>
    <n v="0.45250000000000001"/>
    <s v="Production affected due to excessive running of different dia and sample fabrics."/>
  </r>
  <r>
    <x v="107"/>
    <x v="1"/>
    <x v="9"/>
    <x v="4"/>
    <n v="5000"/>
    <n v="4494"/>
    <n v="0"/>
    <n v="0"/>
    <n v="4494"/>
    <n v="22"/>
    <m/>
    <n v="22"/>
    <n v="0"/>
    <n v="1"/>
    <n v="0.89880000000000004"/>
    <n v="1"/>
    <n v="0.89880000000000004"/>
    <m/>
  </r>
  <r>
    <x v="108"/>
    <x v="0"/>
    <x v="0"/>
    <x v="0"/>
    <n v="10000"/>
    <n v="9059"/>
    <n v="0"/>
    <n v="0"/>
    <n v="9059"/>
    <n v="20"/>
    <m/>
    <n v="20"/>
    <n v="0"/>
    <n v="1"/>
    <n v="0.90590000000000004"/>
    <n v="1"/>
    <n v="0.90590000000000004"/>
    <m/>
  </r>
  <r>
    <x v="108"/>
    <x v="0"/>
    <x v="11"/>
    <x v="0"/>
    <n v="8864"/>
    <n v="8864"/>
    <n v="0"/>
    <n v="0"/>
    <n v="8864"/>
    <m/>
    <m/>
    <s v=""/>
    <s v=""/>
    <s v=""/>
    <n v="1"/>
    <n v="1"/>
    <s v=""/>
    <m/>
  </r>
  <r>
    <x v="108"/>
    <x v="0"/>
    <x v="1"/>
    <x v="1"/>
    <n v="5000"/>
    <n v="5363"/>
    <n v="0"/>
    <n v="0"/>
    <n v="5363"/>
    <n v="20"/>
    <m/>
    <n v="20"/>
    <n v="0"/>
    <n v="1"/>
    <n v="1.0726"/>
    <n v="1"/>
    <n v="1.0726"/>
    <m/>
  </r>
  <r>
    <x v="108"/>
    <x v="0"/>
    <x v="1"/>
    <x v="2"/>
    <n v="4000"/>
    <n v="3852"/>
    <n v="0"/>
    <n v="0"/>
    <n v="3852"/>
    <m/>
    <m/>
    <s v=""/>
    <s v=""/>
    <s v=""/>
    <n v="0.96299999999999997"/>
    <n v="1"/>
    <s v=""/>
    <m/>
  </r>
  <r>
    <x v="108"/>
    <x v="0"/>
    <x v="2"/>
    <x v="2"/>
    <n v="7000"/>
    <n v="7276"/>
    <n v="0"/>
    <n v="0"/>
    <n v="7276"/>
    <n v="20"/>
    <m/>
    <n v="20"/>
    <n v="0"/>
    <n v="1"/>
    <n v="1.0394285714285714"/>
    <n v="1"/>
    <n v="1.0394285714285714"/>
    <m/>
  </r>
  <r>
    <x v="108"/>
    <x v="0"/>
    <x v="3"/>
    <x v="3"/>
    <n v="7800"/>
    <n v="5291"/>
    <n v="0"/>
    <n v="0"/>
    <n v="5291"/>
    <n v="20"/>
    <n v="2.5"/>
    <n v="17.5"/>
    <n v="975"/>
    <n v="0.875"/>
    <n v="0.67833333333333334"/>
    <n v="1"/>
    <n v="0.59354166666666663"/>
    <s v="M/C Stopped for unavailability of Heat Set fabric (2.50 hrs)"/>
  </r>
  <r>
    <x v="108"/>
    <x v="0"/>
    <x v="10"/>
    <x v="3"/>
    <m/>
    <m/>
    <m/>
    <s v=""/>
    <n v="0"/>
    <m/>
    <m/>
    <s v=""/>
    <s v=""/>
    <s v=""/>
    <s v=""/>
    <s v=""/>
    <s v=""/>
    <m/>
  </r>
  <r>
    <x v="108"/>
    <x v="0"/>
    <x v="4"/>
    <x v="4"/>
    <n v="9000"/>
    <n v="7435"/>
    <n v="0"/>
    <n v="0"/>
    <n v="7435"/>
    <n v="20"/>
    <m/>
    <n v="20"/>
    <n v="0"/>
    <n v="1"/>
    <n v="0.82611111111111113"/>
    <n v="1"/>
    <n v="0.82611111111111113"/>
    <m/>
  </r>
  <r>
    <x v="108"/>
    <x v="0"/>
    <x v="5"/>
    <x v="4"/>
    <m/>
    <m/>
    <m/>
    <s v=""/>
    <n v="0"/>
    <m/>
    <m/>
    <s v=""/>
    <s v=""/>
    <s v=""/>
    <s v=""/>
    <s v=""/>
    <s v=""/>
    <m/>
  </r>
  <r>
    <x v="108"/>
    <x v="1"/>
    <x v="6"/>
    <x v="5"/>
    <n v="9000"/>
    <n v="4661"/>
    <n v="0"/>
    <n v="0"/>
    <n v="4661"/>
    <n v="20"/>
    <m/>
    <n v="20"/>
    <n v="0"/>
    <n v="1"/>
    <n v="0.51788888888888884"/>
    <n v="1"/>
    <n v="0.51788888888888884"/>
    <m/>
  </r>
  <r>
    <x v="108"/>
    <x v="1"/>
    <x v="7"/>
    <x v="6"/>
    <n v="8000"/>
    <n v="4829"/>
    <n v="0"/>
    <n v="0"/>
    <n v="4829"/>
    <n v="20"/>
    <n v="1.5"/>
    <n v="18.5"/>
    <n v="600"/>
    <n v="0.92500000000000004"/>
    <n v="0.60362499999999997"/>
    <n v="1"/>
    <n v="0.55835312500000001"/>
    <s v="M/C stopped for scheduled net cleaning (1.50 hrs)"/>
  </r>
  <r>
    <x v="108"/>
    <x v="1"/>
    <x v="8"/>
    <x v="4"/>
    <n v="6000"/>
    <n v="2607"/>
    <n v="0"/>
    <n v="0"/>
    <n v="2607"/>
    <n v="20"/>
    <m/>
    <n v="20"/>
    <n v="0"/>
    <n v="1"/>
    <n v="0.4345"/>
    <n v="1"/>
    <n v="0.4345"/>
    <s v="Production affected due to lower T/F fabric availability."/>
  </r>
  <r>
    <x v="108"/>
    <x v="1"/>
    <x v="9"/>
    <x v="4"/>
    <n v="5000"/>
    <n v="2096"/>
    <n v="0"/>
    <n v="0"/>
    <n v="2096"/>
    <n v="20"/>
    <m/>
    <n v="20"/>
    <n v="0"/>
    <n v="1"/>
    <n v="0.41920000000000002"/>
    <n v="1"/>
    <n v="0.41920000000000002"/>
    <s v="Production affected due to lower T/F fabric availability."/>
  </r>
  <r>
    <x v="109"/>
    <x v="0"/>
    <x v="0"/>
    <x v="0"/>
    <n v="13000"/>
    <n v="12289"/>
    <n v="0"/>
    <n v="0"/>
    <n v="12289"/>
    <n v="22"/>
    <n v="2.5"/>
    <n v="19.5"/>
    <n v="1477.2727272727273"/>
    <n v="0.88636363636363635"/>
    <n v="0.94530769230769229"/>
    <n v="1"/>
    <n v="0.8378863636363636"/>
    <s v="M/C stopped for scheduled maintenance (2.50hrs)"/>
  </r>
  <r>
    <x v="109"/>
    <x v="0"/>
    <x v="11"/>
    <x v="0"/>
    <n v="12325"/>
    <n v="12325"/>
    <n v="0"/>
    <n v="0"/>
    <n v="12325"/>
    <m/>
    <m/>
    <s v=""/>
    <s v=""/>
    <s v=""/>
    <n v="1"/>
    <n v="1"/>
    <s v=""/>
    <m/>
  </r>
  <r>
    <x v="109"/>
    <x v="0"/>
    <x v="1"/>
    <x v="1"/>
    <n v="10000"/>
    <n v="10174"/>
    <n v="0"/>
    <n v="0"/>
    <n v="10174"/>
    <n v="22"/>
    <n v="1.67"/>
    <n v="20.329999999999998"/>
    <n v="759.09090909090912"/>
    <n v="0.92409090909090896"/>
    <n v="1.0174000000000001"/>
    <n v="1"/>
    <n v="0.94017009090909087"/>
    <s v="M/C stopped for scheduled maintenance (1.67hrs)"/>
  </r>
  <r>
    <x v="109"/>
    <x v="0"/>
    <x v="1"/>
    <x v="2"/>
    <n v="5000"/>
    <n v="4121"/>
    <n v="0"/>
    <n v="0"/>
    <n v="4121"/>
    <m/>
    <m/>
    <s v=""/>
    <s v=""/>
    <s v=""/>
    <n v="0.82420000000000004"/>
    <n v="1"/>
    <s v=""/>
    <m/>
  </r>
  <r>
    <x v="109"/>
    <x v="0"/>
    <x v="2"/>
    <x v="2"/>
    <n v="9500"/>
    <n v="7443"/>
    <n v="0"/>
    <n v="0"/>
    <n v="7443"/>
    <n v="22"/>
    <m/>
    <n v="22"/>
    <n v="0"/>
    <n v="1"/>
    <n v="0.78347368421052632"/>
    <n v="1"/>
    <n v="0.78347368421052632"/>
    <m/>
  </r>
  <r>
    <x v="109"/>
    <x v="0"/>
    <x v="3"/>
    <x v="3"/>
    <n v="11700"/>
    <n v="13033"/>
    <n v="0"/>
    <n v="0"/>
    <n v="13033"/>
    <n v="22"/>
    <m/>
    <n v="22"/>
    <n v="0"/>
    <n v="1"/>
    <n v="1.1139316239316239"/>
    <n v="1"/>
    <n v="1.1139316239316239"/>
    <m/>
  </r>
  <r>
    <x v="109"/>
    <x v="0"/>
    <x v="10"/>
    <x v="3"/>
    <m/>
    <m/>
    <m/>
    <s v=""/>
    <n v="0"/>
    <m/>
    <m/>
    <s v=""/>
    <s v=""/>
    <s v=""/>
    <s v=""/>
    <s v=""/>
    <s v=""/>
    <m/>
  </r>
  <r>
    <x v="109"/>
    <x v="0"/>
    <x v="4"/>
    <x v="4"/>
    <n v="13500"/>
    <n v="12418"/>
    <n v="0"/>
    <n v="0"/>
    <n v="12418"/>
    <n v="22"/>
    <m/>
    <n v="22"/>
    <n v="0"/>
    <n v="1"/>
    <n v="0.91985185185185181"/>
    <n v="1"/>
    <n v="0.91985185185185181"/>
    <m/>
  </r>
  <r>
    <x v="109"/>
    <x v="0"/>
    <x v="5"/>
    <x v="4"/>
    <m/>
    <m/>
    <m/>
    <s v=""/>
    <m/>
    <m/>
    <m/>
    <s v=""/>
    <s v=""/>
    <s v=""/>
    <s v=""/>
    <s v=""/>
    <s v=""/>
    <m/>
  </r>
  <r>
    <x v="109"/>
    <x v="1"/>
    <x v="6"/>
    <x v="5"/>
    <n v="13500"/>
    <n v="13164"/>
    <n v="0"/>
    <n v="0"/>
    <n v="13164"/>
    <n v="22"/>
    <m/>
    <n v="22"/>
    <n v="0"/>
    <n v="1"/>
    <n v="0.97511111111111115"/>
    <n v="1"/>
    <n v="0.97511111111111115"/>
    <m/>
  </r>
  <r>
    <x v="109"/>
    <x v="1"/>
    <x v="7"/>
    <x v="6"/>
    <n v="12000"/>
    <n v="11979"/>
    <n v="0"/>
    <n v="0"/>
    <n v="11979"/>
    <n v="22"/>
    <n v="2.95"/>
    <n v="19.05"/>
    <n v="1609.0909090909092"/>
    <n v="0.86590909090909096"/>
    <n v="0.99824999999999997"/>
    <n v="1"/>
    <n v="0.86439375000000007"/>
    <s v="M/C stopped for scheduled maintenance &amp; net cleaning (2.95hrs)"/>
  </r>
  <r>
    <x v="109"/>
    <x v="1"/>
    <x v="8"/>
    <x v="4"/>
    <n v="9000"/>
    <n v="6644"/>
    <n v="0"/>
    <n v="0"/>
    <n v="6644"/>
    <n v="22"/>
    <m/>
    <n v="22"/>
    <n v="0"/>
    <n v="1"/>
    <n v="0.73822222222222222"/>
    <n v="1"/>
    <n v="0.73822222222222222"/>
    <m/>
  </r>
  <r>
    <x v="109"/>
    <x v="1"/>
    <x v="9"/>
    <x v="4"/>
    <n v="7500"/>
    <n v="7354"/>
    <n v="0"/>
    <n v="0"/>
    <n v="7354"/>
    <n v="22"/>
    <m/>
    <n v="22"/>
    <n v="0"/>
    <n v="1"/>
    <n v="0.98053333333333337"/>
    <n v="1"/>
    <n v="0.98053333333333337"/>
    <m/>
  </r>
  <r>
    <x v="110"/>
    <x v="0"/>
    <x v="0"/>
    <x v="0"/>
    <n v="10000"/>
    <n v="7285"/>
    <n v="0"/>
    <n v="0"/>
    <n v="7285"/>
    <n v="22"/>
    <n v="2"/>
    <n v="20"/>
    <n v="909.09090909090912"/>
    <n v="0.90909090909090906"/>
    <n v="0.72850000000000004"/>
    <n v="1"/>
    <n v="0.66227272727272724"/>
    <s v="M/C stopped due to power failure and guide roller maintenance.(2hrs)"/>
  </r>
  <r>
    <x v="110"/>
    <x v="0"/>
    <x v="11"/>
    <x v="0"/>
    <n v="8864"/>
    <n v="9616"/>
    <n v="0"/>
    <n v="0"/>
    <n v="9616"/>
    <m/>
    <m/>
    <s v=""/>
    <s v=""/>
    <s v=""/>
    <n v="1.0848375451263539"/>
    <n v="1"/>
    <s v=""/>
    <m/>
  </r>
  <r>
    <x v="110"/>
    <x v="0"/>
    <x v="1"/>
    <x v="1"/>
    <n v="5000"/>
    <n v="5854"/>
    <n v="0"/>
    <n v="0"/>
    <n v="5854"/>
    <n v="22"/>
    <m/>
    <n v="22"/>
    <n v="0"/>
    <n v="1"/>
    <n v="1.1708000000000001"/>
    <n v="1"/>
    <n v="1.1708000000000001"/>
    <m/>
  </r>
  <r>
    <x v="110"/>
    <x v="0"/>
    <x v="1"/>
    <x v="2"/>
    <n v="4000"/>
    <n v="1759"/>
    <n v="0"/>
    <n v="0"/>
    <n v="1759"/>
    <m/>
    <n v="3"/>
    <s v=""/>
    <s v=""/>
    <s v=""/>
    <n v="0.43974999999999997"/>
    <n v="1"/>
    <s v=""/>
    <s v="M/C stopped due to gas supply issues.(3hrs)"/>
  </r>
  <r>
    <x v="110"/>
    <x v="0"/>
    <x v="2"/>
    <x v="2"/>
    <n v="7000"/>
    <n v="6156"/>
    <n v="0"/>
    <n v="0"/>
    <n v="6156"/>
    <n v="22"/>
    <n v="0.5"/>
    <n v="21.5"/>
    <n v="159.09090909090909"/>
    <n v="0.97727272727272729"/>
    <n v="0.87942857142857145"/>
    <n v="1"/>
    <n v="0.85944155844155845"/>
    <s v="M/C stopped due to spandex roller bearing replacement (30min). Production affected due to frequent generator shutdowns and gas supply issues."/>
  </r>
  <r>
    <x v="110"/>
    <x v="0"/>
    <x v="3"/>
    <x v="3"/>
    <n v="7800"/>
    <n v="7650"/>
    <n v="0"/>
    <n v="0"/>
    <n v="7650"/>
    <n v="22"/>
    <m/>
    <n v="22"/>
    <n v="0"/>
    <n v="1"/>
    <n v="0.98076923076923073"/>
    <n v="1"/>
    <n v="0.98076923076923073"/>
    <m/>
  </r>
  <r>
    <x v="110"/>
    <x v="0"/>
    <x v="10"/>
    <x v="3"/>
    <m/>
    <m/>
    <m/>
    <s v=""/>
    <n v="0"/>
    <m/>
    <m/>
    <s v=""/>
    <s v=""/>
    <s v=""/>
    <s v=""/>
    <s v=""/>
    <s v=""/>
    <m/>
  </r>
  <r>
    <x v="110"/>
    <x v="0"/>
    <x v="4"/>
    <x v="4"/>
    <n v="9000"/>
    <n v="6551"/>
    <n v="0"/>
    <n v="0"/>
    <n v="6551"/>
    <n v="22"/>
    <n v="3.45"/>
    <n v="18.55"/>
    <n v="1411.3636363636363"/>
    <n v="0.84318181818181825"/>
    <n v="0.72788888888888892"/>
    <n v="1"/>
    <n v="0.6137426767676768"/>
    <s v="M/C stopped due to frequent generator shutdowns , power failure &amp; low steam  issues (3.45hrs)."/>
  </r>
  <r>
    <x v="110"/>
    <x v="0"/>
    <x v="5"/>
    <x v="4"/>
    <m/>
    <m/>
    <m/>
    <s v=""/>
    <n v="0"/>
    <m/>
    <m/>
    <s v=""/>
    <s v=""/>
    <s v=""/>
    <s v=""/>
    <s v=""/>
    <s v=""/>
    <m/>
  </r>
  <r>
    <x v="110"/>
    <x v="1"/>
    <x v="6"/>
    <x v="5"/>
    <n v="9000"/>
    <n v="6526"/>
    <n v="0"/>
    <n v="0"/>
    <n v="6526"/>
    <n v="22"/>
    <m/>
    <n v="22"/>
    <n v="0"/>
    <n v="1"/>
    <n v="0.72511111111111115"/>
    <n v="1"/>
    <n v="0.72511111111111115"/>
    <s v="Production affected due to power failure"/>
  </r>
  <r>
    <x v="110"/>
    <x v="1"/>
    <x v="7"/>
    <x v="6"/>
    <n v="8000"/>
    <n v="6513"/>
    <n v="0"/>
    <n v="0"/>
    <n v="6513"/>
    <n v="22"/>
    <n v="3.15"/>
    <n v="18.850000000000001"/>
    <n v="1145.4545454545455"/>
    <n v="0.85681818181818192"/>
    <n v="0.81412499999999999"/>
    <n v="1"/>
    <n v="0.69755710227272738"/>
    <s v="M/C stopped for net cleaning &amp; power failure (3.15hrs). Production affected due to low steam"/>
  </r>
  <r>
    <x v="110"/>
    <x v="1"/>
    <x v="8"/>
    <x v="4"/>
    <n v="6000"/>
    <n v="3257"/>
    <n v="0"/>
    <n v="0"/>
    <n v="3257"/>
    <n v="22"/>
    <m/>
    <n v="22"/>
    <n v="0"/>
    <n v="1"/>
    <n v="0.54283333333333328"/>
    <n v="1"/>
    <n v="0.54283333333333328"/>
    <s v="Production affected due to power failure"/>
  </r>
  <r>
    <x v="110"/>
    <x v="1"/>
    <x v="9"/>
    <x v="4"/>
    <n v="5000"/>
    <n v="3368"/>
    <n v="0"/>
    <n v="0"/>
    <n v="3368"/>
    <n v="22"/>
    <m/>
    <n v="22"/>
    <n v="0"/>
    <n v="1"/>
    <n v="0.67359999999999998"/>
    <n v="1"/>
    <n v="0.67359999999999998"/>
    <s v="Production affected due to power failure"/>
  </r>
  <r>
    <x v="111"/>
    <x v="0"/>
    <x v="0"/>
    <x v="0"/>
    <n v="10000"/>
    <n v="8264"/>
    <n v="0"/>
    <n v="0"/>
    <n v="8264"/>
    <n v="22"/>
    <n v="0.67"/>
    <n v="21.33"/>
    <n v="304.54545454545456"/>
    <n v="0.96954545454545449"/>
    <n v="0.82640000000000002"/>
    <n v="1"/>
    <n v="0.80123236363636363"/>
    <s v="M/C stopped due to the unavailability of compressed air from the compressor line (40min)."/>
  </r>
  <r>
    <x v="111"/>
    <x v="0"/>
    <x v="11"/>
    <x v="0"/>
    <n v="8795"/>
    <n v="8795"/>
    <n v="0"/>
    <n v="0"/>
    <n v="8795"/>
    <m/>
    <m/>
    <s v=""/>
    <s v=""/>
    <s v=""/>
    <n v="1"/>
    <n v="1"/>
    <s v=""/>
    <m/>
  </r>
  <r>
    <x v="111"/>
    <x v="0"/>
    <x v="1"/>
    <x v="1"/>
    <n v="5000"/>
    <n v="5818"/>
    <n v="0"/>
    <n v="0"/>
    <n v="5818"/>
    <n v="22"/>
    <m/>
    <n v="22"/>
    <n v="0"/>
    <n v="1"/>
    <n v="1.1636"/>
    <n v="1"/>
    <n v="1.1636"/>
    <m/>
  </r>
  <r>
    <x v="111"/>
    <x v="0"/>
    <x v="1"/>
    <x v="2"/>
    <n v="4000"/>
    <n v="2670"/>
    <n v="0"/>
    <n v="0"/>
    <n v="2670"/>
    <m/>
    <n v="0.67"/>
    <s v=""/>
    <s v=""/>
    <s v=""/>
    <n v="0.66749999999999998"/>
    <n v="1"/>
    <s v=""/>
    <s v="M/C stopped due to the unavailability of compressed air from the compressor line (40min)."/>
  </r>
  <r>
    <x v="111"/>
    <x v="0"/>
    <x v="2"/>
    <x v="2"/>
    <n v="7000"/>
    <n v="7255"/>
    <n v="0"/>
    <n v="0"/>
    <n v="7255"/>
    <n v="22"/>
    <n v="0.67"/>
    <n v="21.33"/>
    <n v="213.18181818181819"/>
    <n v="0.96954545454545449"/>
    <n v="1.0364285714285715"/>
    <n v="1"/>
    <n v="1.0048646103896104"/>
    <s v="M/C stopped due to the unavailability of compressed air from the compressor line (40min)."/>
  </r>
  <r>
    <x v="111"/>
    <x v="0"/>
    <x v="3"/>
    <x v="3"/>
    <n v="7800"/>
    <n v="6139"/>
    <n v="0"/>
    <n v="0"/>
    <n v="6139"/>
    <n v="22"/>
    <n v="3.5"/>
    <n v="18.5"/>
    <n v="1240.909090909091"/>
    <n v="0.84090909090909094"/>
    <n v="0.78705128205128205"/>
    <n v="1"/>
    <n v="0.66183857808857816"/>
    <s v="M/C Stopped due to the  unavailability of Heat Set fabric (3.5 hrs)"/>
  </r>
  <r>
    <x v="111"/>
    <x v="0"/>
    <x v="10"/>
    <x v="3"/>
    <m/>
    <m/>
    <m/>
    <s v=""/>
    <n v="0"/>
    <m/>
    <m/>
    <s v=""/>
    <s v=""/>
    <s v=""/>
    <s v=""/>
    <s v=""/>
    <s v=""/>
    <m/>
  </r>
  <r>
    <x v="111"/>
    <x v="0"/>
    <x v="4"/>
    <x v="4"/>
    <n v="9000"/>
    <n v="6029"/>
    <n v="0"/>
    <n v="0"/>
    <n v="6029"/>
    <n v="22"/>
    <n v="2.08"/>
    <n v="19.920000000000002"/>
    <n v="850.90909090909088"/>
    <n v="0.90545454545454551"/>
    <n v="0.66988888888888887"/>
    <n v="1"/>
    <n v="0.60655393939393942"/>
    <s v="M/C stopped due to the unavailability of compressed air from the compressor line (40 min) and generator load failure (1.25 min)."/>
  </r>
  <r>
    <x v="111"/>
    <x v="0"/>
    <x v="5"/>
    <x v="4"/>
    <m/>
    <m/>
    <m/>
    <s v=""/>
    <m/>
    <m/>
    <m/>
    <s v=""/>
    <s v=""/>
    <s v=""/>
    <s v=""/>
    <s v=""/>
    <s v=""/>
    <m/>
  </r>
  <r>
    <x v="111"/>
    <x v="1"/>
    <x v="6"/>
    <x v="5"/>
    <n v="9000"/>
    <n v="7322"/>
    <n v="0"/>
    <n v="0"/>
    <n v="7322"/>
    <n v="22"/>
    <n v="0.67"/>
    <n v="21.33"/>
    <n v="274.09090909090907"/>
    <n v="0.96954545454545449"/>
    <n v="0.81355555555555559"/>
    <n v="1"/>
    <n v="0.78877909090909093"/>
    <s v="M/C stopped due to the unavailability of compressed air from the compressor line (40min)."/>
  </r>
  <r>
    <x v="111"/>
    <x v="1"/>
    <x v="7"/>
    <x v="6"/>
    <n v="8000"/>
    <n v="7330"/>
    <n v="0"/>
    <n v="0"/>
    <n v="7330"/>
    <n v="22"/>
    <n v="0.67"/>
    <n v="21.33"/>
    <n v="243.63636363636365"/>
    <n v="0.96954545454545449"/>
    <n v="0.91625000000000001"/>
    <n v="1"/>
    <n v="0.8883460227272727"/>
    <s v="M/C stopped due to the unavailability of compressed air from the compressor line (40min)."/>
  </r>
  <r>
    <x v="111"/>
    <x v="1"/>
    <x v="8"/>
    <x v="4"/>
    <n v="6000"/>
    <n v="3749"/>
    <n v="0"/>
    <n v="0"/>
    <n v="3749"/>
    <n v="22"/>
    <n v="0.67"/>
    <n v="21.33"/>
    <n v="182.72727272727275"/>
    <n v="0.96954545454545449"/>
    <n v="0.62483333333333335"/>
    <n v="1"/>
    <n v="0.60580431818181812"/>
    <s v="M/C stopped due to the unavailability of compressed air from the compressor line (40min)."/>
  </r>
  <r>
    <x v="111"/>
    <x v="1"/>
    <x v="9"/>
    <x v="4"/>
    <n v="5000"/>
    <n v="4031"/>
    <n v="0"/>
    <n v="0"/>
    <n v="4031"/>
    <n v="22"/>
    <n v="0.67"/>
    <n v="21.33"/>
    <n v="152.27272727272728"/>
    <n v="0.96954545454545449"/>
    <n v="0.80620000000000003"/>
    <n v="1"/>
    <n v="0.7816475454545454"/>
    <s v="M/C stopped due to the unavailability of compressed air from the compressor line (40min)."/>
  </r>
  <r>
    <x v="112"/>
    <x v="0"/>
    <x v="0"/>
    <x v="0"/>
    <n v="10000"/>
    <n v="6499"/>
    <n v="0"/>
    <n v="0"/>
    <n v="6499"/>
    <n v="22"/>
    <m/>
    <n v="22"/>
    <n v="0"/>
    <n v="1"/>
    <n v="0.64990000000000003"/>
    <n v="1"/>
    <n v="0.64990000000000003"/>
    <m/>
  </r>
  <r>
    <x v="112"/>
    <x v="0"/>
    <x v="11"/>
    <x v="0"/>
    <n v="8043"/>
    <n v="8043"/>
    <n v="0"/>
    <n v="0"/>
    <n v="8043"/>
    <m/>
    <m/>
    <s v=""/>
    <s v=""/>
    <s v=""/>
    <n v="1"/>
    <n v="1"/>
    <s v=""/>
    <m/>
  </r>
  <r>
    <x v="112"/>
    <x v="0"/>
    <x v="1"/>
    <x v="1"/>
    <n v="4000"/>
    <n v="3582"/>
    <n v="0"/>
    <n v="0"/>
    <n v="3582"/>
    <n v="22"/>
    <m/>
    <n v="22"/>
    <n v="0"/>
    <n v="1"/>
    <n v="0.89549999999999996"/>
    <n v="1"/>
    <n v="0.89549999999999996"/>
    <m/>
  </r>
  <r>
    <x v="112"/>
    <x v="0"/>
    <x v="1"/>
    <x v="2"/>
    <n v="5000"/>
    <n v="5176"/>
    <n v="0"/>
    <n v="0"/>
    <n v="5176"/>
    <m/>
    <m/>
    <s v=""/>
    <s v=""/>
    <s v=""/>
    <n v="1.0351999999999999"/>
    <n v="1"/>
    <s v=""/>
    <m/>
  </r>
  <r>
    <x v="112"/>
    <x v="0"/>
    <x v="2"/>
    <x v="2"/>
    <n v="7000"/>
    <n v="6613"/>
    <n v="0"/>
    <n v="0"/>
    <n v="6613"/>
    <n v="22"/>
    <m/>
    <n v="22"/>
    <n v="0"/>
    <n v="1"/>
    <n v="0.94471428571428573"/>
    <n v="1"/>
    <n v="0.94471428571428573"/>
    <m/>
  </r>
  <r>
    <x v="112"/>
    <x v="0"/>
    <x v="3"/>
    <x v="3"/>
    <n v="7800"/>
    <n v="4329"/>
    <n v="0"/>
    <n v="0"/>
    <n v="4329"/>
    <n v="22"/>
    <m/>
    <n v="22"/>
    <n v="0"/>
    <n v="1"/>
    <n v="0.55500000000000005"/>
    <n v="1"/>
    <n v="0.55500000000000005"/>
    <s v="Production affected due to the  unavailability of Heat Set fabric."/>
  </r>
  <r>
    <x v="112"/>
    <x v="0"/>
    <x v="10"/>
    <x v="3"/>
    <m/>
    <m/>
    <m/>
    <s v=""/>
    <n v="0"/>
    <m/>
    <m/>
    <s v=""/>
    <s v=""/>
    <s v=""/>
    <s v=""/>
    <s v=""/>
    <s v=""/>
    <m/>
  </r>
  <r>
    <x v="112"/>
    <x v="0"/>
    <x v="4"/>
    <x v="4"/>
    <n v="9000"/>
    <n v="7755"/>
    <n v="0"/>
    <n v="0"/>
    <n v="7755"/>
    <n v="22"/>
    <m/>
    <n v="22"/>
    <n v="0"/>
    <n v="1"/>
    <n v="0.86166666666666669"/>
    <n v="1"/>
    <n v="0.86166666666666669"/>
    <m/>
  </r>
  <r>
    <x v="112"/>
    <x v="0"/>
    <x v="5"/>
    <x v="4"/>
    <m/>
    <m/>
    <m/>
    <s v=""/>
    <n v="0"/>
    <m/>
    <m/>
    <s v=""/>
    <s v=""/>
    <s v=""/>
    <s v=""/>
    <s v=""/>
    <s v=""/>
    <m/>
  </r>
  <r>
    <x v="112"/>
    <x v="1"/>
    <x v="6"/>
    <x v="5"/>
    <n v="9000"/>
    <n v="7305"/>
    <n v="0"/>
    <n v="0"/>
    <n v="7305"/>
    <n v="22"/>
    <m/>
    <n v="22"/>
    <n v="0"/>
    <n v="1"/>
    <n v="0.81166666666666665"/>
    <n v="1"/>
    <n v="0.81166666666666665"/>
    <m/>
  </r>
  <r>
    <x v="112"/>
    <x v="1"/>
    <x v="7"/>
    <x v="6"/>
    <n v="8000"/>
    <n v="8543"/>
    <n v="0"/>
    <n v="0"/>
    <n v="8543"/>
    <n v="22"/>
    <n v="1.67"/>
    <n v="20.329999999999998"/>
    <n v="607.27272727272725"/>
    <n v="0.92409090909090896"/>
    <n v="1.0678749999999999"/>
    <n v="1"/>
    <n v="0.98681357954545434"/>
    <s v="M/C stopped due to the net cleaning (1.67 hrs) &amp; Production affected due to low steam."/>
  </r>
  <r>
    <x v="112"/>
    <x v="1"/>
    <x v="8"/>
    <x v="4"/>
    <n v="6000"/>
    <n v="3113"/>
    <n v="0"/>
    <n v="0"/>
    <n v="3113"/>
    <n v="22"/>
    <m/>
    <n v="22"/>
    <n v="0"/>
    <n v="1"/>
    <n v="0.51883333333333337"/>
    <n v="1"/>
    <n v="0.51883333333333337"/>
    <m/>
  </r>
  <r>
    <x v="112"/>
    <x v="1"/>
    <x v="9"/>
    <x v="4"/>
    <n v="5000"/>
    <n v="3073"/>
    <n v="0"/>
    <n v="0"/>
    <n v="3073"/>
    <n v="22"/>
    <m/>
    <n v="22"/>
    <n v="0"/>
    <n v="1"/>
    <n v="0.61460000000000004"/>
    <n v="1"/>
    <n v="0.61460000000000004"/>
    <m/>
  </r>
  <r>
    <x v="113"/>
    <x v="0"/>
    <x v="0"/>
    <x v="0"/>
    <n v="10000"/>
    <n v="4285"/>
    <n v="0"/>
    <n v="0"/>
    <n v="4285"/>
    <n v="22"/>
    <n v="4.5"/>
    <n v="17.5"/>
    <n v="2045.4545454545455"/>
    <n v="0.79545454545454541"/>
    <n v="0.42849999999999999"/>
    <n v="1"/>
    <n v="0.3408522727272727"/>
    <s v="M/C stopped for scheduled maintenance &amp; production delayed due to spindle roller motor failure (4.50 Hrs)"/>
  </r>
  <r>
    <x v="113"/>
    <x v="0"/>
    <x v="11"/>
    <x v="0"/>
    <n v="6791"/>
    <n v="6791"/>
    <n v="0"/>
    <n v="0"/>
    <n v="6791"/>
    <m/>
    <n v="0.5"/>
    <s v=""/>
    <s v=""/>
    <s v=""/>
    <n v="1"/>
    <n v="1"/>
    <s v=""/>
    <s v="M/C stopped for scheduled maintenance  (30min)"/>
  </r>
  <r>
    <x v="113"/>
    <x v="0"/>
    <x v="1"/>
    <x v="1"/>
    <n v="4000"/>
    <n v="7378"/>
    <n v="0"/>
    <n v="0"/>
    <n v="7378"/>
    <n v="22"/>
    <n v="2.5"/>
    <n v="19.5"/>
    <n v="454.5454545454545"/>
    <n v="0.88636363636363635"/>
    <n v="1.8445"/>
    <n v="1"/>
    <n v="1.6348977272727272"/>
    <s v="M/C stopped for scheduled maintenance (2.50hrs)"/>
  </r>
  <r>
    <x v="113"/>
    <x v="0"/>
    <x v="1"/>
    <x v="2"/>
    <n v="5000"/>
    <m/>
    <n v="0"/>
    <s v=""/>
    <n v="0"/>
    <m/>
    <m/>
    <s v=""/>
    <s v=""/>
    <s v=""/>
    <n v="0"/>
    <s v=""/>
    <s v=""/>
    <m/>
  </r>
  <r>
    <x v="113"/>
    <x v="0"/>
    <x v="2"/>
    <x v="2"/>
    <n v="7000"/>
    <n v="6694"/>
    <n v="0"/>
    <n v="0"/>
    <n v="6694"/>
    <n v="22"/>
    <n v="3"/>
    <n v="19"/>
    <n v="954.5454545454545"/>
    <n v="0.86363636363636365"/>
    <n v="0.95628571428571429"/>
    <n v="1"/>
    <n v="0.82588311688311689"/>
    <s v="M/C stopped for scheduled maintenance &amp; production delayed due to spindle roller belt  torn (3hrs)"/>
  </r>
  <r>
    <x v="113"/>
    <x v="0"/>
    <x v="3"/>
    <x v="3"/>
    <n v="7800"/>
    <n v="5890"/>
    <n v="0"/>
    <n v="0"/>
    <n v="5890"/>
    <n v="22"/>
    <m/>
    <n v="22"/>
    <n v="0"/>
    <n v="1"/>
    <n v="0.75512820512820511"/>
    <n v="1"/>
    <n v="0.75512820512820511"/>
    <m/>
  </r>
  <r>
    <x v="113"/>
    <x v="0"/>
    <x v="10"/>
    <x v="3"/>
    <m/>
    <m/>
    <m/>
    <s v=""/>
    <n v="0"/>
    <m/>
    <m/>
    <s v=""/>
    <s v=""/>
    <s v=""/>
    <s v=""/>
    <s v=""/>
    <s v=""/>
    <m/>
  </r>
  <r>
    <x v="113"/>
    <x v="0"/>
    <x v="4"/>
    <x v="4"/>
    <n v="9000"/>
    <n v="7259"/>
    <n v="0"/>
    <n v="0"/>
    <n v="7259"/>
    <n v="22"/>
    <n v="1"/>
    <n v="21"/>
    <n v="409.09090909090907"/>
    <n v="0.95454545454545459"/>
    <n v="0.80655555555555558"/>
    <n v="1"/>
    <n v="0.76989393939393946"/>
    <s v="M/C stopped for scheduled maintenance  (1hrs)"/>
  </r>
  <r>
    <x v="113"/>
    <x v="0"/>
    <x v="5"/>
    <x v="4"/>
    <m/>
    <m/>
    <m/>
    <s v=""/>
    <n v="0"/>
    <m/>
    <m/>
    <s v=""/>
    <s v=""/>
    <s v=""/>
    <s v=""/>
    <s v=""/>
    <s v=""/>
    <m/>
  </r>
  <r>
    <x v="113"/>
    <x v="1"/>
    <x v="6"/>
    <x v="5"/>
    <n v="9000"/>
    <n v="5401"/>
    <n v="0"/>
    <n v="0"/>
    <n v="5401"/>
    <n v="22"/>
    <m/>
    <n v="22"/>
    <n v="0"/>
    <n v="1"/>
    <n v="0.60011111111111115"/>
    <n v="1"/>
    <n v="0.60011111111111115"/>
    <m/>
  </r>
  <r>
    <x v="113"/>
    <x v="1"/>
    <x v="7"/>
    <x v="6"/>
    <n v="8000"/>
    <n v="4059"/>
    <n v="0"/>
    <n v="0"/>
    <n v="4059"/>
    <n v="22"/>
    <n v="7"/>
    <n v="15"/>
    <n v="2545.4545454545455"/>
    <n v="0.68181818181818177"/>
    <n v="0.50737500000000002"/>
    <n v="1"/>
    <n v="0.34593750000000001"/>
    <s v="Production affected due to lower T/F fabric availability."/>
  </r>
  <r>
    <x v="113"/>
    <x v="1"/>
    <x v="8"/>
    <x v="4"/>
    <n v="6000"/>
    <n v="2855"/>
    <n v="0"/>
    <n v="0"/>
    <n v="2855"/>
    <n v="22"/>
    <m/>
    <n v="22"/>
    <n v="0"/>
    <n v="1"/>
    <n v="0.47583333333333333"/>
    <n v="1"/>
    <n v="0.47583333333333333"/>
    <s v="Production affected due to lower T/F fabric availability."/>
  </r>
  <r>
    <x v="113"/>
    <x v="1"/>
    <x v="9"/>
    <x v="4"/>
    <n v="5000"/>
    <n v="1506"/>
    <n v="0"/>
    <n v="0"/>
    <n v="1506"/>
    <n v="22"/>
    <m/>
    <n v="22"/>
    <n v="0"/>
    <n v="1"/>
    <n v="0.30120000000000002"/>
    <n v="1"/>
    <n v="0.30120000000000002"/>
    <s v="Production affected due to lower T/F fabric availability."/>
  </r>
  <r>
    <x v="114"/>
    <x v="0"/>
    <x v="0"/>
    <x v="0"/>
    <n v="10000"/>
    <n v="7121"/>
    <n v="0"/>
    <n v="0"/>
    <n v="7121"/>
    <n v="22"/>
    <n v="2"/>
    <n v="20"/>
    <n v="909.09090909090912"/>
    <n v="0.90909090909090906"/>
    <n v="0.71209999999999996"/>
    <n v="1"/>
    <n v="0.64736363636363625"/>
    <s v="B Shift ended at 5.00PM"/>
  </r>
  <r>
    <x v="114"/>
    <x v="0"/>
    <x v="11"/>
    <x v="0"/>
    <n v="6791"/>
    <n v="10673"/>
    <n v="0"/>
    <n v="0"/>
    <n v="10673"/>
    <m/>
    <m/>
    <s v=""/>
    <s v=""/>
    <s v=""/>
    <n v="1.5716389338830805"/>
    <n v="1"/>
    <s v=""/>
    <m/>
  </r>
  <r>
    <x v="114"/>
    <x v="0"/>
    <x v="1"/>
    <x v="1"/>
    <n v="4000"/>
    <n v="5370"/>
    <n v="0"/>
    <n v="0"/>
    <n v="5370"/>
    <n v="22"/>
    <m/>
    <n v="22"/>
    <n v="0"/>
    <n v="1"/>
    <n v="1.3425"/>
    <n v="1"/>
    <n v="1.3425"/>
    <m/>
  </r>
  <r>
    <x v="114"/>
    <x v="0"/>
    <x v="1"/>
    <x v="2"/>
    <n v="5000"/>
    <n v="3556"/>
    <n v="0"/>
    <n v="0"/>
    <n v="3556"/>
    <m/>
    <m/>
    <s v=""/>
    <s v=""/>
    <s v=""/>
    <n v="0.71120000000000005"/>
    <n v="1"/>
    <s v=""/>
    <m/>
  </r>
  <r>
    <x v="114"/>
    <x v="0"/>
    <x v="2"/>
    <x v="2"/>
    <n v="7000"/>
    <n v="7553"/>
    <n v="0"/>
    <n v="0"/>
    <n v="7553"/>
    <n v="22"/>
    <m/>
    <n v="22"/>
    <n v="0"/>
    <n v="1"/>
    <n v="1.079"/>
    <n v="1"/>
    <n v="1.079"/>
    <m/>
  </r>
  <r>
    <x v="114"/>
    <x v="0"/>
    <x v="3"/>
    <x v="3"/>
    <n v="7800"/>
    <n v="5694"/>
    <n v="0"/>
    <n v="0"/>
    <n v="5694"/>
    <n v="22"/>
    <n v="6.5"/>
    <n v="15.5"/>
    <n v="2304.5454545454545"/>
    <n v="0.70454545454545459"/>
    <n v="0.73"/>
    <n v="1"/>
    <n v="0.51431818181818179"/>
    <s v="Production affected due to the  unavailability of Heat Set fabric (6.5 hrs)"/>
  </r>
  <r>
    <x v="114"/>
    <x v="0"/>
    <x v="10"/>
    <x v="3"/>
    <m/>
    <m/>
    <m/>
    <s v=""/>
    <n v="0"/>
    <m/>
    <m/>
    <s v=""/>
    <s v=""/>
    <s v=""/>
    <s v=""/>
    <s v=""/>
    <s v=""/>
    <m/>
  </r>
  <r>
    <x v="114"/>
    <x v="0"/>
    <x v="4"/>
    <x v="4"/>
    <n v="9000"/>
    <n v="7415"/>
    <n v="0"/>
    <n v="0"/>
    <n v="7415"/>
    <n v="22"/>
    <m/>
    <n v="22"/>
    <n v="0"/>
    <n v="1"/>
    <n v="0.82388888888888889"/>
    <n v="1"/>
    <n v="0.82388888888888889"/>
    <m/>
  </r>
  <r>
    <x v="114"/>
    <x v="0"/>
    <x v="5"/>
    <x v="4"/>
    <m/>
    <m/>
    <m/>
    <s v=""/>
    <n v="0"/>
    <m/>
    <m/>
    <s v=""/>
    <s v=""/>
    <s v=""/>
    <s v=""/>
    <s v=""/>
    <s v=""/>
    <m/>
  </r>
  <r>
    <x v="114"/>
    <x v="1"/>
    <x v="6"/>
    <x v="5"/>
    <n v="9000"/>
    <n v="6767"/>
    <n v="0"/>
    <n v="0"/>
    <n v="6767"/>
    <n v="22"/>
    <m/>
    <n v="22"/>
    <n v="0"/>
    <n v="1"/>
    <n v="0.75188888888888894"/>
    <n v="1"/>
    <n v="0.75188888888888894"/>
    <m/>
  </r>
  <r>
    <x v="114"/>
    <x v="1"/>
    <x v="7"/>
    <x v="6"/>
    <n v="8000"/>
    <n v="6823"/>
    <n v="0"/>
    <n v="0"/>
    <n v="6823"/>
    <n v="22"/>
    <n v="2.6"/>
    <n v="19.399999999999999"/>
    <n v="945.4545454545455"/>
    <n v="0.88181818181818172"/>
    <n v="0.85287500000000005"/>
    <n v="1"/>
    <n v="0.75208068181818177"/>
    <s v="M/C stopped for net cleaning &amp; power failure (2.6 hrs). "/>
  </r>
  <r>
    <x v="114"/>
    <x v="1"/>
    <x v="8"/>
    <x v="4"/>
    <n v="6000"/>
    <n v="3333"/>
    <n v="0"/>
    <n v="0"/>
    <n v="3333"/>
    <n v="22"/>
    <m/>
    <n v="22"/>
    <n v="0"/>
    <n v="1"/>
    <n v="0.55549999999999999"/>
    <n v="1"/>
    <n v="0.55549999999999999"/>
    <m/>
  </r>
  <r>
    <x v="114"/>
    <x v="1"/>
    <x v="9"/>
    <x v="4"/>
    <n v="5000"/>
    <n v="3492"/>
    <n v="0"/>
    <n v="0"/>
    <n v="3492"/>
    <n v="22"/>
    <m/>
    <n v="22"/>
    <n v="0"/>
    <n v="1"/>
    <n v="0.69840000000000002"/>
    <n v="1"/>
    <n v="0.69840000000000002"/>
    <m/>
  </r>
  <r>
    <x v="115"/>
    <x v="0"/>
    <x v="0"/>
    <x v="0"/>
    <n v="10000"/>
    <n v="8086"/>
    <n v="0"/>
    <n v="0"/>
    <n v="8086"/>
    <n v="22"/>
    <n v="3"/>
    <n v="19"/>
    <n v="1363.6363636363637"/>
    <n v="0.86363636363636365"/>
    <n v="0.80859999999999999"/>
    <n v="1"/>
    <n v="0.69833636363636364"/>
    <s v="M/C Stopped due to gas supply issues and lack of air pressure in the compressor line (3hrs)."/>
  </r>
  <r>
    <x v="115"/>
    <x v="0"/>
    <x v="11"/>
    <x v="0"/>
    <n v="7601"/>
    <n v="7601"/>
    <n v="0"/>
    <n v="0"/>
    <n v="7601"/>
    <m/>
    <m/>
    <s v=""/>
    <s v=""/>
    <s v=""/>
    <n v="1"/>
    <n v="1"/>
    <s v=""/>
    <m/>
  </r>
  <r>
    <x v="115"/>
    <x v="0"/>
    <x v="1"/>
    <x v="1"/>
    <n v="4000"/>
    <n v="4669"/>
    <n v="0"/>
    <n v="0"/>
    <n v="4669"/>
    <n v="22"/>
    <m/>
    <n v="22"/>
    <n v="0"/>
    <n v="1"/>
    <n v="1.1672499999999999"/>
    <n v="1"/>
    <n v="1.1672499999999999"/>
    <m/>
  </r>
  <r>
    <x v="115"/>
    <x v="0"/>
    <x v="1"/>
    <x v="2"/>
    <n v="5000"/>
    <n v="2522"/>
    <n v="0"/>
    <n v="0"/>
    <n v="2522"/>
    <m/>
    <n v="4.45"/>
    <s v=""/>
    <s v=""/>
    <s v=""/>
    <n v="0.50439999999999996"/>
    <n v="1"/>
    <s v=""/>
    <s v="M/C Stopped due to gas supply issues (4.45 hrs)"/>
  </r>
  <r>
    <x v="115"/>
    <x v="0"/>
    <x v="2"/>
    <x v="2"/>
    <n v="7000"/>
    <n v="5892"/>
    <n v="0"/>
    <n v="0"/>
    <n v="5892"/>
    <n v="22"/>
    <n v="3"/>
    <n v="19"/>
    <n v="954.5454545454545"/>
    <n v="0.86363636363636365"/>
    <n v="0.84171428571428575"/>
    <n v="1"/>
    <n v="0.72693506493506499"/>
    <s v="M/C Stopped due to gas supply issues (3hrs)"/>
  </r>
  <r>
    <x v="115"/>
    <x v="0"/>
    <x v="3"/>
    <x v="3"/>
    <n v="7800"/>
    <n v="5750"/>
    <n v="0"/>
    <n v="0"/>
    <n v="5750"/>
    <n v="22"/>
    <n v="2"/>
    <n v="20"/>
    <n v="709.09090909090912"/>
    <n v="0.90909090909090906"/>
    <n v="0.73717948717948723"/>
    <n v="1"/>
    <n v="0.67016317016317017"/>
    <s v="M/C Stopped due to the unavailability of Heat Set fabric (2hrs)"/>
  </r>
  <r>
    <x v="115"/>
    <x v="0"/>
    <x v="10"/>
    <x v="3"/>
    <m/>
    <m/>
    <m/>
    <s v=""/>
    <n v="0"/>
    <m/>
    <m/>
    <s v=""/>
    <s v=""/>
    <s v=""/>
    <s v=""/>
    <s v=""/>
    <s v=""/>
    <m/>
  </r>
  <r>
    <x v="115"/>
    <x v="0"/>
    <x v="4"/>
    <x v="4"/>
    <n v="9000"/>
    <n v="7544"/>
    <n v="0"/>
    <n v="0"/>
    <n v="7544"/>
    <n v="22"/>
    <n v="1.05"/>
    <n v="20.95"/>
    <n v="429.54545454545456"/>
    <n v="0.95227272727272727"/>
    <n v="0.8382222222222222"/>
    <n v="1"/>
    <n v="0.7982161616161616"/>
    <s v="M/C stopped due to power outage (1.05hrs)"/>
  </r>
  <r>
    <x v="115"/>
    <x v="0"/>
    <x v="5"/>
    <x v="4"/>
    <m/>
    <m/>
    <m/>
    <s v=""/>
    <n v="0"/>
    <m/>
    <m/>
    <s v=""/>
    <s v=""/>
    <s v=""/>
    <s v=""/>
    <s v=""/>
    <s v=""/>
    <m/>
  </r>
  <r>
    <x v="115"/>
    <x v="1"/>
    <x v="6"/>
    <x v="5"/>
    <n v="9000"/>
    <n v="6329"/>
    <n v="0"/>
    <n v="0"/>
    <n v="6329"/>
    <n v="22"/>
    <n v="2"/>
    <n v="20"/>
    <n v="818.18181818181813"/>
    <n v="0.90909090909090906"/>
    <n v="0.70322222222222219"/>
    <n v="1"/>
    <n v="0.63929292929292925"/>
    <s v="M/C stopped due to power outage (2 hrs)"/>
  </r>
  <r>
    <x v="115"/>
    <x v="1"/>
    <x v="7"/>
    <x v="6"/>
    <n v="8000"/>
    <n v="6672"/>
    <n v="0"/>
    <n v="0"/>
    <n v="6672"/>
    <n v="22"/>
    <n v="3.6"/>
    <n v="18.399999999999999"/>
    <n v="1309.090909090909"/>
    <n v="0.83636363636363631"/>
    <n v="0.83399999999999996"/>
    <n v="1"/>
    <n v="0.69752727272727266"/>
    <s v="M/C stopped for net cleaning &amp; power failure (3.6 hrs). "/>
  </r>
  <r>
    <x v="115"/>
    <x v="1"/>
    <x v="8"/>
    <x v="4"/>
    <n v="6000"/>
    <n v="1283"/>
    <n v="0"/>
    <n v="0"/>
    <n v="1283"/>
    <n v="22"/>
    <n v="10"/>
    <n v="12"/>
    <n v="2727.2727272727275"/>
    <n v="0.54545454545454541"/>
    <n v="0.21383333333333332"/>
    <n v="1"/>
    <n v="0.11663636363636362"/>
    <s v="M/C stopped due to a table limit switch problem and power outage (8hrs) &amp; B Shift ended at 6AM"/>
  </r>
  <r>
    <x v="115"/>
    <x v="1"/>
    <x v="9"/>
    <x v="4"/>
    <n v="5000"/>
    <n v="3583"/>
    <n v="0"/>
    <n v="0"/>
    <n v="3583"/>
    <n v="22"/>
    <n v="2"/>
    <n v="20"/>
    <n v="454.54545454545456"/>
    <n v="0.90909090909090906"/>
    <n v="0.71660000000000001"/>
    <n v="1"/>
    <n v="0.6514545454545454"/>
    <s v="M/C stopped due to power outage (2hrs)"/>
  </r>
  <r>
    <x v="116"/>
    <x v="0"/>
    <x v="0"/>
    <x v="0"/>
    <n v="10000"/>
    <n v="7498"/>
    <n v="0"/>
    <n v="0"/>
    <n v="7498"/>
    <n v="22"/>
    <n v="1.95"/>
    <n v="20.05"/>
    <n v="886.36363636363637"/>
    <n v="0.91136363636363638"/>
    <n v="0.74980000000000002"/>
    <n v="1"/>
    <n v="0.68334045454545456"/>
    <s v="M/C stopped due to insufficient air pressure in the compressor line and spindle motor replacement. (1.95hrs)."/>
  </r>
  <r>
    <x v="116"/>
    <x v="0"/>
    <x v="11"/>
    <x v="0"/>
    <n v="9101"/>
    <n v="9101"/>
    <n v="0"/>
    <n v="0"/>
    <n v="9101"/>
    <m/>
    <m/>
    <s v=""/>
    <s v=""/>
    <s v=""/>
    <n v="1"/>
    <n v="1"/>
    <s v=""/>
    <m/>
  </r>
  <r>
    <x v="116"/>
    <x v="0"/>
    <x v="1"/>
    <x v="1"/>
    <n v="4000"/>
    <n v="5234"/>
    <n v="0"/>
    <n v="0"/>
    <n v="5234"/>
    <n v="22"/>
    <m/>
    <n v="22"/>
    <n v="0"/>
    <n v="1"/>
    <n v="1.3085"/>
    <n v="1"/>
    <n v="1.3085"/>
    <m/>
  </r>
  <r>
    <x v="116"/>
    <x v="0"/>
    <x v="1"/>
    <x v="2"/>
    <n v="5000"/>
    <n v="3469"/>
    <n v="0"/>
    <n v="0"/>
    <n v="3469"/>
    <m/>
    <m/>
    <s v=""/>
    <s v=""/>
    <s v=""/>
    <n v="0.69379999999999997"/>
    <n v="1"/>
    <s v=""/>
    <m/>
  </r>
  <r>
    <x v="116"/>
    <x v="0"/>
    <x v="2"/>
    <x v="2"/>
    <n v="7000"/>
    <n v="6488"/>
    <n v="0"/>
    <n v="0"/>
    <n v="6488"/>
    <n v="22"/>
    <n v="2"/>
    <n v="20"/>
    <n v="636.36363636363637"/>
    <n v="0.90909090909090906"/>
    <n v="0.92685714285714282"/>
    <n v="1"/>
    <n v="0.84259740259740257"/>
    <s v="M/C Stopped due to gas supply issues (2hrs)"/>
  </r>
  <r>
    <x v="116"/>
    <x v="0"/>
    <x v="3"/>
    <x v="3"/>
    <n v="7800"/>
    <n v="6062"/>
    <n v="0"/>
    <n v="0"/>
    <n v="6062"/>
    <n v="22"/>
    <n v="3"/>
    <n v="19"/>
    <n v="1063.6363636363637"/>
    <n v="0.86363636363636365"/>
    <n v="0.77717948717948715"/>
    <n v="1"/>
    <n v="0.67120046620046614"/>
    <s v="M/C Stopped due to the unavailability of Heat Set fabric (3hrs)"/>
  </r>
  <r>
    <x v="116"/>
    <x v="0"/>
    <x v="10"/>
    <x v="3"/>
    <m/>
    <m/>
    <m/>
    <s v=""/>
    <n v="0"/>
    <m/>
    <m/>
    <s v=""/>
    <s v=""/>
    <s v=""/>
    <s v=""/>
    <s v=""/>
    <s v=""/>
    <m/>
  </r>
  <r>
    <x v="116"/>
    <x v="0"/>
    <x v="4"/>
    <x v="4"/>
    <n v="9000"/>
    <n v="8021"/>
    <n v="0"/>
    <n v="0"/>
    <n v="8021"/>
    <n v="22"/>
    <m/>
    <n v="22"/>
    <n v="0"/>
    <n v="1"/>
    <n v="0.89122222222222225"/>
    <n v="1"/>
    <n v="0.89122222222222225"/>
    <m/>
  </r>
  <r>
    <x v="116"/>
    <x v="0"/>
    <x v="5"/>
    <x v="4"/>
    <m/>
    <m/>
    <m/>
    <s v=""/>
    <n v="0"/>
    <m/>
    <m/>
    <s v=""/>
    <s v=""/>
    <s v=""/>
    <s v=""/>
    <s v=""/>
    <s v=""/>
    <m/>
  </r>
  <r>
    <x v="116"/>
    <x v="1"/>
    <x v="6"/>
    <x v="5"/>
    <n v="9000"/>
    <n v="6765"/>
    <n v="0"/>
    <n v="0"/>
    <n v="6765"/>
    <n v="22"/>
    <m/>
    <n v="22"/>
    <n v="0"/>
    <n v="1"/>
    <n v="0.75166666666666671"/>
    <n v="1"/>
    <n v="0.75166666666666671"/>
    <m/>
  </r>
  <r>
    <x v="116"/>
    <x v="1"/>
    <x v="7"/>
    <x v="6"/>
    <n v="8000"/>
    <n v="7108"/>
    <n v="0"/>
    <n v="0"/>
    <n v="7108"/>
    <n v="22"/>
    <n v="3.33"/>
    <n v="18.670000000000002"/>
    <n v="1210.909090909091"/>
    <n v="0.84863636363636374"/>
    <n v="0.88849999999999996"/>
    <n v="1"/>
    <n v="0.75401340909090919"/>
    <s v="M/C stopped for net cleaning, power failure, and bearing replacement (3.33 hrs)"/>
  </r>
  <r>
    <x v="116"/>
    <x v="1"/>
    <x v="8"/>
    <x v="4"/>
    <n v="6000"/>
    <n v="2270"/>
    <n v="0"/>
    <n v="0"/>
    <n v="2270"/>
    <n v="22"/>
    <n v="3"/>
    <n v="19"/>
    <n v="818.18181818181824"/>
    <n v="0.86363636363636365"/>
    <n v="0.37833333333333335"/>
    <n v="1"/>
    <n v="0.32674242424242428"/>
    <s v="M/C stopped due to fabric shade not being OK (1Hrr)  &amp; B shift ended at 6PM."/>
  </r>
  <r>
    <x v="116"/>
    <x v="1"/>
    <x v="9"/>
    <x v="4"/>
    <n v="5000"/>
    <n v="3351"/>
    <n v="0"/>
    <n v="0"/>
    <n v="3351"/>
    <n v="22"/>
    <m/>
    <n v="22"/>
    <n v="0"/>
    <n v="1"/>
    <n v="0.67020000000000002"/>
    <n v="1"/>
    <n v="0.67020000000000002"/>
    <m/>
  </r>
  <r>
    <x v="117"/>
    <x v="0"/>
    <x v="0"/>
    <x v="0"/>
    <n v="10000"/>
    <n v="7491"/>
    <n v="0"/>
    <n v="0"/>
    <n v="7491"/>
    <n v="22"/>
    <m/>
    <n v="22"/>
    <n v="0"/>
    <n v="1"/>
    <n v="0.74909999999999999"/>
    <n v="1"/>
    <n v="0.74909999999999999"/>
    <m/>
  </r>
  <r>
    <x v="117"/>
    <x v="0"/>
    <x v="11"/>
    <x v="0"/>
    <n v="10279"/>
    <n v="10279"/>
    <n v="0"/>
    <n v="0"/>
    <n v="10279"/>
    <m/>
    <m/>
    <s v=""/>
    <s v=""/>
    <s v=""/>
    <n v="1"/>
    <n v="1"/>
    <s v=""/>
    <m/>
  </r>
  <r>
    <x v="117"/>
    <x v="0"/>
    <x v="1"/>
    <x v="1"/>
    <n v="4000"/>
    <n v="4165"/>
    <n v="0"/>
    <n v="0"/>
    <n v="4165"/>
    <n v="22"/>
    <m/>
    <n v="22"/>
    <n v="0"/>
    <n v="1"/>
    <n v="1.04125"/>
    <n v="1"/>
    <n v="1.04125"/>
    <m/>
  </r>
  <r>
    <x v="117"/>
    <x v="0"/>
    <x v="1"/>
    <x v="2"/>
    <n v="5000"/>
    <n v="5470"/>
    <n v="0"/>
    <n v="0"/>
    <n v="5470"/>
    <m/>
    <m/>
    <s v=""/>
    <s v=""/>
    <s v=""/>
    <n v="1.0940000000000001"/>
    <n v="1"/>
    <s v=""/>
    <m/>
  </r>
  <r>
    <x v="117"/>
    <x v="0"/>
    <x v="2"/>
    <x v="2"/>
    <n v="7000"/>
    <n v="6494"/>
    <n v="0"/>
    <n v="0"/>
    <n v="6494"/>
    <n v="22"/>
    <m/>
    <n v="22"/>
    <n v="0"/>
    <n v="1"/>
    <n v="0.92771428571428571"/>
    <n v="1"/>
    <n v="0.92771428571428571"/>
    <m/>
  </r>
  <r>
    <x v="117"/>
    <x v="0"/>
    <x v="3"/>
    <x v="3"/>
    <n v="7800"/>
    <n v="4312"/>
    <n v="0"/>
    <n v="0"/>
    <n v="4312"/>
    <n v="22"/>
    <n v="7"/>
    <n v="15"/>
    <n v="2481.818181818182"/>
    <n v="0.68181818181818177"/>
    <n v="0.55282051282051281"/>
    <n v="1"/>
    <n v="0.37692307692307686"/>
    <s v="M/C Stopped due to the unavailability of Heat Set fabric (7hrs)"/>
  </r>
  <r>
    <x v="117"/>
    <x v="0"/>
    <x v="10"/>
    <x v="3"/>
    <m/>
    <m/>
    <m/>
    <s v=""/>
    <n v="0"/>
    <m/>
    <m/>
    <s v=""/>
    <s v=""/>
    <s v=""/>
    <s v=""/>
    <s v=""/>
    <s v=""/>
    <m/>
  </r>
  <r>
    <x v="117"/>
    <x v="0"/>
    <x v="4"/>
    <x v="4"/>
    <n v="9000"/>
    <n v="7769"/>
    <n v="0"/>
    <n v="0"/>
    <n v="7769"/>
    <n v="22"/>
    <m/>
    <n v="22"/>
    <n v="0"/>
    <n v="1"/>
    <n v="0.86322222222222222"/>
    <n v="1"/>
    <n v="0.86322222222222222"/>
    <m/>
  </r>
  <r>
    <x v="117"/>
    <x v="0"/>
    <x v="5"/>
    <x v="4"/>
    <m/>
    <m/>
    <m/>
    <s v=""/>
    <n v="0"/>
    <m/>
    <m/>
    <s v=""/>
    <s v=""/>
    <s v=""/>
    <s v=""/>
    <s v=""/>
    <s v=""/>
    <m/>
  </r>
  <r>
    <x v="117"/>
    <x v="1"/>
    <x v="6"/>
    <x v="5"/>
    <n v="9000"/>
    <n v="6385"/>
    <n v="0"/>
    <n v="0"/>
    <n v="6385"/>
    <n v="22"/>
    <m/>
    <n v="22"/>
    <n v="0"/>
    <n v="1"/>
    <n v="0.70944444444444443"/>
    <n v="1"/>
    <n v="0.70944444444444443"/>
    <m/>
  </r>
  <r>
    <x v="117"/>
    <x v="1"/>
    <x v="7"/>
    <x v="6"/>
    <n v="8000"/>
    <n v="5959"/>
    <n v="0"/>
    <n v="0"/>
    <n v="5959"/>
    <n v="22"/>
    <n v="1.5"/>
    <n v="20.5"/>
    <n v="545.4545454545455"/>
    <n v="0.93181818181818177"/>
    <n v="0.74487499999999995"/>
    <n v="1"/>
    <n v="0.69408806818181812"/>
    <s v="M/C stopped for net cleaning (1.50 hrs) &amp; Production was affected due to the low steam. "/>
  </r>
  <r>
    <x v="117"/>
    <x v="1"/>
    <x v="8"/>
    <x v="4"/>
    <n v="6000"/>
    <n v="3869"/>
    <n v="0"/>
    <n v="0"/>
    <n v="3869"/>
    <n v="22"/>
    <n v="1"/>
    <n v="21"/>
    <n v="272.72727272727275"/>
    <n v="0.95454545454545459"/>
    <n v="0.64483333333333337"/>
    <n v="1"/>
    <n v="0.61552272727272739"/>
    <s v="M/C stopped due to the unavailability of electricity and steam (1hr)"/>
  </r>
  <r>
    <x v="117"/>
    <x v="1"/>
    <x v="9"/>
    <x v="4"/>
    <n v="5000"/>
    <n v="4177"/>
    <n v="0"/>
    <n v="0"/>
    <n v="4177"/>
    <n v="22"/>
    <n v="2"/>
    <n v="20"/>
    <n v="454.54545454545456"/>
    <n v="0.90909090909090906"/>
    <n v="0.83540000000000003"/>
    <n v="1"/>
    <n v="0.75945454545454549"/>
    <s v="M/C stopped due to the unavailability of electricity and steam, and for replacement of the sensor wire (2hr)"/>
  </r>
  <r>
    <x v="118"/>
    <x v="0"/>
    <x v="0"/>
    <x v="0"/>
    <n v="10000"/>
    <n v="7491"/>
    <n v="0"/>
    <n v="0"/>
    <n v="7491"/>
    <n v="22"/>
    <m/>
    <n v="22"/>
    <n v="0"/>
    <n v="1"/>
    <n v="0.74909999999999999"/>
    <n v="1"/>
    <n v="0.74909999999999999"/>
    <m/>
  </r>
  <r>
    <x v="118"/>
    <x v="0"/>
    <x v="11"/>
    <x v="0"/>
    <n v="5347"/>
    <n v="5347"/>
    <n v="0"/>
    <n v="0"/>
    <n v="5347"/>
    <m/>
    <m/>
    <s v=""/>
    <s v=""/>
    <s v=""/>
    <n v="1"/>
    <n v="1"/>
    <s v=""/>
    <m/>
  </r>
  <r>
    <x v="118"/>
    <x v="0"/>
    <x v="1"/>
    <x v="1"/>
    <n v="4000"/>
    <n v="6249"/>
    <n v="0"/>
    <n v="0"/>
    <n v="6249"/>
    <n v="22"/>
    <m/>
    <n v="22"/>
    <n v="0"/>
    <n v="1"/>
    <n v="1.5622499999999999"/>
    <n v="1"/>
    <n v="1.5622499999999999"/>
    <m/>
  </r>
  <r>
    <x v="118"/>
    <x v="0"/>
    <x v="1"/>
    <x v="2"/>
    <n v="5000"/>
    <n v="2412"/>
    <n v="0"/>
    <n v="0"/>
    <n v="2412"/>
    <m/>
    <n v="1"/>
    <s v=""/>
    <s v=""/>
    <s v=""/>
    <n v="0.4824"/>
    <n v="1"/>
    <s v=""/>
    <s v="M/C Stopped due to low gas pressure (1hr)"/>
  </r>
  <r>
    <x v="118"/>
    <x v="0"/>
    <x v="2"/>
    <x v="2"/>
    <n v="7000"/>
    <n v="5004"/>
    <n v="0"/>
    <n v="0"/>
    <n v="5004"/>
    <n v="22"/>
    <m/>
    <n v="22"/>
    <n v="0"/>
    <n v="1"/>
    <n v="0.71485714285714286"/>
    <n v="1"/>
    <n v="0.71485714285714286"/>
    <m/>
  </r>
  <r>
    <x v="118"/>
    <x v="0"/>
    <x v="3"/>
    <x v="3"/>
    <n v="7800"/>
    <n v="6584"/>
    <n v="0"/>
    <n v="0"/>
    <n v="6584"/>
    <n v="22"/>
    <m/>
    <n v="22"/>
    <n v="0"/>
    <n v="1"/>
    <n v="0.84410256410256412"/>
    <n v="1"/>
    <n v="0.84410256410256412"/>
    <m/>
  </r>
  <r>
    <x v="118"/>
    <x v="0"/>
    <x v="10"/>
    <x v="3"/>
    <m/>
    <m/>
    <m/>
    <s v=""/>
    <n v="0"/>
    <m/>
    <m/>
    <s v=""/>
    <s v=""/>
    <s v=""/>
    <s v=""/>
    <s v=""/>
    <s v=""/>
    <m/>
  </r>
  <r>
    <x v="118"/>
    <x v="0"/>
    <x v="4"/>
    <x v="4"/>
    <n v="9000"/>
    <n v="5706"/>
    <n v="0"/>
    <n v="0"/>
    <n v="5706"/>
    <n v="22"/>
    <n v="6.5"/>
    <n v="15.5"/>
    <n v="2659.090909090909"/>
    <n v="0.70454545454545459"/>
    <n v="0.63400000000000001"/>
    <n v="1"/>
    <n v="0.44668181818181824"/>
    <s v="M/C stopped due to the unavailability of stenter-finished fabric (6.5 hrs)"/>
  </r>
  <r>
    <x v="118"/>
    <x v="0"/>
    <x v="5"/>
    <x v="4"/>
    <m/>
    <m/>
    <m/>
    <s v=""/>
    <n v="0"/>
    <m/>
    <m/>
    <s v=""/>
    <s v=""/>
    <s v=""/>
    <s v=""/>
    <s v=""/>
    <s v=""/>
    <m/>
  </r>
  <r>
    <x v="118"/>
    <x v="1"/>
    <x v="6"/>
    <x v="5"/>
    <n v="9000"/>
    <n v="3869"/>
    <n v="0"/>
    <n v="0"/>
    <n v="3869"/>
    <n v="22"/>
    <m/>
    <n v="22"/>
    <n v="0"/>
    <n v="1"/>
    <n v="0.42988888888888888"/>
    <n v="1"/>
    <n v="0.42988888888888888"/>
    <s v="Production was affected due to lower T/F fabric availability."/>
  </r>
  <r>
    <x v="118"/>
    <x v="1"/>
    <x v="7"/>
    <x v="6"/>
    <n v="8000"/>
    <n v="4716"/>
    <n v="0"/>
    <n v="0"/>
    <n v="4716"/>
    <n v="22"/>
    <n v="1.5"/>
    <n v="20.5"/>
    <n v="545.4545454545455"/>
    <n v="0.93181818181818177"/>
    <n v="0.58950000000000002"/>
    <n v="1"/>
    <n v="0.54930681818181815"/>
    <s v="M/C stopped for net cleaning (1.50 hrs) &amp; Production was affected due to the low steam. "/>
  </r>
  <r>
    <x v="118"/>
    <x v="1"/>
    <x v="8"/>
    <x v="4"/>
    <n v="6000"/>
    <n v="2734"/>
    <n v="0"/>
    <n v="0"/>
    <n v="2734"/>
    <n v="22"/>
    <m/>
    <n v="22"/>
    <n v="0"/>
    <n v="1"/>
    <n v="0.45566666666666666"/>
    <n v="1"/>
    <n v="0.45566666666666666"/>
    <s v="Production was affected due to lower T/F fabric availability."/>
  </r>
  <r>
    <x v="118"/>
    <x v="1"/>
    <x v="9"/>
    <x v="4"/>
    <n v="5000"/>
    <n v="1485"/>
    <n v="0"/>
    <n v="0"/>
    <n v="1485"/>
    <n v="22"/>
    <m/>
    <n v="22"/>
    <n v="0"/>
    <n v="1"/>
    <n v="0.29699999999999999"/>
    <n v="1"/>
    <n v="0.29699999999999999"/>
    <s v="Production was affected due to lower T/F fabric availability."/>
  </r>
  <r>
    <x v="119"/>
    <x v="0"/>
    <x v="0"/>
    <x v="0"/>
    <n v="10000"/>
    <n v="7398"/>
    <n v="0"/>
    <n v="0"/>
    <n v="7398"/>
    <n v="22"/>
    <n v="2.5"/>
    <n v="19.5"/>
    <n v="1136.3636363636365"/>
    <n v="0.88636363636363635"/>
    <n v="0.73980000000000001"/>
    <n v="1"/>
    <n v="0.65573181818181814"/>
    <s v="M/C stopped for scheduled maintenance (2.5 hours)"/>
  </r>
  <r>
    <x v="119"/>
    <x v="0"/>
    <x v="11"/>
    <x v="0"/>
    <n v="9583"/>
    <n v="9583"/>
    <n v="0"/>
    <n v="0"/>
    <n v="9583"/>
    <m/>
    <n v="0.5"/>
    <s v=""/>
    <s v=""/>
    <s v=""/>
    <n v="1"/>
    <n v="1"/>
    <s v=""/>
    <s v="M/C stopped for scheduled maintenance  (30min)"/>
  </r>
  <r>
    <x v="119"/>
    <x v="0"/>
    <x v="1"/>
    <x v="1"/>
    <n v="4000"/>
    <n v="4918"/>
    <n v="0"/>
    <n v="0"/>
    <n v="4918"/>
    <n v="22"/>
    <m/>
    <n v="22"/>
    <n v="0"/>
    <n v="1"/>
    <n v="1.2295"/>
    <n v="1"/>
    <n v="1.2295"/>
    <m/>
  </r>
  <r>
    <x v="119"/>
    <x v="0"/>
    <x v="1"/>
    <x v="2"/>
    <n v="5000"/>
    <n v="3066"/>
    <n v="0"/>
    <n v="0"/>
    <n v="3066"/>
    <m/>
    <n v="3.5"/>
    <s v=""/>
    <s v=""/>
    <s v=""/>
    <n v="0.61319999999999997"/>
    <n v="1"/>
    <s v=""/>
    <s v="M/C stopped for scheduled maintenance &amp; low gas pressure (3.5 hrs)"/>
  </r>
  <r>
    <x v="119"/>
    <x v="0"/>
    <x v="2"/>
    <x v="2"/>
    <n v="7000"/>
    <n v="6163"/>
    <n v="0"/>
    <n v="0"/>
    <n v="6163"/>
    <n v="22"/>
    <n v="2.5"/>
    <n v="19.5"/>
    <n v="795.4545454545455"/>
    <n v="0.88636363636363635"/>
    <n v="0.88042857142857145"/>
    <n v="1"/>
    <n v="0.78037987012987009"/>
    <s v="M/C stopped for scheduled maintenance (2.50 hrs) &amp; production was affected due to low gas pressure"/>
  </r>
  <r>
    <x v="119"/>
    <x v="0"/>
    <x v="3"/>
    <x v="3"/>
    <n v="7800"/>
    <n v="5761"/>
    <n v="0"/>
    <n v="0"/>
    <n v="5761"/>
    <n v="22"/>
    <n v="3"/>
    <n v="19"/>
    <n v="1063.6363636363637"/>
    <n v="0.86363636363636365"/>
    <n v="0.73858974358974361"/>
    <n v="1"/>
    <n v="0.63787296037296037"/>
    <s v="M/C Stopped due to the unavailability of Heat Set fabric (3 hrs)"/>
  </r>
  <r>
    <x v="119"/>
    <x v="0"/>
    <x v="10"/>
    <x v="3"/>
    <m/>
    <m/>
    <m/>
    <s v=""/>
    <n v="0"/>
    <m/>
    <m/>
    <s v=""/>
    <s v=""/>
    <s v=""/>
    <s v=""/>
    <s v=""/>
    <s v=""/>
    <m/>
  </r>
  <r>
    <x v="119"/>
    <x v="0"/>
    <x v="4"/>
    <x v="4"/>
    <n v="9000"/>
    <n v="7731"/>
    <n v="0"/>
    <n v="0"/>
    <n v="7731"/>
    <n v="22"/>
    <n v="3.5"/>
    <n v="18.5"/>
    <n v="1431.8181818181818"/>
    <n v="0.84090909090909094"/>
    <n v="0.85899999999999999"/>
    <n v="1"/>
    <n v="0.72234090909090909"/>
    <s v="M/C stopped due to scheduled maintenance, power outage, and earthing box-related issues. (3.50 hrs)"/>
  </r>
  <r>
    <x v="119"/>
    <x v="0"/>
    <x v="5"/>
    <x v="4"/>
    <m/>
    <m/>
    <m/>
    <s v=""/>
    <n v="0"/>
    <m/>
    <m/>
    <s v=""/>
    <s v=""/>
    <s v=""/>
    <s v=""/>
    <s v=""/>
    <s v=""/>
    <m/>
  </r>
  <r>
    <x v="119"/>
    <x v="1"/>
    <x v="6"/>
    <x v="5"/>
    <n v="9000"/>
    <n v="5231"/>
    <n v="0"/>
    <n v="0"/>
    <n v="5231"/>
    <n v="22"/>
    <m/>
    <n v="22"/>
    <n v="0"/>
    <n v="1"/>
    <n v="0.5812222222222222"/>
    <n v="1"/>
    <n v="0.5812222222222222"/>
    <m/>
  </r>
  <r>
    <x v="119"/>
    <x v="1"/>
    <x v="7"/>
    <x v="6"/>
    <n v="8000"/>
    <n v="5080"/>
    <n v="0"/>
    <n v="0"/>
    <n v="5080"/>
    <n v="22"/>
    <n v="6.5"/>
    <n v="15.5"/>
    <n v="2363.6363636363635"/>
    <n v="0.70454545454545459"/>
    <n v="0.63500000000000001"/>
    <n v="1"/>
    <n v="0.44738636363636369"/>
    <s v="M/C stopped for scheduled maintenance &amp;  lower T/F fabric availability.(6.50 hrs)"/>
  </r>
  <r>
    <x v="119"/>
    <x v="1"/>
    <x v="8"/>
    <x v="4"/>
    <n v="6000"/>
    <n v="1987"/>
    <n v="0"/>
    <n v="0"/>
    <n v="1987"/>
    <n v="22"/>
    <n v="4"/>
    <n v="18"/>
    <n v="1090.909090909091"/>
    <n v="0.81818181818181823"/>
    <n v="0.33116666666666666"/>
    <n v="1"/>
    <n v="0.27095454545454545"/>
    <s v="M/C stopped due to a plate room table problem (4 hrs). Production was also affected due to the lower availability of T/F fabric."/>
  </r>
  <r>
    <x v="119"/>
    <x v="1"/>
    <x v="9"/>
    <x v="4"/>
    <n v="5000"/>
    <n v="1846"/>
    <n v="0"/>
    <n v="0"/>
    <n v="1846"/>
    <n v="22"/>
    <m/>
    <n v="22"/>
    <n v="0"/>
    <n v="1"/>
    <n v="0.36919999999999997"/>
    <n v="1"/>
    <n v="0.36919999999999997"/>
    <s v="Production was affected due to lower T/F fabric availability."/>
  </r>
  <r>
    <x v="120"/>
    <x v="0"/>
    <x v="0"/>
    <x v="0"/>
    <n v="10000"/>
    <n v="7666"/>
    <n v="0"/>
    <n v="0"/>
    <n v="7666"/>
    <n v="22"/>
    <m/>
    <n v="22"/>
    <n v="0"/>
    <n v="1"/>
    <n v="0.76659999999999995"/>
    <n v="1"/>
    <n v="0.76659999999999995"/>
    <m/>
  </r>
  <r>
    <x v="120"/>
    <x v="0"/>
    <x v="11"/>
    <x v="0"/>
    <n v="10574"/>
    <n v="10574"/>
    <n v="0"/>
    <n v="0"/>
    <n v="10574"/>
    <m/>
    <m/>
    <s v=""/>
    <s v=""/>
    <s v=""/>
    <n v="1"/>
    <n v="1"/>
    <s v=""/>
    <m/>
  </r>
  <r>
    <x v="120"/>
    <x v="0"/>
    <x v="1"/>
    <x v="1"/>
    <n v="4000"/>
    <n v="5546"/>
    <n v="0"/>
    <n v="0"/>
    <n v="5546"/>
    <n v="22"/>
    <m/>
    <n v="22"/>
    <n v="0"/>
    <n v="1"/>
    <n v="1.3865000000000001"/>
    <n v="1"/>
    <n v="1.3865000000000001"/>
    <m/>
  </r>
  <r>
    <x v="120"/>
    <x v="0"/>
    <x v="1"/>
    <x v="2"/>
    <n v="5000"/>
    <n v="3265"/>
    <n v="0"/>
    <n v="0"/>
    <n v="3265"/>
    <m/>
    <m/>
    <s v=""/>
    <s v=""/>
    <s v=""/>
    <n v="0.65300000000000002"/>
    <n v="1"/>
    <s v=""/>
    <m/>
  </r>
  <r>
    <x v="120"/>
    <x v="0"/>
    <x v="2"/>
    <x v="2"/>
    <n v="7000"/>
    <n v="7432"/>
    <n v="0"/>
    <n v="0"/>
    <n v="7432"/>
    <n v="22"/>
    <m/>
    <n v="22"/>
    <n v="0"/>
    <n v="1"/>
    <n v="1.0617142857142856"/>
    <n v="1"/>
    <n v="1.0617142857142856"/>
    <m/>
  </r>
  <r>
    <x v="120"/>
    <x v="0"/>
    <x v="3"/>
    <x v="3"/>
    <n v="7800"/>
    <n v="6540"/>
    <n v="0"/>
    <n v="0"/>
    <n v="6540"/>
    <n v="22"/>
    <m/>
    <n v="22"/>
    <n v="0"/>
    <n v="1"/>
    <n v="0.83846153846153848"/>
    <n v="1"/>
    <n v="0.83846153846153848"/>
    <m/>
  </r>
  <r>
    <x v="120"/>
    <x v="0"/>
    <x v="10"/>
    <x v="3"/>
    <m/>
    <m/>
    <m/>
    <s v=""/>
    <n v="0"/>
    <m/>
    <m/>
    <s v=""/>
    <s v=""/>
    <s v=""/>
    <s v=""/>
    <s v=""/>
    <s v=""/>
    <m/>
  </r>
  <r>
    <x v="120"/>
    <x v="0"/>
    <x v="4"/>
    <x v="4"/>
    <n v="9000"/>
    <n v="8258"/>
    <n v="0"/>
    <n v="0"/>
    <n v="8258"/>
    <n v="22"/>
    <m/>
    <n v="22"/>
    <n v="0"/>
    <n v="1"/>
    <n v="0.91755555555555557"/>
    <n v="1"/>
    <n v="0.91755555555555557"/>
    <m/>
  </r>
  <r>
    <x v="120"/>
    <x v="0"/>
    <x v="5"/>
    <x v="4"/>
    <m/>
    <m/>
    <m/>
    <s v=""/>
    <n v="0"/>
    <m/>
    <m/>
    <s v=""/>
    <s v=""/>
    <s v=""/>
    <s v=""/>
    <s v=""/>
    <s v=""/>
    <m/>
  </r>
  <r>
    <x v="120"/>
    <x v="1"/>
    <x v="6"/>
    <x v="5"/>
    <n v="9000"/>
    <n v="6952"/>
    <n v="0"/>
    <n v="0"/>
    <n v="6952"/>
    <n v="22"/>
    <m/>
    <n v="22"/>
    <n v="0"/>
    <n v="1"/>
    <n v="0.77244444444444449"/>
    <n v="1"/>
    <n v="0.77244444444444449"/>
    <m/>
  </r>
  <r>
    <x v="120"/>
    <x v="1"/>
    <x v="7"/>
    <x v="6"/>
    <n v="8000"/>
    <n v="5487"/>
    <n v="0"/>
    <n v="0"/>
    <n v="5487"/>
    <n v="22"/>
    <n v="4.5"/>
    <n v="17.5"/>
    <n v="1636.3636363636363"/>
    <n v="0.79545454545454541"/>
    <n v="0.68587500000000001"/>
    <n v="1"/>
    <n v="0.54558238636363632"/>
    <s v="M/C stopped for scheduled net cleaning &amp; unavailability of fabric (4.50 hrs)"/>
  </r>
  <r>
    <x v="120"/>
    <x v="1"/>
    <x v="8"/>
    <x v="4"/>
    <n v="6000"/>
    <n v="4311"/>
    <n v="0"/>
    <n v="0"/>
    <n v="4311"/>
    <n v="22"/>
    <m/>
    <n v="22"/>
    <n v="0"/>
    <n v="1"/>
    <n v="0.71850000000000003"/>
    <n v="1"/>
    <n v="0.71850000000000003"/>
    <m/>
  </r>
  <r>
    <x v="120"/>
    <x v="1"/>
    <x v="9"/>
    <x v="4"/>
    <n v="5000"/>
    <n v="2995"/>
    <n v="0"/>
    <n v="0"/>
    <n v="2995"/>
    <n v="22"/>
    <m/>
    <n v="22"/>
    <n v="0"/>
    <n v="1"/>
    <n v="0.59899999999999998"/>
    <n v="1"/>
    <n v="0.59899999999999998"/>
    <m/>
  </r>
  <r>
    <x v="121"/>
    <x v="0"/>
    <x v="0"/>
    <x v="0"/>
    <n v="10000"/>
    <n v="7477"/>
    <n v="0"/>
    <n v="0"/>
    <n v="7477"/>
    <n v="22"/>
    <m/>
    <n v="22"/>
    <n v="0"/>
    <n v="1"/>
    <n v="0.74770000000000003"/>
    <n v="1"/>
    <n v="0.74770000000000003"/>
    <m/>
  </r>
  <r>
    <x v="121"/>
    <x v="0"/>
    <x v="11"/>
    <x v="0"/>
    <n v="10053"/>
    <n v="10053"/>
    <n v="0"/>
    <n v="0"/>
    <n v="10053"/>
    <m/>
    <m/>
    <s v=""/>
    <s v=""/>
    <s v=""/>
    <n v="1"/>
    <n v="1"/>
    <s v=""/>
    <m/>
  </r>
  <r>
    <x v="121"/>
    <x v="0"/>
    <x v="1"/>
    <x v="1"/>
    <n v="4000"/>
    <n v="4272"/>
    <n v="0"/>
    <n v="0"/>
    <n v="4272"/>
    <n v="22"/>
    <m/>
    <n v="22"/>
    <n v="0"/>
    <n v="1"/>
    <n v="1.0680000000000001"/>
    <n v="1"/>
    <n v="1.0680000000000001"/>
    <m/>
  </r>
  <r>
    <x v="121"/>
    <x v="0"/>
    <x v="1"/>
    <x v="2"/>
    <n v="5000"/>
    <n v="5068"/>
    <n v="0"/>
    <n v="0"/>
    <n v="5068"/>
    <m/>
    <m/>
    <s v=""/>
    <s v=""/>
    <s v=""/>
    <n v="1.0136000000000001"/>
    <n v="1"/>
    <s v=""/>
    <m/>
  </r>
  <r>
    <x v="121"/>
    <x v="0"/>
    <x v="2"/>
    <x v="2"/>
    <n v="7000"/>
    <n v="6315"/>
    <n v="0"/>
    <n v="0"/>
    <n v="6315"/>
    <n v="22"/>
    <m/>
    <n v="22"/>
    <n v="0"/>
    <n v="1"/>
    <n v="0.90214285714285714"/>
    <n v="1"/>
    <n v="0.90214285714285714"/>
    <m/>
  </r>
  <r>
    <x v="121"/>
    <x v="0"/>
    <x v="3"/>
    <x v="3"/>
    <n v="7800"/>
    <n v="6452"/>
    <n v="0"/>
    <n v="0"/>
    <n v="6452"/>
    <n v="22"/>
    <n v="3.5"/>
    <n v="18.5"/>
    <n v="1240.909090909091"/>
    <n v="0.84090909090909094"/>
    <n v="0.82717948717948719"/>
    <n v="1"/>
    <n v="0.69558275058275065"/>
    <s v="M/C Stopped due to the unavailability of Heat Set fabric (3.50 hrs)"/>
  </r>
  <r>
    <x v="121"/>
    <x v="0"/>
    <x v="10"/>
    <x v="3"/>
    <m/>
    <m/>
    <m/>
    <s v=""/>
    <n v="0"/>
    <m/>
    <m/>
    <s v=""/>
    <s v=""/>
    <s v=""/>
    <s v=""/>
    <s v=""/>
    <s v=""/>
    <m/>
  </r>
  <r>
    <x v="121"/>
    <x v="0"/>
    <x v="4"/>
    <x v="4"/>
    <n v="9000"/>
    <n v="7447"/>
    <n v="0"/>
    <n v="0"/>
    <n v="7447"/>
    <n v="22"/>
    <m/>
    <n v="22"/>
    <n v="0"/>
    <n v="1"/>
    <n v="0.82744444444444443"/>
    <n v="1"/>
    <n v="0.82744444444444443"/>
    <m/>
  </r>
  <r>
    <x v="121"/>
    <x v="0"/>
    <x v="5"/>
    <x v="4"/>
    <m/>
    <n v="1610"/>
    <m/>
    <n v="0"/>
    <n v="1610"/>
    <m/>
    <m/>
    <s v=""/>
    <s v=""/>
    <s v=""/>
    <s v=""/>
    <n v="1"/>
    <s v=""/>
    <m/>
  </r>
  <r>
    <x v="121"/>
    <x v="1"/>
    <x v="6"/>
    <x v="5"/>
    <n v="9000"/>
    <n v="6019"/>
    <n v="0"/>
    <n v="0"/>
    <n v="6019"/>
    <n v="22"/>
    <m/>
    <n v="22"/>
    <n v="0"/>
    <n v="1"/>
    <n v="0.6687777777777778"/>
    <n v="1"/>
    <n v="0.6687777777777778"/>
    <m/>
  </r>
  <r>
    <x v="121"/>
    <x v="1"/>
    <x v="7"/>
    <x v="6"/>
    <n v="8000"/>
    <n v="6184"/>
    <n v="0"/>
    <n v="0"/>
    <n v="6184"/>
    <n v="22"/>
    <n v="1.5"/>
    <n v="20.5"/>
    <n v="545.4545454545455"/>
    <n v="0.93181818181818177"/>
    <n v="0.77300000000000002"/>
    <n v="1"/>
    <n v="0.72029545454545452"/>
    <s v="M/C stopped for scheduled net cleaning  (1.50hrs). Production was affected due to low steam pressure"/>
  </r>
  <r>
    <x v="121"/>
    <x v="1"/>
    <x v="8"/>
    <x v="4"/>
    <n v="6000"/>
    <n v="1843"/>
    <n v="0"/>
    <n v="0"/>
    <n v="1843"/>
    <n v="22"/>
    <m/>
    <n v="22"/>
    <n v="0"/>
    <n v="1"/>
    <n v="0.30716666666666664"/>
    <n v="1"/>
    <n v="0.30716666666666664"/>
    <s v=" Production was affected due to low steam pressure"/>
  </r>
  <r>
    <x v="121"/>
    <x v="1"/>
    <x v="9"/>
    <x v="4"/>
    <n v="5000"/>
    <n v="2190"/>
    <n v="0"/>
    <n v="0"/>
    <n v="2190"/>
    <n v="22"/>
    <m/>
    <n v="22"/>
    <n v="0"/>
    <n v="1"/>
    <n v="0.438"/>
    <n v="1"/>
    <n v="0.438"/>
    <s v=" Production was affected due to low steam pressure"/>
  </r>
  <r>
    <x v="122"/>
    <x v="0"/>
    <x v="0"/>
    <x v="0"/>
    <n v="10000"/>
    <n v="7707"/>
    <n v="0"/>
    <n v="0"/>
    <n v="7707"/>
    <n v="22"/>
    <m/>
    <n v="22"/>
    <n v="0"/>
    <n v="1"/>
    <n v="0.77070000000000005"/>
    <n v="1"/>
    <n v="0.77070000000000005"/>
    <m/>
  </r>
  <r>
    <x v="122"/>
    <x v="0"/>
    <x v="11"/>
    <x v="0"/>
    <n v="11007"/>
    <n v="11007"/>
    <n v="0"/>
    <n v="0"/>
    <n v="11007"/>
    <m/>
    <m/>
    <s v=""/>
    <s v=""/>
    <s v=""/>
    <n v="1"/>
    <n v="1"/>
    <s v=""/>
    <m/>
  </r>
  <r>
    <x v="122"/>
    <x v="0"/>
    <x v="1"/>
    <x v="1"/>
    <n v="4000"/>
    <n v="4907"/>
    <n v="0"/>
    <n v="0"/>
    <n v="4907"/>
    <n v="22"/>
    <m/>
    <n v="22"/>
    <n v="0"/>
    <n v="1"/>
    <n v="1.22675"/>
    <n v="1"/>
    <n v="1.22675"/>
    <m/>
  </r>
  <r>
    <x v="122"/>
    <x v="0"/>
    <x v="1"/>
    <x v="2"/>
    <n v="5000"/>
    <n v="4048"/>
    <n v="0"/>
    <n v="0"/>
    <n v="4048"/>
    <m/>
    <m/>
    <s v=""/>
    <s v=""/>
    <s v=""/>
    <n v="0.80959999999999999"/>
    <n v="1"/>
    <s v=""/>
    <m/>
  </r>
  <r>
    <x v="122"/>
    <x v="0"/>
    <x v="2"/>
    <x v="2"/>
    <n v="7000"/>
    <n v="7009"/>
    <n v="0"/>
    <n v="0"/>
    <n v="7009"/>
    <n v="22"/>
    <m/>
    <n v="22"/>
    <n v="0"/>
    <n v="1"/>
    <n v="1.0012857142857143"/>
    <n v="1"/>
    <n v="1.0012857142857143"/>
    <s v=" Production was affected due to low steam pressure because of gas supply crisis"/>
  </r>
  <r>
    <x v="122"/>
    <x v="0"/>
    <x v="3"/>
    <x v="3"/>
    <n v="7800"/>
    <n v="6955"/>
    <n v="0"/>
    <n v="0"/>
    <n v="6955"/>
    <n v="22"/>
    <n v="3.5"/>
    <n v="18.5"/>
    <n v="1240.909090909091"/>
    <n v="0.84090909090909094"/>
    <n v="0.89166666666666672"/>
    <n v="1"/>
    <n v="0.74981060606060612"/>
    <s v="M/C Stopped due to the unavailability of Heat Set fabric (3.50 hrs)"/>
  </r>
  <r>
    <x v="122"/>
    <x v="0"/>
    <x v="10"/>
    <x v="3"/>
    <m/>
    <m/>
    <m/>
    <s v=""/>
    <n v="0"/>
    <m/>
    <m/>
    <s v=""/>
    <s v=""/>
    <s v=""/>
    <s v=""/>
    <s v=""/>
    <s v=""/>
    <m/>
  </r>
  <r>
    <x v="122"/>
    <x v="0"/>
    <x v="4"/>
    <x v="4"/>
    <n v="9000"/>
    <n v="7432"/>
    <n v="0"/>
    <n v="0"/>
    <n v="7432"/>
    <n v="22"/>
    <m/>
    <n v="22"/>
    <n v="0"/>
    <n v="1"/>
    <n v="0.82577777777777783"/>
    <n v="1"/>
    <n v="0.82577777777777783"/>
    <m/>
  </r>
  <r>
    <x v="122"/>
    <x v="0"/>
    <x v="5"/>
    <x v="4"/>
    <m/>
    <n v="1674"/>
    <m/>
    <n v="0"/>
    <n v="1674"/>
    <m/>
    <m/>
    <s v=""/>
    <s v=""/>
    <s v=""/>
    <s v=""/>
    <n v="1"/>
    <s v=""/>
    <m/>
  </r>
  <r>
    <x v="122"/>
    <x v="1"/>
    <x v="6"/>
    <x v="5"/>
    <n v="9000"/>
    <n v="3239"/>
    <n v="0"/>
    <n v="0"/>
    <n v="3239"/>
    <n v="22"/>
    <m/>
    <n v="22"/>
    <n v="0"/>
    <n v="1"/>
    <n v="0.35988888888888887"/>
    <n v="1"/>
    <n v="0.35988888888888887"/>
    <m/>
  </r>
  <r>
    <x v="122"/>
    <x v="1"/>
    <x v="7"/>
    <x v="6"/>
    <n v="8000"/>
    <n v="3771"/>
    <n v="0"/>
    <n v="0"/>
    <n v="3771"/>
    <n v="22"/>
    <n v="1.5"/>
    <n v="20.5"/>
    <n v="545.4545454545455"/>
    <n v="0.93181818181818177"/>
    <n v="0.47137499999999999"/>
    <n v="1"/>
    <n v="0.43923579545454544"/>
    <s v="M/C stopped for scheduled net cleaning  (1.50hrs). Production was affected due to low steam pressure"/>
  </r>
  <r>
    <x v="122"/>
    <x v="1"/>
    <x v="8"/>
    <x v="4"/>
    <n v="6000"/>
    <n v="2758"/>
    <n v="0"/>
    <n v="0"/>
    <n v="2758"/>
    <n v="22"/>
    <m/>
    <n v="22"/>
    <n v="0"/>
    <n v="1"/>
    <n v="0.45966666666666667"/>
    <n v="1"/>
    <n v="0.45966666666666667"/>
    <s v=" Production was affected due to low steam pressure because of gas supply crisis"/>
  </r>
  <r>
    <x v="122"/>
    <x v="1"/>
    <x v="9"/>
    <x v="4"/>
    <n v="5000"/>
    <n v="1880"/>
    <n v="0"/>
    <n v="0"/>
    <n v="1880"/>
    <n v="22"/>
    <m/>
    <n v="22"/>
    <n v="0"/>
    <n v="1"/>
    <n v="0.376"/>
    <n v="1"/>
    <n v="0.376"/>
    <s v=" Production was affected due to low steam pressure because of gas supply crisis"/>
  </r>
  <r>
    <x v="123"/>
    <x v="0"/>
    <x v="0"/>
    <x v="0"/>
    <n v="10000"/>
    <n v="8380"/>
    <n v="0"/>
    <n v="0"/>
    <n v="8380"/>
    <n v="22"/>
    <m/>
    <n v="22"/>
    <n v="0"/>
    <n v="1"/>
    <n v="0.83799999999999997"/>
    <n v="1"/>
    <n v="0.83799999999999997"/>
    <m/>
  </r>
  <r>
    <x v="123"/>
    <x v="0"/>
    <x v="11"/>
    <x v="0"/>
    <n v="11956"/>
    <n v="11956"/>
    <n v="0"/>
    <n v="0"/>
    <n v="11956"/>
    <m/>
    <m/>
    <s v=""/>
    <s v=""/>
    <s v=""/>
    <n v="1"/>
    <n v="1"/>
    <s v=""/>
    <m/>
  </r>
  <r>
    <x v="123"/>
    <x v="0"/>
    <x v="1"/>
    <x v="1"/>
    <n v="4000"/>
    <n v="4891"/>
    <n v="0"/>
    <n v="0"/>
    <n v="4891"/>
    <n v="22"/>
    <m/>
    <n v="22"/>
    <n v="0"/>
    <n v="1"/>
    <n v="1.22275"/>
    <n v="1"/>
    <n v="1.22275"/>
    <m/>
  </r>
  <r>
    <x v="123"/>
    <x v="0"/>
    <x v="1"/>
    <x v="2"/>
    <n v="5000"/>
    <n v="4367"/>
    <n v="0"/>
    <n v="0"/>
    <n v="4367"/>
    <m/>
    <m/>
    <s v=""/>
    <s v=""/>
    <s v=""/>
    <n v="0.87339999999999995"/>
    <n v="1"/>
    <s v=""/>
    <m/>
  </r>
  <r>
    <x v="123"/>
    <x v="0"/>
    <x v="2"/>
    <x v="2"/>
    <n v="7000"/>
    <n v="6775"/>
    <n v="0"/>
    <n v="0"/>
    <n v="6775"/>
    <n v="22"/>
    <m/>
    <n v="22"/>
    <n v="0"/>
    <n v="1"/>
    <n v="0.96785714285714286"/>
    <n v="1"/>
    <n v="0.96785714285714286"/>
    <m/>
  </r>
  <r>
    <x v="123"/>
    <x v="0"/>
    <x v="3"/>
    <x v="3"/>
    <n v="7800"/>
    <n v="5917"/>
    <n v="0"/>
    <n v="0"/>
    <n v="5917"/>
    <n v="22"/>
    <n v="3.5"/>
    <n v="18.5"/>
    <n v="1240.909090909091"/>
    <n v="0.84090909090909094"/>
    <n v="0.75858974358974363"/>
    <n v="1"/>
    <n v="0.63790501165501168"/>
    <s v="M/C Stopped due to the unavailability of Heat Set fabric (3.50 hrs)"/>
  </r>
  <r>
    <x v="123"/>
    <x v="0"/>
    <x v="10"/>
    <x v="3"/>
    <m/>
    <m/>
    <m/>
    <s v=""/>
    <n v="0"/>
    <m/>
    <m/>
    <s v=""/>
    <s v=""/>
    <s v=""/>
    <s v=""/>
    <s v=""/>
    <s v=""/>
    <m/>
  </r>
  <r>
    <x v="123"/>
    <x v="0"/>
    <x v="4"/>
    <x v="4"/>
    <n v="9000"/>
    <n v="8291"/>
    <n v="0"/>
    <n v="0"/>
    <n v="8291"/>
    <n v="22"/>
    <m/>
    <n v="22"/>
    <n v="0"/>
    <n v="1"/>
    <n v="0.92122222222222228"/>
    <n v="1"/>
    <n v="0.92122222222222228"/>
    <m/>
  </r>
  <r>
    <x v="123"/>
    <x v="0"/>
    <x v="5"/>
    <x v="4"/>
    <m/>
    <m/>
    <m/>
    <s v=""/>
    <n v="0"/>
    <m/>
    <m/>
    <s v=""/>
    <s v=""/>
    <s v=""/>
    <s v=""/>
    <s v=""/>
    <s v=""/>
    <m/>
  </r>
  <r>
    <x v="123"/>
    <x v="1"/>
    <x v="6"/>
    <x v="5"/>
    <n v="9000"/>
    <n v="5880"/>
    <n v="0"/>
    <n v="0"/>
    <n v="5880"/>
    <n v="22"/>
    <m/>
    <n v="22"/>
    <n v="0"/>
    <n v="1"/>
    <n v="0.65333333333333332"/>
    <n v="1"/>
    <n v="0.65333333333333332"/>
    <m/>
  </r>
  <r>
    <x v="123"/>
    <x v="1"/>
    <x v="7"/>
    <x v="6"/>
    <n v="8000"/>
    <n v="6598"/>
    <n v="0"/>
    <n v="0"/>
    <n v="6598"/>
    <n v="22"/>
    <n v="1.5"/>
    <n v="20.5"/>
    <n v="545.4545454545455"/>
    <n v="0.93181818181818177"/>
    <n v="0.82474999999999998"/>
    <n v="1"/>
    <n v="0.76851704545454536"/>
    <s v="M/C stopped for scheduled net cleaning  (1.50hrs). Production was affected due to low steam pressure"/>
  </r>
  <r>
    <x v="123"/>
    <x v="1"/>
    <x v="8"/>
    <x v="4"/>
    <n v="6000"/>
    <n v="3196"/>
    <n v="0"/>
    <n v="0"/>
    <n v="3196"/>
    <n v="22"/>
    <m/>
    <n v="22"/>
    <n v="0"/>
    <n v="1"/>
    <n v="0.53266666666666662"/>
    <n v="1"/>
    <n v="0.53266666666666662"/>
    <m/>
  </r>
  <r>
    <x v="123"/>
    <x v="1"/>
    <x v="9"/>
    <x v="4"/>
    <n v="5000"/>
    <n v="1646"/>
    <n v="0"/>
    <n v="0"/>
    <n v="1646"/>
    <n v="22"/>
    <m/>
    <n v="22"/>
    <n v="0"/>
    <n v="1"/>
    <n v="0.32919999999999999"/>
    <n v="1"/>
    <n v="0.32919999999999999"/>
    <m/>
  </r>
  <r>
    <x v="124"/>
    <x v="0"/>
    <x v="0"/>
    <x v="0"/>
    <n v="10000"/>
    <n v="6092"/>
    <n v="0"/>
    <n v="0"/>
    <n v="6092"/>
    <n v="22"/>
    <n v="4.5"/>
    <n v="17.5"/>
    <n v="2045.4545454545455"/>
    <n v="0.79545454545454541"/>
    <n v="0.60919999999999996"/>
    <n v="1"/>
    <n v="0.48459090909090902"/>
    <s v="M/C stopped due to a broken guide roller bearing and a basket-related problem.(4.50 hrs)"/>
  </r>
  <r>
    <x v="124"/>
    <x v="0"/>
    <x v="11"/>
    <x v="0"/>
    <n v="9655"/>
    <n v="9655"/>
    <n v="0"/>
    <n v="0"/>
    <n v="9655"/>
    <m/>
    <m/>
    <s v=""/>
    <s v=""/>
    <s v=""/>
    <n v="1"/>
    <n v="1"/>
    <s v=""/>
    <m/>
  </r>
  <r>
    <x v="124"/>
    <x v="0"/>
    <x v="1"/>
    <x v="1"/>
    <n v="4000"/>
    <n v="2701"/>
    <n v="0"/>
    <n v="0"/>
    <n v="2701"/>
    <n v="22"/>
    <m/>
    <n v="22"/>
    <n v="0"/>
    <n v="1"/>
    <n v="0.67525000000000002"/>
    <n v="1"/>
    <n v="0.67525000000000002"/>
    <m/>
  </r>
  <r>
    <x v="124"/>
    <x v="0"/>
    <x v="1"/>
    <x v="2"/>
    <n v="5000"/>
    <n v="6560"/>
    <n v="0"/>
    <n v="0"/>
    <n v="6560"/>
    <m/>
    <m/>
    <s v=""/>
    <s v=""/>
    <s v=""/>
    <n v="1.3120000000000001"/>
    <n v="1"/>
    <s v=""/>
    <m/>
  </r>
  <r>
    <x v="124"/>
    <x v="0"/>
    <x v="2"/>
    <x v="2"/>
    <n v="7000"/>
    <n v="6549"/>
    <n v="0"/>
    <n v="0"/>
    <n v="6549"/>
    <n v="22"/>
    <n v="2"/>
    <n v="20"/>
    <n v="636.36363636363637"/>
    <n v="0.90909090909090906"/>
    <n v="0.93557142857142861"/>
    <n v="1"/>
    <n v="0.85051948051948056"/>
    <s v="M/C Stopped due to the unavailability of Heat  fabric (2 hrs) &amp; Production was affected due to low gas pressure"/>
  </r>
  <r>
    <x v="124"/>
    <x v="0"/>
    <x v="3"/>
    <x v="3"/>
    <n v="7800"/>
    <n v="3079"/>
    <n v="0"/>
    <n v="0"/>
    <n v="3079"/>
    <n v="22"/>
    <n v="11.5"/>
    <n v="10.5"/>
    <n v="4077.2727272727275"/>
    <n v="0.47727272727272729"/>
    <n v="0.39474358974358975"/>
    <n v="1"/>
    <n v="0.18840034965034966"/>
    <s v="M/C Stopped due to the unavailability of Heat Set fabric (11.50 hrs)"/>
  </r>
  <r>
    <x v="124"/>
    <x v="0"/>
    <x v="10"/>
    <x v="3"/>
    <m/>
    <m/>
    <m/>
    <s v=""/>
    <n v="0"/>
    <m/>
    <m/>
    <s v=""/>
    <s v=""/>
    <s v=""/>
    <s v=""/>
    <s v=""/>
    <s v=""/>
    <m/>
  </r>
  <r>
    <x v="124"/>
    <x v="0"/>
    <x v="4"/>
    <x v="4"/>
    <n v="9000"/>
    <n v="8490"/>
    <n v="0"/>
    <n v="0"/>
    <n v="8490"/>
    <n v="22"/>
    <m/>
    <n v="22"/>
    <n v="0"/>
    <n v="1"/>
    <n v="0.94333333333333336"/>
    <n v="1"/>
    <n v="0.94333333333333336"/>
    <m/>
  </r>
  <r>
    <x v="124"/>
    <x v="0"/>
    <x v="5"/>
    <x v="4"/>
    <m/>
    <n v="1094"/>
    <m/>
    <n v="0"/>
    <n v="1094"/>
    <m/>
    <m/>
    <s v=""/>
    <s v=""/>
    <s v=""/>
    <s v=""/>
    <n v="1"/>
    <s v=""/>
    <m/>
  </r>
  <r>
    <x v="124"/>
    <x v="1"/>
    <x v="6"/>
    <x v="5"/>
    <n v="9000"/>
    <n v="5776"/>
    <n v="0"/>
    <n v="0"/>
    <n v="5776"/>
    <n v="22"/>
    <m/>
    <n v="22"/>
    <n v="0"/>
    <n v="1"/>
    <n v="0.64177777777777778"/>
    <n v="1"/>
    <n v="0.64177777777777778"/>
    <m/>
  </r>
  <r>
    <x v="124"/>
    <x v="1"/>
    <x v="7"/>
    <x v="6"/>
    <n v="8000"/>
    <n v="6773"/>
    <n v="0"/>
    <n v="0"/>
    <n v="6773"/>
    <n v="22"/>
    <n v="1.5"/>
    <n v="20.5"/>
    <n v="545.4545454545455"/>
    <n v="0.93181818181818177"/>
    <n v="0.84662499999999996"/>
    <n v="1"/>
    <n v="0.78890056818181808"/>
    <s v="M/C stopped for scheduled net cleaning  (1.50hrs). Production was affected due to low steam pressure"/>
  </r>
  <r>
    <x v="124"/>
    <x v="1"/>
    <x v="8"/>
    <x v="4"/>
    <n v="6000"/>
    <n v="3699"/>
    <n v="0"/>
    <n v="0"/>
    <n v="3699"/>
    <n v="22"/>
    <m/>
    <n v="22"/>
    <n v="0"/>
    <n v="1"/>
    <n v="0.61650000000000005"/>
    <n v="1"/>
    <n v="0.61650000000000005"/>
    <m/>
  </r>
  <r>
    <x v="124"/>
    <x v="1"/>
    <x v="9"/>
    <x v="4"/>
    <n v="5000"/>
    <n v="3241"/>
    <n v="0"/>
    <n v="0"/>
    <n v="3241"/>
    <n v="22"/>
    <m/>
    <n v="22"/>
    <n v="0"/>
    <n v="1"/>
    <n v="0.6482"/>
    <n v="1"/>
    <n v="0.6482"/>
    <m/>
  </r>
  <r>
    <x v="125"/>
    <x v="0"/>
    <x v="0"/>
    <x v="0"/>
    <n v="10000"/>
    <n v="6657"/>
    <n v="0"/>
    <n v="0"/>
    <n v="6657"/>
    <n v="22"/>
    <n v="4.5"/>
    <n v="17.5"/>
    <n v="2045.4545454545455"/>
    <n v="0.79545454545454541"/>
    <n v="0.66569999999999996"/>
    <n v="1"/>
    <n v="0.52953409090909087"/>
    <s v="M/C was stopped for scheduled maintenance and mini squeezer roller setup (4.50 hrs)"/>
  </r>
  <r>
    <x v="125"/>
    <x v="0"/>
    <x v="11"/>
    <x v="0"/>
    <n v="7844"/>
    <n v="7844"/>
    <n v="0"/>
    <n v="0"/>
    <n v="7844"/>
    <m/>
    <m/>
    <s v=""/>
    <s v=""/>
    <s v=""/>
    <n v="1"/>
    <n v="1"/>
    <s v=""/>
    <m/>
  </r>
  <r>
    <x v="125"/>
    <x v="0"/>
    <x v="1"/>
    <x v="1"/>
    <n v="4000"/>
    <n v="5287"/>
    <n v="0"/>
    <n v="0"/>
    <n v="5287"/>
    <n v="22"/>
    <m/>
    <n v="22"/>
    <n v="0"/>
    <n v="1"/>
    <n v="1.32175"/>
    <n v="1"/>
    <n v="1.32175"/>
    <m/>
  </r>
  <r>
    <x v="125"/>
    <x v="0"/>
    <x v="1"/>
    <x v="2"/>
    <n v="5000"/>
    <n v="2171"/>
    <n v="0"/>
    <n v="0"/>
    <n v="2171"/>
    <m/>
    <n v="3.42"/>
    <s v=""/>
    <s v=""/>
    <s v=""/>
    <n v="0.43419999999999997"/>
    <n v="1"/>
    <s v=""/>
    <s v="M/C was stopped for scheduled maintenance and inverter installation (3.25 hrs)."/>
  </r>
  <r>
    <x v="125"/>
    <x v="0"/>
    <x v="2"/>
    <x v="2"/>
    <n v="7000"/>
    <n v="5476"/>
    <n v="0"/>
    <n v="0"/>
    <n v="5476"/>
    <n v="22"/>
    <n v="5.5"/>
    <n v="16.5"/>
    <n v="1750"/>
    <n v="0.75"/>
    <n v="0.78228571428571425"/>
    <n v="1"/>
    <n v="0.58671428571428574"/>
    <s v="M/C stopped for scheduled maintenance and due to non-availability of fabric (3.50 hrs). A-shift was released at 5 PM."/>
  </r>
  <r>
    <x v="125"/>
    <x v="0"/>
    <x v="3"/>
    <x v="3"/>
    <n v="7800"/>
    <n v="5429"/>
    <n v="0"/>
    <n v="0"/>
    <n v="5429"/>
    <n v="22"/>
    <n v="6"/>
    <n v="16"/>
    <n v="2127.2727272727275"/>
    <n v="0.72727272727272729"/>
    <n v="0.69602564102564102"/>
    <n v="1"/>
    <n v="0.50620046620046621"/>
    <s v="M/C Stopped for the unavailability of Heat Set fabric (6 hrs)"/>
  </r>
  <r>
    <x v="125"/>
    <x v="0"/>
    <x v="10"/>
    <x v="3"/>
    <m/>
    <m/>
    <m/>
    <s v=""/>
    <n v="0"/>
    <m/>
    <m/>
    <s v=""/>
    <s v=""/>
    <s v=""/>
    <s v=""/>
    <s v=""/>
    <s v=""/>
    <m/>
  </r>
  <r>
    <x v="125"/>
    <x v="0"/>
    <x v="4"/>
    <x v="4"/>
    <n v="9000"/>
    <n v="6435"/>
    <n v="0"/>
    <n v="0"/>
    <n v="6435"/>
    <n v="22"/>
    <m/>
    <n v="22"/>
    <n v="0"/>
    <n v="1"/>
    <n v="0.71499999999999997"/>
    <n v="1"/>
    <n v="0.71499999999999997"/>
    <m/>
  </r>
  <r>
    <x v="125"/>
    <x v="0"/>
    <x v="5"/>
    <x v="4"/>
    <m/>
    <m/>
    <m/>
    <s v=""/>
    <n v="0"/>
    <m/>
    <m/>
    <s v=""/>
    <s v=""/>
    <s v=""/>
    <s v=""/>
    <s v=""/>
    <s v=""/>
    <m/>
  </r>
  <r>
    <x v="125"/>
    <x v="1"/>
    <x v="6"/>
    <x v="5"/>
    <n v="9000"/>
    <n v="7729"/>
    <n v="0"/>
    <n v="0"/>
    <n v="7729"/>
    <n v="22"/>
    <n v="2"/>
    <n v="20"/>
    <n v="818.18181818181813"/>
    <n v="0.90909090909090906"/>
    <n v="0.85877777777777775"/>
    <n v="1"/>
    <n v="0.78070707070707068"/>
    <s v="M/C was stopped for scheduled maintenance (2 hrs)."/>
  </r>
  <r>
    <x v="125"/>
    <x v="1"/>
    <x v="7"/>
    <x v="6"/>
    <n v="8000"/>
    <n v="7510"/>
    <n v="0"/>
    <n v="0"/>
    <n v="7510"/>
    <n v="22"/>
    <n v="3.17"/>
    <n v="18.829999999999998"/>
    <n v="1152.7272727272727"/>
    <n v="0.85590909090909084"/>
    <n v="0.93874999999999997"/>
    <n v="1"/>
    <n v="0.80348465909090905"/>
    <s v="M/C stopped for scheduled maintenance and net cleaning (3.10 hrs). Production was affected due to low steam pressure and PDB problem."/>
  </r>
  <r>
    <x v="125"/>
    <x v="1"/>
    <x v="8"/>
    <x v="4"/>
    <n v="6000"/>
    <n v="3092"/>
    <n v="0"/>
    <n v="0"/>
    <n v="3092"/>
    <n v="22"/>
    <m/>
    <n v="22"/>
    <n v="0"/>
    <n v="1"/>
    <n v="0.51533333333333331"/>
    <n v="1"/>
    <n v="0.51533333333333331"/>
    <s v="Production was affected due to lower T/F fabric availability."/>
  </r>
  <r>
    <x v="125"/>
    <x v="1"/>
    <x v="9"/>
    <x v="4"/>
    <n v="5000"/>
    <n v="2822"/>
    <n v="0"/>
    <n v="0"/>
    <n v="2822"/>
    <n v="22"/>
    <m/>
    <n v="22"/>
    <n v="0"/>
    <n v="1"/>
    <n v="0.56440000000000001"/>
    <n v="1"/>
    <n v="0.56440000000000001"/>
    <s v="Production was affected due to lower T/F fabric availability."/>
  </r>
  <r>
    <x v="126"/>
    <x v="0"/>
    <x v="0"/>
    <x v="0"/>
    <n v="10000"/>
    <n v="6862"/>
    <n v="0"/>
    <n v="0"/>
    <n v="6862"/>
    <n v="22"/>
    <n v="1.45"/>
    <n v="20.55"/>
    <n v="659.09090909090912"/>
    <n v="0.93409090909090908"/>
    <n v="0.68620000000000003"/>
    <n v="1"/>
    <n v="0.64097318181818186"/>
    <s v="M/C stopped for water pump and basket auto-camera repair work.(1.45 hrs)"/>
  </r>
  <r>
    <x v="126"/>
    <x v="0"/>
    <x v="11"/>
    <x v="0"/>
    <n v="10308"/>
    <n v="10308"/>
    <n v="0"/>
    <n v="0"/>
    <n v="10308"/>
    <m/>
    <m/>
    <s v=""/>
    <s v=""/>
    <s v=""/>
    <n v="1"/>
    <n v="1"/>
    <s v=""/>
    <m/>
  </r>
  <r>
    <x v="126"/>
    <x v="0"/>
    <x v="1"/>
    <x v="1"/>
    <n v="4000"/>
    <n v="5501"/>
    <n v="0"/>
    <n v="0"/>
    <n v="5501"/>
    <n v="22"/>
    <m/>
    <n v="22"/>
    <n v="0"/>
    <n v="1"/>
    <n v="1.3752500000000001"/>
    <n v="1"/>
    <n v="1.3752500000000001"/>
    <m/>
  </r>
  <r>
    <x v="126"/>
    <x v="0"/>
    <x v="1"/>
    <x v="2"/>
    <n v="5000"/>
    <n v="3074"/>
    <n v="0"/>
    <n v="0"/>
    <n v="3074"/>
    <m/>
    <m/>
    <s v=""/>
    <s v=""/>
    <s v=""/>
    <n v="0.61480000000000001"/>
    <n v="1"/>
    <s v=""/>
    <m/>
  </r>
  <r>
    <x v="126"/>
    <x v="0"/>
    <x v="2"/>
    <x v="2"/>
    <n v="7000"/>
    <n v="6619"/>
    <n v="0"/>
    <n v="0"/>
    <n v="6619"/>
    <n v="22"/>
    <n v="1"/>
    <n v="21"/>
    <n v="318.18181818181819"/>
    <n v="0.95454545454545459"/>
    <n v="0.94557142857142862"/>
    <n v="1"/>
    <n v="0.90259090909090922"/>
    <s v="M/C stopped for unavailability  fabric for (1 hr).  Production was affected due to low gas pressure"/>
  </r>
  <r>
    <x v="126"/>
    <x v="0"/>
    <x v="3"/>
    <x v="3"/>
    <n v="7800"/>
    <n v="4895"/>
    <n v="0"/>
    <n v="0"/>
    <n v="4895"/>
    <n v="22"/>
    <n v="6"/>
    <n v="16"/>
    <n v="2127.2727272727275"/>
    <n v="0.72727272727272729"/>
    <n v="0.62756410256410255"/>
    <n v="1"/>
    <n v="0.4564102564102564"/>
    <s v="M/C stopped for the unavailability of Heat Set fabric (6 hrs)"/>
  </r>
  <r>
    <x v="126"/>
    <x v="0"/>
    <x v="10"/>
    <x v="3"/>
    <m/>
    <m/>
    <m/>
    <s v=""/>
    <n v="0"/>
    <m/>
    <m/>
    <s v=""/>
    <s v=""/>
    <s v=""/>
    <s v=""/>
    <s v=""/>
    <s v=""/>
    <m/>
  </r>
  <r>
    <x v="126"/>
    <x v="0"/>
    <x v="4"/>
    <x v="4"/>
    <n v="9000"/>
    <n v="7506"/>
    <n v="0"/>
    <n v="0"/>
    <n v="7506"/>
    <n v="22"/>
    <n v="1"/>
    <n v="21"/>
    <n v="409.09090909090907"/>
    <n v="0.95454545454545459"/>
    <n v="0.83399999999999996"/>
    <n v="1"/>
    <n v="0.79609090909090907"/>
    <s v="M/C stopped for unavailability of stenter fabric for compacting. (1 hr)"/>
  </r>
  <r>
    <x v="126"/>
    <x v="0"/>
    <x v="5"/>
    <x v="4"/>
    <m/>
    <m/>
    <m/>
    <s v=""/>
    <n v="0"/>
    <m/>
    <m/>
    <s v=""/>
    <s v=""/>
    <s v=""/>
    <s v=""/>
    <s v=""/>
    <s v=""/>
    <m/>
  </r>
  <r>
    <x v="126"/>
    <x v="1"/>
    <x v="6"/>
    <x v="5"/>
    <n v="9000"/>
    <n v="6654"/>
    <n v="0"/>
    <n v="0"/>
    <n v="6654"/>
    <n v="22"/>
    <m/>
    <n v="22"/>
    <n v="0"/>
    <n v="1"/>
    <n v="0.73933333333333329"/>
    <n v="1"/>
    <n v="0.73933333333333329"/>
    <m/>
  </r>
  <r>
    <x v="126"/>
    <x v="1"/>
    <x v="7"/>
    <x v="6"/>
    <n v="8000"/>
    <n v="6496"/>
    <n v="0"/>
    <n v="0"/>
    <n v="6496"/>
    <n v="22"/>
    <n v="1.5"/>
    <n v="20.5"/>
    <n v="545.4545454545455"/>
    <n v="0.93181818181818177"/>
    <n v="0.81200000000000006"/>
    <n v="1"/>
    <n v="0.75663636363636366"/>
    <s v="M/C stopped for scheduled  net cleaning (1.50 hrs). Production was affected due to low steam pressure."/>
  </r>
  <r>
    <x v="126"/>
    <x v="1"/>
    <x v="8"/>
    <x v="4"/>
    <n v="6000"/>
    <n v="2890"/>
    <n v="0"/>
    <n v="0"/>
    <n v="2890"/>
    <n v="22"/>
    <m/>
    <n v="22"/>
    <n v="0"/>
    <n v="1"/>
    <n v="0.48166666666666669"/>
    <n v="1"/>
    <n v="0.48166666666666669"/>
    <m/>
  </r>
  <r>
    <x v="126"/>
    <x v="1"/>
    <x v="9"/>
    <x v="4"/>
    <n v="5000"/>
    <n v="2503"/>
    <n v="0"/>
    <n v="0"/>
    <n v="2503"/>
    <n v="22"/>
    <m/>
    <n v="22"/>
    <n v="0"/>
    <n v="1"/>
    <n v="0.50060000000000004"/>
    <n v="1"/>
    <n v="0.50060000000000004"/>
    <m/>
  </r>
  <r>
    <x v="127"/>
    <x v="0"/>
    <x v="0"/>
    <x v="0"/>
    <n v="10000"/>
    <n v="7849"/>
    <n v="0"/>
    <n v="0"/>
    <n v="7849"/>
    <n v="22"/>
    <m/>
    <n v="22"/>
    <n v="0"/>
    <n v="1"/>
    <n v="0.78490000000000004"/>
    <n v="1"/>
    <n v="0.78490000000000004"/>
    <m/>
  </r>
  <r>
    <x v="127"/>
    <x v="0"/>
    <x v="11"/>
    <x v="0"/>
    <n v="10157"/>
    <n v="10157"/>
    <n v="0"/>
    <n v="0"/>
    <n v="10157"/>
    <m/>
    <m/>
    <s v=""/>
    <s v=""/>
    <s v=""/>
    <n v="1"/>
    <n v="1"/>
    <s v=""/>
    <m/>
  </r>
  <r>
    <x v="127"/>
    <x v="0"/>
    <x v="1"/>
    <x v="1"/>
    <n v="4000"/>
    <n v="5331"/>
    <n v="0"/>
    <n v="0"/>
    <n v="5331"/>
    <n v="22"/>
    <m/>
    <n v="22"/>
    <n v="0"/>
    <n v="1"/>
    <n v="1.3327500000000001"/>
    <n v="1"/>
    <n v="1.3327500000000001"/>
    <m/>
  </r>
  <r>
    <x v="127"/>
    <x v="0"/>
    <x v="1"/>
    <x v="2"/>
    <n v="5000"/>
    <n v="3192"/>
    <n v="0"/>
    <n v="0"/>
    <n v="3192"/>
    <m/>
    <m/>
    <s v=""/>
    <s v=""/>
    <s v=""/>
    <n v="0.63839999999999997"/>
    <n v="1"/>
    <s v=""/>
    <m/>
  </r>
  <r>
    <x v="127"/>
    <x v="0"/>
    <x v="2"/>
    <x v="2"/>
    <n v="7000"/>
    <n v="7351"/>
    <n v="0"/>
    <n v="0"/>
    <n v="7351"/>
    <n v="22"/>
    <m/>
    <n v="22"/>
    <n v="0"/>
    <n v="1"/>
    <n v="1.050142857142857"/>
    <n v="1"/>
    <n v="1.050142857142857"/>
    <m/>
  </r>
  <r>
    <x v="127"/>
    <x v="0"/>
    <x v="3"/>
    <x v="3"/>
    <n v="7800"/>
    <n v="6618"/>
    <n v="0"/>
    <n v="0"/>
    <n v="6618"/>
    <n v="22"/>
    <n v="5"/>
    <n v="17"/>
    <n v="1772.7272727272727"/>
    <n v="0.77272727272727271"/>
    <n v="0.84846153846153849"/>
    <n v="1"/>
    <n v="0.65562937062937066"/>
    <s v="M/C stopped for the unavailability of Heat Set fabric (5 hrs)"/>
  </r>
  <r>
    <x v="127"/>
    <x v="0"/>
    <x v="10"/>
    <x v="3"/>
    <m/>
    <m/>
    <m/>
    <s v=""/>
    <n v="0"/>
    <m/>
    <m/>
    <s v=""/>
    <s v=""/>
    <s v=""/>
    <s v=""/>
    <s v=""/>
    <s v=""/>
    <m/>
  </r>
  <r>
    <x v="127"/>
    <x v="0"/>
    <x v="4"/>
    <x v="4"/>
    <n v="9000"/>
    <n v="8156"/>
    <n v="0"/>
    <n v="0"/>
    <n v="8156"/>
    <n v="22"/>
    <m/>
    <n v="22"/>
    <n v="0"/>
    <n v="1"/>
    <n v="0.90622222222222226"/>
    <n v="1"/>
    <n v="0.90622222222222226"/>
    <m/>
  </r>
  <r>
    <x v="127"/>
    <x v="0"/>
    <x v="5"/>
    <x v="4"/>
    <m/>
    <m/>
    <m/>
    <s v=""/>
    <n v="0"/>
    <m/>
    <m/>
    <s v=""/>
    <s v=""/>
    <s v=""/>
    <s v=""/>
    <s v=""/>
    <s v=""/>
    <m/>
  </r>
  <r>
    <x v="127"/>
    <x v="1"/>
    <x v="6"/>
    <x v="5"/>
    <n v="9000"/>
    <n v="7611"/>
    <n v="0"/>
    <n v="0"/>
    <n v="7611"/>
    <n v="22"/>
    <m/>
    <n v="22"/>
    <n v="0"/>
    <n v="1"/>
    <n v="0.84566666666666668"/>
    <n v="1"/>
    <n v="0.84566666666666668"/>
    <m/>
  </r>
  <r>
    <x v="127"/>
    <x v="1"/>
    <x v="7"/>
    <x v="6"/>
    <n v="8000"/>
    <n v="7576"/>
    <n v="0"/>
    <n v="0"/>
    <n v="7576"/>
    <n v="22"/>
    <n v="1.5"/>
    <n v="20.5"/>
    <n v="545.4545454545455"/>
    <n v="0.93181818181818177"/>
    <n v="0.94699999999999995"/>
    <n v="1"/>
    <n v="0.88243181818181804"/>
    <s v="M/C stopped for scheduled  net cleaning (1.50 hrs). Production was affected due to low steam pressure."/>
  </r>
  <r>
    <x v="127"/>
    <x v="1"/>
    <x v="8"/>
    <x v="4"/>
    <n v="6000"/>
    <n v="3686"/>
    <n v="0"/>
    <n v="0"/>
    <n v="3686"/>
    <n v="22"/>
    <m/>
    <n v="22"/>
    <n v="0"/>
    <n v="1"/>
    <n v="0.61433333333333329"/>
    <n v="1"/>
    <n v="0.61433333333333329"/>
    <m/>
  </r>
  <r>
    <x v="127"/>
    <x v="1"/>
    <x v="9"/>
    <x v="4"/>
    <n v="5000"/>
    <n v="3765"/>
    <n v="0"/>
    <n v="0"/>
    <n v="3765"/>
    <n v="22"/>
    <m/>
    <n v="22"/>
    <n v="0"/>
    <n v="1"/>
    <n v="0.753"/>
    <n v="1"/>
    <n v="0.753"/>
    <m/>
  </r>
  <r>
    <x v="128"/>
    <x v="0"/>
    <x v="0"/>
    <x v="0"/>
    <n v="10000"/>
    <n v="7556"/>
    <n v="0"/>
    <n v="0"/>
    <n v="7556"/>
    <n v="22"/>
    <n v="1"/>
    <n v="21"/>
    <n v="454.54545454545456"/>
    <n v="0.95454545454545459"/>
    <n v="0.75560000000000005"/>
    <n v="1"/>
    <n v="0.72125454545454548"/>
    <s v="M/C stopped due to basket belt breakage (1 hr)"/>
  </r>
  <r>
    <x v="128"/>
    <x v="0"/>
    <x v="11"/>
    <x v="0"/>
    <n v="9636"/>
    <n v="9636"/>
    <n v="0"/>
    <n v="0"/>
    <n v="9636"/>
    <m/>
    <m/>
    <s v=""/>
    <s v=""/>
    <s v=""/>
    <n v="1"/>
    <n v="1"/>
    <s v=""/>
    <m/>
  </r>
  <r>
    <x v="128"/>
    <x v="0"/>
    <x v="1"/>
    <x v="1"/>
    <n v="4000"/>
    <n v="6205"/>
    <n v="0"/>
    <n v="0"/>
    <n v="6205"/>
    <n v="22"/>
    <m/>
    <n v="22"/>
    <n v="0"/>
    <n v="1"/>
    <n v="1.55125"/>
    <n v="1"/>
    <n v="1.55125"/>
    <m/>
  </r>
  <r>
    <x v="128"/>
    <x v="0"/>
    <x v="1"/>
    <x v="2"/>
    <n v="5000"/>
    <n v="2001"/>
    <n v="0"/>
    <n v="0"/>
    <n v="2001"/>
    <m/>
    <n v="0.5"/>
    <s v=""/>
    <s v=""/>
    <s v=""/>
    <n v="0.4002"/>
    <n v="1"/>
    <s v=""/>
    <s v="M/C stopped due to low compressor air pressure  (30 min)"/>
  </r>
  <r>
    <x v="128"/>
    <x v="0"/>
    <x v="2"/>
    <x v="2"/>
    <n v="7000"/>
    <n v="7318"/>
    <n v="0"/>
    <n v="0"/>
    <n v="7318"/>
    <n v="22"/>
    <m/>
    <n v="22"/>
    <n v="0"/>
    <n v="1"/>
    <n v="1.0454285714285714"/>
    <n v="1"/>
    <n v="1.0454285714285714"/>
    <m/>
  </r>
  <r>
    <x v="128"/>
    <x v="0"/>
    <x v="3"/>
    <x v="3"/>
    <n v="7800"/>
    <n v="6820"/>
    <n v="0"/>
    <n v="0"/>
    <n v="6820"/>
    <n v="22"/>
    <n v="5"/>
    <n v="17"/>
    <n v="1772.7272727272727"/>
    <n v="0.77272727272727271"/>
    <n v="0.87435897435897436"/>
    <n v="1"/>
    <n v="0.67564102564102557"/>
    <s v="M/C stopped for the unavailability of Heat Set fabric (5 hrs)"/>
  </r>
  <r>
    <x v="128"/>
    <x v="0"/>
    <x v="10"/>
    <x v="3"/>
    <m/>
    <m/>
    <m/>
    <s v=""/>
    <n v="0"/>
    <m/>
    <m/>
    <s v=""/>
    <s v=""/>
    <s v=""/>
    <s v=""/>
    <s v=""/>
    <s v=""/>
    <m/>
  </r>
  <r>
    <x v="128"/>
    <x v="0"/>
    <x v="4"/>
    <x v="4"/>
    <n v="9000"/>
    <n v="7445"/>
    <n v="0"/>
    <n v="0"/>
    <n v="7445"/>
    <n v="22"/>
    <m/>
    <n v="22"/>
    <n v="0"/>
    <n v="1"/>
    <n v="0.82722222222222219"/>
    <n v="1"/>
    <n v="0.82722222222222219"/>
    <m/>
  </r>
  <r>
    <x v="128"/>
    <x v="0"/>
    <x v="5"/>
    <x v="4"/>
    <m/>
    <m/>
    <m/>
    <s v=""/>
    <n v="0"/>
    <m/>
    <m/>
    <s v=""/>
    <s v=""/>
    <s v=""/>
    <s v=""/>
    <s v=""/>
    <s v=""/>
    <m/>
  </r>
  <r>
    <x v="128"/>
    <x v="1"/>
    <x v="6"/>
    <x v="5"/>
    <n v="9000"/>
    <n v="5992"/>
    <n v="0"/>
    <n v="0"/>
    <n v="5992"/>
    <n v="22"/>
    <m/>
    <n v="22"/>
    <n v="0"/>
    <n v="1"/>
    <n v="0.6657777777777778"/>
    <n v="1"/>
    <n v="0.6657777777777778"/>
    <m/>
  </r>
  <r>
    <x v="128"/>
    <x v="1"/>
    <x v="7"/>
    <x v="6"/>
    <n v="8000"/>
    <n v="6129"/>
    <n v="0"/>
    <n v="0"/>
    <n v="6129"/>
    <n v="22"/>
    <n v="1.5"/>
    <n v="20.5"/>
    <n v="545.4545454545455"/>
    <n v="0.93181818181818177"/>
    <n v="0.76612499999999994"/>
    <n v="1"/>
    <n v="0.71388920454545446"/>
    <s v="M/C stopped for scheduled  net cleaning (1.30 hrs). Production was affected due to low steam pressure."/>
  </r>
  <r>
    <x v="128"/>
    <x v="1"/>
    <x v="8"/>
    <x v="4"/>
    <n v="6000"/>
    <n v="1738"/>
    <n v="0"/>
    <n v="0"/>
    <n v="1738"/>
    <n v="22"/>
    <n v="5.5"/>
    <n v="16.5"/>
    <n v="1500"/>
    <n v="0.75"/>
    <n v="0.28966666666666668"/>
    <n v="1"/>
    <n v="0.21725"/>
    <s v="M/C stopped for the lower T/F fabric availability (5.5 hrs)"/>
  </r>
  <r>
    <x v="128"/>
    <x v="1"/>
    <x v="9"/>
    <x v="4"/>
    <n v="5000"/>
    <n v="2044"/>
    <n v="0"/>
    <n v="0"/>
    <n v="2044"/>
    <n v="22"/>
    <n v="3"/>
    <n v="19"/>
    <n v="681.81818181818187"/>
    <n v="0.86363636363636365"/>
    <n v="0.4088"/>
    <n v="1"/>
    <n v="0.35305454545454545"/>
    <s v="M/C stopped for the lower T/F fabric availability (3 hrs)"/>
  </r>
  <r>
    <x v="129"/>
    <x v="0"/>
    <x v="0"/>
    <x v="0"/>
    <n v="10000"/>
    <n v="6854"/>
    <n v="0"/>
    <n v="0"/>
    <n v="6854"/>
    <n v="22"/>
    <m/>
    <n v="22"/>
    <n v="0"/>
    <n v="1"/>
    <n v="0.68540000000000001"/>
    <n v="1"/>
    <n v="0.68540000000000001"/>
    <m/>
  </r>
  <r>
    <x v="129"/>
    <x v="0"/>
    <x v="11"/>
    <x v="0"/>
    <n v="8054"/>
    <n v="8054"/>
    <n v="0"/>
    <n v="0"/>
    <n v="8054"/>
    <m/>
    <m/>
    <s v=""/>
    <s v=""/>
    <s v=""/>
    <n v="1"/>
    <n v="1"/>
    <s v=""/>
    <m/>
  </r>
  <r>
    <x v="129"/>
    <x v="0"/>
    <x v="1"/>
    <x v="1"/>
    <n v="4000"/>
    <n v="4147"/>
    <n v="0"/>
    <n v="0"/>
    <n v="4147"/>
    <n v="22"/>
    <m/>
    <n v="22"/>
    <n v="0"/>
    <n v="1"/>
    <n v="1.0367500000000001"/>
    <n v="1"/>
    <n v="1.0367500000000001"/>
    <m/>
  </r>
  <r>
    <x v="129"/>
    <x v="0"/>
    <x v="1"/>
    <x v="2"/>
    <n v="5000"/>
    <n v="4872"/>
    <n v="0"/>
    <n v="0"/>
    <n v="4872"/>
    <m/>
    <n v="0.5"/>
    <s v=""/>
    <s v=""/>
    <s v=""/>
    <n v="0.97440000000000004"/>
    <n v="1"/>
    <s v=""/>
    <s v="M/C stopped for low compressor air pressure  (30 min)"/>
  </r>
  <r>
    <x v="129"/>
    <x v="0"/>
    <x v="2"/>
    <x v="2"/>
    <n v="7000"/>
    <n v="4099"/>
    <n v="0"/>
    <n v="0"/>
    <n v="4099"/>
    <n v="22"/>
    <n v="9"/>
    <n v="13"/>
    <n v="2863.6363636363635"/>
    <n v="0.59090909090909094"/>
    <n v="0.58557142857142852"/>
    <n v="1"/>
    <n v="0.3460194805194805"/>
    <s v=" M/C stopped for spandex roller belt being torn and a problem with the Overfeed Roller Gear Box (8 hrs). M/C stopped for low compressor air pressure  (1 hr)"/>
  </r>
  <r>
    <x v="129"/>
    <x v="0"/>
    <x v="3"/>
    <x v="3"/>
    <n v="7800"/>
    <n v="5565"/>
    <n v="0"/>
    <n v="0"/>
    <n v="5565"/>
    <n v="22"/>
    <n v="6"/>
    <n v="16"/>
    <n v="2127.2727272727275"/>
    <n v="0.72727272727272729"/>
    <n v="0.71346153846153848"/>
    <n v="1"/>
    <n v="0.51888111888111887"/>
    <s v="M/C stopped for the unavailability of Heat Set fabric (6 hrs)"/>
  </r>
  <r>
    <x v="129"/>
    <x v="0"/>
    <x v="10"/>
    <x v="3"/>
    <m/>
    <m/>
    <m/>
    <s v=""/>
    <n v="0"/>
    <m/>
    <m/>
    <s v=""/>
    <s v=""/>
    <s v=""/>
    <s v=""/>
    <s v=""/>
    <s v=""/>
    <m/>
  </r>
  <r>
    <x v="129"/>
    <x v="0"/>
    <x v="4"/>
    <x v="4"/>
    <n v="9000"/>
    <n v="7630"/>
    <n v="0"/>
    <n v="0"/>
    <n v="7630"/>
    <n v="22"/>
    <m/>
    <n v="22"/>
    <n v="0"/>
    <n v="1"/>
    <n v="0.84777777777777774"/>
    <n v="1"/>
    <n v="0.84777777777777774"/>
    <m/>
  </r>
  <r>
    <x v="129"/>
    <x v="0"/>
    <x v="5"/>
    <x v="4"/>
    <m/>
    <m/>
    <m/>
    <s v=""/>
    <n v="0"/>
    <m/>
    <m/>
    <s v=""/>
    <s v=""/>
    <s v=""/>
    <s v=""/>
    <s v=""/>
    <s v=""/>
    <m/>
  </r>
  <r>
    <x v="129"/>
    <x v="1"/>
    <x v="6"/>
    <x v="5"/>
    <n v="9000"/>
    <n v="7116"/>
    <n v="0"/>
    <n v="0"/>
    <n v="7116"/>
    <n v="22"/>
    <m/>
    <n v="22"/>
    <n v="0"/>
    <n v="1"/>
    <n v="0.79066666666666663"/>
    <n v="1"/>
    <n v="0.79066666666666663"/>
    <m/>
  </r>
  <r>
    <x v="129"/>
    <x v="1"/>
    <x v="7"/>
    <x v="6"/>
    <n v="8000"/>
    <n v="6067"/>
    <n v="0"/>
    <n v="0"/>
    <n v="6067"/>
    <n v="22"/>
    <n v="3.05"/>
    <n v="18.95"/>
    <n v="1109.090909090909"/>
    <n v="0.86136363636363633"/>
    <n v="0.75837500000000002"/>
    <n v="1"/>
    <n v="0.65323664772727275"/>
    <s v="M/C stopped for scheduled  net cleaning &amp; lower T/F fabric availability  (3.05 hrs). Production was affected due to low steam pressure."/>
  </r>
  <r>
    <x v="129"/>
    <x v="1"/>
    <x v="8"/>
    <x v="4"/>
    <n v="6000"/>
    <n v="3205"/>
    <n v="0"/>
    <n v="0"/>
    <n v="3205"/>
    <n v="22"/>
    <n v="5.5"/>
    <n v="16.5"/>
    <n v="1500"/>
    <n v="0.75"/>
    <n v="0.53416666666666668"/>
    <n v="1"/>
    <n v="0.40062500000000001"/>
    <s v="M/C stopped for the lower T/F fabric availability (5.5 hrs)"/>
  </r>
  <r>
    <x v="129"/>
    <x v="1"/>
    <x v="9"/>
    <x v="4"/>
    <n v="5000"/>
    <n v="4066"/>
    <n v="0"/>
    <n v="0"/>
    <n v="4066"/>
    <n v="22"/>
    <n v="3"/>
    <n v="19"/>
    <n v="681.81818181818187"/>
    <n v="0.86363636363636365"/>
    <n v="0.81320000000000003"/>
    <n v="1"/>
    <n v="0.70230909090909099"/>
    <s v="M/C stopped for the lower T/F fabric availability (3 hrs)"/>
  </r>
  <r>
    <x v="130"/>
    <x v="0"/>
    <x v="0"/>
    <x v="0"/>
    <n v="13000"/>
    <n v="11295"/>
    <n v="0"/>
    <n v="0"/>
    <n v="11295"/>
    <n v="22"/>
    <n v="1.2"/>
    <n v="20.8"/>
    <n v="709.09090909090901"/>
    <n v="0.94545454545454544"/>
    <n v="0.86884615384615382"/>
    <n v="1"/>
    <n v="0.82145454545454544"/>
    <s v="M/C  stopped for the basket belt being torn. (1.20 hrs)"/>
  </r>
  <r>
    <x v="130"/>
    <x v="0"/>
    <x v="11"/>
    <x v="0"/>
    <n v="10687"/>
    <n v="10687"/>
    <n v="0"/>
    <n v="0"/>
    <n v="10687"/>
    <m/>
    <m/>
    <s v=""/>
    <s v=""/>
    <s v=""/>
    <n v="1"/>
    <n v="1"/>
    <s v=""/>
    <m/>
  </r>
  <r>
    <x v="130"/>
    <x v="0"/>
    <x v="1"/>
    <x v="1"/>
    <n v="10000"/>
    <n v="6583"/>
    <n v="0"/>
    <n v="0"/>
    <n v="6583"/>
    <n v="22"/>
    <m/>
    <n v="22"/>
    <n v="0"/>
    <n v="1"/>
    <n v="0.6583"/>
    <n v="1"/>
    <n v="0.6583"/>
    <m/>
  </r>
  <r>
    <x v="130"/>
    <x v="0"/>
    <x v="1"/>
    <x v="2"/>
    <n v="5000"/>
    <n v="7608"/>
    <n v="0"/>
    <n v="0"/>
    <n v="7608"/>
    <m/>
    <m/>
    <s v=""/>
    <s v=""/>
    <s v=""/>
    <n v="1.5216000000000001"/>
    <n v="1"/>
    <s v=""/>
    <m/>
  </r>
  <r>
    <x v="130"/>
    <x v="0"/>
    <x v="2"/>
    <x v="2"/>
    <n v="9500"/>
    <n v="8427"/>
    <n v="0"/>
    <n v="0"/>
    <n v="8427"/>
    <n v="22"/>
    <n v="6.5"/>
    <n v="15.5"/>
    <n v="2806.818181818182"/>
    <n v="0.70454545454545459"/>
    <n v="0.88705263157894731"/>
    <n v="1"/>
    <n v="0.62496889952153112"/>
    <s v="M/C stopped for overfeed roller gearbox problem and uncoiler roller motor problem. (6.50 hrs)"/>
  </r>
  <r>
    <x v="130"/>
    <x v="0"/>
    <x v="3"/>
    <x v="3"/>
    <n v="11700"/>
    <n v="6270"/>
    <n v="0"/>
    <n v="0"/>
    <n v="6270"/>
    <n v="22"/>
    <m/>
    <n v="22"/>
    <n v="0"/>
    <n v="1"/>
    <n v="0.53589743589743588"/>
    <n v="1"/>
    <n v="0.53589743589743588"/>
    <m/>
  </r>
  <r>
    <x v="130"/>
    <x v="0"/>
    <x v="10"/>
    <x v="3"/>
    <m/>
    <m/>
    <m/>
    <s v=""/>
    <n v="0"/>
    <m/>
    <m/>
    <s v=""/>
    <s v=""/>
    <s v=""/>
    <s v=""/>
    <s v=""/>
    <s v=""/>
    <m/>
  </r>
  <r>
    <x v="130"/>
    <x v="0"/>
    <x v="4"/>
    <x v="4"/>
    <n v="13500"/>
    <n v="10587"/>
    <n v="0"/>
    <n v="0"/>
    <n v="10587"/>
    <n v="22"/>
    <m/>
    <n v="22"/>
    <n v="0"/>
    <n v="1"/>
    <n v="0.78422222222222226"/>
    <n v="1"/>
    <n v="0.78422222222222226"/>
    <m/>
  </r>
  <r>
    <x v="130"/>
    <x v="0"/>
    <x v="5"/>
    <x v="4"/>
    <m/>
    <m/>
    <m/>
    <s v=""/>
    <n v="0"/>
    <m/>
    <m/>
    <s v=""/>
    <s v=""/>
    <s v=""/>
    <s v=""/>
    <s v=""/>
    <s v=""/>
    <m/>
  </r>
  <r>
    <x v="130"/>
    <x v="1"/>
    <x v="6"/>
    <x v="5"/>
    <n v="13500"/>
    <n v="11403"/>
    <n v="0"/>
    <n v="0"/>
    <n v="11403"/>
    <n v="22"/>
    <m/>
    <n v="22"/>
    <n v="0"/>
    <n v="1"/>
    <n v="0.84466666666666668"/>
    <n v="1"/>
    <n v="0.84466666666666668"/>
    <m/>
  </r>
  <r>
    <x v="130"/>
    <x v="1"/>
    <x v="7"/>
    <x v="6"/>
    <n v="12000"/>
    <n v="10474"/>
    <n v="0"/>
    <n v="0"/>
    <n v="10474"/>
    <n v="22"/>
    <n v="1.5"/>
    <n v="20.5"/>
    <n v="818.18181818181824"/>
    <n v="0.93181818181818177"/>
    <n v="0.87283333333333335"/>
    <n v="1"/>
    <n v="0.81332196969696968"/>
    <s v="M/C stopped for scheduled  net cleaning (1.50 hrs)."/>
  </r>
  <r>
    <x v="130"/>
    <x v="1"/>
    <x v="8"/>
    <x v="4"/>
    <n v="9000"/>
    <n v="4313"/>
    <n v="0"/>
    <n v="0"/>
    <n v="4313"/>
    <n v="22"/>
    <m/>
    <n v="22"/>
    <n v="0"/>
    <n v="1"/>
    <n v="0.47922222222222222"/>
    <n v="1"/>
    <n v="0.47922222222222222"/>
    <m/>
  </r>
  <r>
    <x v="130"/>
    <x v="1"/>
    <x v="9"/>
    <x v="4"/>
    <n v="7500"/>
    <n v="3564"/>
    <n v="0"/>
    <n v="0"/>
    <n v="3564"/>
    <n v="22"/>
    <m/>
    <n v="22"/>
    <n v="0"/>
    <n v="1"/>
    <n v="0.47520000000000001"/>
    <n v="1"/>
    <n v="0.47520000000000001"/>
    <m/>
  </r>
  <r>
    <x v="131"/>
    <x v="0"/>
    <x v="0"/>
    <x v="0"/>
    <n v="10000"/>
    <n v="7673"/>
    <n v="0"/>
    <n v="0"/>
    <n v="7673"/>
    <n v="22"/>
    <n v="1"/>
    <n v="21"/>
    <n v="454.54545454545456"/>
    <n v="0.95454545454545459"/>
    <n v="0.76729999999999998"/>
    <n v="1"/>
    <n v="0.73242272727272728"/>
    <s v="M/C stopped for water pump &amp; water spray bar repair work (1 hr)"/>
  </r>
  <r>
    <x v="131"/>
    <x v="0"/>
    <x v="11"/>
    <x v="0"/>
    <n v="9738"/>
    <n v="9738"/>
    <n v="0"/>
    <n v="0"/>
    <n v="9738"/>
    <m/>
    <m/>
    <s v=""/>
    <s v=""/>
    <s v=""/>
    <n v="1"/>
    <n v="1"/>
    <s v=""/>
    <m/>
  </r>
  <r>
    <x v="131"/>
    <x v="0"/>
    <x v="1"/>
    <x v="1"/>
    <n v="5000"/>
    <n v="5649"/>
    <n v="0"/>
    <n v="0"/>
    <n v="5649"/>
    <n v="22"/>
    <m/>
    <n v="22"/>
    <n v="0"/>
    <n v="1"/>
    <n v="1.1297999999999999"/>
    <n v="1"/>
    <n v="1.1297999999999999"/>
    <m/>
  </r>
  <r>
    <x v="131"/>
    <x v="0"/>
    <x v="1"/>
    <x v="2"/>
    <n v="4000"/>
    <n v="3064"/>
    <n v="0"/>
    <n v="0"/>
    <n v="3064"/>
    <m/>
    <n v="1"/>
    <s v=""/>
    <s v=""/>
    <s v=""/>
    <n v="0.76600000000000001"/>
    <n v="1"/>
    <s v=""/>
    <s v="M/C stopped for  generator shutdown (1 hr)."/>
  </r>
  <r>
    <x v="131"/>
    <x v="0"/>
    <x v="2"/>
    <x v="2"/>
    <n v="7000"/>
    <n v="6944"/>
    <n v="0"/>
    <n v="0"/>
    <n v="6944"/>
    <n v="22"/>
    <m/>
    <n v="22"/>
    <n v="0"/>
    <n v="1"/>
    <n v="0.99199999999999999"/>
    <n v="1"/>
    <n v="0.99199999999999999"/>
    <m/>
  </r>
  <r>
    <x v="131"/>
    <x v="0"/>
    <x v="3"/>
    <x v="3"/>
    <n v="7800"/>
    <n v="6346"/>
    <n v="0"/>
    <n v="0"/>
    <n v="6346"/>
    <n v="22"/>
    <m/>
    <n v="22"/>
    <n v="0"/>
    <n v="1"/>
    <n v="0.81358974358974356"/>
    <n v="1"/>
    <n v="0.81358974358974356"/>
    <m/>
  </r>
  <r>
    <x v="131"/>
    <x v="0"/>
    <x v="10"/>
    <x v="3"/>
    <m/>
    <m/>
    <m/>
    <s v=""/>
    <n v="0"/>
    <m/>
    <m/>
    <s v=""/>
    <s v=""/>
    <s v=""/>
    <s v=""/>
    <s v=""/>
    <s v=""/>
    <m/>
  </r>
  <r>
    <x v="131"/>
    <x v="0"/>
    <x v="4"/>
    <x v="4"/>
    <n v="9000"/>
    <n v="7427"/>
    <n v="0"/>
    <n v="0"/>
    <n v="7427"/>
    <n v="22"/>
    <m/>
    <n v="22"/>
    <n v="0"/>
    <n v="1"/>
    <n v="0.82522222222222219"/>
    <n v="1"/>
    <n v="0.82522222222222219"/>
    <m/>
  </r>
  <r>
    <x v="131"/>
    <x v="0"/>
    <x v="5"/>
    <x v="4"/>
    <m/>
    <m/>
    <m/>
    <s v=""/>
    <n v="0"/>
    <m/>
    <m/>
    <s v=""/>
    <s v=""/>
    <s v=""/>
    <s v=""/>
    <s v=""/>
    <s v=""/>
    <m/>
  </r>
  <r>
    <x v="131"/>
    <x v="1"/>
    <x v="6"/>
    <x v="5"/>
    <n v="9000"/>
    <n v="7736"/>
    <n v="0"/>
    <n v="0"/>
    <n v="7736"/>
    <n v="22"/>
    <m/>
    <n v="22"/>
    <n v="0"/>
    <n v="1"/>
    <n v="0.85955555555555552"/>
    <n v="1"/>
    <n v="0.85955555555555552"/>
    <m/>
  </r>
  <r>
    <x v="131"/>
    <x v="1"/>
    <x v="7"/>
    <x v="6"/>
    <n v="8000"/>
    <n v="8217"/>
    <n v="0"/>
    <n v="0"/>
    <n v="8217"/>
    <n v="22"/>
    <n v="1.5"/>
    <n v="20.5"/>
    <n v="545.4545454545455"/>
    <n v="0.93181818181818177"/>
    <n v="1.0271250000000001"/>
    <n v="1"/>
    <n v="0.95709374999999997"/>
    <s v="M/C stopped for scheduled  net cleaning (1.50 hrs)."/>
  </r>
  <r>
    <x v="131"/>
    <x v="1"/>
    <x v="8"/>
    <x v="4"/>
    <n v="6000"/>
    <n v="2901"/>
    <n v="0"/>
    <n v="0"/>
    <n v="2901"/>
    <n v="22"/>
    <n v="4.8499999999999996"/>
    <n v="17.149999999999999"/>
    <n v="1322.7272727272727"/>
    <n v="0.77954545454545443"/>
    <n v="0.48349999999999999"/>
    <n v="1"/>
    <n v="0.37691022727272722"/>
    <s v="M/C stopped for lower T/F fabric availability (2.45 hr)  &amp; A shift ended at 5PM. "/>
  </r>
  <r>
    <x v="131"/>
    <x v="1"/>
    <x v="9"/>
    <x v="4"/>
    <n v="5000"/>
    <n v="4386"/>
    <n v="0"/>
    <n v="0"/>
    <n v="4386"/>
    <n v="22"/>
    <m/>
    <n v="22"/>
    <n v="0"/>
    <n v="1"/>
    <n v="0.87719999999999998"/>
    <n v="1"/>
    <n v="0.87719999999999998"/>
    <m/>
  </r>
  <r>
    <x v="132"/>
    <x v="0"/>
    <x v="0"/>
    <x v="0"/>
    <n v="10000"/>
    <n v="7805"/>
    <n v="0"/>
    <n v="0"/>
    <n v="7805"/>
    <n v="22"/>
    <n v="2.15"/>
    <n v="19.850000000000001"/>
    <n v="977.27272727272725"/>
    <n v="0.90227272727272734"/>
    <n v="0.78049999999999997"/>
    <n v="1"/>
    <n v="0.70422386363636369"/>
    <s v="M/C  stopped for rotary trolley table repair work and replacement of the guide roller bearing (2.15 hrs)."/>
  </r>
  <r>
    <x v="132"/>
    <x v="0"/>
    <x v="11"/>
    <x v="0"/>
    <n v="9508"/>
    <n v="9508"/>
    <n v="0"/>
    <n v="0"/>
    <n v="9508"/>
    <m/>
    <m/>
    <s v=""/>
    <s v=""/>
    <s v=""/>
    <n v="1"/>
    <n v="1"/>
    <s v=""/>
    <m/>
  </r>
  <r>
    <x v="132"/>
    <x v="0"/>
    <x v="1"/>
    <x v="1"/>
    <n v="5000"/>
    <n v="6866"/>
    <n v="0"/>
    <n v="0"/>
    <n v="6866"/>
    <n v="22"/>
    <m/>
    <n v="22"/>
    <n v="0"/>
    <n v="1"/>
    <n v="1.3732"/>
    <n v="1"/>
    <n v="1.3732"/>
    <m/>
  </r>
  <r>
    <x v="132"/>
    <x v="0"/>
    <x v="1"/>
    <x v="2"/>
    <n v="4000"/>
    <n v="1976"/>
    <n v="0"/>
    <n v="0"/>
    <n v="1976"/>
    <m/>
    <m/>
    <s v=""/>
    <s v=""/>
    <s v=""/>
    <n v="0.49399999999999999"/>
    <n v="1"/>
    <s v=""/>
    <m/>
  </r>
  <r>
    <x v="132"/>
    <x v="0"/>
    <x v="2"/>
    <x v="2"/>
    <n v="7000"/>
    <n v="7670"/>
    <n v="0"/>
    <n v="0"/>
    <n v="7670"/>
    <n v="22"/>
    <m/>
    <n v="22"/>
    <n v="0"/>
    <n v="1"/>
    <n v="1.0957142857142856"/>
    <n v="1"/>
    <n v="1.0957142857142856"/>
    <m/>
  </r>
  <r>
    <x v="132"/>
    <x v="0"/>
    <x v="3"/>
    <x v="3"/>
    <n v="7800"/>
    <n v="7201"/>
    <n v="0"/>
    <n v="0"/>
    <n v="7201"/>
    <n v="22"/>
    <n v="2"/>
    <n v="20"/>
    <n v="709.09090909090912"/>
    <n v="0.90909090909090906"/>
    <n v="0.92320512820512823"/>
    <n v="1"/>
    <n v="0.83927738927738926"/>
    <s v="M/C stopped for the unavailability of Heat Set fabric (2 hrs)"/>
  </r>
  <r>
    <x v="132"/>
    <x v="0"/>
    <x v="10"/>
    <x v="3"/>
    <m/>
    <m/>
    <m/>
    <s v=""/>
    <n v="0"/>
    <m/>
    <m/>
    <s v=""/>
    <s v=""/>
    <s v=""/>
    <s v=""/>
    <s v=""/>
    <s v=""/>
    <m/>
  </r>
  <r>
    <x v="132"/>
    <x v="0"/>
    <x v="4"/>
    <x v="4"/>
    <n v="9000"/>
    <n v="5757"/>
    <n v="0"/>
    <n v="0"/>
    <n v="5757"/>
    <n v="22"/>
    <m/>
    <n v="22"/>
    <n v="0"/>
    <n v="1"/>
    <n v="0.63966666666666672"/>
    <n v="1"/>
    <n v="0.63966666666666672"/>
    <m/>
  </r>
  <r>
    <x v="132"/>
    <x v="0"/>
    <x v="5"/>
    <x v="4"/>
    <m/>
    <m/>
    <m/>
    <s v=""/>
    <n v="0"/>
    <m/>
    <m/>
    <s v=""/>
    <s v=""/>
    <s v=""/>
    <s v=""/>
    <s v=""/>
    <s v=""/>
    <m/>
  </r>
  <r>
    <x v="132"/>
    <x v="1"/>
    <x v="6"/>
    <x v="5"/>
    <n v="9000"/>
    <n v="7535"/>
    <n v="0"/>
    <n v="0"/>
    <n v="7535"/>
    <n v="22"/>
    <n v="3.65"/>
    <n v="18.350000000000001"/>
    <n v="1493.181818181818"/>
    <n v="0.83409090909090911"/>
    <n v="0.8372222222222222"/>
    <n v="1"/>
    <n v="0.69831944444444449"/>
    <s v="M/C stopped for unavailability of fabric and 3 batches being held due to shade not being OK (3.25 hrs)"/>
  </r>
  <r>
    <x v="132"/>
    <x v="1"/>
    <x v="7"/>
    <x v="6"/>
    <n v="8000"/>
    <n v="8459"/>
    <n v="0"/>
    <n v="0"/>
    <n v="8459"/>
    <n v="22"/>
    <n v="1.5"/>
    <n v="20.5"/>
    <n v="545.4545454545455"/>
    <n v="0.93181818181818177"/>
    <n v="1.057375"/>
    <n v="1"/>
    <n v="0.98528124999999989"/>
    <s v="M/C stopped for scheduled  net cleaning (1.50 hrs)."/>
  </r>
  <r>
    <x v="132"/>
    <x v="1"/>
    <x v="8"/>
    <x v="4"/>
    <n v="6000"/>
    <n v="3854"/>
    <n v="0"/>
    <n v="0"/>
    <n v="3854"/>
    <n v="22"/>
    <m/>
    <n v="22"/>
    <n v="0"/>
    <n v="1"/>
    <n v="0.64233333333333331"/>
    <n v="1"/>
    <n v="0.64233333333333331"/>
    <m/>
  </r>
  <r>
    <x v="132"/>
    <x v="1"/>
    <x v="9"/>
    <x v="4"/>
    <n v="5000"/>
    <n v="3713"/>
    <n v="0"/>
    <n v="0"/>
    <n v="3713"/>
    <n v="22"/>
    <m/>
    <n v="22"/>
    <n v="0"/>
    <n v="1"/>
    <n v="0.74260000000000004"/>
    <n v="1"/>
    <n v="0.74260000000000004"/>
    <m/>
  </r>
  <r>
    <x v="133"/>
    <x v="0"/>
    <x v="0"/>
    <x v="0"/>
    <n v="10000"/>
    <n v="7505"/>
    <n v="0"/>
    <n v="0"/>
    <n v="7505"/>
    <n v="22"/>
    <m/>
    <n v="22"/>
    <n v="0"/>
    <n v="1"/>
    <n v="0.75049999999999994"/>
    <n v="1"/>
    <n v="0.75049999999999994"/>
    <m/>
  </r>
  <r>
    <x v="133"/>
    <x v="0"/>
    <x v="11"/>
    <x v="0"/>
    <n v="10082"/>
    <n v="10082"/>
    <n v="0"/>
    <n v="0"/>
    <n v="10082"/>
    <m/>
    <m/>
    <s v=""/>
    <s v=""/>
    <s v=""/>
    <n v="1"/>
    <n v="1"/>
    <s v=""/>
    <m/>
  </r>
  <r>
    <x v="133"/>
    <x v="0"/>
    <x v="1"/>
    <x v="1"/>
    <n v="5000"/>
    <n v="6454"/>
    <n v="0"/>
    <n v="0"/>
    <n v="6454"/>
    <n v="22"/>
    <m/>
    <n v="22"/>
    <n v="0"/>
    <n v="1"/>
    <n v="1.2907999999999999"/>
    <n v="1"/>
    <n v="1.2907999999999999"/>
    <m/>
  </r>
  <r>
    <x v="133"/>
    <x v="0"/>
    <x v="1"/>
    <x v="2"/>
    <n v="4000"/>
    <n v="1761"/>
    <n v="0"/>
    <n v="0"/>
    <n v="1761"/>
    <m/>
    <m/>
    <s v=""/>
    <s v=""/>
    <s v=""/>
    <n v="0.44024999999999997"/>
    <n v="1"/>
    <s v=""/>
    <m/>
  </r>
  <r>
    <x v="133"/>
    <x v="0"/>
    <x v="2"/>
    <x v="2"/>
    <n v="7000"/>
    <n v="7551"/>
    <n v="0"/>
    <n v="0"/>
    <n v="7551"/>
    <n v="22"/>
    <m/>
    <n v="22"/>
    <n v="0"/>
    <n v="1"/>
    <n v="1.0787142857142857"/>
    <n v="1"/>
    <n v="1.0787142857142857"/>
    <m/>
  </r>
  <r>
    <x v="133"/>
    <x v="0"/>
    <x v="3"/>
    <x v="3"/>
    <n v="7800"/>
    <n v="6198"/>
    <n v="0"/>
    <n v="0"/>
    <n v="6198"/>
    <n v="22"/>
    <n v="4"/>
    <n v="18"/>
    <n v="1418.1818181818182"/>
    <n v="0.81818181818181823"/>
    <n v="0.79461538461538461"/>
    <n v="1"/>
    <n v="0.65013986013986014"/>
    <s v="M/C stopped for the unavailability of Heat Set fabric (4 hrs)"/>
  </r>
  <r>
    <x v="133"/>
    <x v="0"/>
    <x v="10"/>
    <x v="3"/>
    <m/>
    <m/>
    <m/>
    <s v=""/>
    <n v="0"/>
    <m/>
    <m/>
    <s v=""/>
    <s v=""/>
    <s v=""/>
    <s v=""/>
    <s v=""/>
    <s v=""/>
    <m/>
  </r>
  <r>
    <x v="133"/>
    <x v="0"/>
    <x v="4"/>
    <x v="4"/>
    <n v="9000"/>
    <n v="7818"/>
    <n v="0"/>
    <n v="0"/>
    <n v="7818"/>
    <n v="22"/>
    <n v="1"/>
    <n v="21"/>
    <n v="409.09090909090907"/>
    <n v="0.95454545454545459"/>
    <n v="0.8686666666666667"/>
    <n v="1"/>
    <n v="0.82918181818181824"/>
    <s v="M/C stopped for 1 batche being held due to shade not being OK (1 hrs)"/>
  </r>
  <r>
    <x v="133"/>
    <x v="0"/>
    <x v="5"/>
    <x v="4"/>
    <m/>
    <m/>
    <m/>
    <s v=""/>
    <n v="0"/>
    <m/>
    <m/>
    <s v=""/>
    <s v=""/>
    <s v=""/>
    <s v=""/>
    <s v=""/>
    <s v=""/>
    <m/>
  </r>
  <r>
    <x v="133"/>
    <x v="1"/>
    <x v="6"/>
    <x v="5"/>
    <n v="9000"/>
    <n v="7567"/>
    <n v="0"/>
    <n v="0"/>
    <n v="7567"/>
    <n v="22"/>
    <m/>
    <n v="22"/>
    <n v="0"/>
    <n v="1"/>
    <n v="0.84077777777777774"/>
    <n v="1"/>
    <n v="0.84077777777777774"/>
    <m/>
  </r>
  <r>
    <x v="133"/>
    <x v="1"/>
    <x v="7"/>
    <x v="6"/>
    <n v="8000"/>
    <n v="8500"/>
    <n v="0"/>
    <n v="0"/>
    <n v="8500"/>
    <n v="22"/>
    <n v="1.5"/>
    <n v="20.5"/>
    <n v="545.4545454545455"/>
    <n v="0.93181818181818177"/>
    <n v="1.0625"/>
    <n v="1"/>
    <n v="0.99005681818181812"/>
    <s v="M/C stopped for scheduled  net cleaning (1.50 hrs)."/>
  </r>
  <r>
    <x v="133"/>
    <x v="1"/>
    <x v="8"/>
    <x v="4"/>
    <n v="6000"/>
    <n v="3138"/>
    <n v="0"/>
    <n v="0"/>
    <n v="3138"/>
    <n v="22"/>
    <m/>
    <n v="22"/>
    <n v="0"/>
    <n v="1"/>
    <n v="0.52300000000000002"/>
    <n v="1"/>
    <n v="0.52300000000000002"/>
    <m/>
  </r>
  <r>
    <x v="133"/>
    <x v="1"/>
    <x v="9"/>
    <x v="4"/>
    <n v="5000"/>
    <n v="3000"/>
    <n v="0"/>
    <n v="0"/>
    <n v="3000"/>
    <n v="22"/>
    <n v="3"/>
    <n v="19"/>
    <n v="681.81818181818187"/>
    <n v="0.86363636363636365"/>
    <n v="0.6"/>
    <n v="1"/>
    <n v="0.51818181818181819"/>
    <s v="M/C stopped for lower  fabric T/F availability (3 hrs)"/>
  </r>
  <r>
    <x v="134"/>
    <x v="0"/>
    <x v="0"/>
    <x v="0"/>
    <n v="10000"/>
    <n v="7948"/>
    <n v="0"/>
    <n v="0"/>
    <n v="7948"/>
    <n v="22"/>
    <n v="2"/>
    <n v="20"/>
    <n v="909.09090909090912"/>
    <n v="0.90909090909090906"/>
    <n v="0.79479999999999995"/>
    <n v="1"/>
    <n v="0.72254545454545449"/>
    <s v="Machine stopped for basket and camera problems. (2 hrs). The basket problem is still not fixed."/>
  </r>
  <r>
    <x v="134"/>
    <x v="0"/>
    <x v="11"/>
    <x v="0"/>
    <n v="10082"/>
    <n v="10739"/>
    <n v="0"/>
    <n v="0"/>
    <n v="10739"/>
    <m/>
    <m/>
    <s v=""/>
    <s v=""/>
    <s v=""/>
    <n v="1.0651656417377504"/>
    <n v="1"/>
    <s v=""/>
    <m/>
  </r>
  <r>
    <x v="134"/>
    <x v="0"/>
    <x v="1"/>
    <x v="1"/>
    <n v="5000"/>
    <n v="6256"/>
    <n v="0"/>
    <n v="0"/>
    <n v="6256"/>
    <n v="22"/>
    <m/>
    <n v="22"/>
    <n v="0"/>
    <n v="1"/>
    <n v="1.2512000000000001"/>
    <n v="1"/>
    <n v="1.2512000000000001"/>
    <m/>
  </r>
  <r>
    <x v="134"/>
    <x v="0"/>
    <x v="1"/>
    <x v="2"/>
    <n v="4000"/>
    <n v="2205"/>
    <n v="0"/>
    <n v="0"/>
    <n v="2205"/>
    <m/>
    <m/>
    <s v=""/>
    <s v=""/>
    <s v=""/>
    <n v="0.55125000000000002"/>
    <n v="1"/>
    <s v=""/>
    <m/>
  </r>
  <r>
    <x v="134"/>
    <x v="0"/>
    <x v="2"/>
    <x v="2"/>
    <n v="7000"/>
    <n v="6947"/>
    <n v="0"/>
    <n v="0"/>
    <n v="6947"/>
    <n v="22"/>
    <m/>
    <n v="22"/>
    <n v="0"/>
    <n v="1"/>
    <n v="0.99242857142857144"/>
    <n v="1"/>
    <n v="0.99242857142857144"/>
    <m/>
  </r>
  <r>
    <x v="134"/>
    <x v="0"/>
    <x v="3"/>
    <x v="3"/>
    <n v="7800"/>
    <n v="8436"/>
    <n v="0"/>
    <n v="0"/>
    <n v="8436"/>
    <n v="22"/>
    <m/>
    <n v="22"/>
    <n v="0"/>
    <n v="1"/>
    <n v="1.0815384615384616"/>
    <n v="1"/>
    <n v="1.0815384615384616"/>
    <m/>
  </r>
  <r>
    <x v="134"/>
    <x v="0"/>
    <x v="10"/>
    <x v="3"/>
    <m/>
    <m/>
    <m/>
    <s v=""/>
    <n v="0"/>
    <m/>
    <m/>
    <s v=""/>
    <s v=""/>
    <s v=""/>
    <s v=""/>
    <s v=""/>
    <s v=""/>
    <m/>
  </r>
  <r>
    <x v="134"/>
    <x v="0"/>
    <x v="4"/>
    <x v="4"/>
    <n v="9000"/>
    <n v="6839"/>
    <n v="0"/>
    <n v="0"/>
    <n v="6839"/>
    <n v="22"/>
    <m/>
    <n v="22"/>
    <n v="0"/>
    <n v="1"/>
    <n v="0.75988888888888884"/>
    <n v="1"/>
    <n v="0.75988888888888884"/>
    <m/>
  </r>
  <r>
    <x v="134"/>
    <x v="0"/>
    <x v="5"/>
    <x v="4"/>
    <m/>
    <m/>
    <m/>
    <s v=""/>
    <n v="0"/>
    <m/>
    <m/>
    <s v=""/>
    <s v=""/>
    <s v=""/>
    <s v=""/>
    <s v=""/>
    <s v=""/>
    <m/>
  </r>
  <r>
    <x v="134"/>
    <x v="1"/>
    <x v="6"/>
    <x v="5"/>
    <n v="9000"/>
    <n v="8215"/>
    <n v="0"/>
    <n v="0"/>
    <n v="8215"/>
    <n v="22"/>
    <m/>
    <n v="22"/>
    <n v="0"/>
    <n v="1"/>
    <n v="0.9127777777777778"/>
    <n v="1"/>
    <n v="0.9127777777777778"/>
    <m/>
  </r>
  <r>
    <x v="134"/>
    <x v="1"/>
    <x v="7"/>
    <x v="6"/>
    <n v="8000"/>
    <n v="7593"/>
    <n v="0"/>
    <n v="0"/>
    <n v="7593"/>
    <n v="22"/>
    <n v="1.5"/>
    <n v="20.5"/>
    <n v="545.4545454545455"/>
    <n v="0.93181818181818177"/>
    <n v="0.949125"/>
    <n v="1"/>
    <n v="0.88441193181818178"/>
    <s v="M/C stopped for net cleaning (1.50hrs)"/>
  </r>
  <r>
    <x v="134"/>
    <x v="1"/>
    <x v="8"/>
    <x v="4"/>
    <n v="6000"/>
    <n v="4345"/>
    <n v="0"/>
    <n v="0"/>
    <n v="4345"/>
    <n v="22"/>
    <m/>
    <n v="22"/>
    <n v="0"/>
    <n v="1"/>
    <n v="0.72416666666666663"/>
    <n v="1"/>
    <n v="0.72416666666666663"/>
    <m/>
  </r>
  <r>
    <x v="134"/>
    <x v="1"/>
    <x v="9"/>
    <x v="4"/>
    <n v="5000"/>
    <n v="2118"/>
    <n v="0"/>
    <n v="0"/>
    <n v="2118"/>
    <n v="22"/>
    <n v="4"/>
    <n v="18"/>
    <n v="909.09090909090912"/>
    <n v="0.81818181818181823"/>
    <n v="0.42359999999999998"/>
    <n v="1"/>
    <n v="0.34658181818181816"/>
    <s v="M/C stopped for lower  fabric T/F availability (4 hrs)"/>
  </r>
  <r>
    <x v="135"/>
    <x v="0"/>
    <x v="0"/>
    <x v="0"/>
    <n v="10000"/>
    <n v="6628"/>
    <n v="0"/>
    <n v="0"/>
    <n v="6628"/>
    <n v="22"/>
    <n v="7.6"/>
    <n v="14.4"/>
    <n v="3454.5454545454545"/>
    <n v="0.65454545454545454"/>
    <n v="0.66279999999999994"/>
    <n v="1"/>
    <n v="0.43383272727272726"/>
    <s v="Machine stopped for basket and camera problems. (7.60 hrs). The basket problem is still not fixed."/>
  </r>
  <r>
    <x v="135"/>
    <x v="0"/>
    <x v="11"/>
    <x v="0"/>
    <n v="9579"/>
    <n v="9579"/>
    <n v="0"/>
    <n v="0"/>
    <n v="9579"/>
    <m/>
    <m/>
    <s v=""/>
    <s v=""/>
    <s v=""/>
    <n v="1"/>
    <n v="1"/>
    <s v=""/>
    <m/>
  </r>
  <r>
    <x v="135"/>
    <x v="0"/>
    <x v="1"/>
    <x v="1"/>
    <n v="5000"/>
    <n v="4457"/>
    <n v="0"/>
    <n v="0"/>
    <n v="4457"/>
    <n v="22"/>
    <m/>
    <n v="22"/>
    <n v="0"/>
    <n v="1"/>
    <n v="0.89139999999999997"/>
    <n v="1"/>
    <n v="0.89139999999999997"/>
    <m/>
  </r>
  <r>
    <x v="135"/>
    <x v="0"/>
    <x v="1"/>
    <x v="2"/>
    <n v="4000"/>
    <n v="5045"/>
    <n v="0"/>
    <n v="0"/>
    <n v="5045"/>
    <m/>
    <m/>
    <s v=""/>
    <s v=""/>
    <s v=""/>
    <n v="1.26125"/>
    <n v="1"/>
    <s v=""/>
    <m/>
  </r>
  <r>
    <x v="135"/>
    <x v="0"/>
    <x v="2"/>
    <x v="2"/>
    <n v="7000"/>
    <n v="4899"/>
    <n v="0"/>
    <n v="0"/>
    <n v="4899"/>
    <n v="22"/>
    <n v="6.6"/>
    <n v="15.4"/>
    <n v="2100"/>
    <n v="0.70000000000000007"/>
    <n v="0.69985714285714284"/>
    <n v="1"/>
    <n v="0.48990000000000006"/>
    <s v="Machine stopped for basket problem in Super slitting m/c, resulting in no fabric being available for processing (6.20 hrs)"/>
  </r>
  <r>
    <x v="135"/>
    <x v="0"/>
    <x v="3"/>
    <x v="3"/>
    <n v="7800"/>
    <n v="4613"/>
    <n v="0"/>
    <n v="0"/>
    <n v="4613"/>
    <n v="22"/>
    <n v="3"/>
    <n v="19"/>
    <n v="1063.6363636363637"/>
    <n v="0.86363636363636365"/>
    <n v="0.59141025641025646"/>
    <n v="1"/>
    <n v="0.5107634032634033"/>
    <s v="M/C stopped for the unavailability of Heat Set fabric (3 hrs)."/>
  </r>
  <r>
    <x v="135"/>
    <x v="0"/>
    <x v="10"/>
    <x v="3"/>
    <m/>
    <m/>
    <m/>
    <s v=""/>
    <n v="0"/>
    <m/>
    <m/>
    <s v=""/>
    <s v=""/>
    <s v=""/>
    <s v=""/>
    <s v=""/>
    <s v=""/>
    <m/>
  </r>
  <r>
    <x v="135"/>
    <x v="0"/>
    <x v="4"/>
    <x v="4"/>
    <n v="9000"/>
    <n v="6867"/>
    <n v="0"/>
    <n v="0"/>
    <n v="6867"/>
    <n v="22"/>
    <m/>
    <n v="22"/>
    <n v="0"/>
    <n v="1"/>
    <n v="0.76300000000000001"/>
    <n v="1"/>
    <n v="0.76300000000000001"/>
    <m/>
  </r>
  <r>
    <x v="135"/>
    <x v="0"/>
    <x v="5"/>
    <x v="4"/>
    <m/>
    <n v="852"/>
    <m/>
    <n v="0"/>
    <n v="852"/>
    <m/>
    <m/>
    <s v=""/>
    <s v=""/>
    <s v=""/>
    <s v=""/>
    <n v="1"/>
    <s v=""/>
    <m/>
  </r>
  <r>
    <x v="135"/>
    <x v="1"/>
    <x v="6"/>
    <x v="5"/>
    <n v="9000"/>
    <n v="7039"/>
    <n v="0"/>
    <n v="0"/>
    <n v="7039"/>
    <n v="22"/>
    <m/>
    <n v="22"/>
    <n v="0"/>
    <n v="1"/>
    <n v="0.78211111111111109"/>
    <n v="1"/>
    <n v="0.78211111111111109"/>
    <m/>
  </r>
  <r>
    <x v="135"/>
    <x v="1"/>
    <x v="7"/>
    <x v="6"/>
    <n v="8000"/>
    <n v="5359"/>
    <n v="0"/>
    <n v="0"/>
    <n v="5359"/>
    <n v="22"/>
    <n v="4.6500000000000004"/>
    <n v="17.350000000000001"/>
    <n v="1690.909090909091"/>
    <n v="0.78863636363636369"/>
    <n v="0.669875"/>
    <n v="1"/>
    <n v="0.52828778409090915"/>
    <s v="M/C stopped for net cleaning, conveyor belt problems, and a limit switch issue. (4.25 hrs)"/>
  </r>
  <r>
    <x v="135"/>
    <x v="1"/>
    <x v="8"/>
    <x v="4"/>
    <n v="6000"/>
    <n v="2197"/>
    <n v="0"/>
    <n v="0"/>
    <n v="2197"/>
    <n v="22"/>
    <m/>
    <n v="22"/>
    <n v="0"/>
    <n v="1"/>
    <n v="0.36616666666666664"/>
    <n v="1"/>
    <n v="0.36616666666666664"/>
    <m/>
  </r>
  <r>
    <x v="135"/>
    <x v="1"/>
    <x v="9"/>
    <x v="4"/>
    <n v="5000"/>
    <n v="1952"/>
    <n v="0"/>
    <n v="0"/>
    <n v="1952"/>
    <n v="22"/>
    <m/>
    <n v="22"/>
    <n v="0"/>
    <n v="1"/>
    <n v="0.39040000000000002"/>
    <n v="1"/>
    <n v="0.39040000000000002"/>
    <m/>
  </r>
  <r>
    <x v="136"/>
    <x v="0"/>
    <x v="0"/>
    <x v="0"/>
    <n v="10000"/>
    <n v="7889"/>
    <n v="0"/>
    <n v="0"/>
    <n v="7889"/>
    <n v="22"/>
    <m/>
    <n v="22"/>
    <n v="0"/>
    <n v="1"/>
    <n v="0.78890000000000005"/>
    <n v="1"/>
    <n v="0.78890000000000005"/>
    <m/>
  </r>
  <r>
    <x v="136"/>
    <x v="0"/>
    <x v="11"/>
    <x v="0"/>
    <n v="11097"/>
    <n v="11097"/>
    <n v="0"/>
    <n v="0"/>
    <n v="11097"/>
    <m/>
    <m/>
    <s v=""/>
    <s v=""/>
    <s v=""/>
    <n v="1"/>
    <n v="1"/>
    <s v=""/>
    <m/>
  </r>
  <r>
    <x v="136"/>
    <x v="0"/>
    <x v="1"/>
    <x v="1"/>
    <n v="5000"/>
    <n v="1944"/>
    <n v="0"/>
    <n v="0"/>
    <n v="1944"/>
    <n v="22"/>
    <m/>
    <n v="22"/>
    <n v="0"/>
    <n v="1"/>
    <n v="0.38879999999999998"/>
    <n v="1"/>
    <n v="0.38879999999999998"/>
    <m/>
  </r>
  <r>
    <x v="136"/>
    <x v="0"/>
    <x v="1"/>
    <x v="2"/>
    <n v="4000"/>
    <n v="8614"/>
    <n v="0"/>
    <n v="0"/>
    <n v="8614"/>
    <m/>
    <m/>
    <s v=""/>
    <s v=""/>
    <s v=""/>
    <n v="2.1535000000000002"/>
    <n v="1"/>
    <s v=""/>
    <m/>
  </r>
  <r>
    <x v="136"/>
    <x v="0"/>
    <x v="2"/>
    <x v="2"/>
    <n v="7000"/>
    <n v="7050"/>
    <n v="0"/>
    <n v="0"/>
    <n v="7050"/>
    <n v="22"/>
    <m/>
    <n v="22"/>
    <n v="0"/>
    <n v="1"/>
    <n v="1.0071428571428571"/>
    <n v="1"/>
    <n v="1.0071428571428571"/>
    <m/>
  </r>
  <r>
    <x v="136"/>
    <x v="0"/>
    <x v="3"/>
    <x v="3"/>
    <n v="7800"/>
    <n v="5437"/>
    <n v="0"/>
    <n v="0"/>
    <n v="5437"/>
    <n v="22"/>
    <n v="7.67"/>
    <n v="14.33"/>
    <n v="2719.3636363636365"/>
    <n v="0.65136363636363637"/>
    <n v="0.69705128205128208"/>
    <n v="1"/>
    <n v="0.45403385780885785"/>
    <s v="M/C stopped for the unavailability of Heat Set fabric (7.67 hrs)."/>
  </r>
  <r>
    <x v="136"/>
    <x v="0"/>
    <x v="10"/>
    <x v="3"/>
    <m/>
    <m/>
    <m/>
    <s v=""/>
    <m/>
    <m/>
    <m/>
    <s v=""/>
    <s v=""/>
    <s v=""/>
    <s v=""/>
    <s v=""/>
    <s v=""/>
    <m/>
  </r>
  <r>
    <x v="136"/>
    <x v="0"/>
    <x v="4"/>
    <x v="4"/>
    <n v="9000"/>
    <n v="7535"/>
    <n v="0"/>
    <n v="0"/>
    <n v="7535"/>
    <n v="22"/>
    <n v="2.5"/>
    <n v="19.5"/>
    <n v="1022.7272727272726"/>
    <n v="0.88636363636363635"/>
    <n v="0.8372222222222222"/>
    <n v="1"/>
    <n v="0.74208333333333332"/>
    <s v="M/C stopped for lower Open Width fabric availability (2.50 hrs)"/>
  </r>
  <r>
    <x v="136"/>
    <x v="0"/>
    <x v="5"/>
    <x v="4"/>
    <m/>
    <n v="948"/>
    <m/>
    <n v="0"/>
    <n v="948"/>
    <m/>
    <m/>
    <s v=""/>
    <s v=""/>
    <s v=""/>
    <s v=""/>
    <n v="1"/>
    <s v=""/>
    <m/>
  </r>
  <r>
    <x v="136"/>
    <x v="1"/>
    <x v="6"/>
    <x v="5"/>
    <n v="9000"/>
    <n v="6282"/>
    <n v="0"/>
    <n v="0"/>
    <n v="6282"/>
    <n v="22"/>
    <m/>
    <n v="22"/>
    <n v="0"/>
    <n v="1"/>
    <n v="0.69799999999999995"/>
    <n v="1"/>
    <n v="0.69799999999999995"/>
    <s v="Production affected due to excess squeezed fabric on the floor; machine operated at low speed."/>
  </r>
  <r>
    <x v="136"/>
    <x v="1"/>
    <x v="7"/>
    <x v="6"/>
    <n v="8000"/>
    <n v="6319"/>
    <n v="0"/>
    <n v="0"/>
    <n v="6319"/>
    <n v="22"/>
    <n v="2.5"/>
    <n v="19.5"/>
    <n v="909.09090909090901"/>
    <n v="0.88636363636363635"/>
    <n v="0.78987499999999999"/>
    <n v="1"/>
    <n v="0.7001164772727273"/>
    <s v="M/C stopped for net cleaning, steam line coil checking, and PDB issue (2.50 hrs). Production was affected due to low steam. "/>
  </r>
  <r>
    <x v="136"/>
    <x v="1"/>
    <x v="8"/>
    <x v="4"/>
    <n v="6000"/>
    <n v="3640"/>
    <n v="0"/>
    <n v="0"/>
    <n v="3640"/>
    <n v="22"/>
    <n v="2"/>
    <n v="20"/>
    <n v="545.4545454545455"/>
    <n v="0.90909090909090906"/>
    <n v="0.60666666666666669"/>
    <n v="1"/>
    <n v="0.55151515151515151"/>
    <s v="M/C stopped for damage of the upper blanket joint (2 hrs)."/>
  </r>
  <r>
    <x v="136"/>
    <x v="1"/>
    <x v="9"/>
    <x v="4"/>
    <n v="5000"/>
    <n v="2314"/>
    <n v="0"/>
    <n v="0"/>
    <n v="2314"/>
    <n v="22"/>
    <m/>
    <n v="22"/>
    <n v="0"/>
    <n v="1"/>
    <n v="0.46279999999999999"/>
    <n v="1"/>
    <n v="0.46279999999999999"/>
    <m/>
  </r>
  <r>
    <x v="137"/>
    <x v="0"/>
    <x v="0"/>
    <x v="0"/>
    <n v="10000"/>
    <n v="7423"/>
    <n v="0"/>
    <n v="0"/>
    <n v="7423"/>
    <n v="22"/>
    <n v="2.67"/>
    <n v="19.329999999999998"/>
    <n v="1213.6363636363637"/>
    <n v="0.87863636363636355"/>
    <n v="0.74229999999999996"/>
    <n v="1"/>
    <n v="0.6522117727272726"/>
    <s v="M/C stopped for scheduled maintenance  (2.40 hrs)"/>
  </r>
  <r>
    <x v="137"/>
    <x v="0"/>
    <x v="11"/>
    <x v="0"/>
    <n v="10897"/>
    <n v="10897"/>
    <n v="0"/>
    <n v="0"/>
    <n v="10897"/>
    <m/>
    <m/>
    <s v=""/>
    <s v=""/>
    <s v=""/>
    <n v="1"/>
    <n v="1"/>
    <s v=""/>
    <m/>
  </r>
  <r>
    <x v="137"/>
    <x v="0"/>
    <x v="1"/>
    <x v="1"/>
    <n v="5000"/>
    <n v="4998"/>
    <n v="0"/>
    <n v="0"/>
    <n v="4998"/>
    <n v="22"/>
    <n v="2.5"/>
    <n v="19.5"/>
    <n v="568.18181818181824"/>
    <n v="0.88636363636363635"/>
    <n v="0.99960000000000004"/>
    <n v="1"/>
    <n v="0.88600909090909097"/>
    <s v="M/C stopped for scheduled maintenance  (2.30 hrs)"/>
  </r>
  <r>
    <x v="137"/>
    <x v="0"/>
    <x v="1"/>
    <x v="2"/>
    <n v="4000"/>
    <n v="3084"/>
    <n v="0"/>
    <n v="0"/>
    <n v="3084"/>
    <m/>
    <m/>
    <s v=""/>
    <s v=""/>
    <s v=""/>
    <n v="0.77100000000000002"/>
    <n v="1"/>
    <s v=""/>
    <m/>
  </r>
  <r>
    <x v="137"/>
    <x v="0"/>
    <x v="2"/>
    <x v="2"/>
    <n v="7000"/>
    <n v="5460"/>
    <n v="0"/>
    <n v="0"/>
    <n v="5460"/>
    <n v="22"/>
    <n v="3.5"/>
    <n v="18.5"/>
    <n v="1113.6363636363637"/>
    <n v="0.84090909090909094"/>
    <n v="0.78"/>
    <n v="1"/>
    <n v="0.655909090909091"/>
    <s v="M/C stopped for scheduled maintenance &amp; 2 batches were held due to shade not being OK (3.50 hrs)"/>
  </r>
  <r>
    <x v="137"/>
    <x v="0"/>
    <x v="3"/>
    <x v="3"/>
    <n v="7800"/>
    <n v="4720"/>
    <n v="0"/>
    <n v="0"/>
    <n v="4720"/>
    <n v="22"/>
    <n v="6"/>
    <n v="16"/>
    <n v="2127.2727272727275"/>
    <n v="0.72727272727272729"/>
    <n v="0.60512820512820509"/>
    <n v="1"/>
    <n v="0.44009324009324008"/>
    <s v="M/C stopped for the unavailability of Heat Set fabric (6 hrs)."/>
  </r>
  <r>
    <x v="137"/>
    <x v="0"/>
    <x v="10"/>
    <x v="3"/>
    <m/>
    <m/>
    <m/>
    <s v=""/>
    <n v="0"/>
    <m/>
    <m/>
    <s v=""/>
    <s v=""/>
    <s v=""/>
    <s v=""/>
    <s v=""/>
    <s v=""/>
    <m/>
  </r>
  <r>
    <x v="137"/>
    <x v="0"/>
    <x v="4"/>
    <x v="4"/>
    <n v="9000"/>
    <n v="7258"/>
    <n v="0"/>
    <n v="0"/>
    <n v="7258"/>
    <n v="22"/>
    <n v="1.34"/>
    <n v="20.66"/>
    <n v="548.18181818181813"/>
    <n v="0.93909090909090909"/>
    <n v="0.80644444444444441"/>
    <n v="1"/>
    <n v="0.75732464646464648"/>
    <s v="M/C stopped for scheduled maintenance  (1.20 hrs)"/>
  </r>
  <r>
    <x v="137"/>
    <x v="0"/>
    <x v="5"/>
    <x v="4"/>
    <m/>
    <m/>
    <m/>
    <s v=""/>
    <n v="0"/>
    <m/>
    <m/>
    <s v=""/>
    <s v=""/>
    <s v=""/>
    <s v=""/>
    <s v=""/>
    <s v=""/>
    <m/>
  </r>
  <r>
    <x v="137"/>
    <x v="1"/>
    <x v="6"/>
    <x v="5"/>
    <n v="9000"/>
    <n v="8642"/>
    <n v="0"/>
    <n v="0"/>
    <n v="8642"/>
    <n v="22"/>
    <m/>
    <n v="22"/>
    <n v="0"/>
    <n v="1"/>
    <n v="0.9602222222222222"/>
    <n v="1"/>
    <n v="0.9602222222222222"/>
    <m/>
  </r>
  <r>
    <x v="137"/>
    <x v="1"/>
    <x v="7"/>
    <x v="6"/>
    <n v="8000"/>
    <n v="7420"/>
    <n v="0"/>
    <n v="0"/>
    <n v="7420"/>
    <n v="22"/>
    <n v="2.25"/>
    <n v="19.75"/>
    <n v="818.18181818181813"/>
    <n v="0.89772727272727271"/>
    <n v="0.92749999999999999"/>
    <n v="1"/>
    <n v="0.83264204545454545"/>
    <s v="M/C stopped for scheduled  net cleaning &amp; lower T/F fabric availability  (2.15 hrs). Production was affected due to low steam pressure."/>
  </r>
  <r>
    <x v="137"/>
    <x v="1"/>
    <x v="8"/>
    <x v="4"/>
    <n v="6000"/>
    <n v="2974"/>
    <n v="0"/>
    <n v="0"/>
    <n v="2974"/>
    <n v="22"/>
    <n v="7"/>
    <n v="15"/>
    <n v="1909.0909090909092"/>
    <n v="0.68181818181818177"/>
    <n v="0.49566666666666664"/>
    <n v="1"/>
    <n v="0.3379545454545454"/>
    <s v="M/C stopeed  for T/F fabric shortage (5 hrs). 2 batches held due to shade not OK. M/C kept idle from 6PM in B Shift."/>
  </r>
  <r>
    <x v="137"/>
    <x v="1"/>
    <x v="9"/>
    <x v="4"/>
    <n v="5000"/>
    <n v="1977"/>
    <n v="0"/>
    <n v="0"/>
    <n v="1977"/>
    <n v="22"/>
    <n v="4.17"/>
    <n v="17.829999999999998"/>
    <n v="947.72727272727275"/>
    <n v="0.81045454545454543"/>
    <n v="0.39539999999999997"/>
    <n v="1"/>
    <n v="0.32045372727272725"/>
    <s v="M/C stopped for T/F fabric shortage (2.10 hrs). 1 batches held due to shade not OK. M/C kept idle from 6PM in B Shift."/>
  </r>
  <r>
    <x v="138"/>
    <x v="0"/>
    <x v="0"/>
    <x v="0"/>
    <n v="10000"/>
    <n v="8100"/>
    <n v="0"/>
    <n v="0"/>
    <n v="8100"/>
    <n v="22"/>
    <m/>
    <n v="22"/>
    <n v="0"/>
    <n v="1"/>
    <n v="0.81"/>
    <n v="1"/>
    <n v="0.81"/>
    <m/>
  </r>
  <r>
    <x v="138"/>
    <x v="0"/>
    <x v="11"/>
    <x v="0"/>
    <n v="8221"/>
    <n v="8221"/>
    <n v="0"/>
    <n v="0"/>
    <n v="8221"/>
    <m/>
    <m/>
    <s v=""/>
    <s v=""/>
    <s v=""/>
    <n v="1"/>
    <n v="1"/>
    <s v=""/>
    <m/>
  </r>
  <r>
    <x v="138"/>
    <x v="0"/>
    <x v="1"/>
    <x v="1"/>
    <n v="5000"/>
    <n v="5243"/>
    <n v="0"/>
    <n v="0"/>
    <n v="5243"/>
    <n v="22"/>
    <m/>
    <n v="22"/>
    <n v="0"/>
    <n v="1"/>
    <n v="1.0486"/>
    <n v="1"/>
    <n v="1.0486"/>
    <m/>
  </r>
  <r>
    <x v="138"/>
    <x v="0"/>
    <x v="1"/>
    <x v="2"/>
    <n v="4000"/>
    <n v="3599"/>
    <n v="0"/>
    <n v="0"/>
    <n v="3599"/>
    <m/>
    <m/>
    <s v=""/>
    <s v=""/>
    <s v=""/>
    <n v="0.89975000000000005"/>
    <n v="1"/>
    <s v=""/>
    <m/>
  </r>
  <r>
    <x v="138"/>
    <x v="0"/>
    <x v="2"/>
    <x v="2"/>
    <n v="7000"/>
    <n v="6388"/>
    <n v="0"/>
    <n v="0"/>
    <n v="6388"/>
    <n v="22"/>
    <n v="1"/>
    <n v="21"/>
    <n v="318.18181818181819"/>
    <n v="0.95454545454545459"/>
    <n v="0.91257142857142859"/>
    <n v="1"/>
    <n v="0.87109090909090914"/>
    <s v="M/C stopped for pillar fire footing work (1 hr). Production was also affected due to low gas pressure."/>
  </r>
  <r>
    <x v="138"/>
    <x v="0"/>
    <x v="3"/>
    <x v="3"/>
    <n v="7800"/>
    <n v="4803"/>
    <n v="0"/>
    <n v="0"/>
    <n v="4803"/>
    <n v="22"/>
    <n v="3"/>
    <n v="19"/>
    <n v="1063.6363636363637"/>
    <n v="0.86363636363636365"/>
    <n v="0.61576923076923074"/>
    <n v="1"/>
    <n v="0.53180069930069929"/>
    <s v="M/C stopped for the unavailability of Heat Set fabric (3 hrs)."/>
  </r>
  <r>
    <x v="138"/>
    <x v="0"/>
    <x v="10"/>
    <x v="3"/>
    <m/>
    <m/>
    <m/>
    <s v=""/>
    <n v="0"/>
    <m/>
    <m/>
    <s v=""/>
    <s v=""/>
    <s v=""/>
    <s v=""/>
    <s v=""/>
    <s v=""/>
    <m/>
  </r>
  <r>
    <x v="138"/>
    <x v="0"/>
    <x v="4"/>
    <x v="4"/>
    <n v="9000"/>
    <n v="7258"/>
    <n v="0"/>
    <n v="0"/>
    <n v="7258"/>
    <n v="22"/>
    <m/>
    <n v="22"/>
    <n v="0"/>
    <n v="1"/>
    <n v="0.80644444444444441"/>
    <n v="1"/>
    <n v="0.80644444444444441"/>
    <m/>
  </r>
  <r>
    <x v="138"/>
    <x v="0"/>
    <x v="5"/>
    <x v="4"/>
    <m/>
    <m/>
    <m/>
    <s v=""/>
    <n v="0"/>
    <m/>
    <m/>
    <s v=""/>
    <s v=""/>
    <s v=""/>
    <s v=""/>
    <s v=""/>
    <s v=""/>
    <m/>
  </r>
  <r>
    <x v="138"/>
    <x v="1"/>
    <x v="6"/>
    <x v="5"/>
    <n v="9000"/>
    <n v="5097"/>
    <n v="0"/>
    <n v="0"/>
    <n v="5097"/>
    <n v="22"/>
    <n v="7"/>
    <n v="15"/>
    <n v="2863.6363636363635"/>
    <n v="0.68181818181818177"/>
    <n v="0.56633333333333336"/>
    <n v="1"/>
    <n v="0.38613636363636361"/>
    <s v="M/C stopped for chain pinion problem in the dryer M/C (7 hrs)"/>
  </r>
  <r>
    <x v="138"/>
    <x v="1"/>
    <x v="7"/>
    <x v="6"/>
    <n v="8000"/>
    <n v="6290"/>
    <n v="0"/>
    <n v="0"/>
    <n v="6290"/>
    <n v="22"/>
    <n v="8.83"/>
    <n v="13.17"/>
    <n v="3210.909090909091"/>
    <n v="0.59863636363636363"/>
    <n v="0.78625"/>
    <n v="1"/>
    <n v="0.47067784090909093"/>
    <s v="M/C stopped for  net cleaning &amp; rollerer chain pinion er shomossha (8.50  hrs). Production was affected due to low steam pressure."/>
  </r>
  <r>
    <x v="138"/>
    <x v="1"/>
    <x v="8"/>
    <x v="4"/>
    <n v="6000"/>
    <n v="1932"/>
    <n v="0"/>
    <n v="0"/>
    <n v="1932"/>
    <n v="22"/>
    <n v="9.33"/>
    <n v="12.67"/>
    <n v="2544.545454545455"/>
    <n v="0.57590909090909093"/>
    <n v="0.32200000000000001"/>
    <n v="1"/>
    <n v="0.18544272727272729"/>
    <s v="M/C stopped due to a chain pinion problem in the dryer M/C, resulting in a shortage of fabric (7.20 hrs). Both shifts also ended 2 hours earlier than scheduled."/>
  </r>
  <r>
    <x v="138"/>
    <x v="1"/>
    <x v="9"/>
    <x v="4"/>
    <n v="5000"/>
    <n v="2041"/>
    <n v="0"/>
    <n v="0"/>
    <n v="2041"/>
    <n v="22"/>
    <n v="6.33"/>
    <n v="15.67"/>
    <n v="1438.6363636363637"/>
    <n v="0.71227272727272728"/>
    <n v="0.40820000000000001"/>
    <n v="1"/>
    <n v="0.2907497272727273"/>
    <s v="M/C stopped for rubber pulley replacement, shortage of dried fabric (4.20 hrs) and reduced production. Both shifts also ended 2 hours earlier than scheduled."/>
  </r>
  <r>
    <x v="139"/>
    <x v="0"/>
    <x v="0"/>
    <x v="0"/>
    <n v="10000"/>
    <n v="7232"/>
    <n v="0"/>
    <n v="0"/>
    <n v="7232"/>
    <n v="22"/>
    <n v="1.08"/>
    <n v="20.92"/>
    <n v="490.90909090909093"/>
    <n v="0.95090909090909104"/>
    <n v="0.72319999999999995"/>
    <n v="1"/>
    <n v="0.68769745454545461"/>
    <s v="Machine stopped for side roller bearing replacement (1.08 hrs)"/>
  </r>
  <r>
    <x v="139"/>
    <x v="0"/>
    <x v="11"/>
    <x v="0"/>
    <n v="9239"/>
    <n v="9239"/>
    <n v="0"/>
    <n v="0"/>
    <n v="9239"/>
    <m/>
    <m/>
    <s v=""/>
    <s v=""/>
    <s v=""/>
    <n v="1"/>
    <n v="1"/>
    <s v=""/>
    <m/>
  </r>
  <r>
    <x v="139"/>
    <x v="0"/>
    <x v="1"/>
    <x v="1"/>
    <n v="5000"/>
    <n v="4874"/>
    <n v="0"/>
    <n v="0"/>
    <n v="4874"/>
    <n v="22"/>
    <m/>
    <n v="22"/>
    <n v="0"/>
    <n v="1"/>
    <n v="0.9748"/>
    <n v="1"/>
    <n v="0.9748"/>
    <m/>
  </r>
  <r>
    <x v="139"/>
    <x v="0"/>
    <x v="1"/>
    <x v="2"/>
    <n v="4000"/>
    <n v="3861"/>
    <n v="0"/>
    <n v="0"/>
    <n v="3861"/>
    <m/>
    <m/>
    <s v=""/>
    <s v=""/>
    <s v=""/>
    <n v="0.96525000000000005"/>
    <n v="1"/>
    <s v=""/>
    <m/>
  </r>
  <r>
    <x v="139"/>
    <x v="0"/>
    <x v="2"/>
    <x v="2"/>
    <n v="7000"/>
    <n v="7159"/>
    <n v="0"/>
    <n v="0"/>
    <n v="7159"/>
    <n v="22"/>
    <m/>
    <n v="22"/>
    <n v="0"/>
    <n v="1"/>
    <n v="1.0227142857142857"/>
    <n v="1"/>
    <n v="1.0227142857142857"/>
    <m/>
  </r>
  <r>
    <x v="139"/>
    <x v="0"/>
    <x v="3"/>
    <x v="3"/>
    <n v="7800"/>
    <n v="6583"/>
    <n v="0"/>
    <n v="0"/>
    <n v="6583"/>
    <n v="22"/>
    <n v="1.5"/>
    <n v="20.5"/>
    <n v="531.81818181818187"/>
    <n v="0.93181818181818177"/>
    <n v="0.84397435897435902"/>
    <n v="1"/>
    <n v="0.78643065268065271"/>
    <s v="M/C stopped for repeated needle bar breakage (1.30 hrs)"/>
  </r>
  <r>
    <x v="139"/>
    <x v="0"/>
    <x v="10"/>
    <x v="3"/>
    <m/>
    <m/>
    <m/>
    <s v=""/>
    <n v="0"/>
    <m/>
    <m/>
    <s v=""/>
    <s v=""/>
    <s v=""/>
    <s v=""/>
    <s v=""/>
    <s v=""/>
    <m/>
  </r>
  <r>
    <x v="139"/>
    <x v="0"/>
    <x v="4"/>
    <x v="4"/>
    <n v="9000"/>
    <n v="6950"/>
    <n v="0"/>
    <n v="0"/>
    <n v="6950"/>
    <n v="22"/>
    <m/>
    <n v="22"/>
    <n v="0"/>
    <n v="1"/>
    <n v="0.77222222222222225"/>
    <n v="1"/>
    <n v="0.77222222222222225"/>
    <m/>
  </r>
  <r>
    <x v="139"/>
    <x v="0"/>
    <x v="5"/>
    <x v="4"/>
    <m/>
    <m/>
    <m/>
    <s v=""/>
    <n v="0"/>
    <m/>
    <m/>
    <s v=""/>
    <s v=""/>
    <s v=""/>
    <s v=""/>
    <s v=""/>
    <s v=""/>
    <m/>
  </r>
  <r>
    <x v="139"/>
    <x v="1"/>
    <x v="6"/>
    <x v="5"/>
    <n v="9000"/>
    <n v="6036"/>
    <n v="0"/>
    <n v="0"/>
    <n v="6036"/>
    <n v="22"/>
    <n v="7"/>
    <n v="15"/>
    <n v="2863.6363636363635"/>
    <n v="0.68181818181818177"/>
    <n v="0.67066666666666663"/>
    <n v="1"/>
    <n v="0.45727272727272722"/>
    <s v="M/C stopped for chain pinion problem in the dryer M/C (7 hrs)"/>
  </r>
  <r>
    <x v="139"/>
    <x v="1"/>
    <x v="7"/>
    <x v="6"/>
    <n v="8000"/>
    <n v="6292"/>
    <n v="0"/>
    <n v="0"/>
    <n v="6292"/>
    <n v="22"/>
    <n v="3.33"/>
    <n v="18.670000000000002"/>
    <n v="1210.909090909091"/>
    <n v="0.84863636363636374"/>
    <n v="0.78649999999999998"/>
    <n v="1"/>
    <n v="0.66745250000000012"/>
    <s v="M/C stopped for net cleaning and unavailability of fabric (3.20 hrs). Production was also affected due to low steam pressure."/>
  </r>
  <r>
    <x v="139"/>
    <x v="1"/>
    <x v="8"/>
    <x v="4"/>
    <n v="6000"/>
    <n v="3443"/>
    <n v="0"/>
    <n v="0"/>
    <n v="3443"/>
    <n v="22"/>
    <n v="2"/>
    <n v="20"/>
    <n v="545.4545454545455"/>
    <n v="0.90909090909090906"/>
    <n v="0.57383333333333331"/>
    <n v="1"/>
    <n v="0.52166666666666661"/>
    <s v="M/C stopped for unavailability of T/F fabric (2 hrs)"/>
  </r>
  <r>
    <x v="139"/>
    <x v="1"/>
    <x v="9"/>
    <x v="4"/>
    <n v="5000"/>
    <n v="2353"/>
    <n v="0"/>
    <n v="0"/>
    <n v="2353"/>
    <n v="22"/>
    <n v="8"/>
    <n v="14"/>
    <n v="1818.1818181818182"/>
    <n v="0.63636363636363635"/>
    <n v="0.47060000000000002"/>
    <n v="1"/>
    <n v="0.29947272727272728"/>
    <s v="M/C stopped for unavailability of T/F fabric (8 hrs)"/>
  </r>
  <r>
    <x v="140"/>
    <x v="0"/>
    <x v="0"/>
    <x v="0"/>
    <n v="10000"/>
    <n v="6979"/>
    <n v="0"/>
    <n v="0"/>
    <n v="6979"/>
    <n v="22"/>
    <n v="1"/>
    <n v="21"/>
    <n v="454.54545454545456"/>
    <n v="0.95454545454545459"/>
    <n v="0.69789999999999996"/>
    <n v="1"/>
    <n v="0.66617727272727267"/>
    <s v="M/C stopped for water pump maintenance. (1 hr)"/>
  </r>
  <r>
    <x v="140"/>
    <x v="0"/>
    <x v="11"/>
    <x v="0"/>
    <n v="10066"/>
    <n v="10066"/>
    <n v="0"/>
    <n v="0"/>
    <n v="10066"/>
    <m/>
    <m/>
    <s v=""/>
    <s v=""/>
    <s v=""/>
    <n v="1"/>
    <n v="1"/>
    <s v=""/>
    <m/>
  </r>
  <r>
    <x v="140"/>
    <x v="0"/>
    <x v="1"/>
    <x v="1"/>
    <n v="5000"/>
    <n v="5485"/>
    <n v="0"/>
    <n v="0"/>
    <n v="5485"/>
    <n v="22"/>
    <m/>
    <n v="22"/>
    <n v="0"/>
    <n v="1"/>
    <n v="1.097"/>
    <n v="1"/>
    <n v="1.097"/>
    <m/>
  </r>
  <r>
    <x v="140"/>
    <x v="0"/>
    <x v="1"/>
    <x v="2"/>
    <n v="4000"/>
    <n v="3613"/>
    <n v="0"/>
    <n v="0"/>
    <n v="3613"/>
    <m/>
    <m/>
    <s v=""/>
    <s v=""/>
    <s v=""/>
    <n v="0.90325"/>
    <n v="1"/>
    <s v=""/>
    <m/>
  </r>
  <r>
    <x v="140"/>
    <x v="0"/>
    <x v="2"/>
    <x v="2"/>
    <n v="7000"/>
    <n v="6618"/>
    <n v="0"/>
    <n v="0"/>
    <n v="6618"/>
    <n v="22"/>
    <m/>
    <n v="22"/>
    <n v="0"/>
    <n v="1"/>
    <n v="0.9454285714285714"/>
    <n v="1"/>
    <n v="0.9454285714285714"/>
    <m/>
  </r>
  <r>
    <x v="140"/>
    <x v="0"/>
    <x v="3"/>
    <x v="3"/>
    <n v="7800"/>
    <n v="5144"/>
    <n v="0"/>
    <n v="0"/>
    <n v="5144"/>
    <n v="22"/>
    <n v="1.5"/>
    <n v="20.5"/>
    <n v="531.81818181818187"/>
    <n v="0.93181818181818177"/>
    <n v="0.6594871794871795"/>
    <n v="1"/>
    <n v="0.61452214452214449"/>
    <s v="M/C stopped for repeated needle bar breakage (1.30 hrs)"/>
  </r>
  <r>
    <x v="140"/>
    <x v="0"/>
    <x v="10"/>
    <x v="3"/>
    <m/>
    <m/>
    <m/>
    <s v=""/>
    <n v="0"/>
    <m/>
    <m/>
    <s v=""/>
    <s v=""/>
    <s v=""/>
    <s v=""/>
    <s v=""/>
    <s v=""/>
    <m/>
  </r>
  <r>
    <x v="140"/>
    <x v="0"/>
    <x v="4"/>
    <x v="4"/>
    <n v="9000"/>
    <n v="7350"/>
    <n v="0"/>
    <n v="0"/>
    <n v="7350"/>
    <n v="22"/>
    <n v="3.67"/>
    <n v="18.329999999999998"/>
    <n v="1501.3636363636363"/>
    <n v="0.83318181818181813"/>
    <n v="0.81666666666666665"/>
    <n v="1"/>
    <n v="0.68043181818181808"/>
    <s v="M/C stopped for unavailability of fabric. (3.40 hrs)"/>
  </r>
  <r>
    <x v="140"/>
    <x v="0"/>
    <x v="5"/>
    <x v="4"/>
    <m/>
    <m/>
    <m/>
    <s v=""/>
    <n v="0"/>
    <m/>
    <m/>
    <s v=""/>
    <s v=""/>
    <s v=""/>
    <s v=""/>
    <s v=""/>
    <s v=""/>
    <m/>
  </r>
  <r>
    <x v="140"/>
    <x v="1"/>
    <x v="6"/>
    <x v="5"/>
    <n v="9000"/>
    <n v="7689"/>
    <n v="0"/>
    <n v="0"/>
    <n v="7689"/>
    <n v="22"/>
    <m/>
    <n v="22"/>
    <n v="0"/>
    <n v="1"/>
    <n v="0.85433333333333328"/>
    <n v="1"/>
    <n v="0.85433333333333328"/>
    <m/>
  </r>
  <r>
    <x v="140"/>
    <x v="1"/>
    <x v="7"/>
    <x v="6"/>
    <n v="8000"/>
    <n v="7421"/>
    <n v="0"/>
    <n v="0"/>
    <n v="7421"/>
    <n v="22"/>
    <n v="3.17"/>
    <n v="18.829999999999998"/>
    <n v="1152.7272727272727"/>
    <n v="0.85590909090909084"/>
    <n v="0.92762500000000003"/>
    <n v="1"/>
    <n v="0.79396267045454538"/>
    <s v="M/C stopped for net cleaning and due to PDB issues (3.10 hrs). Production was also affected due to low steam pressure."/>
  </r>
  <r>
    <x v="140"/>
    <x v="1"/>
    <x v="8"/>
    <x v="4"/>
    <n v="6000"/>
    <n v="3404"/>
    <n v="0"/>
    <n v="0"/>
    <n v="3404"/>
    <n v="22"/>
    <n v="4"/>
    <n v="18"/>
    <n v="1090.909090909091"/>
    <n v="0.81818181818181823"/>
    <n v="0.56733333333333336"/>
    <n v="1"/>
    <n v="0.46418181818181825"/>
    <s v="M/C stopped for unavailability of T/F fabric (2 hrs). B shift also ended 2 hours earlier than scheduled."/>
  </r>
  <r>
    <x v="140"/>
    <x v="1"/>
    <x v="9"/>
    <x v="4"/>
    <n v="5000"/>
    <n v="3444"/>
    <n v="0"/>
    <n v="0"/>
    <n v="3444"/>
    <n v="22"/>
    <n v="2.5"/>
    <n v="19.5"/>
    <n v="568.18181818181824"/>
    <n v="0.88636363636363635"/>
    <n v="0.68879999999999997"/>
    <n v="1"/>
    <n v="0.6105272727272727"/>
    <s v="M/C stopped for unavailability of T/F fabric (2.30 hrs)"/>
  </r>
  <r>
    <x v="141"/>
    <x v="0"/>
    <x v="0"/>
    <x v="0"/>
    <n v="10000"/>
    <n v="7460"/>
    <n v="0"/>
    <n v="0"/>
    <n v="7460"/>
    <n v="22"/>
    <n v="1.5"/>
    <n v="20.5"/>
    <n v="681.81818181818187"/>
    <n v="0.93181818181818177"/>
    <n v="0.746"/>
    <n v="1"/>
    <n v="0.69513636363636355"/>
    <s v="Machine stopped for basket  problem (1.30  hrs)"/>
  </r>
  <r>
    <x v="141"/>
    <x v="0"/>
    <x v="11"/>
    <x v="0"/>
    <n v="9907"/>
    <n v="9907"/>
    <n v="0"/>
    <n v="0"/>
    <n v="9907"/>
    <m/>
    <m/>
    <s v=""/>
    <s v=""/>
    <s v=""/>
    <n v="1"/>
    <n v="1"/>
    <s v=""/>
    <m/>
  </r>
  <r>
    <x v="141"/>
    <x v="0"/>
    <x v="1"/>
    <x v="1"/>
    <n v="5000"/>
    <n v="5636"/>
    <n v="0"/>
    <n v="0"/>
    <n v="5636"/>
    <n v="22"/>
    <m/>
    <n v="22"/>
    <n v="0"/>
    <n v="1"/>
    <n v="1.1272"/>
    <n v="1"/>
    <n v="1.1272"/>
    <m/>
  </r>
  <r>
    <x v="141"/>
    <x v="0"/>
    <x v="1"/>
    <x v="2"/>
    <n v="4000"/>
    <n v="3039"/>
    <n v="0"/>
    <n v="0"/>
    <n v="3039"/>
    <m/>
    <m/>
    <s v=""/>
    <s v=""/>
    <s v=""/>
    <n v="0.75975000000000004"/>
    <n v="1"/>
    <s v=""/>
    <m/>
  </r>
  <r>
    <x v="141"/>
    <x v="0"/>
    <x v="2"/>
    <x v="2"/>
    <n v="7000"/>
    <n v="7121"/>
    <n v="0"/>
    <n v="0"/>
    <n v="7121"/>
    <n v="22"/>
    <m/>
    <n v="22"/>
    <n v="0"/>
    <n v="1"/>
    <n v="1.0172857142857143"/>
    <n v="1"/>
    <n v="1.0172857142857143"/>
    <m/>
  </r>
  <r>
    <x v="141"/>
    <x v="0"/>
    <x v="3"/>
    <x v="3"/>
    <n v="7800"/>
    <n v="5492"/>
    <n v="0"/>
    <n v="0"/>
    <n v="5492"/>
    <n v="22"/>
    <n v="4"/>
    <n v="18"/>
    <n v="1418.1818181818182"/>
    <n v="0.81818181818181823"/>
    <n v="0.70410256410256411"/>
    <n v="1"/>
    <n v="0.57608391608391618"/>
    <s v="M/C stopped for the unavailability of Heat Set fabric (4 hrs)"/>
  </r>
  <r>
    <x v="141"/>
    <x v="0"/>
    <x v="10"/>
    <x v="3"/>
    <m/>
    <m/>
    <m/>
    <s v=""/>
    <n v="0"/>
    <m/>
    <m/>
    <s v=""/>
    <s v=""/>
    <s v=""/>
    <s v=""/>
    <s v=""/>
    <s v=""/>
    <m/>
  </r>
  <r>
    <x v="141"/>
    <x v="0"/>
    <x v="4"/>
    <x v="4"/>
    <n v="9000"/>
    <n v="8072"/>
    <n v="0"/>
    <n v="0"/>
    <n v="8072"/>
    <n v="22"/>
    <n v="3.33"/>
    <n v="18.670000000000002"/>
    <n v="1362.2727272727273"/>
    <n v="0.84863636363636374"/>
    <n v="0.89688888888888885"/>
    <n v="1"/>
    <n v="0.76113252525252528"/>
    <s v="Machine stopped for air jog problem. (3.20 hrs)"/>
  </r>
  <r>
    <x v="141"/>
    <x v="0"/>
    <x v="5"/>
    <x v="4"/>
    <m/>
    <m/>
    <m/>
    <s v=""/>
    <n v="0"/>
    <m/>
    <m/>
    <s v=""/>
    <s v=""/>
    <s v=""/>
    <s v=""/>
    <s v=""/>
    <s v=""/>
    <m/>
  </r>
  <r>
    <x v="141"/>
    <x v="1"/>
    <x v="6"/>
    <x v="5"/>
    <n v="9000"/>
    <n v="7673"/>
    <n v="0"/>
    <n v="0"/>
    <n v="7673"/>
    <n v="22"/>
    <m/>
    <n v="22"/>
    <n v="0"/>
    <n v="1"/>
    <n v="0.85255555555555551"/>
    <n v="1"/>
    <n v="0.85255555555555551"/>
    <m/>
  </r>
  <r>
    <x v="141"/>
    <x v="1"/>
    <x v="7"/>
    <x v="6"/>
    <n v="8000"/>
    <n v="7456"/>
    <n v="0"/>
    <n v="0"/>
    <n v="7456"/>
    <n v="22"/>
    <n v="2.42"/>
    <n v="19.579999999999998"/>
    <n v="880"/>
    <n v="0.8899999999999999"/>
    <n v="0.93200000000000005"/>
    <n v="1"/>
    <n v="0.82948"/>
    <s v="Machine stopped for net cleaning and due to a limit switch problem (2.25 hrs). Production was also affected by low steam pressure."/>
  </r>
  <r>
    <x v="141"/>
    <x v="1"/>
    <x v="8"/>
    <x v="4"/>
    <n v="6000"/>
    <n v="3219"/>
    <n v="0"/>
    <n v="0"/>
    <n v="3219"/>
    <n v="22"/>
    <n v="4"/>
    <n v="18"/>
    <n v="1090.909090909091"/>
    <n v="0.81818181818181823"/>
    <n v="0.53649999999999998"/>
    <n v="1"/>
    <n v="0.43895454545454549"/>
    <s v="Machine stopped for net cleaning and due to a limit switch problem (2.25 hrs). Production was also affected by low steam pressure."/>
  </r>
  <r>
    <x v="141"/>
    <x v="1"/>
    <x v="9"/>
    <x v="4"/>
    <n v="5000"/>
    <n v="4147"/>
    <n v="0"/>
    <n v="0"/>
    <n v="4147"/>
    <n v="22"/>
    <n v="2"/>
    <n v="20"/>
    <n v="454.54545454545456"/>
    <n v="0.90909090909090906"/>
    <n v="0.82940000000000003"/>
    <n v="1"/>
    <n v="0.754"/>
    <s v="Production was affected  for unavailability of T/F fabric. A shift also ended 2 hours earlier than scheduled."/>
  </r>
  <r>
    <x v="142"/>
    <x v="0"/>
    <x v="0"/>
    <x v="0"/>
    <n v="13000"/>
    <n v="11510"/>
    <n v="0"/>
    <n v="0"/>
    <n v="11510"/>
    <n v="22"/>
    <m/>
    <n v="22"/>
    <n v="0"/>
    <n v="1"/>
    <n v="0.88538461538461544"/>
    <n v="1"/>
    <n v="0.88538461538461544"/>
    <m/>
  </r>
  <r>
    <x v="142"/>
    <x v="0"/>
    <x v="11"/>
    <x v="0"/>
    <n v="12308"/>
    <n v="12308"/>
    <n v="0"/>
    <n v="0"/>
    <n v="12308"/>
    <m/>
    <m/>
    <s v=""/>
    <s v=""/>
    <s v=""/>
    <n v="1"/>
    <n v="1"/>
    <s v=""/>
    <m/>
  </r>
  <r>
    <x v="142"/>
    <x v="0"/>
    <x v="1"/>
    <x v="1"/>
    <n v="12000"/>
    <n v="11182"/>
    <n v="0"/>
    <n v="0"/>
    <n v="11182"/>
    <n v="22"/>
    <m/>
    <n v="22"/>
    <n v="0"/>
    <n v="1"/>
    <n v="0.93183333333333329"/>
    <n v="1"/>
    <n v="0.93183333333333329"/>
    <m/>
  </r>
  <r>
    <x v="142"/>
    <x v="0"/>
    <x v="1"/>
    <x v="2"/>
    <n v="4000"/>
    <n v="2170"/>
    <n v="0"/>
    <n v="0"/>
    <n v="2170"/>
    <m/>
    <m/>
    <s v=""/>
    <s v=""/>
    <s v=""/>
    <n v="0.54249999999999998"/>
    <n v="1"/>
    <s v=""/>
    <m/>
  </r>
  <r>
    <x v="142"/>
    <x v="0"/>
    <x v="2"/>
    <x v="2"/>
    <n v="10000"/>
    <n v="10084"/>
    <n v="0"/>
    <n v="0"/>
    <n v="10084"/>
    <n v="22"/>
    <m/>
    <n v="22"/>
    <n v="0"/>
    <n v="1"/>
    <n v="1.0084"/>
    <n v="1"/>
    <n v="1.0084"/>
    <m/>
  </r>
  <r>
    <x v="142"/>
    <x v="0"/>
    <x v="3"/>
    <x v="3"/>
    <n v="11700"/>
    <n v="8459"/>
    <n v="0"/>
    <n v="0"/>
    <n v="8459"/>
    <n v="22"/>
    <m/>
    <n v="22"/>
    <n v="0"/>
    <n v="1"/>
    <n v="0.72299145299145295"/>
    <n v="1"/>
    <n v="0.72299145299145295"/>
    <m/>
  </r>
  <r>
    <x v="142"/>
    <x v="0"/>
    <x v="10"/>
    <x v="3"/>
    <m/>
    <m/>
    <m/>
    <s v=""/>
    <n v="0"/>
    <m/>
    <m/>
    <s v=""/>
    <s v=""/>
    <s v=""/>
    <s v=""/>
    <s v=""/>
    <s v=""/>
    <m/>
  </r>
  <r>
    <x v="142"/>
    <x v="0"/>
    <x v="4"/>
    <x v="4"/>
    <n v="9000"/>
    <n v="5972"/>
    <n v="0"/>
    <n v="0"/>
    <n v="5972"/>
    <n v="22"/>
    <m/>
    <n v="22"/>
    <n v="0"/>
    <n v="1"/>
    <n v="0.66355555555555557"/>
    <n v="1"/>
    <n v="0.66355555555555557"/>
    <m/>
  </r>
  <r>
    <x v="142"/>
    <x v="0"/>
    <x v="5"/>
    <x v="4"/>
    <m/>
    <m/>
    <m/>
    <s v=""/>
    <n v="0"/>
    <m/>
    <m/>
    <s v=""/>
    <s v=""/>
    <s v=""/>
    <s v=""/>
    <s v=""/>
    <s v=""/>
    <m/>
  </r>
  <r>
    <x v="142"/>
    <x v="1"/>
    <x v="6"/>
    <x v="5"/>
    <n v="9000"/>
    <n v="5484"/>
    <n v="0"/>
    <n v="0"/>
    <n v="5484"/>
    <n v="22"/>
    <m/>
    <n v="22"/>
    <n v="0"/>
    <n v="1"/>
    <n v="0.60933333333333328"/>
    <n v="1"/>
    <n v="0.60933333333333328"/>
    <m/>
  </r>
  <r>
    <x v="142"/>
    <x v="1"/>
    <x v="7"/>
    <x v="6"/>
    <n v="8000"/>
    <n v="6538"/>
    <n v="0"/>
    <n v="0"/>
    <n v="6538"/>
    <n v="22"/>
    <n v="4.58"/>
    <n v="17.420000000000002"/>
    <n v="1665.4545454545455"/>
    <n v="0.79181818181818187"/>
    <n v="0.81725000000000003"/>
    <n v="1"/>
    <n v="0.6471134090909092"/>
    <s v="M/C was stopped for net cleaning, steam line welding, and PDB issues (4.35 hrs). Production was also affected due to low steam pressure."/>
  </r>
  <r>
    <x v="142"/>
    <x v="1"/>
    <x v="8"/>
    <x v="4"/>
    <n v="6000"/>
    <n v="2381"/>
    <n v="0"/>
    <n v="0"/>
    <n v="2381"/>
    <n v="22"/>
    <n v="6.83"/>
    <n v="15.17"/>
    <n v="1862.727272727273"/>
    <n v="0.68954545454545457"/>
    <n v="0.39683333333333332"/>
    <n v="1"/>
    <n v="0.27363462121212123"/>
    <s v="M/C stopped for unavailability of T/F fabric (4.50 hrs). B shift also ended 2 hrs earlier than scheduled."/>
  </r>
  <r>
    <x v="142"/>
    <x v="1"/>
    <x v="9"/>
    <x v="4"/>
    <n v="5000"/>
    <n v="2573"/>
    <n v="0"/>
    <n v="0"/>
    <n v="2573"/>
    <n v="22"/>
    <n v="2"/>
    <n v="20"/>
    <n v="454.54545454545456"/>
    <n v="0.90909090909090906"/>
    <n v="0.51459999999999995"/>
    <n v="1"/>
    <n v="0.46781818181818174"/>
    <s v="Production was affected  for unavailability of T/F fabric.B shift also ended 2 hours earlier than scheduled."/>
  </r>
  <r>
    <x v="143"/>
    <x v="0"/>
    <x v="0"/>
    <x v="0"/>
    <n v="10000"/>
    <n v="9054"/>
    <n v="0"/>
    <n v="0"/>
    <n v="9054"/>
    <n v="22"/>
    <m/>
    <n v="22"/>
    <n v="0"/>
    <n v="1"/>
    <n v="0.90539999999999998"/>
    <n v="1"/>
    <n v="0.90539999999999998"/>
    <m/>
  </r>
  <r>
    <x v="143"/>
    <x v="0"/>
    <x v="11"/>
    <x v="0"/>
    <n v="9907"/>
    <n v="9464"/>
    <n v="0"/>
    <n v="0"/>
    <n v="9464"/>
    <m/>
    <m/>
    <s v=""/>
    <s v=""/>
    <s v=""/>
    <n v="0.95528414252548699"/>
    <n v="1"/>
    <s v=""/>
    <m/>
  </r>
  <r>
    <x v="143"/>
    <x v="0"/>
    <x v="1"/>
    <x v="1"/>
    <n v="5000"/>
    <n v="5722"/>
    <n v="0"/>
    <n v="0"/>
    <n v="5722"/>
    <n v="22"/>
    <m/>
    <n v="22"/>
    <n v="0"/>
    <n v="1"/>
    <n v="1.1444000000000001"/>
    <n v="1"/>
    <n v="1.1444000000000001"/>
    <m/>
  </r>
  <r>
    <x v="143"/>
    <x v="0"/>
    <x v="1"/>
    <x v="2"/>
    <n v="4000"/>
    <n v="2741"/>
    <n v="0"/>
    <n v="0"/>
    <n v="2741"/>
    <m/>
    <m/>
    <s v=""/>
    <s v=""/>
    <s v=""/>
    <n v="0.68525000000000003"/>
    <n v="1"/>
    <s v=""/>
    <m/>
  </r>
  <r>
    <x v="143"/>
    <x v="0"/>
    <x v="2"/>
    <x v="2"/>
    <n v="7000"/>
    <n v="6785"/>
    <n v="0"/>
    <n v="0"/>
    <n v="6785"/>
    <n v="22"/>
    <n v="2.33"/>
    <n v="19.670000000000002"/>
    <n v="741.36363636363637"/>
    <n v="0.89409090909090916"/>
    <n v="0.96928571428571431"/>
    <n v="1"/>
    <n v="0.86662954545454551"/>
    <s v="M/C stopped for panel board repair work (2.20 hrs)."/>
  </r>
  <r>
    <x v="143"/>
    <x v="0"/>
    <x v="3"/>
    <x v="3"/>
    <n v="7800"/>
    <n v="5735"/>
    <n v="0"/>
    <n v="0"/>
    <n v="5735"/>
    <n v="22"/>
    <n v="3.5"/>
    <n v="18.5"/>
    <n v="1240.909090909091"/>
    <n v="0.84090909090909094"/>
    <n v="0.73525641025641031"/>
    <n v="1"/>
    <n v="0.61828379953379964"/>
    <s v="M/C stopped for the unavailability of Heat Set fabric (3.30 hrs)."/>
  </r>
  <r>
    <x v="143"/>
    <x v="0"/>
    <x v="10"/>
    <x v="3"/>
    <m/>
    <m/>
    <m/>
    <s v=""/>
    <n v="0"/>
    <m/>
    <m/>
    <s v=""/>
    <s v=""/>
    <s v=""/>
    <s v=""/>
    <s v=""/>
    <s v=""/>
    <m/>
  </r>
  <r>
    <x v="143"/>
    <x v="0"/>
    <x v="4"/>
    <x v="4"/>
    <n v="9000"/>
    <n v="7243"/>
    <n v="0"/>
    <n v="0"/>
    <n v="7243"/>
    <n v="22"/>
    <m/>
    <n v="22"/>
    <n v="0"/>
    <n v="1"/>
    <n v="0.80477777777777781"/>
    <n v="1"/>
    <n v="0.80477777777777781"/>
    <m/>
  </r>
  <r>
    <x v="143"/>
    <x v="0"/>
    <x v="5"/>
    <x v="4"/>
    <m/>
    <n v="1002"/>
    <m/>
    <n v="0"/>
    <n v="1002"/>
    <m/>
    <m/>
    <s v=""/>
    <s v=""/>
    <s v=""/>
    <s v=""/>
    <n v="1"/>
    <s v=""/>
    <m/>
  </r>
  <r>
    <x v="143"/>
    <x v="1"/>
    <x v="6"/>
    <x v="5"/>
    <n v="9000"/>
    <n v="4165"/>
    <n v="0"/>
    <n v="0"/>
    <n v="4165"/>
    <n v="22"/>
    <m/>
    <n v="22"/>
    <n v="0"/>
    <n v="1"/>
    <n v="0.46277777777777779"/>
    <n v="1"/>
    <n v="0.46277777777777779"/>
    <m/>
  </r>
  <r>
    <x v="143"/>
    <x v="1"/>
    <x v="7"/>
    <x v="6"/>
    <n v="8000"/>
    <n v="4184"/>
    <n v="0"/>
    <n v="0"/>
    <n v="4184"/>
    <n v="22"/>
    <n v="7.5"/>
    <n v="14.5"/>
    <n v="2727.272727272727"/>
    <n v="0.65909090909090906"/>
    <n v="0.52300000000000002"/>
    <n v="1"/>
    <n v="0.34470454545454543"/>
    <s v="M/C stopped for net cleaning and due to low fabric availability (3.30 hrs). Both shifts ended 2 hours earlier than scheduled."/>
  </r>
  <r>
    <x v="143"/>
    <x v="1"/>
    <x v="8"/>
    <x v="4"/>
    <n v="6000"/>
    <n v="2609"/>
    <n v="0"/>
    <n v="0"/>
    <n v="2609"/>
    <n v="22"/>
    <n v="4"/>
    <n v="18"/>
    <n v="1090.909090909091"/>
    <n v="0.81818181818181823"/>
    <n v="0.43483333333333335"/>
    <n v="1"/>
    <n v="0.3557727272727273"/>
    <s v="Production was affected  for unavailability of T/F fabric.Both shift also ended 2 hours earlier than scheduled."/>
  </r>
  <r>
    <x v="143"/>
    <x v="1"/>
    <x v="9"/>
    <x v="4"/>
    <n v="5000"/>
    <n v="2798"/>
    <n v="0"/>
    <n v="0"/>
    <n v="2798"/>
    <n v="22"/>
    <n v="4"/>
    <n v="18"/>
    <n v="909.09090909090912"/>
    <n v="0.81818181818181823"/>
    <n v="0.55959999999999999"/>
    <n v="1"/>
    <n v="0.45785454545454546"/>
    <s v="Production was affected  for unavailability of T/F fabric.Both shift also ended 2 hours earlier than scheduled."/>
  </r>
  <r>
    <x v="144"/>
    <x v="0"/>
    <x v="0"/>
    <x v="0"/>
    <n v="10000"/>
    <n v="9540"/>
    <n v="0"/>
    <n v="0"/>
    <n v="9540"/>
    <n v="22"/>
    <m/>
    <n v="22"/>
    <n v="0"/>
    <n v="1"/>
    <n v="0.95399999999999996"/>
    <n v="1"/>
    <n v="0.95399999999999996"/>
    <m/>
  </r>
  <r>
    <x v="144"/>
    <x v="0"/>
    <x v="11"/>
    <x v="0"/>
    <n v="10215"/>
    <n v="10215"/>
    <n v="0"/>
    <n v="0"/>
    <n v="10215"/>
    <m/>
    <m/>
    <s v=""/>
    <s v=""/>
    <s v=""/>
    <n v="1"/>
    <n v="1"/>
    <s v=""/>
    <m/>
  </r>
  <r>
    <x v="144"/>
    <x v="0"/>
    <x v="1"/>
    <x v="1"/>
    <n v="5000"/>
    <n v="4732"/>
    <n v="0"/>
    <n v="0"/>
    <n v="4732"/>
    <n v="22"/>
    <n v="0.57999999999999996"/>
    <n v="21.42"/>
    <n v="131.81818181818181"/>
    <n v="0.97363636363636374"/>
    <n v="0.94640000000000002"/>
    <n v="1"/>
    <n v="0.92144945454545468"/>
    <s v="M/C stopped for shade issue in Black fabric for Adidas buyer, W/O: 2026/823, Lot: 3063. (35 min)"/>
  </r>
  <r>
    <x v="144"/>
    <x v="0"/>
    <x v="1"/>
    <x v="2"/>
    <n v="4000"/>
    <n v="4832"/>
    <n v="0"/>
    <n v="0"/>
    <n v="4832"/>
    <m/>
    <m/>
    <s v=""/>
    <s v=""/>
    <s v=""/>
    <n v="1.208"/>
    <n v="1"/>
    <s v=""/>
    <m/>
  </r>
  <r>
    <x v="144"/>
    <x v="0"/>
    <x v="2"/>
    <x v="2"/>
    <n v="7000"/>
    <n v="6917"/>
    <n v="0"/>
    <n v="0"/>
    <n v="6917"/>
    <n v="22"/>
    <n v="1.83"/>
    <n v="20.170000000000002"/>
    <n v="582.27272727272725"/>
    <n v="0.91681818181818187"/>
    <n v="0.9881428571428571"/>
    <n v="1"/>
    <n v="0.9059473376623377"/>
    <s v="M/C stopped due to fabric not being ready (1.50 hrs)."/>
  </r>
  <r>
    <x v="144"/>
    <x v="0"/>
    <x v="3"/>
    <x v="3"/>
    <n v="7800"/>
    <n v="7019"/>
    <n v="0"/>
    <n v="0"/>
    <n v="7019"/>
    <n v="22"/>
    <n v="3"/>
    <n v="19"/>
    <n v="1063.6363636363637"/>
    <n v="0.86363636363636365"/>
    <n v="0.89987179487179492"/>
    <n v="1"/>
    <n v="0.77716200466200469"/>
    <s v="M/C stopped for the unavailability of Heat Set fabric (3 hrs)."/>
  </r>
  <r>
    <x v="144"/>
    <x v="0"/>
    <x v="10"/>
    <x v="3"/>
    <m/>
    <m/>
    <m/>
    <s v=""/>
    <n v="0"/>
    <m/>
    <m/>
    <s v=""/>
    <s v=""/>
    <s v=""/>
    <s v=""/>
    <s v=""/>
    <s v=""/>
    <m/>
  </r>
  <r>
    <x v="144"/>
    <x v="0"/>
    <x v="4"/>
    <x v="4"/>
    <n v="9000"/>
    <n v="9301"/>
    <n v="0"/>
    <n v="0"/>
    <n v="9301"/>
    <n v="22"/>
    <m/>
    <n v="22"/>
    <n v="0"/>
    <n v="1"/>
    <n v="1.0334444444444444"/>
    <n v="1"/>
    <n v="1.0334444444444444"/>
    <m/>
  </r>
  <r>
    <x v="144"/>
    <x v="0"/>
    <x v="5"/>
    <x v="4"/>
    <m/>
    <n v="398"/>
    <m/>
    <n v="0"/>
    <n v="398"/>
    <m/>
    <m/>
    <s v=""/>
    <s v=""/>
    <s v=""/>
    <s v=""/>
    <n v="1"/>
    <s v=""/>
    <m/>
  </r>
  <r>
    <x v="144"/>
    <x v="1"/>
    <x v="6"/>
    <x v="5"/>
    <n v="9000"/>
    <n v="4923"/>
    <n v="0"/>
    <n v="0"/>
    <n v="4923"/>
    <n v="22"/>
    <n v="2"/>
    <n v="20"/>
    <n v="818.18181818181813"/>
    <n v="0.90909090909090906"/>
    <n v="0.54700000000000004"/>
    <n v="1"/>
    <n v="0.49727272727272731"/>
    <s v="Production was affected  for unavailability of T/F fabric. B Shift ended 2 hrs earlier than scheduled."/>
  </r>
  <r>
    <x v="144"/>
    <x v="1"/>
    <x v="7"/>
    <x v="6"/>
    <n v="8000"/>
    <n v="4921"/>
    <n v="0"/>
    <n v="0"/>
    <n v="4921"/>
    <n v="22"/>
    <n v="5.17"/>
    <n v="16.829999999999998"/>
    <n v="1880"/>
    <n v="0.7649999999999999"/>
    <n v="0.61512500000000003"/>
    <n v="1"/>
    <n v="0.47057062499999996"/>
    <s v="M/C stopped for net cleaning and due to 2NO motor faults (3.10 hours). B Shift ended 2 hours earlier than scheduled."/>
  </r>
  <r>
    <x v="144"/>
    <x v="1"/>
    <x v="8"/>
    <x v="4"/>
    <n v="6000"/>
    <n v="1530"/>
    <n v="0"/>
    <n v="0"/>
    <n v="1530"/>
    <n v="22"/>
    <n v="10.5"/>
    <n v="11.5"/>
    <n v="2863.636363636364"/>
    <n v="0.52272727272727271"/>
    <n v="0.255"/>
    <n v="1"/>
    <n v="0.13329545454545455"/>
    <s v="M/C stopped for unavailability of T/F fabric (6.30 hrs). Both shift also ended 2 hours earlier than scheduled."/>
  </r>
  <r>
    <x v="144"/>
    <x v="1"/>
    <x v="9"/>
    <x v="4"/>
    <n v="5000"/>
    <n v="3273"/>
    <n v="0"/>
    <n v="0"/>
    <n v="3273"/>
    <n v="22"/>
    <n v="2"/>
    <n v="20"/>
    <n v="454.54545454545456"/>
    <n v="0.90909090909090906"/>
    <n v="0.65459999999999996"/>
    <n v="1"/>
    <n v="0.595090909090909"/>
    <s v="Production was affected  for unavailability of T/F fabric.B Shift ended 2 hours earlier than scheduled."/>
  </r>
  <r>
    <x v="145"/>
    <x v="0"/>
    <x v="0"/>
    <x v="0"/>
    <n v="10000"/>
    <n v="8584"/>
    <n v="0"/>
    <n v="0"/>
    <n v="8584"/>
    <n v="22"/>
    <n v="1"/>
    <n v="21"/>
    <n v="454.54545454545456"/>
    <n v="0.95454545454545459"/>
    <n v="0.85840000000000005"/>
    <n v="1"/>
    <n v="0.81938181818181821"/>
    <s v="M/C stopped due to a limit switch problem (1 hr)"/>
  </r>
  <r>
    <x v="145"/>
    <x v="0"/>
    <x v="11"/>
    <x v="0"/>
    <n v="7947"/>
    <n v="7947"/>
    <n v="0"/>
    <n v="0"/>
    <n v="7947"/>
    <m/>
    <m/>
    <s v=""/>
    <s v=""/>
    <s v=""/>
    <n v="1"/>
    <n v="1"/>
    <s v=""/>
    <m/>
  </r>
  <r>
    <x v="145"/>
    <x v="0"/>
    <x v="1"/>
    <x v="1"/>
    <n v="5000"/>
    <n v="4940"/>
    <n v="0"/>
    <n v="0"/>
    <n v="4940"/>
    <n v="22"/>
    <m/>
    <n v="22"/>
    <n v="0"/>
    <n v="1"/>
    <n v="0.98799999999999999"/>
    <n v="1"/>
    <n v="0.98799999999999999"/>
    <m/>
  </r>
  <r>
    <x v="145"/>
    <x v="0"/>
    <x v="1"/>
    <x v="2"/>
    <n v="4000"/>
    <n v="4023"/>
    <n v="0"/>
    <n v="0"/>
    <n v="4023"/>
    <m/>
    <m/>
    <s v=""/>
    <s v=""/>
    <s v=""/>
    <n v="1.0057499999999999"/>
    <n v="1"/>
    <s v=""/>
    <m/>
  </r>
  <r>
    <x v="145"/>
    <x v="0"/>
    <x v="2"/>
    <x v="2"/>
    <n v="7000"/>
    <n v="6314"/>
    <n v="0"/>
    <n v="0"/>
    <n v="6314"/>
    <n v="22"/>
    <m/>
    <n v="22"/>
    <n v="0"/>
    <n v="1"/>
    <n v="0.90200000000000002"/>
    <n v="1"/>
    <n v="0.90200000000000002"/>
    <s v="Production affected due to one burner malfunction; machine operated at reduced speed."/>
  </r>
  <r>
    <x v="145"/>
    <x v="0"/>
    <x v="3"/>
    <x v="3"/>
    <n v="7800"/>
    <n v="5887"/>
    <n v="0"/>
    <n v="0"/>
    <n v="5887"/>
    <n v="22"/>
    <m/>
    <n v="22"/>
    <n v="0"/>
    <n v="1"/>
    <n v="0.75474358974358979"/>
    <n v="1"/>
    <n v="0.75474358974358979"/>
    <m/>
  </r>
  <r>
    <x v="145"/>
    <x v="0"/>
    <x v="10"/>
    <x v="3"/>
    <m/>
    <m/>
    <m/>
    <s v=""/>
    <n v="0"/>
    <m/>
    <m/>
    <s v=""/>
    <s v=""/>
    <s v=""/>
    <s v=""/>
    <s v=""/>
    <s v=""/>
    <m/>
  </r>
  <r>
    <x v="145"/>
    <x v="0"/>
    <x v="4"/>
    <x v="4"/>
    <n v="9000"/>
    <n v="7370"/>
    <n v="0"/>
    <n v="0"/>
    <n v="7370"/>
    <n v="22"/>
    <m/>
    <n v="22"/>
    <n v="0"/>
    <n v="1"/>
    <n v="0.81888888888888889"/>
    <n v="1"/>
    <n v="0.81888888888888889"/>
    <m/>
  </r>
  <r>
    <x v="145"/>
    <x v="0"/>
    <x v="5"/>
    <x v="4"/>
    <m/>
    <n v="951"/>
    <m/>
    <n v="0"/>
    <n v="951"/>
    <m/>
    <m/>
    <s v=""/>
    <s v=""/>
    <s v=""/>
    <s v=""/>
    <n v="1"/>
    <s v=""/>
    <s v="Monty M/C operated with helpers from Indian Compecting ( A Shift)"/>
  </r>
  <r>
    <x v="145"/>
    <x v="1"/>
    <x v="6"/>
    <x v="5"/>
    <n v="9000"/>
    <n v="5027"/>
    <n v="0"/>
    <n v="0"/>
    <n v="5027"/>
    <n v="22"/>
    <n v="2"/>
    <n v="20"/>
    <n v="818.18181818181813"/>
    <n v="0.90909090909090906"/>
    <n v="0.55855555555555558"/>
    <n v="1"/>
    <n v="0.50777777777777777"/>
    <s v="M/C stopped for unavailability of T/F fabric"/>
  </r>
  <r>
    <x v="145"/>
    <x v="1"/>
    <x v="7"/>
    <x v="6"/>
    <n v="8000"/>
    <n v="5026"/>
    <n v="0"/>
    <n v="0"/>
    <n v="5026"/>
    <n v="22"/>
    <n v="1.92"/>
    <n v="20.079999999999998"/>
    <n v="698.18181818181813"/>
    <n v="0.91272727272727261"/>
    <n v="0.62824999999999998"/>
    <n v="1"/>
    <n v="0.57342090909090904"/>
    <s v="M/C stopped for net cleaning and unavailability of T/F fabric (1.55 hrs). Production was affected  for  2NO motor faults."/>
  </r>
  <r>
    <x v="145"/>
    <x v="1"/>
    <x v="8"/>
    <x v="4"/>
    <n v="6000"/>
    <n v="2183"/>
    <n v="0"/>
    <n v="0"/>
    <n v="2183"/>
    <n v="22"/>
    <n v="4"/>
    <n v="18"/>
    <n v="1090.909090909091"/>
    <n v="0.81818181818181823"/>
    <n v="0.36383333333333334"/>
    <n v="1"/>
    <n v="0.29768181818181821"/>
    <s v="Production was affected  for unavailability of T/F fabric.Both Shift ended 2 hours earlier than scheduled."/>
  </r>
  <r>
    <x v="145"/>
    <x v="1"/>
    <x v="9"/>
    <x v="4"/>
    <n v="5000"/>
    <n v="1589"/>
    <n v="0"/>
    <n v="0"/>
    <n v="1589"/>
    <n v="22"/>
    <n v="9"/>
    <n v="13"/>
    <n v="2045.4545454545455"/>
    <n v="0.59090909090909094"/>
    <n v="0.31780000000000003"/>
    <n v="1"/>
    <n v="0.18779090909090912"/>
    <s v="M/C stopped for unavailability of T/F fabric (5 hrs). Both shift also ended 2 hours earlier than scheduled."/>
  </r>
  <r>
    <x v="146"/>
    <x v="0"/>
    <x v="0"/>
    <x v="0"/>
    <n v="10000"/>
    <n v="8852"/>
    <n v="0"/>
    <n v="0"/>
    <n v="8852"/>
    <n v="22"/>
    <m/>
    <n v="22"/>
    <n v="0"/>
    <n v="1"/>
    <n v="0.88519999999999999"/>
    <n v="1"/>
    <n v="0.88519999999999999"/>
    <m/>
  </r>
  <r>
    <x v="146"/>
    <x v="0"/>
    <x v="11"/>
    <x v="0"/>
    <n v="11200"/>
    <n v="11200"/>
    <n v="0"/>
    <n v="0"/>
    <n v="11200"/>
    <m/>
    <m/>
    <s v=""/>
    <s v=""/>
    <s v=""/>
    <n v="1"/>
    <n v="1"/>
    <s v=""/>
    <m/>
  </r>
  <r>
    <x v="146"/>
    <x v="0"/>
    <x v="1"/>
    <x v="1"/>
    <n v="5000"/>
    <n v="3756"/>
    <n v="0"/>
    <n v="0"/>
    <n v="3756"/>
    <n v="22"/>
    <m/>
    <n v="22"/>
    <n v="0"/>
    <n v="1"/>
    <n v="0.75119999999999998"/>
    <n v="1"/>
    <n v="0.75119999999999998"/>
    <m/>
  </r>
  <r>
    <x v="146"/>
    <x v="0"/>
    <x v="1"/>
    <x v="2"/>
    <n v="4000"/>
    <n v="5614"/>
    <n v="0"/>
    <n v="0"/>
    <n v="5614"/>
    <m/>
    <m/>
    <s v=""/>
    <s v=""/>
    <s v=""/>
    <n v="1.4035"/>
    <n v="1"/>
    <s v=""/>
    <m/>
  </r>
  <r>
    <x v="146"/>
    <x v="0"/>
    <x v="2"/>
    <x v="2"/>
    <n v="7000"/>
    <n v="6830"/>
    <n v="0"/>
    <n v="0"/>
    <n v="6830"/>
    <n v="22"/>
    <n v="1.75"/>
    <n v="20.25"/>
    <n v="556.81818181818187"/>
    <n v="0.92045454545454541"/>
    <n v="0.97571428571428576"/>
    <n v="1"/>
    <n v="0.89810064935064937"/>
    <s v="M/C stopped due to panel board wires completely burnt (1.45 hrs). Production affected due to 1No burner being defective, repaired at 5PM. "/>
  </r>
  <r>
    <x v="146"/>
    <x v="0"/>
    <x v="3"/>
    <x v="3"/>
    <n v="7800"/>
    <n v="4987"/>
    <n v="0"/>
    <n v="0"/>
    <n v="4987"/>
    <n v="22"/>
    <n v="4"/>
    <n v="18"/>
    <n v="1418.1818181818182"/>
    <n v="0.81818181818181823"/>
    <n v="0.63935897435897437"/>
    <n v="1"/>
    <n v="0.52311188811188813"/>
    <s v="M/C stopped for unavailability of T/F fabric"/>
  </r>
  <r>
    <x v="146"/>
    <x v="0"/>
    <x v="10"/>
    <x v="3"/>
    <m/>
    <m/>
    <m/>
    <s v=""/>
    <n v="0"/>
    <m/>
    <m/>
    <s v=""/>
    <s v=""/>
    <s v=""/>
    <s v=""/>
    <s v=""/>
    <s v=""/>
    <m/>
  </r>
  <r>
    <x v="146"/>
    <x v="0"/>
    <x v="4"/>
    <x v="4"/>
    <n v="9000"/>
    <n v="8133"/>
    <n v="0"/>
    <n v="0"/>
    <n v="8133"/>
    <n v="22"/>
    <m/>
    <n v="22"/>
    <n v="0"/>
    <n v="1"/>
    <n v="0.90366666666666662"/>
    <n v="1"/>
    <n v="0.90366666666666662"/>
    <m/>
  </r>
  <r>
    <x v="146"/>
    <x v="0"/>
    <x v="5"/>
    <x v="4"/>
    <m/>
    <m/>
    <m/>
    <s v=""/>
    <n v="0"/>
    <m/>
    <m/>
    <s v=""/>
    <s v=""/>
    <s v=""/>
    <s v=""/>
    <s v=""/>
    <s v=""/>
    <m/>
  </r>
  <r>
    <x v="146"/>
    <x v="1"/>
    <x v="6"/>
    <x v="5"/>
    <n v="9000"/>
    <n v="2298"/>
    <n v="0"/>
    <n v="0"/>
    <n v="2298"/>
    <n v="22"/>
    <n v="4"/>
    <n v="18"/>
    <n v="1636.3636363636363"/>
    <n v="0.81818181818181823"/>
    <n v="0.25533333333333336"/>
    <n v="1"/>
    <n v="0.20890909090909093"/>
    <s v="Production was affected  for unavailability of T/F fabric. Both Shift ended 2 hours earlier than scheduled."/>
  </r>
  <r>
    <x v="146"/>
    <x v="1"/>
    <x v="7"/>
    <x v="6"/>
    <n v="8000"/>
    <n v="2300"/>
    <n v="0"/>
    <n v="0"/>
    <n v="2300"/>
    <n v="22"/>
    <n v="15.1"/>
    <n v="6.9"/>
    <n v="5490.909090909091"/>
    <n v="0.31363636363636366"/>
    <n v="0.28749999999999998"/>
    <n v="1"/>
    <n v="9.017045454545454E-2"/>
    <s v="M/C stopped for net cleaning and unavailability of T/F fabric (11.10 hrs). Both Shift ended 2 hours earlier than scheduled."/>
  </r>
  <r>
    <x v="146"/>
    <x v="1"/>
    <x v="8"/>
    <x v="4"/>
    <n v="6000"/>
    <n v="1747"/>
    <n v="0"/>
    <n v="0"/>
    <n v="1747"/>
    <n v="22"/>
    <n v="10"/>
    <n v="12"/>
    <n v="2727.2727272727275"/>
    <n v="0.54545454545454541"/>
    <n v="0.29116666666666668"/>
    <n v="1"/>
    <n v="0.1588181818181818"/>
    <s v="M/C stopped for unavailability of T/F fabric (6 hrs). Both shift also ended 2 hours earlier than scheduled."/>
  </r>
  <r>
    <x v="146"/>
    <x v="1"/>
    <x v="9"/>
    <x v="4"/>
    <n v="5000"/>
    <n v="1481"/>
    <n v="0"/>
    <n v="0"/>
    <n v="1481"/>
    <n v="22"/>
    <n v="4"/>
    <n v="18"/>
    <n v="909.09090909090912"/>
    <n v="0.81818181818181823"/>
    <n v="0.29620000000000002"/>
    <n v="1"/>
    <n v="0.24234545454545459"/>
    <s v="Production was affected for unavailability of T/F fabric. Both shift also ended 2 hours earlier than scheduled."/>
  </r>
  <r>
    <x v="147"/>
    <x v="0"/>
    <x v="0"/>
    <x v="0"/>
    <n v="10000"/>
    <n v="8354"/>
    <n v="0"/>
    <n v="0"/>
    <n v="8354"/>
    <n v="22"/>
    <m/>
    <n v="22"/>
    <n v="0"/>
    <n v="1"/>
    <n v="0.83540000000000003"/>
    <n v="1"/>
    <n v="0.83540000000000003"/>
    <m/>
  </r>
  <r>
    <x v="147"/>
    <x v="0"/>
    <x v="11"/>
    <x v="0"/>
    <n v="10636"/>
    <n v="10636"/>
    <n v="0"/>
    <n v="0"/>
    <n v="10636"/>
    <m/>
    <m/>
    <s v=""/>
    <s v=""/>
    <s v=""/>
    <n v="1"/>
    <n v="1"/>
    <s v=""/>
    <m/>
  </r>
  <r>
    <x v="147"/>
    <x v="0"/>
    <x v="1"/>
    <x v="1"/>
    <n v="5000"/>
    <n v="4104"/>
    <n v="0"/>
    <n v="0"/>
    <n v="4104"/>
    <n v="22"/>
    <m/>
    <n v="22"/>
    <n v="0"/>
    <n v="1"/>
    <n v="0.82079999999999997"/>
    <n v="1"/>
    <n v="0.82079999999999997"/>
    <m/>
  </r>
  <r>
    <x v="147"/>
    <x v="0"/>
    <x v="1"/>
    <x v="2"/>
    <n v="4000"/>
    <n v="5435"/>
    <n v="0"/>
    <n v="0"/>
    <n v="5435"/>
    <m/>
    <m/>
    <s v=""/>
    <s v=""/>
    <s v=""/>
    <n v="1.3587499999999999"/>
    <n v="1"/>
    <s v=""/>
    <m/>
  </r>
  <r>
    <x v="147"/>
    <x v="0"/>
    <x v="2"/>
    <x v="2"/>
    <n v="7000"/>
    <n v="7493"/>
    <n v="0"/>
    <n v="0"/>
    <n v="7493"/>
    <n v="22"/>
    <m/>
    <n v="22"/>
    <n v="0"/>
    <n v="1"/>
    <n v="1.0704285714285715"/>
    <n v="1"/>
    <n v="1.0704285714285715"/>
    <s v="Production affected due to 1No burner being defective"/>
  </r>
  <r>
    <x v="147"/>
    <x v="0"/>
    <x v="3"/>
    <x v="3"/>
    <n v="7800"/>
    <n v="6242"/>
    <n v="0"/>
    <n v="0"/>
    <n v="6242"/>
    <n v="22"/>
    <m/>
    <n v="22"/>
    <n v="0"/>
    <n v="1"/>
    <n v="0.80025641025641026"/>
    <n v="1"/>
    <n v="0.80025641025641026"/>
    <m/>
  </r>
  <r>
    <x v="147"/>
    <x v="0"/>
    <x v="10"/>
    <x v="3"/>
    <m/>
    <m/>
    <m/>
    <s v=""/>
    <n v="0"/>
    <m/>
    <m/>
    <s v=""/>
    <s v=""/>
    <s v=""/>
    <s v=""/>
    <s v=""/>
    <s v=""/>
    <m/>
  </r>
  <r>
    <x v="147"/>
    <x v="0"/>
    <x v="4"/>
    <x v="4"/>
    <n v="9000"/>
    <n v="8057"/>
    <n v="0"/>
    <n v="0"/>
    <n v="8057"/>
    <n v="22"/>
    <m/>
    <n v="22"/>
    <n v="0"/>
    <n v="1"/>
    <n v="0.89522222222222225"/>
    <n v="1"/>
    <n v="0.89522222222222225"/>
    <m/>
  </r>
  <r>
    <x v="147"/>
    <x v="0"/>
    <x v="5"/>
    <x v="4"/>
    <m/>
    <m/>
    <m/>
    <s v=""/>
    <n v="0"/>
    <m/>
    <m/>
    <s v=""/>
    <s v=""/>
    <s v=""/>
    <s v=""/>
    <s v=""/>
    <s v=""/>
    <m/>
  </r>
  <r>
    <x v="147"/>
    <x v="1"/>
    <x v="6"/>
    <x v="5"/>
    <n v="9000"/>
    <n v="6313"/>
    <n v="0"/>
    <n v="0"/>
    <n v="6313"/>
    <n v="22"/>
    <m/>
    <n v="22"/>
    <n v="0"/>
    <n v="1"/>
    <n v="0.70144444444444443"/>
    <n v="1"/>
    <n v="0.70144444444444443"/>
    <m/>
  </r>
  <r>
    <x v="147"/>
    <x v="1"/>
    <x v="7"/>
    <x v="6"/>
    <n v="8000"/>
    <n v="6507"/>
    <n v="0"/>
    <n v="0"/>
    <n v="6507"/>
    <n v="22"/>
    <n v="5.83"/>
    <n v="16.170000000000002"/>
    <n v="2120"/>
    <n v="0.7350000000000001"/>
    <n v="0.81337499999999996"/>
    <n v="1"/>
    <n v="0.59783062500000006"/>
    <s v="M/C stopped for net cleaning and unavailability of T/F fabric (5.50 hrs)."/>
  </r>
  <r>
    <x v="147"/>
    <x v="1"/>
    <x v="8"/>
    <x v="4"/>
    <n v="6000"/>
    <n v="3561"/>
    <n v="0"/>
    <n v="0"/>
    <n v="3561"/>
    <n v="22"/>
    <n v="4.5"/>
    <n v="17.5"/>
    <n v="1227.2727272727275"/>
    <n v="0.79545454545454541"/>
    <n v="0.59350000000000003"/>
    <n v="1"/>
    <n v="0.47210227272727273"/>
    <s v="M/C stopped for unavailability of T/F fabric (4.30 hrs)."/>
  </r>
  <r>
    <x v="147"/>
    <x v="1"/>
    <x v="9"/>
    <x v="4"/>
    <n v="5000"/>
    <n v="581"/>
    <n v="0"/>
    <n v="0"/>
    <n v="581"/>
    <n v="22"/>
    <n v="16"/>
    <n v="6"/>
    <n v="3636.3636363636365"/>
    <n v="0.27272727272727271"/>
    <n v="0.1162"/>
    <n v="1"/>
    <n v="3.1690909090909089E-2"/>
    <s v="M/C stopped for unavailability of T/F fabric (14 hrs). B shift also ended 2 hrs earlier than scheduled."/>
  </r>
  <r>
    <x v="148"/>
    <x v="0"/>
    <x v="0"/>
    <x v="0"/>
    <n v="10000"/>
    <n v="11404"/>
    <n v="0"/>
    <n v="0"/>
    <n v="11404"/>
    <n v="22"/>
    <m/>
    <n v="22"/>
    <n v="0"/>
    <n v="1"/>
    <n v="1.1404000000000001"/>
    <n v="1"/>
    <n v="1.1404000000000001"/>
    <m/>
  </r>
  <r>
    <x v="148"/>
    <x v="0"/>
    <x v="11"/>
    <x v="0"/>
    <n v="14153"/>
    <n v="14153"/>
    <n v="0"/>
    <n v="0"/>
    <n v="14153"/>
    <m/>
    <m/>
    <s v=""/>
    <s v=""/>
    <s v=""/>
    <n v="1"/>
    <n v="1"/>
    <s v=""/>
    <m/>
  </r>
  <r>
    <x v="148"/>
    <x v="0"/>
    <x v="1"/>
    <x v="1"/>
    <n v="10000"/>
    <n v="9951"/>
    <n v="0"/>
    <n v="0"/>
    <n v="9951"/>
    <m/>
    <m/>
    <s v=""/>
    <s v=""/>
    <s v=""/>
    <n v="0.99509999999999998"/>
    <n v="1"/>
    <s v=""/>
    <m/>
  </r>
  <r>
    <x v="148"/>
    <x v="0"/>
    <x v="1"/>
    <x v="2"/>
    <n v="4000"/>
    <n v="2823"/>
    <n v="0"/>
    <n v="0"/>
    <n v="2823"/>
    <n v="22"/>
    <m/>
    <n v="22"/>
    <n v="0"/>
    <n v="1"/>
    <n v="0.70574999999999999"/>
    <n v="1"/>
    <n v="0.70574999999999999"/>
    <m/>
  </r>
  <r>
    <x v="148"/>
    <x v="0"/>
    <x v="2"/>
    <x v="2"/>
    <n v="12000"/>
    <n v="11234"/>
    <n v="0"/>
    <n v="0"/>
    <n v="11234"/>
    <n v="22"/>
    <m/>
    <n v="22"/>
    <n v="0"/>
    <n v="1"/>
    <n v="0.9361666666666667"/>
    <n v="1"/>
    <n v="0.9361666666666667"/>
    <m/>
  </r>
  <r>
    <x v="148"/>
    <x v="0"/>
    <x v="3"/>
    <x v="3"/>
    <n v="10000"/>
    <n v="9085"/>
    <n v="0"/>
    <n v="0"/>
    <n v="9085"/>
    <n v="22"/>
    <m/>
    <n v="22"/>
    <n v="0"/>
    <n v="1"/>
    <n v="0.90849999999999997"/>
    <n v="1"/>
    <n v="0.90849999999999997"/>
    <m/>
  </r>
  <r>
    <x v="148"/>
    <x v="0"/>
    <x v="10"/>
    <x v="3"/>
    <m/>
    <m/>
    <m/>
    <s v=""/>
    <n v="0"/>
    <m/>
    <m/>
    <s v=""/>
    <s v=""/>
    <s v=""/>
    <s v=""/>
    <s v=""/>
    <s v=""/>
    <m/>
  </r>
  <r>
    <x v="148"/>
    <x v="0"/>
    <x v="4"/>
    <x v="4"/>
    <n v="9000"/>
    <n v="7478"/>
    <n v="0"/>
    <n v="0"/>
    <n v="7478"/>
    <n v="22"/>
    <m/>
    <n v="22"/>
    <n v="0"/>
    <n v="1"/>
    <n v="0.8308888888888889"/>
    <n v="1"/>
    <n v="0.8308888888888889"/>
    <m/>
  </r>
  <r>
    <x v="148"/>
    <x v="0"/>
    <x v="5"/>
    <x v="4"/>
    <m/>
    <m/>
    <m/>
    <s v=""/>
    <n v="0"/>
    <m/>
    <m/>
    <s v=""/>
    <s v=""/>
    <s v=""/>
    <s v=""/>
    <s v=""/>
    <s v=""/>
    <m/>
  </r>
  <r>
    <x v="148"/>
    <x v="1"/>
    <x v="6"/>
    <x v="5"/>
    <n v="9000"/>
    <n v="4733"/>
    <n v="0"/>
    <n v="0"/>
    <n v="4733"/>
    <n v="22"/>
    <m/>
    <n v="22"/>
    <n v="0"/>
    <n v="1"/>
    <n v="0.52588888888888885"/>
    <n v="1"/>
    <n v="0.52588888888888885"/>
    <m/>
  </r>
  <r>
    <x v="148"/>
    <x v="1"/>
    <x v="7"/>
    <x v="6"/>
    <n v="8000"/>
    <n v="5433"/>
    <n v="0"/>
    <n v="0"/>
    <n v="5433"/>
    <n v="22"/>
    <n v="1.5"/>
    <n v="20.5"/>
    <n v="545.4545454545455"/>
    <n v="0.93181818181818177"/>
    <n v="0.67912499999999998"/>
    <n v="1"/>
    <n v="0.6328210227272727"/>
    <s v="M/C stopped for net cleaning (1.50 hrs)."/>
  </r>
  <r>
    <x v="148"/>
    <x v="1"/>
    <x v="8"/>
    <x v="4"/>
    <n v="6000"/>
    <n v="3173"/>
    <n v="0"/>
    <n v="0"/>
    <n v="3173"/>
    <n v="22"/>
    <n v="5"/>
    <n v="17"/>
    <n v="1363.6363636363637"/>
    <n v="0.77272727272727271"/>
    <n v="0.52883333333333338"/>
    <n v="1"/>
    <n v="0.40864393939393939"/>
    <s v="M/C stopped for unavailability of T/F fabric (5 hrs)."/>
  </r>
  <r>
    <x v="148"/>
    <x v="1"/>
    <x v="9"/>
    <x v="4"/>
    <n v="5000"/>
    <n v="1556"/>
    <n v="0"/>
    <n v="0"/>
    <n v="1556"/>
    <n v="22"/>
    <n v="12"/>
    <n v="10"/>
    <n v="2727.2727272727275"/>
    <n v="0.45454545454545453"/>
    <n v="0.31119999999999998"/>
    <n v="1"/>
    <n v="0.14145454545454544"/>
    <s v="M/C stopped for unavailability of T/F fabric (12hrs)."/>
  </r>
  <r>
    <x v="149"/>
    <x v="0"/>
    <x v="0"/>
    <x v="0"/>
    <n v="10000"/>
    <n v="6441"/>
    <n v="0"/>
    <n v="0"/>
    <n v="6441"/>
    <n v="22"/>
    <n v="2"/>
    <n v="20"/>
    <n v="909.09090909090912"/>
    <n v="0.90909090909090906"/>
    <n v="0.64410000000000001"/>
    <n v="1"/>
    <n v="0.58554545454545448"/>
    <s v="M/C stopped for mini squeezer padder maintenance work (2 hr)"/>
  </r>
  <r>
    <x v="149"/>
    <x v="0"/>
    <x v="11"/>
    <x v="0"/>
    <n v="8403"/>
    <n v="8403"/>
    <n v="0"/>
    <n v="0"/>
    <n v="8403"/>
    <m/>
    <m/>
    <s v=""/>
    <s v=""/>
    <s v=""/>
    <n v="1"/>
    <n v="1"/>
    <s v=""/>
    <m/>
  </r>
  <r>
    <x v="149"/>
    <x v="0"/>
    <x v="1"/>
    <x v="1"/>
    <n v="5000"/>
    <n v="8535"/>
    <n v="0"/>
    <n v="0"/>
    <n v="8535"/>
    <n v="22"/>
    <m/>
    <n v="22"/>
    <n v="0"/>
    <n v="1"/>
    <n v="1.7070000000000001"/>
    <n v="1"/>
    <n v="1.7070000000000001"/>
    <m/>
  </r>
  <r>
    <x v="149"/>
    <x v="0"/>
    <x v="1"/>
    <x v="2"/>
    <n v="4000"/>
    <n v="0"/>
    <n v="0"/>
    <s v=""/>
    <n v="0"/>
    <m/>
    <m/>
    <s v=""/>
    <s v=""/>
    <s v=""/>
    <n v="0"/>
    <s v=""/>
    <s v=""/>
    <m/>
  </r>
  <r>
    <x v="149"/>
    <x v="0"/>
    <x v="2"/>
    <x v="2"/>
    <n v="7000"/>
    <n v="7318"/>
    <n v="0"/>
    <n v="0"/>
    <n v="7318"/>
    <n v="22"/>
    <m/>
    <n v="22"/>
    <n v="0"/>
    <n v="1"/>
    <n v="1.0454285714285714"/>
    <n v="1"/>
    <n v="1.0454285714285714"/>
    <m/>
  </r>
  <r>
    <x v="149"/>
    <x v="0"/>
    <x v="3"/>
    <x v="3"/>
    <n v="7800"/>
    <n v="6743"/>
    <n v="0"/>
    <n v="0"/>
    <n v="6743"/>
    <n v="22"/>
    <m/>
    <n v="22"/>
    <n v="0"/>
    <n v="1"/>
    <n v="0.86448717948717946"/>
    <n v="1"/>
    <n v="0.86448717948717946"/>
    <m/>
  </r>
  <r>
    <x v="149"/>
    <x v="0"/>
    <x v="10"/>
    <x v="3"/>
    <m/>
    <m/>
    <m/>
    <s v=""/>
    <n v="0"/>
    <m/>
    <m/>
    <s v=""/>
    <s v=""/>
    <s v=""/>
    <s v=""/>
    <s v=""/>
    <s v=""/>
    <m/>
  </r>
  <r>
    <x v="149"/>
    <x v="0"/>
    <x v="4"/>
    <x v="4"/>
    <n v="9000"/>
    <n v="7535"/>
    <n v="0"/>
    <n v="0"/>
    <n v="7535"/>
    <n v="22"/>
    <n v="1"/>
    <n v="21"/>
    <n v="409.09090909090907"/>
    <n v="0.95454545454545459"/>
    <n v="0.8372222222222222"/>
    <n v="1"/>
    <n v="0.79916666666666669"/>
    <s v="M/C stopped for  for unavailability of  fabric (1 hr)"/>
  </r>
  <r>
    <x v="149"/>
    <x v="0"/>
    <x v="5"/>
    <x v="4"/>
    <n v="2500"/>
    <n v="2103"/>
    <n v="0"/>
    <n v="0"/>
    <n v="2103"/>
    <m/>
    <m/>
    <s v=""/>
    <s v=""/>
    <s v=""/>
    <n v="0.84119999999999995"/>
    <n v="1"/>
    <s v=""/>
    <m/>
  </r>
  <r>
    <x v="149"/>
    <x v="1"/>
    <x v="6"/>
    <x v="5"/>
    <n v="9000"/>
    <n v="3963"/>
    <n v="0"/>
    <n v="0"/>
    <n v="3963"/>
    <n v="22"/>
    <n v="4"/>
    <n v="18"/>
    <n v="1636.3636363636363"/>
    <n v="0.81818181818181823"/>
    <n v="0.44033333333333335"/>
    <n v="1"/>
    <n v="0.3602727272727273"/>
    <s v="Production was affected for unavailability of T/F fabric. Both shift also ended 2 hrs earlier than scheduled."/>
  </r>
  <r>
    <x v="149"/>
    <x v="1"/>
    <x v="7"/>
    <x v="6"/>
    <n v="8000"/>
    <n v="3963"/>
    <n v="0"/>
    <n v="0"/>
    <n v="3963"/>
    <n v="22"/>
    <n v="5.5"/>
    <n v="16.5"/>
    <n v="2000"/>
    <n v="0.75"/>
    <n v="0.49537500000000001"/>
    <n v="1"/>
    <n v="0.37153124999999998"/>
    <s v="M/C stopped for net cleaning (1.50 hrs). Production was affected for unavailability of T/F fabric. Both shift also ended 2 hrs earlier than scheduled."/>
  </r>
  <r>
    <x v="149"/>
    <x v="1"/>
    <x v="8"/>
    <x v="4"/>
    <n v="6000"/>
    <n v="1971"/>
    <n v="0"/>
    <n v="0"/>
    <n v="1971"/>
    <n v="22"/>
    <n v="8"/>
    <n v="14"/>
    <n v="2181.818181818182"/>
    <n v="0.63636363636363635"/>
    <n v="0.32850000000000001"/>
    <n v="1"/>
    <n v="0.20904545454545456"/>
    <s v="M/C stopped for unavailability of T/F fabric (4 hrs). Both shift also ended 2 hours earlier than scheduled."/>
  </r>
  <r>
    <x v="149"/>
    <x v="1"/>
    <x v="9"/>
    <x v="4"/>
    <n v="5000"/>
    <n v="1073"/>
    <n v="0"/>
    <n v="0"/>
    <n v="1073"/>
    <n v="22"/>
    <n v="14"/>
    <n v="8"/>
    <n v="3181.818181818182"/>
    <n v="0.36363636363636365"/>
    <n v="0.21460000000000001"/>
    <n v="1"/>
    <n v="7.803636363636364E-2"/>
    <s v="M/C stopped for unavailability of T/F fabric (14 hrs)."/>
  </r>
  <r>
    <x v="150"/>
    <x v="0"/>
    <x v="0"/>
    <x v="0"/>
    <n v="10000"/>
    <n v="8443"/>
    <n v="0"/>
    <n v="0"/>
    <n v="8443"/>
    <n v="22"/>
    <m/>
    <n v="22"/>
    <n v="0"/>
    <n v="1"/>
    <n v="0.84430000000000005"/>
    <n v="1"/>
    <n v="0.84430000000000005"/>
    <m/>
  </r>
  <r>
    <x v="150"/>
    <x v="0"/>
    <x v="11"/>
    <x v="0"/>
    <n v="11365"/>
    <n v="11365"/>
    <n v="0"/>
    <n v="0"/>
    <n v="11365"/>
    <m/>
    <m/>
    <s v=""/>
    <s v=""/>
    <s v=""/>
    <n v="1"/>
    <n v="1"/>
    <s v=""/>
    <m/>
  </r>
  <r>
    <x v="150"/>
    <x v="0"/>
    <x v="1"/>
    <x v="1"/>
    <n v="5000"/>
    <n v="5042"/>
    <n v="0"/>
    <n v="0"/>
    <n v="5042"/>
    <n v="22"/>
    <m/>
    <n v="22"/>
    <n v="0"/>
    <n v="1"/>
    <n v="1.0084"/>
    <n v="1"/>
    <n v="1.0084"/>
    <m/>
  </r>
  <r>
    <x v="150"/>
    <x v="0"/>
    <x v="1"/>
    <x v="2"/>
    <n v="4000"/>
    <n v="3924"/>
    <n v="0"/>
    <n v="0"/>
    <n v="3924"/>
    <m/>
    <m/>
    <s v=""/>
    <s v=""/>
    <s v=""/>
    <n v="0.98099999999999998"/>
    <n v="1"/>
    <s v=""/>
    <m/>
  </r>
  <r>
    <x v="150"/>
    <x v="0"/>
    <x v="2"/>
    <x v="2"/>
    <n v="7000"/>
    <n v="7656"/>
    <n v="0"/>
    <n v="0"/>
    <n v="7656"/>
    <n v="22"/>
    <m/>
    <n v="22"/>
    <n v="0"/>
    <n v="1"/>
    <n v="1.0937142857142856"/>
    <n v="1"/>
    <n v="1.0937142857142856"/>
    <m/>
  </r>
  <r>
    <x v="150"/>
    <x v="0"/>
    <x v="3"/>
    <x v="3"/>
    <n v="7800"/>
    <n v="5838"/>
    <n v="0"/>
    <n v="0"/>
    <n v="5838"/>
    <n v="22"/>
    <m/>
    <n v="22"/>
    <n v="0"/>
    <n v="1"/>
    <n v="0.74846153846153851"/>
    <n v="1"/>
    <n v="0.74846153846153851"/>
    <m/>
  </r>
  <r>
    <x v="150"/>
    <x v="0"/>
    <x v="10"/>
    <x v="3"/>
    <m/>
    <m/>
    <m/>
    <s v=""/>
    <n v="0"/>
    <m/>
    <m/>
    <s v=""/>
    <s v=""/>
    <s v=""/>
    <s v=""/>
    <s v=""/>
    <s v=""/>
    <m/>
  </r>
  <r>
    <x v="150"/>
    <x v="0"/>
    <x v="4"/>
    <x v="4"/>
    <n v="9000"/>
    <n v="6766"/>
    <n v="0"/>
    <n v="0"/>
    <n v="6766"/>
    <n v="22"/>
    <n v="2.4"/>
    <n v="19.600000000000001"/>
    <n v="981.81818181818176"/>
    <n v="0.89090909090909098"/>
    <n v="0.75177777777777777"/>
    <n v="1"/>
    <n v="0.66976565656565656"/>
    <s v="M/C stopped for  for unavailability of  fabric (2.40 hr)"/>
  </r>
  <r>
    <x v="150"/>
    <x v="0"/>
    <x v="5"/>
    <x v="4"/>
    <n v="2500"/>
    <n v="978"/>
    <n v="0"/>
    <n v="0"/>
    <n v="978"/>
    <m/>
    <m/>
    <s v=""/>
    <s v=""/>
    <s v=""/>
    <n v="0.39119999999999999"/>
    <n v="1"/>
    <s v=""/>
    <m/>
  </r>
  <r>
    <x v="150"/>
    <x v="1"/>
    <x v="6"/>
    <x v="5"/>
    <n v="9000"/>
    <n v="4601"/>
    <n v="0"/>
    <n v="0"/>
    <n v="4601"/>
    <n v="22"/>
    <n v="4"/>
    <n v="18"/>
    <n v="1636.3636363636363"/>
    <n v="0.81818181818181823"/>
    <n v="0.51122222222222224"/>
    <n v="1"/>
    <n v="0.4182727272727273"/>
    <s v="Production was affected for unavailability of T/F fabric. Both shift also ended 2 hrs earlier than scheduled."/>
  </r>
  <r>
    <x v="150"/>
    <x v="1"/>
    <x v="7"/>
    <x v="6"/>
    <n v="8000"/>
    <n v="4621"/>
    <n v="0"/>
    <n v="0"/>
    <n v="4621"/>
    <n v="22"/>
    <n v="5.5"/>
    <n v="16.5"/>
    <n v="2000"/>
    <n v="0.75"/>
    <n v="0.57762500000000006"/>
    <n v="1"/>
    <n v="0.43321875000000004"/>
    <s v="M/C stopped for net cleaning  &amp;  unavailability of T/F fabric (5.50 hrs)."/>
  </r>
  <r>
    <x v="150"/>
    <x v="1"/>
    <x v="8"/>
    <x v="4"/>
    <n v="6000"/>
    <n v="2371"/>
    <n v="0"/>
    <n v="0"/>
    <n v="2371"/>
    <n v="22"/>
    <n v="5"/>
    <n v="17"/>
    <n v="1363.6363636363637"/>
    <n v="0.77272727272727271"/>
    <n v="0.39516666666666667"/>
    <n v="1"/>
    <n v="0.30535606060606058"/>
    <s v="M/C stopped for unavailability of T/F fabric (5 hrs)."/>
  </r>
  <r>
    <x v="150"/>
    <x v="1"/>
    <x v="9"/>
    <x v="4"/>
    <n v="5000"/>
    <n v="1650"/>
    <n v="0"/>
    <n v="0"/>
    <n v="1650"/>
    <n v="22"/>
    <n v="11"/>
    <n v="11"/>
    <n v="2500"/>
    <n v="0.5"/>
    <n v="0.33"/>
    <n v="1"/>
    <n v="0.16500000000000001"/>
    <s v="M/C stopped for unavailability of T/F fabric (11 hrs)."/>
  </r>
  <r>
    <x v="151"/>
    <x v="0"/>
    <x v="0"/>
    <x v="0"/>
    <n v="10000"/>
    <n v="9059"/>
    <n v="0"/>
    <n v="0"/>
    <n v="9059"/>
    <n v="22"/>
    <n v="2"/>
    <n v="20"/>
    <n v="909.09090909090912"/>
    <n v="0.90909090909090906"/>
    <n v="0.90590000000000004"/>
    <n v="1"/>
    <n v="0.82354545454545458"/>
    <s v="M/C stopped for mini squeezer padder maintenance work (2 hr)"/>
  </r>
  <r>
    <x v="151"/>
    <x v="0"/>
    <x v="11"/>
    <x v="0"/>
    <n v="10457"/>
    <n v="10457"/>
    <n v="0"/>
    <n v="0"/>
    <n v="10457"/>
    <m/>
    <m/>
    <s v=""/>
    <s v=""/>
    <s v=""/>
    <n v="1"/>
    <n v="1"/>
    <s v=""/>
    <m/>
  </r>
  <r>
    <x v="151"/>
    <x v="0"/>
    <x v="1"/>
    <x v="1"/>
    <n v="5000"/>
    <n v="3324"/>
    <n v="0"/>
    <n v="0"/>
    <n v="3324"/>
    <n v="22"/>
    <m/>
    <n v="22"/>
    <n v="0"/>
    <n v="1"/>
    <n v="0.66479999999999995"/>
    <n v="1"/>
    <n v="0.66479999999999995"/>
    <m/>
  </r>
  <r>
    <x v="151"/>
    <x v="0"/>
    <x v="1"/>
    <x v="2"/>
    <n v="4000"/>
    <n v="6418"/>
    <n v="0"/>
    <n v="0"/>
    <n v="6418"/>
    <m/>
    <m/>
    <s v=""/>
    <s v=""/>
    <s v=""/>
    <n v="1.6045"/>
    <n v="1"/>
    <s v=""/>
    <m/>
  </r>
  <r>
    <x v="151"/>
    <x v="0"/>
    <x v="2"/>
    <x v="2"/>
    <n v="7000"/>
    <n v="7352"/>
    <n v="0"/>
    <n v="0"/>
    <n v="7352"/>
    <n v="22"/>
    <m/>
    <n v="22"/>
    <n v="0"/>
    <n v="1"/>
    <n v="1.0502857142857143"/>
    <n v="1"/>
    <n v="1.0502857142857143"/>
    <m/>
  </r>
  <r>
    <x v="151"/>
    <x v="0"/>
    <x v="3"/>
    <x v="3"/>
    <n v="7800"/>
    <n v="5591"/>
    <n v="0"/>
    <n v="0"/>
    <n v="5591"/>
    <n v="22"/>
    <n v="6.5"/>
    <n v="15.5"/>
    <n v="2304.5454545454545"/>
    <n v="0.70454545454545459"/>
    <n v="0.71679487179487178"/>
    <n v="1"/>
    <n v="0.50501456876456874"/>
    <s v="M/C stopped for the unavailability of Heat Set fabric (6.50 hrs)."/>
  </r>
  <r>
    <x v="151"/>
    <x v="0"/>
    <x v="10"/>
    <x v="3"/>
    <m/>
    <m/>
    <m/>
    <s v=""/>
    <n v="0"/>
    <m/>
    <m/>
    <s v=""/>
    <s v=""/>
    <s v=""/>
    <s v=""/>
    <s v=""/>
    <s v=""/>
    <m/>
  </r>
  <r>
    <x v="151"/>
    <x v="0"/>
    <x v="4"/>
    <x v="4"/>
    <n v="9000"/>
    <n v="8923"/>
    <n v="0"/>
    <n v="0"/>
    <n v="8923"/>
    <n v="22"/>
    <m/>
    <n v="22"/>
    <n v="0"/>
    <n v="1"/>
    <n v="0.99144444444444446"/>
    <n v="1"/>
    <n v="0.99144444444444446"/>
    <m/>
  </r>
  <r>
    <x v="151"/>
    <x v="0"/>
    <x v="5"/>
    <x v="4"/>
    <m/>
    <m/>
    <m/>
    <s v=""/>
    <n v="0"/>
    <m/>
    <m/>
    <s v=""/>
    <s v=""/>
    <s v=""/>
    <s v=""/>
    <s v=""/>
    <s v=""/>
    <m/>
  </r>
  <r>
    <x v="151"/>
    <x v="1"/>
    <x v="6"/>
    <x v="5"/>
    <n v="9000"/>
    <n v="6279"/>
    <n v="0"/>
    <n v="0"/>
    <n v="6279"/>
    <n v="22"/>
    <n v="3"/>
    <n v="19"/>
    <n v="1227.2727272727273"/>
    <n v="0.86363636363636365"/>
    <n v="0.69766666666666666"/>
    <n v="1"/>
    <n v="0.60253030303030308"/>
    <s v="M/C stopped for net unavailability of T/F fabric (3 hrs). Production was affected for unavailability of T/F fabric."/>
  </r>
  <r>
    <x v="151"/>
    <x v="1"/>
    <x v="7"/>
    <x v="6"/>
    <n v="8000"/>
    <n v="5320"/>
    <n v="0"/>
    <n v="0"/>
    <n v="5320"/>
    <n v="22"/>
    <n v="2.5"/>
    <n v="19.5"/>
    <n v="909.09090909090901"/>
    <n v="0.88636363636363635"/>
    <n v="0.66500000000000004"/>
    <n v="1"/>
    <n v="0.58943181818181822"/>
    <s v="M/C stopped for net cleaning  &amp;  unavailability of T/F fabric (2.50 hrs). Production was affected for unavailability of T/F fabric."/>
  </r>
  <r>
    <x v="151"/>
    <x v="1"/>
    <x v="8"/>
    <x v="4"/>
    <n v="6000"/>
    <n v="2117"/>
    <n v="0"/>
    <n v="0"/>
    <n v="2117"/>
    <n v="22"/>
    <n v="7"/>
    <n v="15"/>
    <n v="1909.0909090909092"/>
    <n v="0.68181818181818177"/>
    <n v="0.35283333333333333"/>
    <n v="1"/>
    <n v="0.24056818181818179"/>
    <s v="M/C stopped for unavailability of T/F fabric (7 hrs). Production was affected for unavailability of T/F fabric."/>
  </r>
  <r>
    <x v="151"/>
    <x v="1"/>
    <x v="9"/>
    <x v="4"/>
    <n v="5000"/>
    <n v="2571"/>
    <n v="0"/>
    <n v="0"/>
    <n v="2571"/>
    <n v="22"/>
    <n v="3"/>
    <n v="19"/>
    <n v="681.81818181818187"/>
    <n v="0.86363636363636365"/>
    <n v="0.51419999999999999"/>
    <n v="1"/>
    <n v="0.44408181818181819"/>
    <s v="M/C stopped for unavailability of T/F fabric (3 hrs).  Production was affected for unavailability of T/F fabric."/>
  </r>
  <r>
    <x v="152"/>
    <x v="0"/>
    <x v="0"/>
    <x v="0"/>
    <n v="10000"/>
    <n v="9229"/>
    <n v="0"/>
    <n v="0"/>
    <n v="9229"/>
    <n v="22"/>
    <m/>
    <n v="22"/>
    <n v="0"/>
    <n v="1"/>
    <n v="0.92290000000000005"/>
    <n v="1"/>
    <n v="0.92290000000000005"/>
    <m/>
  </r>
  <r>
    <x v="152"/>
    <x v="0"/>
    <x v="11"/>
    <x v="0"/>
    <n v="11896"/>
    <n v="11896"/>
    <n v="0"/>
    <n v="0"/>
    <n v="11896"/>
    <m/>
    <m/>
    <s v=""/>
    <s v=""/>
    <s v=""/>
    <n v="1"/>
    <n v="1"/>
    <s v=""/>
    <m/>
  </r>
  <r>
    <x v="152"/>
    <x v="0"/>
    <x v="1"/>
    <x v="1"/>
    <n v="5000"/>
    <n v="2951"/>
    <n v="0"/>
    <n v="0"/>
    <n v="2951"/>
    <n v="22"/>
    <m/>
    <n v="22"/>
    <n v="0"/>
    <n v="1"/>
    <n v="0.59019999999999995"/>
    <n v="1"/>
    <n v="0.59019999999999995"/>
    <m/>
  </r>
  <r>
    <x v="152"/>
    <x v="0"/>
    <x v="1"/>
    <x v="2"/>
    <n v="4000"/>
    <n v="6049"/>
    <n v="0"/>
    <n v="0"/>
    <n v="6049"/>
    <m/>
    <m/>
    <s v=""/>
    <s v=""/>
    <s v=""/>
    <n v="1.5122500000000001"/>
    <n v="1"/>
    <s v=""/>
    <m/>
  </r>
  <r>
    <x v="152"/>
    <x v="0"/>
    <x v="2"/>
    <x v="2"/>
    <n v="7000"/>
    <n v="7511"/>
    <n v="0"/>
    <n v="0"/>
    <n v="7511"/>
    <n v="22"/>
    <m/>
    <n v="22"/>
    <n v="0"/>
    <n v="1"/>
    <n v="1.073"/>
    <n v="1"/>
    <n v="1.073"/>
    <s v="M/C run at lunch &amp; dinner break due to high open width  fabric load."/>
  </r>
  <r>
    <x v="152"/>
    <x v="0"/>
    <x v="3"/>
    <x v="3"/>
    <n v="7800"/>
    <n v="5700"/>
    <n v="0"/>
    <n v="0"/>
    <n v="5700"/>
    <n v="22"/>
    <n v="6"/>
    <n v="16"/>
    <n v="2127.2727272727275"/>
    <n v="0.72727272727272729"/>
    <n v="0.73076923076923073"/>
    <n v="1"/>
    <n v="0.53146853146853146"/>
    <s v="M/C stopped for the unavailability of Heat Set fabric (6 hrs)."/>
  </r>
  <r>
    <x v="152"/>
    <x v="0"/>
    <x v="10"/>
    <x v="3"/>
    <m/>
    <m/>
    <m/>
    <s v=""/>
    <n v="0"/>
    <m/>
    <m/>
    <s v=""/>
    <s v=""/>
    <s v=""/>
    <s v=""/>
    <s v=""/>
    <s v=""/>
    <m/>
  </r>
  <r>
    <x v="152"/>
    <x v="0"/>
    <x v="4"/>
    <x v="4"/>
    <n v="9000"/>
    <n v="8040"/>
    <n v="0"/>
    <n v="0"/>
    <n v="8040"/>
    <n v="22"/>
    <m/>
    <n v="22"/>
    <n v="0"/>
    <n v="1"/>
    <n v="0.89333333333333331"/>
    <n v="1"/>
    <n v="0.89333333333333331"/>
    <m/>
  </r>
  <r>
    <x v="152"/>
    <x v="0"/>
    <x v="5"/>
    <x v="4"/>
    <n v="2500"/>
    <n v="2302"/>
    <n v="0"/>
    <n v="0"/>
    <n v="2302"/>
    <m/>
    <m/>
    <s v=""/>
    <s v=""/>
    <s v=""/>
    <n v="0.92079999999999995"/>
    <n v="1"/>
    <s v=""/>
    <s v="Due to low T/F fabric, _x000a_Monty m/c kept running in with helpers from Ind. Compacting."/>
  </r>
  <r>
    <x v="152"/>
    <x v="1"/>
    <x v="6"/>
    <x v="5"/>
    <n v="9000"/>
    <n v="6901"/>
    <n v="0"/>
    <n v="0"/>
    <n v="6901"/>
    <n v="22"/>
    <m/>
    <n v="22"/>
    <n v="0"/>
    <n v="1"/>
    <n v="0.76677777777777778"/>
    <n v="1"/>
    <n v="0.76677777777777778"/>
    <m/>
  </r>
  <r>
    <x v="152"/>
    <x v="1"/>
    <x v="7"/>
    <x v="6"/>
    <n v="8000"/>
    <n v="6948"/>
    <n v="0"/>
    <n v="0"/>
    <n v="6948"/>
    <n v="22"/>
    <n v="1.5"/>
    <n v="20.5"/>
    <n v="545.4545454545455"/>
    <n v="0.93181818181818177"/>
    <n v="0.86850000000000005"/>
    <n v="1"/>
    <n v="0.80928409090909093"/>
    <s v="M/C stopped for net cleaning  (1.50 hrs). Production was affected for unavailability of T/F fabric."/>
  </r>
  <r>
    <x v="152"/>
    <x v="1"/>
    <x v="8"/>
    <x v="4"/>
    <n v="6000"/>
    <n v="3911"/>
    <n v="0"/>
    <n v="0"/>
    <n v="3911"/>
    <n v="22"/>
    <m/>
    <n v="22"/>
    <n v="0"/>
    <n v="1"/>
    <n v="0.65183333333333338"/>
    <n v="1"/>
    <n v="0.65183333333333338"/>
    <s v="Production was affected for unavailability of T/F fabric."/>
  </r>
  <r>
    <x v="152"/>
    <x v="1"/>
    <x v="9"/>
    <x v="4"/>
    <n v="5000"/>
    <n v="2459"/>
    <n v="0"/>
    <n v="0"/>
    <n v="2459"/>
    <n v="22"/>
    <m/>
    <n v="22"/>
    <n v="0"/>
    <n v="1"/>
    <n v="0.49180000000000001"/>
    <n v="1"/>
    <n v="0.49180000000000001"/>
    <s v="Production was affected for unavailability of T/F fabric."/>
  </r>
  <r>
    <x v="153"/>
    <x v="0"/>
    <x v="0"/>
    <x v="0"/>
    <n v="10000"/>
    <n v="9584"/>
    <n v="0"/>
    <n v="0"/>
    <n v="9584"/>
    <n v="22"/>
    <m/>
    <n v="22"/>
    <n v="0"/>
    <n v="1"/>
    <n v="0.95840000000000003"/>
    <n v="1"/>
    <n v="0.95840000000000003"/>
    <m/>
  </r>
  <r>
    <x v="153"/>
    <x v="0"/>
    <x v="11"/>
    <x v="0"/>
    <n v="10525"/>
    <n v="10525"/>
    <n v="0"/>
    <n v="0"/>
    <n v="10525"/>
    <m/>
    <m/>
    <s v=""/>
    <s v=""/>
    <s v=""/>
    <n v="1"/>
    <n v="1"/>
    <s v=""/>
    <m/>
  </r>
  <r>
    <x v="153"/>
    <x v="0"/>
    <x v="1"/>
    <x v="1"/>
    <n v="5000"/>
    <n v="4579"/>
    <n v="0"/>
    <n v="0"/>
    <n v="4579"/>
    <n v="22"/>
    <m/>
    <n v="22"/>
    <n v="0"/>
    <n v="1"/>
    <n v="0.91579999999999995"/>
    <n v="1"/>
    <n v="0.91579999999999995"/>
    <m/>
  </r>
  <r>
    <x v="153"/>
    <x v="0"/>
    <x v="1"/>
    <x v="2"/>
    <n v="4000"/>
    <n v="4010"/>
    <n v="0"/>
    <n v="0"/>
    <n v="4010"/>
    <m/>
    <m/>
    <s v=""/>
    <s v=""/>
    <s v=""/>
    <n v="1.0024999999999999"/>
    <n v="1"/>
    <s v=""/>
    <m/>
  </r>
  <r>
    <x v="153"/>
    <x v="0"/>
    <x v="2"/>
    <x v="2"/>
    <n v="7000"/>
    <n v="7876"/>
    <n v="0"/>
    <n v="0"/>
    <n v="7876"/>
    <n v="22"/>
    <m/>
    <n v="22"/>
    <n v="0"/>
    <n v="1"/>
    <n v="1.1251428571428572"/>
    <n v="1"/>
    <n v="1.1251428571428572"/>
    <s v="M/C run at lunch &amp; dinner break due to high open width  fabric load."/>
  </r>
  <r>
    <x v="153"/>
    <x v="0"/>
    <x v="3"/>
    <x v="3"/>
    <n v="7800"/>
    <n v="5412"/>
    <n v="0"/>
    <n v="0"/>
    <n v="5412"/>
    <n v="22"/>
    <n v="5"/>
    <n v="17"/>
    <n v="1772.7272727272727"/>
    <n v="0.77272727272727271"/>
    <n v="0.69384615384615389"/>
    <n v="1"/>
    <n v="0.5361538461538462"/>
    <s v="M/C stopped for the unavailability of Heat Set fabric (5 hrs)."/>
  </r>
  <r>
    <x v="153"/>
    <x v="0"/>
    <x v="10"/>
    <x v="3"/>
    <m/>
    <m/>
    <m/>
    <s v=""/>
    <n v="0"/>
    <m/>
    <m/>
    <s v=""/>
    <s v=""/>
    <s v=""/>
    <s v=""/>
    <s v=""/>
    <s v=""/>
    <m/>
  </r>
  <r>
    <x v="153"/>
    <x v="0"/>
    <x v="4"/>
    <x v="4"/>
    <n v="9000"/>
    <n v="7455"/>
    <n v="0"/>
    <n v="0"/>
    <n v="7455"/>
    <n v="22"/>
    <m/>
    <n v="22"/>
    <n v="0"/>
    <n v="1"/>
    <n v="0.82833333333333337"/>
    <n v="1"/>
    <n v="0.82833333333333337"/>
    <m/>
  </r>
  <r>
    <x v="153"/>
    <x v="0"/>
    <x v="5"/>
    <x v="4"/>
    <m/>
    <m/>
    <m/>
    <s v=""/>
    <n v="0"/>
    <m/>
    <m/>
    <s v=""/>
    <s v=""/>
    <s v=""/>
    <s v=""/>
    <s v=""/>
    <s v=""/>
    <m/>
  </r>
  <r>
    <x v="153"/>
    <x v="1"/>
    <x v="6"/>
    <x v="5"/>
    <n v="9000"/>
    <n v="6937"/>
    <n v="0"/>
    <n v="0"/>
    <n v="6937"/>
    <n v="22"/>
    <m/>
    <n v="22"/>
    <n v="0"/>
    <n v="1"/>
    <n v="0.77077777777777778"/>
    <n v="1"/>
    <n v="0.77077777777777778"/>
    <m/>
  </r>
  <r>
    <x v="153"/>
    <x v="1"/>
    <x v="7"/>
    <x v="6"/>
    <n v="8000"/>
    <n v="7398"/>
    <n v="0"/>
    <n v="0"/>
    <n v="7398"/>
    <n v="22"/>
    <n v="1.5"/>
    <n v="20.5"/>
    <n v="545.4545454545455"/>
    <n v="0.93181818181818177"/>
    <n v="0.92474999999999996"/>
    <n v="1"/>
    <n v="0.8616988636363635"/>
    <s v="M/C stopped for net cleaning  (1.50 hrs). Production was affected for unavailability of T/F fabric."/>
  </r>
  <r>
    <x v="153"/>
    <x v="1"/>
    <x v="8"/>
    <x v="4"/>
    <n v="6000"/>
    <n v="4247"/>
    <n v="0"/>
    <n v="0"/>
    <n v="4247"/>
    <n v="22"/>
    <m/>
    <n v="22"/>
    <n v="0"/>
    <n v="1"/>
    <n v="0.70783333333333331"/>
    <n v="1"/>
    <n v="0.70783333333333331"/>
    <s v="Production was affected for unavailability of T/F fabric."/>
  </r>
  <r>
    <x v="153"/>
    <x v="1"/>
    <x v="9"/>
    <x v="4"/>
    <n v="5000"/>
    <n v="3267"/>
    <n v="0"/>
    <n v="0"/>
    <n v="3267"/>
    <n v="22"/>
    <m/>
    <n v="22"/>
    <n v="0"/>
    <n v="1"/>
    <n v="0.65339999999999998"/>
    <n v="1"/>
    <n v="0.65339999999999998"/>
    <s v="Production was affected for unavailability of T/F fabric."/>
  </r>
  <r>
    <x v="154"/>
    <x v="0"/>
    <x v="0"/>
    <x v="0"/>
    <n v="10000"/>
    <n v="9405"/>
    <n v="0"/>
    <n v="0"/>
    <n v="9405"/>
    <n v="22"/>
    <m/>
    <n v="22"/>
    <n v="0"/>
    <n v="1"/>
    <n v="0.9405"/>
    <n v="1"/>
    <n v="0.9405"/>
    <m/>
  </r>
  <r>
    <x v="154"/>
    <x v="0"/>
    <x v="11"/>
    <x v="0"/>
    <n v="12286"/>
    <n v="12286"/>
    <n v="0"/>
    <n v="0"/>
    <n v="12286"/>
    <m/>
    <m/>
    <s v=""/>
    <s v=""/>
    <s v=""/>
    <n v="1"/>
    <n v="1"/>
    <s v=""/>
    <m/>
  </r>
  <r>
    <x v="154"/>
    <x v="0"/>
    <x v="1"/>
    <x v="1"/>
    <n v="5000"/>
    <n v="3754"/>
    <n v="0"/>
    <n v="0"/>
    <n v="3754"/>
    <n v="22"/>
    <m/>
    <n v="22"/>
    <n v="0"/>
    <n v="1"/>
    <n v="0.75080000000000002"/>
    <n v="1"/>
    <n v="0.75080000000000002"/>
    <s v="M/C run at lunch &amp; dinner break due to high open width  fabric load."/>
  </r>
  <r>
    <x v="154"/>
    <x v="0"/>
    <x v="1"/>
    <x v="2"/>
    <n v="4000"/>
    <n v="7707"/>
    <n v="0"/>
    <n v="0"/>
    <n v="7707"/>
    <m/>
    <m/>
    <s v=""/>
    <s v=""/>
    <s v=""/>
    <n v="1.92675"/>
    <n v="1"/>
    <s v=""/>
    <m/>
  </r>
  <r>
    <x v="154"/>
    <x v="0"/>
    <x v="2"/>
    <x v="2"/>
    <n v="7000"/>
    <n v="8281"/>
    <n v="0"/>
    <n v="0"/>
    <n v="8281"/>
    <n v="22"/>
    <m/>
    <n v="22"/>
    <n v="0"/>
    <n v="1"/>
    <n v="1.1830000000000001"/>
    <n v="1"/>
    <n v="1.1830000000000001"/>
    <s v="M/C run at lunch &amp; dinner break due to high open width  fabric load."/>
  </r>
  <r>
    <x v="154"/>
    <x v="0"/>
    <x v="3"/>
    <x v="3"/>
    <n v="7800"/>
    <n v="5008"/>
    <n v="0"/>
    <n v="0"/>
    <n v="5008"/>
    <n v="22"/>
    <n v="7.17"/>
    <n v="14.83"/>
    <n v="2542.090909090909"/>
    <n v="0.67409090909090907"/>
    <n v="0.64205128205128204"/>
    <n v="1"/>
    <n v="0.43280093240093237"/>
    <s v="M/C stopped for the unavailability of Heat Set fabric (7.10 hrs)."/>
  </r>
  <r>
    <x v="154"/>
    <x v="0"/>
    <x v="10"/>
    <x v="3"/>
    <m/>
    <m/>
    <m/>
    <s v=""/>
    <n v="0"/>
    <m/>
    <m/>
    <s v=""/>
    <s v=""/>
    <s v=""/>
    <s v=""/>
    <s v=""/>
    <s v=""/>
    <m/>
  </r>
  <r>
    <x v="154"/>
    <x v="0"/>
    <x v="4"/>
    <x v="4"/>
    <n v="9000"/>
    <n v="7786"/>
    <n v="0"/>
    <n v="0"/>
    <n v="7786"/>
    <n v="22"/>
    <m/>
    <n v="22"/>
    <n v="0"/>
    <n v="1"/>
    <n v="0.86511111111111116"/>
    <n v="1"/>
    <n v="0.86511111111111116"/>
    <m/>
  </r>
  <r>
    <x v="154"/>
    <x v="0"/>
    <x v="5"/>
    <x v="4"/>
    <m/>
    <m/>
    <m/>
    <s v=""/>
    <n v="0"/>
    <m/>
    <m/>
    <s v=""/>
    <s v=""/>
    <s v=""/>
    <s v=""/>
    <s v=""/>
    <s v=""/>
    <m/>
  </r>
  <r>
    <x v="154"/>
    <x v="1"/>
    <x v="6"/>
    <x v="5"/>
    <n v="9000"/>
    <n v="3494"/>
    <n v="0"/>
    <n v="0"/>
    <n v="3494"/>
    <n v="22"/>
    <n v="2"/>
    <n v="20"/>
    <n v="818.18181818181813"/>
    <n v="0.90909090909090906"/>
    <n v="0.38822222222222225"/>
    <n v="1"/>
    <n v="0.35292929292929293"/>
    <s v="Production was affected for unavailability of T/F fabric. B shift also ended 2 hrs earlier than scheduled."/>
  </r>
  <r>
    <x v="154"/>
    <x v="1"/>
    <x v="7"/>
    <x v="6"/>
    <n v="8000"/>
    <n v="4194"/>
    <n v="0"/>
    <n v="0"/>
    <n v="4194"/>
    <n v="22"/>
    <n v="8.42"/>
    <n v="13.58"/>
    <n v="3061.8181818181815"/>
    <n v="0.61727272727272731"/>
    <n v="0.52424999999999999"/>
    <n v="1"/>
    <n v="0.32360522727272728"/>
    <s v="M/C stopped for net cleaning &amp; unavailability of T/F fabric (6.25 hrs). Production was affected for unavailability of T/F fabric. B shift also ended 2 hrs earlier than scheduled."/>
  </r>
  <r>
    <x v="154"/>
    <x v="1"/>
    <x v="8"/>
    <x v="4"/>
    <n v="6000"/>
    <n v="1452"/>
    <n v="0"/>
    <n v="0"/>
    <n v="1452"/>
    <n v="22"/>
    <n v="12"/>
    <n v="10"/>
    <n v="3272.727272727273"/>
    <n v="0.45454545454545453"/>
    <n v="0.24199999999999999"/>
    <n v="1"/>
    <n v="0.10999999999999999"/>
    <s v="M/C stopped for unavailability of T/F fabric (12hrs)."/>
  </r>
  <r>
    <x v="154"/>
    <x v="1"/>
    <x v="9"/>
    <x v="4"/>
    <n v="5000"/>
    <n v="2200"/>
    <n v="0"/>
    <n v="0"/>
    <n v="2200"/>
    <n v="22"/>
    <n v="4"/>
    <n v="18"/>
    <n v="909.09090909090912"/>
    <n v="0.81818181818181823"/>
    <n v="0.44"/>
    <n v="1"/>
    <n v="0.36000000000000004"/>
    <s v="Production was affected for unavailability of T/F fabric. Both shift also ended 2 hrs earlier than scheduled."/>
  </r>
  <r>
    <x v="155"/>
    <x v="0"/>
    <x v="0"/>
    <x v="0"/>
    <n v="10000"/>
    <n v="8399"/>
    <n v="0"/>
    <n v="0"/>
    <n v="8399"/>
    <n v="22"/>
    <n v="1.5"/>
    <n v="20.5"/>
    <n v="681.81818181818187"/>
    <n v="0.93181818181818177"/>
    <n v="0.83989999999999998"/>
    <n v="1"/>
    <n v="0.78263409090909086"/>
    <s v="M/C stopped for scheduled maintenance  (1.30 hrs)"/>
  </r>
  <r>
    <x v="155"/>
    <x v="0"/>
    <x v="11"/>
    <x v="0"/>
    <n v="10880"/>
    <n v="10880"/>
    <n v="0"/>
    <n v="0"/>
    <n v="10880"/>
    <m/>
    <m/>
    <s v=""/>
    <s v=""/>
    <s v=""/>
    <n v="1"/>
    <n v="1"/>
    <s v=""/>
    <m/>
  </r>
  <r>
    <x v="155"/>
    <x v="0"/>
    <x v="1"/>
    <x v="1"/>
    <n v="5000"/>
    <n v="6511"/>
    <n v="0"/>
    <n v="0"/>
    <n v="6511"/>
    <n v="22"/>
    <m/>
    <n v="22"/>
    <n v="0"/>
    <n v="1"/>
    <n v="1.3022"/>
    <n v="1"/>
    <n v="1.3022"/>
    <m/>
  </r>
  <r>
    <x v="155"/>
    <x v="0"/>
    <x v="1"/>
    <x v="2"/>
    <n v="4000"/>
    <n v="1993"/>
    <n v="0"/>
    <n v="0"/>
    <n v="1993"/>
    <m/>
    <m/>
    <s v=""/>
    <s v=""/>
    <s v=""/>
    <n v="0.49825000000000003"/>
    <n v="1"/>
    <s v=""/>
    <m/>
  </r>
  <r>
    <x v="155"/>
    <x v="0"/>
    <x v="2"/>
    <x v="2"/>
    <n v="7000"/>
    <n v="6046"/>
    <n v="0"/>
    <n v="0"/>
    <n v="6046"/>
    <n v="22"/>
    <n v="2.5"/>
    <n v="19.5"/>
    <n v="795.4545454545455"/>
    <n v="0.88636363636363635"/>
    <n v="0.86371428571428577"/>
    <n v="1"/>
    <n v="0.76556493506493506"/>
    <s v="M/C stopped for scheduled maintenance  (2.30 hrs)"/>
  </r>
  <r>
    <x v="155"/>
    <x v="0"/>
    <x v="3"/>
    <x v="3"/>
    <n v="7800"/>
    <n v="8394"/>
    <n v="0"/>
    <n v="0"/>
    <n v="8394"/>
    <n v="22"/>
    <m/>
    <n v="22"/>
    <n v="0"/>
    <n v="1"/>
    <n v="1.0761538461538462"/>
    <n v="1"/>
    <n v="1.0761538461538462"/>
    <m/>
  </r>
  <r>
    <x v="155"/>
    <x v="0"/>
    <x v="10"/>
    <x v="3"/>
    <m/>
    <m/>
    <m/>
    <s v=""/>
    <n v="0"/>
    <m/>
    <m/>
    <s v=""/>
    <s v=""/>
    <s v=""/>
    <s v=""/>
    <s v=""/>
    <s v=""/>
    <m/>
  </r>
  <r>
    <x v="155"/>
    <x v="0"/>
    <x v="4"/>
    <x v="4"/>
    <n v="9000"/>
    <n v="8001"/>
    <n v="0"/>
    <n v="0"/>
    <n v="8001"/>
    <n v="22"/>
    <m/>
    <n v="22"/>
    <n v="0"/>
    <n v="1"/>
    <n v="0.88900000000000001"/>
    <n v="1"/>
    <n v="0.88900000000000001"/>
    <m/>
  </r>
  <r>
    <x v="155"/>
    <x v="0"/>
    <x v="5"/>
    <x v="4"/>
    <n v="2500"/>
    <n v="767"/>
    <n v="0"/>
    <n v="0"/>
    <n v="767"/>
    <m/>
    <m/>
    <s v=""/>
    <s v=""/>
    <s v=""/>
    <n v="0.30680000000000002"/>
    <n v="1"/>
    <s v=""/>
    <m/>
  </r>
  <r>
    <x v="155"/>
    <x v="1"/>
    <x v="6"/>
    <x v="5"/>
    <n v="9000"/>
    <n v="4637"/>
    <n v="0"/>
    <n v="0"/>
    <n v="4637"/>
    <n v="22"/>
    <n v="12"/>
    <n v="10"/>
    <n v="4909.090909090909"/>
    <n v="0.45454545454545453"/>
    <n v="0.51522222222222225"/>
    <n v="1"/>
    <n v="0.2341919191919192"/>
    <s v="Production was affected for a problem with the flat dryer (12 hrs)"/>
  </r>
  <r>
    <x v="155"/>
    <x v="1"/>
    <x v="7"/>
    <x v="6"/>
    <n v="8000"/>
    <n v="3347"/>
    <n v="0"/>
    <n v="0"/>
    <n v="3347"/>
    <n v="22"/>
    <n v="12.5"/>
    <n v="9.5"/>
    <n v="4545.454545454545"/>
    <n v="0.43181818181818182"/>
    <n v="0.418375"/>
    <n v="1"/>
    <n v="0.18066193181818183"/>
    <s v="M/C stopped for damage to the roller and a pinion malfunction. (12.30 hrs)"/>
  </r>
  <r>
    <x v="155"/>
    <x v="1"/>
    <x v="8"/>
    <x v="4"/>
    <n v="6000"/>
    <n v="633"/>
    <n v="0"/>
    <n v="0"/>
    <n v="633"/>
    <n v="22"/>
    <m/>
    <n v="22"/>
    <n v="0"/>
    <n v="1"/>
    <n v="0.1055"/>
    <n v="1"/>
    <n v="0.1055"/>
    <s v="Production was affected for unavailability of T/F fabric "/>
  </r>
  <r>
    <x v="155"/>
    <x v="1"/>
    <x v="9"/>
    <x v="4"/>
    <n v="5000"/>
    <n v="1280"/>
    <n v="0"/>
    <n v="0"/>
    <n v="1280"/>
    <n v="22"/>
    <m/>
    <n v="22"/>
    <n v="0"/>
    <n v="1"/>
    <n v="0.25600000000000001"/>
    <n v="1"/>
    <n v="0.25600000000000001"/>
    <s v="Production was affected for unavailability of T/F fabric"/>
  </r>
  <r>
    <x v="156"/>
    <x v="0"/>
    <x v="0"/>
    <x v="0"/>
    <n v="10000"/>
    <n v="9953"/>
    <n v="0"/>
    <n v="0"/>
    <n v="9953"/>
    <n v="22"/>
    <m/>
    <n v="22"/>
    <n v="0"/>
    <n v="1"/>
    <n v="0.99529999999999996"/>
    <n v="1"/>
    <n v="0.99529999999999996"/>
    <m/>
  </r>
  <r>
    <x v="156"/>
    <x v="0"/>
    <x v="11"/>
    <x v="0"/>
    <n v="8933"/>
    <n v="8933"/>
    <n v="0"/>
    <n v="0"/>
    <n v="8933"/>
    <m/>
    <m/>
    <s v=""/>
    <s v=""/>
    <s v=""/>
    <n v="1"/>
    <n v="1"/>
    <s v=""/>
    <m/>
  </r>
  <r>
    <x v="156"/>
    <x v="0"/>
    <x v="1"/>
    <x v="1"/>
    <n v="5000"/>
    <n v="4895"/>
    <n v="0"/>
    <n v="0"/>
    <n v="4895"/>
    <n v="22"/>
    <m/>
    <n v="22"/>
    <n v="0"/>
    <n v="1"/>
    <n v="0.97899999999999998"/>
    <n v="1"/>
    <n v="0.97899999999999998"/>
    <m/>
  </r>
  <r>
    <x v="156"/>
    <x v="0"/>
    <x v="1"/>
    <x v="2"/>
    <n v="4000"/>
    <n v="4993"/>
    <n v="0"/>
    <n v="0"/>
    <n v="4993"/>
    <m/>
    <m/>
    <s v=""/>
    <s v=""/>
    <s v=""/>
    <n v="1.2482500000000001"/>
    <n v="1"/>
    <s v=""/>
    <m/>
  </r>
  <r>
    <x v="156"/>
    <x v="0"/>
    <x v="2"/>
    <x v="2"/>
    <n v="7000"/>
    <n v="7123"/>
    <n v="0"/>
    <n v="0"/>
    <n v="7123"/>
    <n v="22"/>
    <m/>
    <n v="22"/>
    <n v="0"/>
    <n v="1"/>
    <n v="1.0175714285714286"/>
    <n v="1"/>
    <n v="1.0175714285714286"/>
    <m/>
  </r>
  <r>
    <x v="156"/>
    <x v="0"/>
    <x v="3"/>
    <x v="3"/>
    <n v="7800"/>
    <n v="7194"/>
    <n v="0"/>
    <n v="0"/>
    <n v="7194"/>
    <n v="22"/>
    <n v="2"/>
    <n v="20"/>
    <n v="709.09090909090912"/>
    <n v="0.90909090909090906"/>
    <n v="0.92230769230769227"/>
    <n v="1"/>
    <n v="0.83846153846153837"/>
    <s v="M/C stopped for the unavailability of Heat Set fabric (2 hrs)."/>
  </r>
  <r>
    <x v="156"/>
    <x v="0"/>
    <x v="10"/>
    <x v="3"/>
    <m/>
    <m/>
    <m/>
    <s v=""/>
    <n v="0"/>
    <m/>
    <m/>
    <s v=""/>
    <s v=""/>
    <s v=""/>
    <s v=""/>
    <s v=""/>
    <s v=""/>
    <m/>
  </r>
  <r>
    <x v="156"/>
    <x v="0"/>
    <x v="4"/>
    <x v="4"/>
    <n v="9000"/>
    <n v="7255"/>
    <n v="0"/>
    <n v="0"/>
    <n v="7255"/>
    <n v="22"/>
    <n v="2"/>
    <n v="20"/>
    <n v="818.18181818181813"/>
    <n v="0.90909090909090906"/>
    <n v="0.80611111111111111"/>
    <n v="1"/>
    <n v="0.73282828282828283"/>
    <s v="M/C stopped for the unavailability of O/F fabric_x000a_(2 hrs)."/>
  </r>
  <r>
    <x v="156"/>
    <x v="0"/>
    <x v="5"/>
    <x v="4"/>
    <m/>
    <m/>
    <m/>
    <s v=""/>
    <n v="0"/>
    <m/>
    <m/>
    <s v=""/>
    <s v=""/>
    <s v=""/>
    <s v=""/>
    <s v=""/>
    <s v=""/>
    <m/>
  </r>
  <r>
    <x v="156"/>
    <x v="1"/>
    <x v="6"/>
    <x v="5"/>
    <n v="9000"/>
    <n v="3560"/>
    <n v="0"/>
    <n v="0"/>
    <n v="3560"/>
    <n v="22"/>
    <m/>
    <n v="22"/>
    <n v="0"/>
    <n v="1"/>
    <n v="0.39555555555555555"/>
    <n v="1"/>
    <n v="0.39555555555555555"/>
    <m/>
  </r>
  <r>
    <x v="156"/>
    <x v="1"/>
    <x v="7"/>
    <x v="6"/>
    <n v="8000"/>
    <n v="5206"/>
    <n v="0"/>
    <n v="0"/>
    <n v="5206"/>
    <n v="22"/>
    <n v="5.33"/>
    <n v="16.670000000000002"/>
    <n v="1938.1818181818182"/>
    <n v="0.7577272727272728"/>
    <n v="0.65075000000000005"/>
    <n v="1"/>
    <n v="0.49309102272727284"/>
    <s v="M/C stopped for net cleaning &amp;  unavailability of T/F fabric. (5.20 hrs)"/>
  </r>
  <r>
    <x v="156"/>
    <x v="1"/>
    <x v="8"/>
    <x v="4"/>
    <n v="6000"/>
    <n v="2589"/>
    <n v="0"/>
    <n v="0"/>
    <n v="2589"/>
    <n v="22"/>
    <n v="6"/>
    <n v="16"/>
    <n v="1636.3636363636365"/>
    <n v="0.72727272727272729"/>
    <n v="0.43149999999999999"/>
    <n v="1"/>
    <n v="0.31381818181818183"/>
    <s v="M/C stopped for maintenance work on 1 blanket jogger &amp; unavailability of T/F fabric (6 hrs)"/>
  </r>
  <r>
    <x v="156"/>
    <x v="1"/>
    <x v="9"/>
    <x v="4"/>
    <n v="5000"/>
    <n v="3243"/>
    <n v="0"/>
    <n v="0"/>
    <n v="3243"/>
    <n v="22"/>
    <n v="2"/>
    <n v="20"/>
    <n v="454.54545454545456"/>
    <n v="0.90909090909090906"/>
    <n v="0.64859999999999995"/>
    <n v="1"/>
    <n v="0.58963636363636363"/>
    <s v="M/C stopped for the unavailability of T/F fabric_x000a_(2 hrs)."/>
  </r>
  <r>
    <x v="157"/>
    <x v="0"/>
    <x v="0"/>
    <x v="0"/>
    <n v="10000"/>
    <n v="9500"/>
    <n v="0"/>
    <n v="0"/>
    <n v="9500"/>
    <n v="22"/>
    <m/>
    <n v="22"/>
    <n v="0"/>
    <n v="1"/>
    <n v="0.95"/>
    <n v="1"/>
    <n v="0.95"/>
    <m/>
  </r>
  <r>
    <x v="157"/>
    <x v="0"/>
    <x v="11"/>
    <x v="0"/>
    <n v="9804"/>
    <n v="9804"/>
    <n v="0"/>
    <n v="0"/>
    <n v="9804"/>
    <m/>
    <m/>
    <s v=""/>
    <s v=""/>
    <s v=""/>
    <n v="1"/>
    <n v="1"/>
    <s v=""/>
    <m/>
  </r>
  <r>
    <x v="157"/>
    <x v="0"/>
    <x v="1"/>
    <x v="1"/>
    <n v="5000"/>
    <n v="2443"/>
    <n v="0"/>
    <n v="0"/>
    <n v="2443"/>
    <n v="22"/>
    <m/>
    <n v="22"/>
    <n v="0"/>
    <n v="1"/>
    <n v="0.48859999999999998"/>
    <n v="1"/>
    <n v="0.48859999999999998"/>
    <s v="M/C run at lunch &amp; dinner break due to high open width  fabric load."/>
  </r>
  <r>
    <x v="157"/>
    <x v="0"/>
    <x v="1"/>
    <x v="2"/>
    <n v="4000"/>
    <n v="7902"/>
    <n v="0"/>
    <n v="0"/>
    <n v="7902"/>
    <m/>
    <m/>
    <s v=""/>
    <s v=""/>
    <s v=""/>
    <n v="1.9755"/>
    <n v="1"/>
    <s v=""/>
    <m/>
  </r>
  <r>
    <x v="157"/>
    <x v="0"/>
    <x v="2"/>
    <x v="2"/>
    <n v="7000"/>
    <n v="7952"/>
    <n v="0"/>
    <n v="0"/>
    <n v="7952"/>
    <n v="22"/>
    <m/>
    <n v="22"/>
    <n v="0"/>
    <n v="1"/>
    <n v="1.1359999999999999"/>
    <n v="1"/>
    <n v="1.1359999999999999"/>
    <s v="M/C run at lunch &amp; dinner break due to high open width  fabric load."/>
  </r>
  <r>
    <x v="157"/>
    <x v="0"/>
    <x v="3"/>
    <x v="3"/>
    <n v="7800"/>
    <n v="3703"/>
    <n v="0"/>
    <n v="0"/>
    <n v="3703"/>
    <n v="22"/>
    <n v="10"/>
    <n v="12"/>
    <n v="3545.4545454545455"/>
    <n v="0.54545454545454541"/>
    <n v="0.47474358974358977"/>
    <n v="1"/>
    <n v="0.25895104895104892"/>
    <s v="M/C stopped for the unavailability of Heat Set fabric (10 hrs)."/>
  </r>
  <r>
    <x v="157"/>
    <x v="0"/>
    <x v="10"/>
    <x v="3"/>
    <m/>
    <m/>
    <m/>
    <s v=""/>
    <n v="0"/>
    <m/>
    <m/>
    <s v=""/>
    <s v=""/>
    <s v=""/>
    <s v=""/>
    <s v=""/>
    <s v=""/>
    <m/>
  </r>
  <r>
    <x v="157"/>
    <x v="0"/>
    <x v="4"/>
    <x v="4"/>
    <n v="9000"/>
    <n v="8485"/>
    <n v="0"/>
    <n v="0"/>
    <n v="8485"/>
    <n v="22"/>
    <m/>
    <n v="22"/>
    <n v="0"/>
    <n v="1"/>
    <n v="0.94277777777777783"/>
    <n v="1"/>
    <n v="0.94277777777777783"/>
    <m/>
  </r>
  <r>
    <x v="157"/>
    <x v="0"/>
    <x v="5"/>
    <x v="4"/>
    <n v="2500"/>
    <n v="2819"/>
    <n v="0"/>
    <n v="0"/>
    <n v="2819"/>
    <m/>
    <m/>
    <s v=""/>
    <s v=""/>
    <s v=""/>
    <n v="1.1275999999999999"/>
    <n v="1"/>
    <s v=""/>
    <s v="Monty m/c operated with helpers from Ferraro Tube  &amp;  Indian Compecting."/>
  </r>
  <r>
    <x v="157"/>
    <x v="1"/>
    <x v="6"/>
    <x v="5"/>
    <n v="9000"/>
    <n v="6536"/>
    <n v="0"/>
    <n v="0"/>
    <n v="6536"/>
    <n v="22"/>
    <m/>
    <n v="22"/>
    <n v="0"/>
    <n v="1"/>
    <n v="0.72622222222222221"/>
    <n v="1"/>
    <n v="0.72622222222222221"/>
    <m/>
  </r>
  <r>
    <x v="157"/>
    <x v="1"/>
    <x v="7"/>
    <x v="6"/>
    <n v="8000"/>
    <n v="5404"/>
    <n v="0"/>
    <n v="0"/>
    <n v="5404"/>
    <n v="22"/>
    <n v="2"/>
    <n v="20"/>
    <n v="727.27272727272725"/>
    <n v="0.90909090909090906"/>
    <n v="0.67549999999999999"/>
    <n v="1"/>
    <n v="0.61409090909090902"/>
    <s v="M/C stopped for net cleaning &amp;  unavailability of T/F fabric. (2 hrs)"/>
  </r>
  <r>
    <x v="157"/>
    <x v="1"/>
    <x v="8"/>
    <x v="4"/>
    <n v="6000"/>
    <n v="2321"/>
    <n v="0"/>
    <n v="0"/>
    <n v="2321"/>
    <n v="22"/>
    <n v="13.5"/>
    <n v="8.5"/>
    <n v="3681.818181818182"/>
    <n v="0.38636363636363635"/>
    <n v="0.38683333333333331"/>
    <n v="1"/>
    <n v="0.14945833333333333"/>
    <s v="M/C stopped for unavailability of T/F fabric (13.30 hrs)"/>
  </r>
  <r>
    <x v="157"/>
    <x v="1"/>
    <x v="9"/>
    <x v="4"/>
    <n v="5000"/>
    <n v="2180"/>
    <n v="0"/>
    <n v="0"/>
    <n v="2180"/>
    <n v="22"/>
    <n v="9"/>
    <n v="13"/>
    <n v="2045.4545454545455"/>
    <n v="0.59090909090909094"/>
    <n v="0.436"/>
    <n v="1"/>
    <n v="0.25763636363636366"/>
    <s v="M/C stopped for the unavailability of T/F fabric_x000a_(9 hrs)."/>
  </r>
  <r>
    <x v="158"/>
    <x v="0"/>
    <x v="0"/>
    <x v="0"/>
    <n v="10000"/>
    <n v="9405"/>
    <n v="0"/>
    <n v="0"/>
    <n v="9405"/>
    <n v="22"/>
    <m/>
    <n v="22"/>
    <n v="0"/>
    <n v="1"/>
    <n v="0.9405"/>
    <n v="1"/>
    <n v="0.9405"/>
    <m/>
  </r>
  <r>
    <x v="158"/>
    <x v="0"/>
    <x v="11"/>
    <x v="0"/>
    <n v="9778"/>
    <n v="9778"/>
    <n v="0"/>
    <n v="0"/>
    <n v="9778"/>
    <m/>
    <m/>
    <s v=""/>
    <s v=""/>
    <s v=""/>
    <n v="1"/>
    <n v="1"/>
    <s v=""/>
    <m/>
  </r>
  <r>
    <x v="158"/>
    <x v="0"/>
    <x v="1"/>
    <x v="1"/>
    <n v="5000"/>
    <n v="6257"/>
    <n v="0"/>
    <n v="0"/>
    <n v="6257"/>
    <n v="22"/>
    <m/>
    <n v="22"/>
    <n v="0"/>
    <n v="1"/>
    <n v="1.2514000000000001"/>
    <n v="1"/>
    <n v="1.2514000000000001"/>
    <s v="M/C run at lunch &amp; dinner break due to high open width  fabric load."/>
  </r>
  <r>
    <x v="158"/>
    <x v="0"/>
    <x v="1"/>
    <x v="2"/>
    <n v="4000"/>
    <n v="3196"/>
    <n v="0"/>
    <n v="0"/>
    <n v="3196"/>
    <m/>
    <m/>
    <s v=""/>
    <s v=""/>
    <s v=""/>
    <n v="0.79900000000000004"/>
    <n v="1"/>
    <s v=""/>
    <m/>
  </r>
  <r>
    <x v="158"/>
    <x v="0"/>
    <x v="2"/>
    <x v="2"/>
    <n v="7000"/>
    <n v="8084"/>
    <n v="0"/>
    <n v="0"/>
    <n v="8084"/>
    <n v="22"/>
    <m/>
    <n v="22"/>
    <n v="0"/>
    <n v="1"/>
    <n v="1.1548571428571428"/>
    <n v="1"/>
    <n v="1.1548571428571428"/>
    <s v="M/C run at lunch &amp; dinner break due to high open width  fabric load."/>
  </r>
  <r>
    <x v="158"/>
    <x v="0"/>
    <x v="3"/>
    <x v="3"/>
    <n v="7800"/>
    <n v="8224"/>
    <n v="0"/>
    <n v="0"/>
    <n v="8224"/>
    <n v="22"/>
    <m/>
    <n v="22"/>
    <n v="0"/>
    <n v="1"/>
    <n v="1.0543589743589743"/>
    <n v="1"/>
    <n v="1.0543589743589743"/>
    <m/>
  </r>
  <r>
    <x v="158"/>
    <x v="0"/>
    <x v="10"/>
    <x v="3"/>
    <m/>
    <m/>
    <m/>
    <s v=""/>
    <n v="0"/>
    <m/>
    <m/>
    <s v=""/>
    <s v=""/>
    <s v=""/>
    <s v=""/>
    <s v=""/>
    <s v=""/>
    <m/>
  </r>
  <r>
    <x v="158"/>
    <x v="0"/>
    <x v="4"/>
    <x v="4"/>
    <n v="9000"/>
    <n v="8125"/>
    <n v="0"/>
    <n v="0"/>
    <n v="8125"/>
    <n v="22"/>
    <m/>
    <n v="22"/>
    <n v="0"/>
    <n v="1"/>
    <n v="0.90277777777777779"/>
    <n v="1"/>
    <n v="0.90277777777777779"/>
    <m/>
  </r>
  <r>
    <x v="158"/>
    <x v="0"/>
    <x v="5"/>
    <x v="4"/>
    <m/>
    <m/>
    <m/>
    <s v=""/>
    <n v="0"/>
    <m/>
    <m/>
    <s v=""/>
    <s v=""/>
    <s v=""/>
    <s v=""/>
    <s v=""/>
    <s v=""/>
    <m/>
  </r>
  <r>
    <x v="158"/>
    <x v="1"/>
    <x v="6"/>
    <x v="5"/>
    <n v="9000"/>
    <n v="4107"/>
    <n v="0"/>
    <n v="0"/>
    <n v="4107"/>
    <n v="22"/>
    <n v="4"/>
    <n v="18"/>
    <n v="1636.3636363636363"/>
    <n v="0.81818181818181823"/>
    <n v="0.45633333333333331"/>
    <n v="1"/>
    <n v="0.3733636363636364"/>
    <s v="M/C stopped for the unavailability of T/F fabric_x000a_(4 hrs)."/>
  </r>
  <r>
    <x v="158"/>
    <x v="1"/>
    <x v="7"/>
    <x v="6"/>
    <n v="8000"/>
    <n v="5192"/>
    <n v="0"/>
    <n v="0"/>
    <n v="5192"/>
    <n v="22"/>
    <n v="5.33"/>
    <n v="16.670000000000002"/>
    <n v="1938.1818181818182"/>
    <n v="0.7577272727272728"/>
    <n v="0.64900000000000002"/>
    <n v="1"/>
    <n v="0.49176500000000006"/>
    <s v="M/C stopped for net cleaning &amp;  unavailability of T/F fabric. (5.20 hrs)"/>
  </r>
  <r>
    <x v="158"/>
    <x v="1"/>
    <x v="8"/>
    <x v="4"/>
    <n v="6000"/>
    <n v="1606"/>
    <n v="0"/>
    <n v="0"/>
    <n v="1606"/>
    <n v="22"/>
    <n v="14"/>
    <n v="8"/>
    <n v="3818.1818181818185"/>
    <n v="0.36363636363636365"/>
    <n v="0.26766666666666666"/>
    <n v="1"/>
    <n v="9.7333333333333341E-2"/>
    <s v="M/C stopped for unavailability of T/F fabric (14 hrs)"/>
  </r>
  <r>
    <x v="158"/>
    <x v="1"/>
    <x v="9"/>
    <x v="4"/>
    <n v="5000"/>
    <n v="3320"/>
    <n v="0"/>
    <n v="0"/>
    <n v="3320"/>
    <n v="22"/>
    <n v="4"/>
    <n v="18"/>
    <n v="909.09090909090912"/>
    <n v="0.81818181818181823"/>
    <n v="0.66400000000000003"/>
    <n v="1"/>
    <n v="0.54327272727272735"/>
    <s v="M/C stopped for the unavailability of T/F fabric_x000a_(4 hrs)."/>
  </r>
  <r>
    <x v="159"/>
    <x v="0"/>
    <x v="0"/>
    <x v="0"/>
    <n v="10000"/>
    <n v="9797"/>
    <n v="0"/>
    <n v="0"/>
    <n v="9797"/>
    <n v="22"/>
    <m/>
    <n v="22"/>
    <n v="0"/>
    <n v="1"/>
    <n v="0.97970000000000002"/>
    <n v="1"/>
    <n v="0.97970000000000002"/>
    <m/>
  </r>
  <r>
    <x v="159"/>
    <x v="0"/>
    <x v="11"/>
    <x v="0"/>
    <n v="9900"/>
    <n v="9900"/>
    <n v="0"/>
    <n v="0"/>
    <n v="9900"/>
    <m/>
    <m/>
    <s v=""/>
    <s v=""/>
    <s v=""/>
    <n v="1"/>
    <n v="1"/>
    <s v=""/>
    <m/>
  </r>
  <r>
    <x v="159"/>
    <x v="0"/>
    <x v="1"/>
    <x v="1"/>
    <n v="5000"/>
    <n v="4157"/>
    <n v="0"/>
    <n v="0"/>
    <n v="4157"/>
    <n v="22"/>
    <m/>
    <n v="22"/>
    <n v="0"/>
    <n v="1"/>
    <n v="0.83140000000000003"/>
    <n v="1"/>
    <n v="0.83140000000000003"/>
    <s v="M/C run at lunch &amp; dinner break due to high open width  fabric load."/>
  </r>
  <r>
    <x v="159"/>
    <x v="0"/>
    <x v="1"/>
    <x v="2"/>
    <n v="4000"/>
    <n v="5844"/>
    <n v="0"/>
    <n v="0"/>
    <n v="5844"/>
    <m/>
    <m/>
    <s v=""/>
    <s v=""/>
    <s v=""/>
    <n v="1.4610000000000001"/>
    <n v="1"/>
    <s v=""/>
    <m/>
  </r>
  <r>
    <x v="159"/>
    <x v="0"/>
    <x v="2"/>
    <x v="2"/>
    <n v="7000"/>
    <n v="7040"/>
    <n v="0"/>
    <n v="0"/>
    <n v="7040"/>
    <n v="22"/>
    <m/>
    <n v="22"/>
    <n v="0"/>
    <n v="1"/>
    <n v="1.0057142857142858"/>
    <n v="1"/>
    <n v="1.0057142857142858"/>
    <m/>
  </r>
  <r>
    <x v="159"/>
    <x v="0"/>
    <x v="3"/>
    <x v="3"/>
    <n v="7800"/>
    <n v="6185"/>
    <n v="0"/>
    <n v="0"/>
    <n v="6185"/>
    <n v="22"/>
    <n v="5.17"/>
    <n v="16.829999999999998"/>
    <n v="1833"/>
    <n v="0.7649999999999999"/>
    <n v="0.79294871794871791"/>
    <n v="1"/>
    <n v="0.60660576923076914"/>
    <s v="M/C stopped for the unavailability of Heat Set fabric (5.10 hrs)."/>
  </r>
  <r>
    <x v="159"/>
    <x v="0"/>
    <x v="10"/>
    <x v="3"/>
    <m/>
    <m/>
    <m/>
    <s v=""/>
    <n v="0"/>
    <m/>
    <m/>
    <s v=""/>
    <s v=""/>
    <s v=""/>
    <s v=""/>
    <s v=""/>
    <s v=""/>
    <m/>
  </r>
  <r>
    <x v="159"/>
    <x v="0"/>
    <x v="4"/>
    <x v="4"/>
    <n v="9000"/>
    <n v="8590"/>
    <n v="0"/>
    <n v="0"/>
    <n v="8590"/>
    <n v="22"/>
    <m/>
    <n v="22"/>
    <n v="0"/>
    <n v="1"/>
    <n v="0.95444444444444443"/>
    <n v="1"/>
    <n v="0.95444444444444443"/>
    <m/>
  </r>
  <r>
    <x v="159"/>
    <x v="0"/>
    <x v="5"/>
    <x v="4"/>
    <n v="2500"/>
    <n v="1571"/>
    <n v="0"/>
    <n v="0"/>
    <n v="1571"/>
    <m/>
    <m/>
    <s v=""/>
    <s v=""/>
    <s v=""/>
    <n v="0.62839999999999996"/>
    <n v="1"/>
    <s v=""/>
    <m/>
  </r>
  <r>
    <x v="159"/>
    <x v="1"/>
    <x v="6"/>
    <x v="5"/>
    <n v="9000"/>
    <n v="6746"/>
    <n v="0"/>
    <n v="0"/>
    <n v="6746"/>
    <n v="22"/>
    <m/>
    <n v="22"/>
    <n v="0"/>
    <n v="1"/>
    <n v="0.74955555555555553"/>
    <n v="1"/>
    <n v="0.74955555555555553"/>
    <m/>
  </r>
  <r>
    <x v="159"/>
    <x v="1"/>
    <x v="7"/>
    <x v="6"/>
    <n v="8000"/>
    <n v="6502"/>
    <n v="0"/>
    <n v="0"/>
    <n v="6502"/>
    <n v="22"/>
    <n v="1.33"/>
    <n v="20.67"/>
    <n v="483.63636363636363"/>
    <n v="0.93954545454545457"/>
    <n v="0.81274999999999997"/>
    <n v="1"/>
    <n v="0.76361556818181819"/>
    <s v="M/C stopped for net cleaning (1.20 hrs)"/>
  </r>
  <r>
    <x v="159"/>
    <x v="1"/>
    <x v="8"/>
    <x v="4"/>
    <n v="6000"/>
    <n v="875"/>
    <n v="0"/>
    <n v="0"/>
    <n v="875"/>
    <n v="22"/>
    <n v="13"/>
    <n v="9"/>
    <n v="3545.454545454546"/>
    <n v="0.40909090909090912"/>
    <n v="0.14583333333333334"/>
    <n v="1"/>
    <n v="5.9659090909090919E-2"/>
    <s v="M/C stopped for unavailability of T/F fabric (13 hrs)"/>
  </r>
  <r>
    <x v="159"/>
    <x v="1"/>
    <x v="9"/>
    <x v="4"/>
    <n v="5000"/>
    <n v="4071"/>
    <n v="0"/>
    <n v="0"/>
    <n v="4071"/>
    <n v="22"/>
    <m/>
    <n v="22"/>
    <n v="0"/>
    <n v="1"/>
    <n v="0.81420000000000003"/>
    <n v="1"/>
    <n v="0.81420000000000003"/>
    <s v="Production was affected for unavailability of T/F fabric."/>
  </r>
  <r>
    <x v="160"/>
    <x v="0"/>
    <x v="0"/>
    <x v="0"/>
    <n v="10000"/>
    <n v="7890"/>
    <n v="0"/>
    <n v="0"/>
    <n v="7890"/>
    <n v="22"/>
    <m/>
    <n v="22"/>
    <n v="0"/>
    <n v="1"/>
    <n v="0.78900000000000003"/>
    <n v="1"/>
    <n v="0.78900000000000003"/>
    <m/>
  </r>
  <r>
    <x v="160"/>
    <x v="0"/>
    <x v="11"/>
    <x v="0"/>
    <n v="10049"/>
    <n v="10049"/>
    <n v="0"/>
    <n v="0"/>
    <n v="10049"/>
    <m/>
    <m/>
    <s v=""/>
    <s v=""/>
    <s v=""/>
    <n v="1"/>
    <n v="1"/>
    <s v=""/>
    <m/>
  </r>
  <r>
    <x v="160"/>
    <x v="0"/>
    <x v="1"/>
    <x v="1"/>
    <n v="5000"/>
    <n v="3658"/>
    <n v="0"/>
    <n v="0"/>
    <n v="3658"/>
    <n v="22"/>
    <m/>
    <n v="22"/>
    <n v="0"/>
    <n v="1"/>
    <n v="0.73160000000000003"/>
    <n v="1"/>
    <n v="0.73160000000000003"/>
    <s v="M/C run at lunch &amp; dinner break due to high open width  fabric load."/>
  </r>
  <r>
    <x v="160"/>
    <x v="0"/>
    <x v="1"/>
    <x v="2"/>
    <n v="4000"/>
    <n v="5504"/>
    <n v="0"/>
    <n v="0"/>
    <n v="5504"/>
    <m/>
    <m/>
    <s v=""/>
    <s v=""/>
    <s v=""/>
    <n v="1.3759999999999999"/>
    <n v="1"/>
    <s v=""/>
    <m/>
  </r>
  <r>
    <x v="160"/>
    <x v="0"/>
    <x v="2"/>
    <x v="2"/>
    <n v="7000"/>
    <n v="7733"/>
    <n v="0"/>
    <n v="0"/>
    <n v="7733"/>
    <n v="22"/>
    <m/>
    <n v="22"/>
    <n v="0"/>
    <n v="1"/>
    <n v="1.1047142857142858"/>
    <n v="1"/>
    <n v="1.1047142857142858"/>
    <m/>
  </r>
  <r>
    <x v="160"/>
    <x v="0"/>
    <x v="3"/>
    <x v="3"/>
    <n v="7800"/>
    <n v="5590"/>
    <n v="0"/>
    <n v="0"/>
    <n v="5590"/>
    <n v="22"/>
    <n v="5.17"/>
    <n v="16.829999999999998"/>
    <n v="1833"/>
    <n v="0.7649999999999999"/>
    <n v="0.71666666666666667"/>
    <n v="1"/>
    <n v="0.5482499999999999"/>
    <s v="M/C stopped for the unavailability of Heat Set fabric (5.10 hrs)."/>
  </r>
  <r>
    <x v="160"/>
    <x v="0"/>
    <x v="10"/>
    <x v="3"/>
    <m/>
    <m/>
    <m/>
    <s v=""/>
    <n v="0"/>
    <m/>
    <m/>
    <s v=""/>
    <s v=""/>
    <s v=""/>
    <s v=""/>
    <s v=""/>
    <s v=""/>
    <m/>
  </r>
  <r>
    <x v="160"/>
    <x v="0"/>
    <x v="4"/>
    <x v="4"/>
    <n v="9000"/>
    <n v="7990"/>
    <n v="0"/>
    <n v="0"/>
    <n v="7990"/>
    <n v="22"/>
    <m/>
    <n v="22"/>
    <n v="0"/>
    <n v="1"/>
    <n v="0.88777777777777778"/>
    <n v="1"/>
    <n v="0.88777777777777778"/>
    <m/>
  </r>
  <r>
    <x v="160"/>
    <x v="0"/>
    <x v="5"/>
    <x v="4"/>
    <n v="2500"/>
    <n v="0"/>
    <n v="0"/>
    <s v=""/>
    <n v="0"/>
    <m/>
    <m/>
    <s v=""/>
    <s v=""/>
    <s v=""/>
    <n v="0"/>
    <s v=""/>
    <s v=""/>
    <s v="M/C stopped for the unavailability of Finish Open fabric."/>
  </r>
  <r>
    <x v="160"/>
    <x v="1"/>
    <x v="6"/>
    <x v="5"/>
    <n v="9000"/>
    <n v="6376"/>
    <n v="0"/>
    <n v="0"/>
    <n v="6376"/>
    <n v="22"/>
    <m/>
    <n v="22"/>
    <n v="0"/>
    <n v="1"/>
    <n v="0.70844444444444443"/>
    <n v="1"/>
    <n v="0.70844444444444443"/>
    <m/>
  </r>
  <r>
    <x v="160"/>
    <x v="1"/>
    <x v="7"/>
    <x v="6"/>
    <n v="8000"/>
    <n v="6733"/>
    <n v="0"/>
    <n v="0"/>
    <n v="6733"/>
    <n v="22"/>
    <n v="1.33"/>
    <n v="20.67"/>
    <n v="483.63636363636363"/>
    <n v="0.93954545454545457"/>
    <n v="0.84162499999999996"/>
    <n v="1"/>
    <n v="0.79074494318181821"/>
    <s v="M/C stopped for net cleaning (1.20 hrs)"/>
  </r>
  <r>
    <x v="160"/>
    <x v="1"/>
    <x v="8"/>
    <x v="4"/>
    <n v="6000"/>
    <n v="1703"/>
    <n v="0"/>
    <n v="0"/>
    <n v="1703"/>
    <n v="22"/>
    <n v="13"/>
    <n v="9"/>
    <n v="3545.454545454546"/>
    <n v="0.40909090909090912"/>
    <n v="0.28383333333333333"/>
    <n v="1"/>
    <n v="0.11611363636363636"/>
    <s v="M/C stopped for unavailability of T/F fabric (13 hrs)"/>
  </r>
  <r>
    <x v="160"/>
    <x v="1"/>
    <x v="9"/>
    <x v="4"/>
    <n v="5000"/>
    <n v="4653"/>
    <n v="0"/>
    <n v="0"/>
    <n v="4653"/>
    <n v="22"/>
    <m/>
    <n v="22"/>
    <n v="0"/>
    <n v="1"/>
    <n v="0.93059999999999998"/>
    <n v="1"/>
    <n v="0.93059999999999998"/>
    <m/>
  </r>
  <r>
    <x v="161"/>
    <x v="0"/>
    <x v="0"/>
    <x v="0"/>
    <n v="10000"/>
    <n v="7628"/>
    <n v="0"/>
    <n v="0"/>
    <n v="7628"/>
    <n v="22"/>
    <m/>
    <n v="22"/>
    <n v="0"/>
    <n v="1"/>
    <n v="0.76280000000000003"/>
    <n v="1"/>
    <n v="0.76280000000000003"/>
    <s v="M/C stopped three hour due to problem Contract Switch."/>
  </r>
  <r>
    <x v="161"/>
    <x v="0"/>
    <x v="11"/>
    <x v="0"/>
    <n v="10914"/>
    <n v="10914"/>
    <n v="0"/>
    <n v="0"/>
    <n v="10914"/>
    <m/>
    <m/>
    <s v=""/>
    <s v=""/>
    <s v=""/>
    <n v="1"/>
    <n v="1"/>
    <s v=""/>
    <m/>
  </r>
  <r>
    <x v="161"/>
    <x v="0"/>
    <x v="1"/>
    <x v="1"/>
    <n v="5000"/>
    <n v="5694"/>
    <n v="0"/>
    <n v="0"/>
    <n v="5694"/>
    <n v="22"/>
    <m/>
    <n v="22"/>
    <n v="0"/>
    <n v="1"/>
    <n v="1.1388"/>
    <n v="1"/>
    <n v="1.1388"/>
    <s v="M/C stopped two hour due to replace Blower Motor Invertor."/>
  </r>
  <r>
    <x v="161"/>
    <x v="0"/>
    <x v="1"/>
    <x v="2"/>
    <n v="4000"/>
    <n v="3021"/>
    <n v="0"/>
    <n v="0"/>
    <n v="3021"/>
    <m/>
    <m/>
    <s v=""/>
    <s v=""/>
    <s v=""/>
    <n v="0.75524999999999998"/>
    <n v="1"/>
    <s v=""/>
    <m/>
  </r>
  <r>
    <x v="161"/>
    <x v="0"/>
    <x v="2"/>
    <x v="2"/>
    <n v="7000"/>
    <n v="6532"/>
    <n v="0"/>
    <n v="0"/>
    <n v="6532"/>
    <n v="22"/>
    <m/>
    <n v="22"/>
    <n v="0"/>
    <n v="1"/>
    <n v="0.93314285714285716"/>
    <n v="1"/>
    <n v="0.93314285714285716"/>
    <s v="M/C stopped two hour due to problem Super Slitting M/C."/>
  </r>
  <r>
    <x v="161"/>
    <x v="0"/>
    <x v="3"/>
    <x v="3"/>
    <n v="7800"/>
    <n v="8623"/>
    <n v="0"/>
    <n v="0"/>
    <n v="8623"/>
    <n v="22"/>
    <n v="5.17"/>
    <n v="16.829999999999998"/>
    <n v="1833"/>
    <n v="0.7649999999999999"/>
    <n v="1.1055128205128204"/>
    <n v="1"/>
    <n v="0.84571730769230746"/>
    <m/>
  </r>
  <r>
    <x v="161"/>
    <x v="0"/>
    <x v="10"/>
    <x v="3"/>
    <m/>
    <m/>
    <m/>
    <s v=""/>
    <n v="0"/>
    <m/>
    <m/>
    <s v=""/>
    <s v=""/>
    <s v=""/>
    <s v=""/>
    <s v=""/>
    <s v=""/>
    <m/>
  </r>
  <r>
    <x v="161"/>
    <x v="0"/>
    <x v="4"/>
    <x v="4"/>
    <n v="9000"/>
    <n v="9264"/>
    <n v="0"/>
    <n v="0"/>
    <n v="9264"/>
    <n v="22"/>
    <m/>
    <n v="22"/>
    <n v="0"/>
    <n v="1"/>
    <n v="1.0293333333333334"/>
    <n v="1"/>
    <n v="1.0293333333333334"/>
    <m/>
  </r>
  <r>
    <x v="161"/>
    <x v="0"/>
    <x v="5"/>
    <x v="4"/>
    <n v="2500"/>
    <n v="0"/>
    <n v="0"/>
    <s v=""/>
    <n v="0"/>
    <m/>
    <m/>
    <s v=""/>
    <s v=""/>
    <s v=""/>
    <n v="0"/>
    <s v=""/>
    <s v=""/>
    <s v="M/C stopped for the unavailability of Finish Open fabric."/>
  </r>
  <r>
    <x v="161"/>
    <x v="1"/>
    <x v="6"/>
    <x v="5"/>
    <n v="9000"/>
    <n v="6243"/>
    <n v="0"/>
    <n v="0"/>
    <n v="6243"/>
    <n v="22"/>
    <m/>
    <n v="22"/>
    <n v="0"/>
    <n v="1"/>
    <n v="0.69366666666666665"/>
    <n v="1"/>
    <n v="0.69366666666666665"/>
    <m/>
  </r>
  <r>
    <x v="161"/>
    <x v="1"/>
    <x v="7"/>
    <x v="6"/>
    <n v="8000"/>
    <n v="6285"/>
    <n v="0"/>
    <n v="0"/>
    <n v="6285"/>
    <n v="22"/>
    <n v="1.33"/>
    <n v="20.67"/>
    <n v="483.63636363636363"/>
    <n v="0.93954545454545457"/>
    <n v="0.78562500000000002"/>
    <n v="1"/>
    <n v="0.73813039772727274"/>
    <s v="M/C stopped for net cleaning (1.20 hrs)"/>
  </r>
  <r>
    <x v="161"/>
    <x v="1"/>
    <x v="8"/>
    <x v="4"/>
    <n v="6000"/>
    <n v="3980"/>
    <n v="0"/>
    <n v="0"/>
    <n v="3980"/>
    <n v="22"/>
    <n v="2"/>
    <n v="20"/>
    <n v="545.4545454545455"/>
    <n v="0.90909090909090906"/>
    <n v="0.66333333333333333"/>
    <n v="1"/>
    <n v="0.60303030303030303"/>
    <s v="M/C stopped for unavailability of T/F fabric (2 hrs)"/>
  </r>
  <r>
    <x v="161"/>
    <x v="1"/>
    <x v="9"/>
    <x v="4"/>
    <n v="5000"/>
    <n v="2820"/>
    <n v="0"/>
    <n v="0"/>
    <n v="2820"/>
    <n v="22"/>
    <m/>
    <n v="22"/>
    <n v="0"/>
    <n v="1"/>
    <n v="0.56399999999999995"/>
    <n v="1"/>
    <n v="0.56399999999999995"/>
    <m/>
  </r>
  <r>
    <x v="162"/>
    <x v="0"/>
    <x v="0"/>
    <x v="0"/>
    <n v="10000"/>
    <n v="9411"/>
    <n v="0"/>
    <n v="0"/>
    <n v="9411"/>
    <n v="22"/>
    <m/>
    <n v="22"/>
    <n v="0"/>
    <n v="1"/>
    <n v="0.94110000000000005"/>
    <n v="1"/>
    <n v="0.94110000000000005"/>
    <m/>
  </r>
  <r>
    <x v="162"/>
    <x v="0"/>
    <x v="11"/>
    <x v="0"/>
    <n v="10914"/>
    <n v="11970"/>
    <n v="0"/>
    <n v="0"/>
    <n v="11970"/>
    <m/>
    <m/>
    <s v=""/>
    <s v=""/>
    <s v=""/>
    <n v="1.0967564595931831"/>
    <n v="1"/>
    <s v=""/>
    <m/>
  </r>
  <r>
    <x v="162"/>
    <x v="0"/>
    <x v="1"/>
    <x v="1"/>
    <n v="5000"/>
    <n v="4416"/>
    <n v="0"/>
    <n v="0"/>
    <n v="4416"/>
    <n v="22"/>
    <m/>
    <n v="22"/>
    <n v="0"/>
    <n v="1"/>
    <n v="0.88319999999999999"/>
    <n v="1"/>
    <n v="0.88319999999999999"/>
    <m/>
  </r>
  <r>
    <x v="162"/>
    <x v="0"/>
    <x v="1"/>
    <x v="2"/>
    <n v="4000"/>
    <n v="5149"/>
    <n v="0"/>
    <n v="0"/>
    <n v="5149"/>
    <m/>
    <m/>
    <s v=""/>
    <s v=""/>
    <s v=""/>
    <n v="1.28725"/>
    <n v="1"/>
    <s v=""/>
    <m/>
  </r>
  <r>
    <x v="162"/>
    <x v="0"/>
    <x v="2"/>
    <x v="2"/>
    <n v="7000"/>
    <n v="6609"/>
    <n v="0"/>
    <n v="0"/>
    <n v="6609"/>
    <n v="22"/>
    <n v="3"/>
    <n v="19"/>
    <n v="954.5454545454545"/>
    <n v="0.86363636363636365"/>
    <n v="0.94414285714285717"/>
    <n v="1"/>
    <n v="0.81539610389610395"/>
    <s v="M/C stopped for  fabric not being ready. (3 hrs)"/>
  </r>
  <r>
    <x v="162"/>
    <x v="0"/>
    <x v="3"/>
    <x v="3"/>
    <n v="7800"/>
    <n v="7967"/>
    <n v="0"/>
    <n v="0"/>
    <n v="7967"/>
    <n v="22"/>
    <m/>
    <n v="22"/>
    <n v="0"/>
    <n v="1"/>
    <n v="1.0214102564102565"/>
    <n v="1"/>
    <n v="1.0214102564102565"/>
    <m/>
  </r>
  <r>
    <x v="162"/>
    <x v="0"/>
    <x v="10"/>
    <x v="3"/>
    <m/>
    <m/>
    <m/>
    <s v=""/>
    <n v="0"/>
    <m/>
    <m/>
    <s v=""/>
    <s v=""/>
    <s v=""/>
    <s v=""/>
    <s v=""/>
    <s v=""/>
    <m/>
  </r>
  <r>
    <x v="162"/>
    <x v="0"/>
    <x v="4"/>
    <x v="4"/>
    <n v="9000"/>
    <n v="9060"/>
    <n v="0"/>
    <n v="0"/>
    <n v="9060"/>
    <n v="22"/>
    <m/>
    <n v="22"/>
    <n v="0"/>
    <n v="1"/>
    <n v="1.0066666666666666"/>
    <n v="1"/>
    <n v="1.0066666666666666"/>
    <m/>
  </r>
  <r>
    <x v="162"/>
    <x v="0"/>
    <x v="5"/>
    <x v="4"/>
    <n v="2500"/>
    <n v="490"/>
    <n v="0"/>
    <n v="0"/>
    <n v="490"/>
    <m/>
    <m/>
    <s v=""/>
    <s v=""/>
    <s v=""/>
    <n v="0.19600000000000001"/>
    <n v="1"/>
    <s v=""/>
    <m/>
  </r>
  <r>
    <x v="162"/>
    <x v="1"/>
    <x v="6"/>
    <x v="5"/>
    <n v="9000"/>
    <n v="5955"/>
    <n v="0"/>
    <n v="0"/>
    <n v="5955"/>
    <n v="22"/>
    <m/>
    <n v="22"/>
    <n v="0"/>
    <n v="1"/>
    <n v="0.66166666666666663"/>
    <n v="1"/>
    <n v="0.66166666666666663"/>
    <m/>
  </r>
  <r>
    <x v="162"/>
    <x v="1"/>
    <x v="7"/>
    <x v="6"/>
    <n v="8000"/>
    <n v="5975"/>
    <n v="0"/>
    <n v="0"/>
    <n v="5975"/>
    <n v="22"/>
    <n v="1.5"/>
    <n v="20.5"/>
    <n v="545.4545454545455"/>
    <n v="0.93181818181818177"/>
    <n v="0.74687499999999996"/>
    <n v="1"/>
    <n v="0.69595170454545452"/>
    <s v="M/C stopped for net cleaning (1.50 hrs)"/>
  </r>
  <r>
    <x v="162"/>
    <x v="1"/>
    <x v="8"/>
    <x v="4"/>
    <n v="6000"/>
    <n v="2080"/>
    <n v="0"/>
    <n v="0"/>
    <n v="2080"/>
    <n v="22"/>
    <n v="8.67"/>
    <n v="13.33"/>
    <n v="2364.5454545454545"/>
    <n v="0.60590909090909095"/>
    <n v="0.34666666666666668"/>
    <n v="1"/>
    <n v="0.21004848484848487"/>
    <s v="M/C stopped for unavailability of T/F fabric (8.40 hrs)"/>
  </r>
  <r>
    <x v="162"/>
    <x v="1"/>
    <x v="9"/>
    <x v="4"/>
    <n v="5000"/>
    <n v="2665"/>
    <n v="0"/>
    <n v="0"/>
    <n v="2665"/>
    <n v="22"/>
    <m/>
    <n v="22"/>
    <n v="0"/>
    <n v="1"/>
    <n v="0.53300000000000003"/>
    <n v="1"/>
    <n v="0.53300000000000003"/>
    <m/>
  </r>
  <r>
    <x v="163"/>
    <x v="0"/>
    <x v="0"/>
    <x v="0"/>
    <n v="10000"/>
    <n v="8577"/>
    <n v="0"/>
    <n v="0"/>
    <n v="8577"/>
    <n v="22"/>
    <m/>
    <n v="22"/>
    <n v="0"/>
    <n v="1"/>
    <n v="0.85770000000000002"/>
    <n v="1"/>
    <n v="0.85770000000000002"/>
    <m/>
  </r>
  <r>
    <x v="163"/>
    <x v="0"/>
    <x v="11"/>
    <x v="0"/>
    <n v="11530"/>
    <n v="11530"/>
    <n v="0"/>
    <n v="0"/>
    <n v="11530"/>
    <m/>
    <m/>
    <s v=""/>
    <s v=""/>
    <s v=""/>
    <n v="1"/>
    <n v="1"/>
    <s v=""/>
    <m/>
  </r>
  <r>
    <x v="163"/>
    <x v="0"/>
    <x v="1"/>
    <x v="1"/>
    <n v="5000"/>
    <n v="6735"/>
    <n v="0"/>
    <n v="0"/>
    <n v="6735"/>
    <n v="22"/>
    <m/>
    <n v="22"/>
    <n v="0"/>
    <n v="1"/>
    <n v="1.347"/>
    <n v="1"/>
    <n v="1.347"/>
    <m/>
  </r>
  <r>
    <x v="163"/>
    <x v="0"/>
    <x v="1"/>
    <x v="2"/>
    <n v="4000"/>
    <n v="3068"/>
    <n v="0"/>
    <n v="0"/>
    <n v="3068"/>
    <m/>
    <m/>
    <s v=""/>
    <s v=""/>
    <s v=""/>
    <n v="0.76700000000000002"/>
    <n v="1"/>
    <s v=""/>
    <m/>
  </r>
  <r>
    <x v="163"/>
    <x v="0"/>
    <x v="2"/>
    <x v="2"/>
    <n v="7000"/>
    <n v="7072"/>
    <n v="0"/>
    <n v="0"/>
    <n v="7072"/>
    <n v="22"/>
    <m/>
    <n v="22"/>
    <n v="0"/>
    <n v="1"/>
    <n v="1.0102857142857142"/>
    <n v="1"/>
    <n v="1.0102857142857142"/>
    <m/>
  </r>
  <r>
    <x v="163"/>
    <x v="0"/>
    <x v="3"/>
    <x v="3"/>
    <n v="7800"/>
    <n v="7031"/>
    <n v="0"/>
    <n v="0"/>
    <n v="7031"/>
    <n v="22"/>
    <n v="4"/>
    <n v="18"/>
    <n v="1418.1818181818182"/>
    <n v="0.81818181818181823"/>
    <n v="0.90141025641025641"/>
    <n v="1"/>
    <n v="0.73751748251748261"/>
    <s v="M/C stopped for the unavailability of Heat Set fabric (4 hrs)."/>
  </r>
  <r>
    <x v="163"/>
    <x v="0"/>
    <x v="10"/>
    <x v="3"/>
    <m/>
    <m/>
    <m/>
    <s v=""/>
    <n v="0"/>
    <m/>
    <m/>
    <s v=""/>
    <s v=""/>
    <s v=""/>
    <s v=""/>
    <s v=""/>
    <s v=""/>
    <m/>
  </r>
  <r>
    <x v="163"/>
    <x v="0"/>
    <x v="4"/>
    <x v="4"/>
    <n v="9000"/>
    <n v="9248"/>
    <n v="0"/>
    <n v="0"/>
    <n v="9248"/>
    <n v="22"/>
    <m/>
    <n v="22"/>
    <n v="0"/>
    <n v="1"/>
    <n v="1.0275555555555556"/>
    <n v="1"/>
    <n v="1.0275555555555556"/>
    <m/>
  </r>
  <r>
    <x v="163"/>
    <x v="0"/>
    <x v="5"/>
    <x v="4"/>
    <m/>
    <m/>
    <m/>
    <s v=""/>
    <n v="0"/>
    <m/>
    <m/>
    <s v=""/>
    <s v=""/>
    <s v=""/>
    <s v=""/>
    <s v=""/>
    <s v=""/>
    <m/>
  </r>
  <r>
    <x v="163"/>
    <x v="1"/>
    <x v="6"/>
    <x v="5"/>
    <n v="9000"/>
    <n v="4832"/>
    <n v="0"/>
    <n v="0"/>
    <n v="4832"/>
    <n v="22"/>
    <n v="2"/>
    <n v="20"/>
    <n v="818.18181818181813"/>
    <n v="0.90909090909090906"/>
    <n v="0.53688888888888886"/>
    <n v="1"/>
    <n v="0.48808080808080806"/>
    <s v="M/C stopped for unavailability of T/F fabric (2 hrs). Production was affected for unavailability of T/F fabric."/>
  </r>
  <r>
    <x v="163"/>
    <x v="1"/>
    <x v="7"/>
    <x v="6"/>
    <n v="8000"/>
    <n v="4789"/>
    <n v="0"/>
    <n v="0"/>
    <n v="4789"/>
    <n v="22"/>
    <n v="4.42"/>
    <n v="17.579999999999998"/>
    <n v="1607.2727272727273"/>
    <n v="0.79909090909090896"/>
    <n v="0.59862499999999996"/>
    <n v="1"/>
    <n v="0.47835579545454537"/>
    <s v="M/C stopped for net cleaning &amp; unavailability of T/F fabric (4.25 hrs). Production was affected for unavailability of T/F fabric."/>
  </r>
  <r>
    <x v="163"/>
    <x v="1"/>
    <x v="8"/>
    <x v="4"/>
    <n v="6000"/>
    <n v="2690"/>
    <n v="0"/>
    <n v="0"/>
    <n v="2690"/>
    <n v="22"/>
    <n v="5.5"/>
    <n v="16.5"/>
    <n v="1500"/>
    <n v="0.75"/>
    <n v="0.44833333333333331"/>
    <n v="1"/>
    <n v="0.33624999999999999"/>
    <s v="M/C stopped for unavailability of T/F fabric (5.50 hrs). Production was affected for unavailability of T/F fabric."/>
  </r>
  <r>
    <x v="163"/>
    <x v="1"/>
    <x v="9"/>
    <x v="4"/>
    <n v="5000"/>
    <n v="2765"/>
    <n v="0"/>
    <n v="0"/>
    <n v="2765"/>
    <n v="22"/>
    <n v="2"/>
    <n v="20"/>
    <n v="454.54545454545456"/>
    <n v="0.90909090909090906"/>
    <n v="0.55300000000000005"/>
    <n v="1"/>
    <n v="0.5027272727272728"/>
    <s v="M/C stopped for unavailability of T/F fabric (2 hrs). Production was affected for unavailability of T/F fabric."/>
  </r>
  <r>
    <x v="164"/>
    <x v="0"/>
    <x v="0"/>
    <x v="0"/>
    <n v="10000"/>
    <n v="9120"/>
    <n v="0"/>
    <n v="0"/>
    <n v="9120"/>
    <n v="22"/>
    <m/>
    <n v="22"/>
    <n v="0"/>
    <n v="1"/>
    <n v="0.91200000000000003"/>
    <n v="1"/>
    <n v="0.91200000000000003"/>
    <m/>
  </r>
  <r>
    <x v="164"/>
    <x v="0"/>
    <x v="11"/>
    <x v="0"/>
    <n v="10685"/>
    <n v="10685"/>
    <n v="0"/>
    <n v="0"/>
    <n v="10685"/>
    <m/>
    <m/>
    <s v=""/>
    <s v=""/>
    <s v=""/>
    <n v="1"/>
    <n v="1"/>
    <s v=""/>
    <m/>
  </r>
  <r>
    <x v="164"/>
    <x v="0"/>
    <x v="1"/>
    <x v="1"/>
    <n v="5000"/>
    <n v="4523"/>
    <n v="0"/>
    <n v="0"/>
    <n v="4523"/>
    <n v="22"/>
    <m/>
    <n v="22"/>
    <n v="0"/>
    <n v="1"/>
    <n v="0.90459999999999996"/>
    <n v="1"/>
    <n v="0.90459999999999996"/>
    <m/>
  </r>
  <r>
    <x v="164"/>
    <x v="0"/>
    <x v="1"/>
    <x v="2"/>
    <n v="4000"/>
    <n v="5487"/>
    <n v="0"/>
    <n v="0"/>
    <n v="5487"/>
    <m/>
    <m/>
    <s v=""/>
    <s v=""/>
    <s v=""/>
    <n v="1.37175"/>
    <n v="1"/>
    <s v=""/>
    <m/>
  </r>
  <r>
    <x v="164"/>
    <x v="0"/>
    <x v="2"/>
    <x v="2"/>
    <n v="7000"/>
    <n v="7069"/>
    <n v="0"/>
    <n v="0"/>
    <n v="7069"/>
    <n v="22"/>
    <m/>
    <n v="22"/>
    <n v="0"/>
    <n v="1"/>
    <n v="1.0098571428571428"/>
    <n v="1"/>
    <n v="1.0098571428571428"/>
    <m/>
  </r>
  <r>
    <x v="164"/>
    <x v="0"/>
    <x v="3"/>
    <x v="3"/>
    <n v="7800"/>
    <n v="6731"/>
    <n v="0"/>
    <n v="0"/>
    <n v="6731"/>
    <n v="22"/>
    <n v="5"/>
    <n v="17"/>
    <n v="1772.7272727272727"/>
    <n v="0.77272727272727271"/>
    <n v="0.86294871794871797"/>
    <n v="1"/>
    <n v="0.66682400932400931"/>
    <s v="M/C stopped for the unavailability of Heat Set fabric (5 hrs)."/>
  </r>
  <r>
    <x v="164"/>
    <x v="0"/>
    <x v="10"/>
    <x v="3"/>
    <m/>
    <m/>
    <m/>
    <s v=""/>
    <n v="0"/>
    <m/>
    <m/>
    <s v=""/>
    <s v=""/>
    <s v=""/>
    <s v=""/>
    <s v=""/>
    <s v=""/>
    <m/>
  </r>
  <r>
    <x v="164"/>
    <x v="0"/>
    <x v="4"/>
    <x v="4"/>
    <n v="9000"/>
    <n v="9072"/>
    <n v="0"/>
    <n v="0"/>
    <n v="9072"/>
    <n v="22"/>
    <m/>
    <n v="22"/>
    <n v="0"/>
    <n v="1"/>
    <n v="1.008"/>
    <n v="1"/>
    <n v="1.008"/>
    <m/>
  </r>
  <r>
    <x v="164"/>
    <x v="0"/>
    <x v="5"/>
    <x v="4"/>
    <m/>
    <m/>
    <m/>
    <s v=""/>
    <n v="0"/>
    <m/>
    <m/>
    <s v=""/>
    <s v=""/>
    <s v=""/>
    <s v=""/>
    <s v=""/>
    <s v=""/>
    <m/>
  </r>
  <r>
    <x v="164"/>
    <x v="1"/>
    <x v="6"/>
    <x v="5"/>
    <n v="9000"/>
    <n v="7152"/>
    <n v="0"/>
    <n v="0"/>
    <n v="7152"/>
    <n v="22"/>
    <n v="2"/>
    <n v="20"/>
    <n v="818.18181818181813"/>
    <n v="0.90909090909090906"/>
    <n v="0.79466666666666663"/>
    <n v="1"/>
    <n v="0.72242424242424241"/>
    <s v="M/C stopped for unavailability of T/F fabric (2 hrs). Production was affected for unavailability of T/F fabric."/>
  </r>
  <r>
    <x v="164"/>
    <x v="1"/>
    <x v="7"/>
    <x v="6"/>
    <n v="8000"/>
    <n v="6842"/>
    <n v="0"/>
    <n v="0"/>
    <n v="6842"/>
    <n v="22"/>
    <n v="3"/>
    <n v="19"/>
    <n v="1090.909090909091"/>
    <n v="0.86363636363636365"/>
    <n v="0.85524999999999995"/>
    <n v="1"/>
    <n v="0.73862499999999998"/>
    <s v="M/C stopped for net cleaning &amp; unavailability of trolly (3 hrs). Production was affected for unavailability of T/F fabric."/>
  </r>
  <r>
    <x v="164"/>
    <x v="1"/>
    <x v="8"/>
    <x v="4"/>
    <n v="6000"/>
    <n v="3573"/>
    <n v="0"/>
    <n v="0"/>
    <n v="3573"/>
    <n v="22"/>
    <n v="3.5"/>
    <n v="18.5"/>
    <n v="954.54545454545462"/>
    <n v="0.84090909090909094"/>
    <n v="0.59550000000000003"/>
    <n v="1"/>
    <n v="0.5007613636363637"/>
    <s v="M/C stopped for unavailability of T/F fabric (3.30 hrs). Production was affected for unavailability of T/F fabric."/>
  </r>
  <r>
    <x v="164"/>
    <x v="1"/>
    <x v="9"/>
    <x v="4"/>
    <n v="5000"/>
    <n v="1293"/>
    <n v="0"/>
    <n v="0"/>
    <n v="1293"/>
    <n v="22"/>
    <n v="12"/>
    <n v="10"/>
    <n v="2727.2727272727275"/>
    <n v="0.45454545454545453"/>
    <n v="0.2586"/>
    <n v="1"/>
    <n v="0.11754545454545454"/>
    <s v="M/C stopped for unavailability of T/F fabric (12 hrs). Production was affected for unavailability of T/F fabric."/>
  </r>
  <r>
    <x v="165"/>
    <x v="0"/>
    <x v="0"/>
    <x v="0"/>
    <n v="10000"/>
    <n v="9454"/>
    <n v="0"/>
    <n v="0"/>
    <n v="9454"/>
    <n v="22"/>
    <m/>
    <n v="22"/>
    <n v="0"/>
    <n v="1"/>
    <n v="0.94540000000000002"/>
    <n v="1"/>
    <n v="0.94540000000000002"/>
    <m/>
  </r>
  <r>
    <x v="165"/>
    <x v="0"/>
    <x v="11"/>
    <x v="0"/>
    <n v="9583"/>
    <n v="9583"/>
    <n v="0"/>
    <n v="0"/>
    <n v="9583"/>
    <m/>
    <m/>
    <s v=""/>
    <s v=""/>
    <s v=""/>
    <n v="1"/>
    <n v="1"/>
    <s v=""/>
    <m/>
  </r>
  <r>
    <x v="165"/>
    <x v="0"/>
    <x v="1"/>
    <x v="1"/>
    <n v="5000"/>
    <n v="5654"/>
    <n v="0"/>
    <n v="0"/>
    <n v="5654"/>
    <n v="22"/>
    <m/>
    <n v="22"/>
    <n v="0"/>
    <n v="1"/>
    <n v="1.1308"/>
    <n v="1"/>
    <n v="1.1308"/>
    <m/>
  </r>
  <r>
    <x v="165"/>
    <x v="0"/>
    <x v="1"/>
    <x v="2"/>
    <n v="4000"/>
    <n v="3630"/>
    <n v="0"/>
    <n v="0"/>
    <n v="3630"/>
    <m/>
    <m/>
    <s v=""/>
    <s v=""/>
    <s v=""/>
    <n v="0.90749999999999997"/>
    <n v="1"/>
    <s v=""/>
    <m/>
  </r>
  <r>
    <x v="165"/>
    <x v="0"/>
    <x v="2"/>
    <x v="2"/>
    <n v="7000"/>
    <n v="7573"/>
    <n v="0"/>
    <n v="0"/>
    <n v="7573"/>
    <n v="22"/>
    <m/>
    <n v="22"/>
    <n v="0"/>
    <n v="1"/>
    <n v="1.0818571428571429"/>
    <n v="1"/>
    <n v="1.0818571428571429"/>
    <m/>
  </r>
  <r>
    <x v="165"/>
    <x v="0"/>
    <x v="3"/>
    <x v="3"/>
    <n v="7800"/>
    <n v="7975"/>
    <n v="0"/>
    <n v="0"/>
    <n v="7975"/>
    <n v="22"/>
    <n v="5"/>
    <n v="17"/>
    <n v="1772.7272727272727"/>
    <n v="0.77272727272727271"/>
    <n v="1.0224358974358974"/>
    <n v="1"/>
    <n v="0.79006410256410253"/>
    <s v="M/C stopped for the unavailability of Heat Set fabric (5 hrs)."/>
  </r>
  <r>
    <x v="165"/>
    <x v="0"/>
    <x v="10"/>
    <x v="3"/>
    <m/>
    <m/>
    <m/>
    <s v=""/>
    <n v="0"/>
    <m/>
    <m/>
    <s v=""/>
    <s v=""/>
    <s v=""/>
    <s v=""/>
    <s v=""/>
    <s v=""/>
    <m/>
  </r>
  <r>
    <x v="165"/>
    <x v="0"/>
    <x v="4"/>
    <x v="4"/>
    <n v="9000"/>
    <n v="9450"/>
    <n v="0"/>
    <n v="0"/>
    <n v="9450"/>
    <n v="22"/>
    <m/>
    <n v="22"/>
    <n v="0"/>
    <n v="1"/>
    <n v="1.05"/>
    <n v="1"/>
    <n v="1.05"/>
    <m/>
  </r>
  <r>
    <x v="165"/>
    <x v="0"/>
    <x v="5"/>
    <x v="4"/>
    <m/>
    <m/>
    <m/>
    <s v=""/>
    <n v="0"/>
    <m/>
    <m/>
    <s v=""/>
    <s v=""/>
    <s v=""/>
    <s v=""/>
    <s v=""/>
    <s v=""/>
    <m/>
  </r>
  <r>
    <x v="165"/>
    <x v="1"/>
    <x v="6"/>
    <x v="5"/>
    <n v="9000"/>
    <n v="4466"/>
    <n v="0"/>
    <n v="0"/>
    <n v="4466"/>
    <n v="22"/>
    <n v="2"/>
    <n v="20"/>
    <n v="818.18181818181813"/>
    <n v="0.90909090909090906"/>
    <n v="0.49622222222222223"/>
    <n v="1"/>
    <n v="0.45111111111111113"/>
    <s v="M/C stopped for unavailability of T/F fabric (2 hrs). Production was affected for unavailability of T/F fabric."/>
  </r>
  <r>
    <x v="165"/>
    <x v="1"/>
    <x v="7"/>
    <x v="6"/>
    <n v="8000"/>
    <n v="4797"/>
    <n v="0"/>
    <n v="0"/>
    <n v="4797"/>
    <n v="22"/>
    <n v="3"/>
    <n v="19"/>
    <n v="1090.909090909091"/>
    <n v="0.86363636363636365"/>
    <n v="0.59962499999999996"/>
    <n v="1"/>
    <n v="0.51785795454545447"/>
    <s v="M/C stopped for net cleaning &amp; unavailability of trolly (3 hrs). Production was affected for unavailability of T/F fabric."/>
  </r>
  <r>
    <x v="165"/>
    <x v="1"/>
    <x v="8"/>
    <x v="4"/>
    <n v="6000"/>
    <n v="3221"/>
    <n v="0"/>
    <n v="0"/>
    <n v="3221"/>
    <n v="22"/>
    <n v="3.5"/>
    <n v="18.5"/>
    <n v="954.54545454545462"/>
    <n v="0.84090909090909094"/>
    <n v="0.53683333333333338"/>
    <n v="1"/>
    <n v="0.45142803030303036"/>
    <s v="M/C stopped for unavailability of T/F fabric (3.30 hrs). Production was affected for unavailability of T/F fabric."/>
  </r>
  <r>
    <x v="165"/>
    <x v="1"/>
    <x v="9"/>
    <x v="4"/>
    <n v="5000"/>
    <n v="2082"/>
    <n v="0"/>
    <n v="0"/>
    <n v="2082"/>
    <n v="22"/>
    <n v="12"/>
    <n v="10"/>
    <n v="2727.2727272727275"/>
    <n v="0.45454545454545453"/>
    <n v="0.41639999999999999"/>
    <n v="1"/>
    <n v="0.18927272727272726"/>
    <s v="M/C stopped for unavailability of T/F fabric (12 hrs). Production was affected for unavailability of T/F fabric."/>
  </r>
  <r>
    <x v="166"/>
    <x v="0"/>
    <x v="0"/>
    <x v="0"/>
    <n v="10000"/>
    <n v="10368"/>
    <n v="0"/>
    <n v="0"/>
    <n v="10368"/>
    <n v="22"/>
    <m/>
    <n v="22"/>
    <n v="0"/>
    <n v="1"/>
    <n v="1.0367999999999999"/>
    <n v="1"/>
    <n v="1.0367999999999999"/>
    <m/>
  </r>
  <r>
    <x v="166"/>
    <x v="0"/>
    <x v="11"/>
    <x v="0"/>
    <n v="9520"/>
    <n v="9520"/>
    <n v="0"/>
    <n v="0"/>
    <n v="9520"/>
    <m/>
    <m/>
    <s v=""/>
    <s v=""/>
    <s v=""/>
    <n v="1"/>
    <n v="1"/>
    <s v=""/>
    <m/>
  </r>
  <r>
    <x v="166"/>
    <x v="0"/>
    <x v="1"/>
    <x v="1"/>
    <n v="5000"/>
    <n v="3530"/>
    <n v="0"/>
    <n v="0"/>
    <n v="3530"/>
    <n v="22"/>
    <m/>
    <n v="22"/>
    <n v="0"/>
    <n v="1"/>
    <n v="0.70599999999999996"/>
    <n v="1"/>
    <n v="0.70599999999999996"/>
    <m/>
  </r>
  <r>
    <x v="166"/>
    <x v="0"/>
    <x v="1"/>
    <x v="2"/>
    <n v="4000"/>
    <n v="8063"/>
    <n v="0"/>
    <n v="0"/>
    <n v="8063"/>
    <m/>
    <m/>
    <s v=""/>
    <s v=""/>
    <s v=""/>
    <n v="2.0157500000000002"/>
    <n v="1"/>
    <s v=""/>
    <m/>
  </r>
  <r>
    <x v="166"/>
    <x v="0"/>
    <x v="2"/>
    <x v="2"/>
    <n v="7000"/>
    <n v="6943"/>
    <n v="0"/>
    <n v="0"/>
    <n v="6943"/>
    <n v="22"/>
    <m/>
    <n v="22"/>
    <n v="0"/>
    <n v="1"/>
    <n v="0.99185714285714288"/>
    <n v="1"/>
    <n v="0.99185714285714288"/>
    <m/>
  </r>
  <r>
    <x v="166"/>
    <x v="0"/>
    <x v="3"/>
    <x v="3"/>
    <n v="7800"/>
    <n v="5378"/>
    <n v="0"/>
    <n v="0"/>
    <n v="5378"/>
    <n v="22"/>
    <n v="5"/>
    <n v="17"/>
    <n v="1772.7272727272727"/>
    <n v="0.77272727272727271"/>
    <n v="0.68948717948717952"/>
    <n v="1"/>
    <n v="0.53278554778554776"/>
    <s v="M/C stopped for the unavailability of Heat Set fabric (5 hrs)."/>
  </r>
  <r>
    <x v="166"/>
    <x v="0"/>
    <x v="10"/>
    <x v="3"/>
    <m/>
    <m/>
    <m/>
    <s v=""/>
    <n v="0"/>
    <m/>
    <m/>
    <s v=""/>
    <s v=""/>
    <s v=""/>
    <s v=""/>
    <s v=""/>
    <s v=""/>
    <m/>
  </r>
  <r>
    <x v="166"/>
    <x v="0"/>
    <x v="4"/>
    <x v="4"/>
    <n v="9000"/>
    <n v="8470"/>
    <n v="0"/>
    <n v="0"/>
    <n v="8470"/>
    <n v="22"/>
    <m/>
    <n v="22"/>
    <n v="0"/>
    <n v="1"/>
    <n v="0.94111111111111112"/>
    <n v="1"/>
    <n v="0.94111111111111112"/>
    <m/>
  </r>
  <r>
    <x v="166"/>
    <x v="0"/>
    <x v="5"/>
    <x v="4"/>
    <n v="2500"/>
    <n v="2145"/>
    <n v="0"/>
    <n v="0"/>
    <n v="2145"/>
    <m/>
    <m/>
    <s v=""/>
    <s v=""/>
    <s v=""/>
    <n v="0.85799999999999998"/>
    <n v="1"/>
    <s v=""/>
    <m/>
  </r>
  <r>
    <x v="166"/>
    <x v="1"/>
    <x v="6"/>
    <x v="5"/>
    <n v="9000"/>
    <n v="5534"/>
    <n v="0"/>
    <n v="0"/>
    <n v="5534"/>
    <n v="22"/>
    <n v="2"/>
    <n v="20"/>
    <n v="818.18181818181813"/>
    <n v="0.90909090909090906"/>
    <n v="0.61488888888888893"/>
    <n v="1"/>
    <n v="0.55898989898989904"/>
    <s v="M/C stopped for unavailability of T/F fabric (2 hrs). Production was affected for unavailability of T/F fabric."/>
  </r>
  <r>
    <x v="166"/>
    <x v="1"/>
    <x v="7"/>
    <x v="6"/>
    <n v="8000"/>
    <n v="5708"/>
    <n v="0"/>
    <n v="0"/>
    <n v="5708"/>
    <n v="22"/>
    <n v="3"/>
    <n v="19"/>
    <n v="1090.909090909091"/>
    <n v="0.86363636363636365"/>
    <n v="0.71350000000000002"/>
    <n v="1"/>
    <n v="0.6162045454545455"/>
    <s v="M/C stopped for net cleaning &amp; unavailability of trolly (3 hrs). Production was affected for unavailability of T/F fabric."/>
  </r>
  <r>
    <x v="166"/>
    <x v="1"/>
    <x v="8"/>
    <x v="4"/>
    <n v="6000"/>
    <n v="825"/>
    <n v="0"/>
    <n v="0"/>
    <n v="825"/>
    <n v="22"/>
    <n v="3.5"/>
    <n v="18.5"/>
    <n v="954.54545454545462"/>
    <n v="0.84090909090909094"/>
    <n v="0.13750000000000001"/>
    <n v="1"/>
    <n v="0.11562500000000002"/>
    <s v="M/C stopped for unavailability of T/F fabric (3.30 hrs). Production was affected for unavailability of T/F fabric."/>
  </r>
  <r>
    <x v="166"/>
    <x v="1"/>
    <x v="9"/>
    <x v="4"/>
    <n v="5000"/>
    <n v="3514"/>
    <n v="0"/>
    <n v="0"/>
    <n v="3514"/>
    <n v="22"/>
    <n v="12"/>
    <n v="10"/>
    <n v="2727.2727272727275"/>
    <n v="0.45454545454545453"/>
    <n v="0.70279999999999998"/>
    <n v="1"/>
    <n v="0.31945454545454544"/>
    <s v="M/C stopped for unavailability of T/F fabric (12 hrs). Production was affected for unavailability of T/F fabric."/>
  </r>
  <r>
    <x v="167"/>
    <x v="0"/>
    <x v="0"/>
    <x v="0"/>
    <n v="10000"/>
    <n v="8586"/>
    <n v="0"/>
    <n v="0"/>
    <n v="8586"/>
    <n v="22"/>
    <n v="2"/>
    <n v="20"/>
    <n v="909.09090909090912"/>
    <n v="0.90909090909090906"/>
    <n v="0.85860000000000003"/>
    <n v="1"/>
    <n v="0.78054545454545454"/>
    <s v="M/C stopped for scheduled maintenance  (2 hrs)"/>
  </r>
  <r>
    <x v="167"/>
    <x v="0"/>
    <x v="11"/>
    <x v="0"/>
    <n v="10344"/>
    <n v="10344"/>
    <n v="0"/>
    <n v="0"/>
    <n v="10344"/>
    <m/>
    <m/>
    <s v=""/>
    <s v=""/>
    <s v=""/>
    <n v="1"/>
    <n v="1"/>
    <s v=""/>
    <m/>
  </r>
  <r>
    <x v="167"/>
    <x v="0"/>
    <x v="1"/>
    <x v="1"/>
    <n v="5000"/>
    <n v="6179"/>
    <n v="0"/>
    <n v="0"/>
    <n v="6179"/>
    <n v="22"/>
    <n v="2.5"/>
    <n v="19.5"/>
    <n v="568.18181818181824"/>
    <n v="0.88636363636363635"/>
    <n v="1.2358"/>
    <n v="1"/>
    <n v="1.0953681818181817"/>
    <s v="M/C stopped for scheduled maintenance  (2.30 hrs)"/>
  </r>
  <r>
    <x v="167"/>
    <x v="0"/>
    <x v="1"/>
    <x v="2"/>
    <n v="4000"/>
    <n v="1675"/>
    <n v="0"/>
    <n v="0"/>
    <n v="1675"/>
    <m/>
    <m/>
    <s v=""/>
    <s v=""/>
    <s v=""/>
    <n v="0.41875000000000001"/>
    <n v="1"/>
    <s v=""/>
    <m/>
  </r>
  <r>
    <x v="167"/>
    <x v="0"/>
    <x v="2"/>
    <x v="2"/>
    <n v="7000"/>
    <n v="6537"/>
    <n v="0"/>
    <n v="0"/>
    <n v="6537"/>
    <n v="22"/>
    <n v="3"/>
    <n v="19"/>
    <n v="954.5454545454545"/>
    <n v="0.86363636363636365"/>
    <n v="0.93385714285714283"/>
    <n v="1"/>
    <n v="0.80651298701298701"/>
    <s v="M/C stopped for scheduled maintenance  (3 hrs)"/>
  </r>
  <r>
    <x v="167"/>
    <x v="0"/>
    <x v="3"/>
    <x v="3"/>
    <n v="7800"/>
    <n v="7840"/>
    <n v="0"/>
    <n v="0"/>
    <n v="7840"/>
    <n v="22"/>
    <m/>
    <n v="22"/>
    <n v="0"/>
    <n v="1"/>
    <n v="1.0051282051282051"/>
    <n v="1"/>
    <n v="1.0051282051282051"/>
    <m/>
  </r>
  <r>
    <x v="167"/>
    <x v="0"/>
    <x v="10"/>
    <x v="3"/>
    <m/>
    <m/>
    <m/>
    <s v=""/>
    <n v="0"/>
    <m/>
    <m/>
    <s v=""/>
    <s v=""/>
    <s v=""/>
    <s v=""/>
    <s v=""/>
    <s v=""/>
    <m/>
  </r>
  <r>
    <x v="167"/>
    <x v="0"/>
    <x v="4"/>
    <x v="4"/>
    <n v="9000"/>
    <n v="7968"/>
    <n v="0"/>
    <n v="0"/>
    <n v="7968"/>
    <n v="22"/>
    <m/>
    <n v="22"/>
    <n v="0"/>
    <n v="1"/>
    <n v="0.88533333333333331"/>
    <n v="1"/>
    <n v="0.88533333333333331"/>
    <m/>
  </r>
  <r>
    <x v="167"/>
    <x v="0"/>
    <x v="5"/>
    <x v="4"/>
    <m/>
    <m/>
    <m/>
    <s v=""/>
    <n v="0"/>
    <m/>
    <m/>
    <s v=""/>
    <s v=""/>
    <s v=""/>
    <s v=""/>
    <s v=""/>
    <s v=""/>
    <m/>
  </r>
  <r>
    <x v="167"/>
    <x v="1"/>
    <x v="6"/>
    <x v="5"/>
    <n v="9000"/>
    <n v="6929"/>
    <n v="0"/>
    <n v="0"/>
    <n v="6929"/>
    <n v="22"/>
    <m/>
    <n v="22"/>
    <n v="0"/>
    <n v="1"/>
    <n v="0.76988888888888884"/>
    <n v="1"/>
    <n v="0.76988888888888884"/>
    <m/>
  </r>
  <r>
    <x v="167"/>
    <x v="1"/>
    <x v="7"/>
    <x v="6"/>
    <n v="8000"/>
    <n v="6433"/>
    <n v="0"/>
    <n v="0"/>
    <n v="6433"/>
    <n v="22"/>
    <n v="3"/>
    <n v="19"/>
    <n v="1090.909090909091"/>
    <n v="0.86363636363636365"/>
    <n v="0.80412499999999998"/>
    <n v="1"/>
    <n v="0.69447159090909094"/>
    <s v="M/C stopped for net cleaning &amp; unavailability of trolly (3 hrs). Production was affected for unavailability of T/F fabric."/>
  </r>
  <r>
    <x v="167"/>
    <x v="1"/>
    <x v="8"/>
    <x v="4"/>
    <n v="6000"/>
    <n v="2524"/>
    <n v="0"/>
    <n v="0"/>
    <n v="2524"/>
    <n v="22"/>
    <n v="7"/>
    <n v="15"/>
    <n v="1909.0909090909092"/>
    <n v="0.68181818181818177"/>
    <n v="0.42066666666666669"/>
    <n v="1"/>
    <n v="0.28681818181818181"/>
    <s v="M/C stopped for unavailability of T/F fabric (7 hrs). Production was affected for unavailability of T/F fabric."/>
  </r>
  <r>
    <x v="167"/>
    <x v="1"/>
    <x v="9"/>
    <x v="4"/>
    <n v="5000"/>
    <n v="3431"/>
    <n v="0"/>
    <n v="0"/>
    <n v="3431"/>
    <n v="22"/>
    <m/>
    <n v="22"/>
    <n v="0"/>
    <n v="1"/>
    <n v="0.68620000000000003"/>
    <n v="1"/>
    <n v="0.68620000000000003"/>
    <s v="Production was affected for unavailability of T/F fabric."/>
  </r>
  <r>
    <x v="168"/>
    <x v="0"/>
    <x v="0"/>
    <x v="0"/>
    <n v="10000"/>
    <n v="8322"/>
    <n v="0"/>
    <n v="0"/>
    <n v="8322"/>
    <n v="22"/>
    <m/>
    <n v="22"/>
    <n v="0"/>
    <n v="1"/>
    <n v="0.83220000000000005"/>
    <n v="1"/>
    <n v="0.83220000000000005"/>
    <m/>
  </r>
  <r>
    <x v="168"/>
    <x v="0"/>
    <x v="11"/>
    <x v="0"/>
    <n v="10768"/>
    <n v="10768"/>
    <n v="0"/>
    <n v="0"/>
    <n v="10768"/>
    <m/>
    <m/>
    <s v=""/>
    <s v=""/>
    <s v=""/>
    <n v="1"/>
    <n v="1"/>
    <s v=""/>
    <m/>
  </r>
  <r>
    <x v="168"/>
    <x v="0"/>
    <x v="1"/>
    <x v="1"/>
    <n v="5000"/>
    <n v="6235"/>
    <n v="0"/>
    <n v="0"/>
    <n v="6235"/>
    <n v="22"/>
    <m/>
    <n v="22"/>
    <n v="0"/>
    <n v="1"/>
    <n v="1.2470000000000001"/>
    <n v="1"/>
    <n v="1.2470000000000001"/>
    <m/>
  </r>
  <r>
    <x v="168"/>
    <x v="0"/>
    <x v="1"/>
    <x v="2"/>
    <n v="4000"/>
    <n v="3189"/>
    <n v="0"/>
    <n v="0"/>
    <n v="3189"/>
    <m/>
    <m/>
    <s v=""/>
    <s v=""/>
    <s v=""/>
    <n v="0.79725000000000001"/>
    <n v="1"/>
    <s v=""/>
    <m/>
  </r>
  <r>
    <x v="168"/>
    <x v="0"/>
    <x v="2"/>
    <x v="2"/>
    <n v="7000"/>
    <n v="6636"/>
    <n v="0"/>
    <n v="0"/>
    <n v="6636"/>
    <n v="22"/>
    <m/>
    <n v="22"/>
    <n v="0"/>
    <n v="1"/>
    <n v="0.94799999999999995"/>
    <n v="1"/>
    <n v="0.94799999999999995"/>
    <m/>
  </r>
  <r>
    <x v="168"/>
    <x v="0"/>
    <x v="3"/>
    <x v="3"/>
    <n v="7800"/>
    <n v="8770"/>
    <n v="0"/>
    <n v="0"/>
    <n v="8770"/>
    <n v="22"/>
    <m/>
    <n v="22"/>
    <n v="0"/>
    <n v="1"/>
    <n v="1.1243589743589744"/>
    <n v="1"/>
    <n v="1.1243589743589744"/>
    <m/>
  </r>
  <r>
    <x v="168"/>
    <x v="0"/>
    <x v="10"/>
    <x v="3"/>
    <m/>
    <m/>
    <m/>
    <s v=""/>
    <n v="0"/>
    <m/>
    <m/>
    <s v=""/>
    <s v=""/>
    <s v=""/>
    <s v=""/>
    <s v=""/>
    <s v=""/>
    <m/>
  </r>
  <r>
    <x v="168"/>
    <x v="0"/>
    <x v="4"/>
    <x v="4"/>
    <n v="9000"/>
    <n v="6845"/>
    <n v="0"/>
    <n v="0"/>
    <n v="6845"/>
    <n v="22"/>
    <n v="2.17"/>
    <n v="19.829999999999998"/>
    <n v="887.72727272727263"/>
    <n v="0.90136363636363626"/>
    <n v="0.76055555555555554"/>
    <n v="1"/>
    <n v="0.68553712121212107"/>
    <s v="M/C stopped for unavailability of O/F fabric (2.10 hrs)."/>
  </r>
  <r>
    <x v="168"/>
    <x v="0"/>
    <x v="5"/>
    <x v="4"/>
    <m/>
    <m/>
    <m/>
    <s v=""/>
    <n v="0"/>
    <m/>
    <m/>
    <s v=""/>
    <s v=""/>
    <s v=""/>
    <s v=""/>
    <s v=""/>
    <s v=""/>
    <m/>
  </r>
  <r>
    <x v="168"/>
    <x v="1"/>
    <x v="6"/>
    <x v="5"/>
    <n v="9000"/>
    <n v="6111"/>
    <n v="0"/>
    <n v="0"/>
    <n v="6111"/>
    <n v="22"/>
    <m/>
    <n v="22"/>
    <n v="0"/>
    <n v="1"/>
    <n v="0.67900000000000005"/>
    <n v="1"/>
    <n v="0.67900000000000005"/>
    <m/>
  </r>
  <r>
    <x v="168"/>
    <x v="1"/>
    <x v="7"/>
    <x v="6"/>
    <n v="8000"/>
    <n v="6627"/>
    <n v="0"/>
    <n v="0"/>
    <n v="6627"/>
    <n v="22"/>
    <n v="1.33"/>
    <n v="20.67"/>
    <n v="483.63636363636363"/>
    <n v="0.93954545454545457"/>
    <n v="0.82837499999999997"/>
    <n v="1"/>
    <n v="0.77829596590909089"/>
    <s v="M/C stopped for net cleaning  (1.20 hrs). Production was affected for unavailability of T/F fabric."/>
  </r>
  <r>
    <x v="168"/>
    <x v="1"/>
    <x v="8"/>
    <x v="4"/>
    <n v="6000"/>
    <n v="2533"/>
    <n v="0"/>
    <n v="0"/>
    <n v="2533"/>
    <n v="22"/>
    <n v="6"/>
    <n v="16"/>
    <n v="1636.3636363636365"/>
    <n v="0.72727272727272729"/>
    <n v="0.42216666666666669"/>
    <n v="1"/>
    <n v="0.30703030303030304"/>
    <s v="M/C stopped for unavailability of T/F fabric (6 hrs). Production was affected for unavailability of T/F fabric."/>
  </r>
  <r>
    <x v="168"/>
    <x v="1"/>
    <x v="9"/>
    <x v="4"/>
    <n v="5000"/>
    <n v="3584"/>
    <n v="0"/>
    <n v="0"/>
    <n v="3584"/>
    <n v="22"/>
    <m/>
    <n v="22"/>
    <n v="0"/>
    <n v="1"/>
    <n v="0.71679999999999999"/>
    <n v="1"/>
    <n v="0.71679999999999999"/>
    <s v="Production was affected for unavailability of T/F fabric."/>
  </r>
  <r>
    <x v="169"/>
    <x v="0"/>
    <x v="0"/>
    <x v="0"/>
    <n v="10000"/>
    <n v="8542"/>
    <n v="0"/>
    <n v="0"/>
    <n v="8542"/>
    <n v="22"/>
    <m/>
    <n v="22"/>
    <n v="0"/>
    <n v="1"/>
    <n v="0.85419999999999996"/>
    <n v="1"/>
    <n v="0.85419999999999996"/>
    <m/>
  </r>
  <r>
    <x v="169"/>
    <x v="0"/>
    <x v="11"/>
    <x v="0"/>
    <n v="10371"/>
    <n v="10371"/>
    <n v="0"/>
    <n v="0"/>
    <n v="10371"/>
    <m/>
    <m/>
    <s v=""/>
    <s v=""/>
    <s v=""/>
    <n v="1"/>
    <n v="1"/>
    <s v=""/>
    <m/>
  </r>
  <r>
    <x v="169"/>
    <x v="0"/>
    <x v="1"/>
    <x v="1"/>
    <n v="5000"/>
    <n v="5540"/>
    <n v="0"/>
    <n v="0"/>
    <n v="5540"/>
    <n v="22"/>
    <m/>
    <n v="22"/>
    <n v="0"/>
    <n v="1"/>
    <n v="1.1080000000000001"/>
    <n v="1"/>
    <n v="1.1080000000000001"/>
    <m/>
  </r>
  <r>
    <x v="169"/>
    <x v="0"/>
    <x v="1"/>
    <x v="2"/>
    <n v="4000"/>
    <n v="4093"/>
    <n v="0"/>
    <n v="0"/>
    <n v="4093"/>
    <m/>
    <m/>
    <s v=""/>
    <s v=""/>
    <s v=""/>
    <n v="1.02325"/>
    <n v="1"/>
    <s v=""/>
    <m/>
  </r>
  <r>
    <x v="169"/>
    <x v="0"/>
    <x v="2"/>
    <x v="2"/>
    <n v="7000"/>
    <n v="7292"/>
    <n v="0"/>
    <n v="0"/>
    <n v="7292"/>
    <n v="22"/>
    <m/>
    <n v="22"/>
    <n v="0"/>
    <n v="1"/>
    <n v="1.0417142857142858"/>
    <n v="1"/>
    <n v="1.0417142857142858"/>
    <m/>
  </r>
  <r>
    <x v="169"/>
    <x v="0"/>
    <x v="3"/>
    <x v="3"/>
    <n v="7800"/>
    <n v="7846"/>
    <n v="0"/>
    <n v="0"/>
    <n v="7846"/>
    <n v="22"/>
    <m/>
    <n v="22"/>
    <n v="0"/>
    <n v="1"/>
    <n v="1.005897435897436"/>
    <n v="1"/>
    <n v="1.005897435897436"/>
    <m/>
  </r>
  <r>
    <x v="169"/>
    <x v="0"/>
    <x v="10"/>
    <x v="3"/>
    <m/>
    <m/>
    <m/>
    <s v=""/>
    <n v="0"/>
    <m/>
    <m/>
    <s v=""/>
    <s v=""/>
    <s v=""/>
    <s v=""/>
    <s v=""/>
    <s v=""/>
    <m/>
  </r>
  <r>
    <x v="169"/>
    <x v="0"/>
    <x v="4"/>
    <x v="4"/>
    <n v="9000"/>
    <n v="8531"/>
    <n v="0"/>
    <n v="0"/>
    <n v="8531"/>
    <n v="22"/>
    <m/>
    <n v="22"/>
    <n v="0"/>
    <n v="1"/>
    <n v="0.94788888888888889"/>
    <n v="1"/>
    <n v="0.94788888888888889"/>
    <m/>
  </r>
  <r>
    <x v="169"/>
    <x v="0"/>
    <x v="5"/>
    <x v="4"/>
    <m/>
    <m/>
    <m/>
    <s v=""/>
    <n v="0"/>
    <m/>
    <m/>
    <s v=""/>
    <s v=""/>
    <s v=""/>
    <s v=""/>
    <s v=""/>
    <s v=""/>
    <m/>
  </r>
  <r>
    <x v="169"/>
    <x v="1"/>
    <x v="6"/>
    <x v="5"/>
    <n v="9000"/>
    <n v="5049"/>
    <n v="0"/>
    <n v="0"/>
    <n v="5049"/>
    <n v="22"/>
    <m/>
    <n v="22"/>
    <n v="0"/>
    <n v="1"/>
    <n v="0.56100000000000005"/>
    <n v="1"/>
    <n v="0.56100000000000005"/>
    <m/>
  </r>
  <r>
    <x v="169"/>
    <x v="1"/>
    <x v="7"/>
    <x v="6"/>
    <n v="8000"/>
    <n v="5054"/>
    <n v="0"/>
    <n v="0"/>
    <n v="5054"/>
    <n v="22"/>
    <n v="3.33"/>
    <n v="18.670000000000002"/>
    <n v="1210.909090909091"/>
    <n v="0.84863636363636374"/>
    <n v="0.63175000000000003"/>
    <n v="1"/>
    <n v="0.53612602272727283"/>
    <s v="M/C stopped for net cleaning &amp; unavailability of T/F fabric (3.20 hrs). Production was affected for unavailability of T/F fabric."/>
  </r>
  <r>
    <x v="169"/>
    <x v="1"/>
    <x v="8"/>
    <x v="4"/>
    <n v="6000"/>
    <n v="2320"/>
    <n v="0"/>
    <n v="0"/>
    <n v="2320"/>
    <n v="22"/>
    <n v="2"/>
    <n v="20"/>
    <n v="545.4545454545455"/>
    <n v="0.90909090909090906"/>
    <n v="0.38666666666666666"/>
    <n v="1"/>
    <n v="0.3515151515151515"/>
    <s v="M/C stopped for unavailability of T/F fabric (2 hrs). Production was affected for unavailability of T/F fabric."/>
  </r>
  <r>
    <x v="169"/>
    <x v="1"/>
    <x v="9"/>
    <x v="4"/>
    <n v="5000"/>
    <n v="2577"/>
    <n v="0"/>
    <n v="0"/>
    <n v="2577"/>
    <n v="22"/>
    <m/>
    <n v="22"/>
    <n v="0"/>
    <n v="1"/>
    <n v="0.51539999999999997"/>
    <n v="1"/>
    <n v="0.51539999999999997"/>
    <s v="Production was affected for unavailability of T/F fabric."/>
  </r>
  <r>
    <x v="170"/>
    <x v="0"/>
    <x v="0"/>
    <x v="0"/>
    <n v="10000"/>
    <n v="9547"/>
    <n v="0"/>
    <n v="0"/>
    <n v="9547"/>
    <n v="22"/>
    <m/>
    <n v="22"/>
    <n v="0"/>
    <n v="1"/>
    <n v="0.95469999999999999"/>
    <n v="1"/>
    <n v="0.95469999999999999"/>
    <m/>
  </r>
  <r>
    <x v="170"/>
    <x v="0"/>
    <x v="11"/>
    <x v="0"/>
    <n v="11917"/>
    <n v="11917"/>
    <n v="0"/>
    <n v="0"/>
    <n v="11917"/>
    <m/>
    <m/>
    <s v=""/>
    <s v=""/>
    <s v=""/>
    <n v="1"/>
    <n v="1"/>
    <s v=""/>
    <m/>
  </r>
  <r>
    <x v="170"/>
    <x v="0"/>
    <x v="1"/>
    <x v="1"/>
    <n v="5000"/>
    <n v="4169"/>
    <n v="0"/>
    <n v="0"/>
    <n v="4169"/>
    <n v="22"/>
    <m/>
    <n v="22"/>
    <n v="0"/>
    <n v="1"/>
    <n v="0.83379999999999999"/>
    <n v="1"/>
    <n v="0.83379999999999999"/>
    <m/>
  </r>
  <r>
    <x v="170"/>
    <x v="0"/>
    <x v="1"/>
    <x v="2"/>
    <n v="4000"/>
    <n v="6088"/>
    <n v="0"/>
    <n v="0"/>
    <n v="6088"/>
    <m/>
    <m/>
    <s v=""/>
    <s v=""/>
    <s v=""/>
    <n v="1.522"/>
    <n v="1"/>
    <s v=""/>
    <m/>
  </r>
  <r>
    <x v="170"/>
    <x v="0"/>
    <x v="2"/>
    <x v="2"/>
    <n v="7000"/>
    <n v="7543"/>
    <n v="0"/>
    <n v="0"/>
    <n v="7543"/>
    <n v="22"/>
    <m/>
    <n v="22"/>
    <n v="0"/>
    <n v="1"/>
    <n v="1.0775714285714286"/>
    <n v="1"/>
    <n v="1.0775714285714286"/>
    <m/>
  </r>
  <r>
    <x v="170"/>
    <x v="0"/>
    <x v="3"/>
    <x v="3"/>
    <n v="7800"/>
    <n v="5992"/>
    <n v="0"/>
    <n v="0"/>
    <n v="5992"/>
    <n v="22"/>
    <n v="6"/>
    <n v="16"/>
    <n v="2127.2727272727275"/>
    <n v="0.72727272727272729"/>
    <n v="0.76820512820512821"/>
    <n v="1"/>
    <n v="0.55869463869463876"/>
    <s v="M/C stopped for the unavailability of Heat Set fabric (6 hrs)."/>
  </r>
  <r>
    <x v="170"/>
    <x v="0"/>
    <x v="10"/>
    <x v="3"/>
    <m/>
    <m/>
    <m/>
    <s v=""/>
    <n v="0"/>
    <m/>
    <m/>
    <s v=""/>
    <s v=""/>
    <s v=""/>
    <s v=""/>
    <s v=""/>
    <s v=""/>
    <m/>
  </r>
  <r>
    <x v="170"/>
    <x v="0"/>
    <x v="4"/>
    <x v="4"/>
    <n v="9000"/>
    <n v="8569"/>
    <n v="0"/>
    <n v="0"/>
    <n v="8569"/>
    <n v="22"/>
    <m/>
    <n v="22"/>
    <n v="0"/>
    <n v="1"/>
    <n v="0.95211111111111113"/>
    <n v="1"/>
    <n v="0.95211111111111113"/>
    <m/>
  </r>
  <r>
    <x v="170"/>
    <x v="0"/>
    <x v="5"/>
    <x v="4"/>
    <n v="2500"/>
    <n v="635"/>
    <n v="0"/>
    <n v="0"/>
    <n v="635"/>
    <m/>
    <m/>
    <s v=""/>
    <s v=""/>
    <s v=""/>
    <n v="0.254"/>
    <n v="1"/>
    <s v=""/>
    <m/>
  </r>
  <r>
    <x v="170"/>
    <x v="1"/>
    <x v="6"/>
    <x v="5"/>
    <n v="9000"/>
    <n v="4408"/>
    <n v="0"/>
    <n v="0"/>
    <n v="4408"/>
    <n v="22"/>
    <m/>
    <n v="22"/>
    <n v="0"/>
    <n v="1"/>
    <n v="0.48977777777777776"/>
    <n v="1"/>
    <n v="0.48977777777777776"/>
    <m/>
  </r>
  <r>
    <x v="170"/>
    <x v="1"/>
    <x v="7"/>
    <x v="6"/>
    <n v="8000"/>
    <n v="4607"/>
    <n v="0"/>
    <n v="0"/>
    <n v="4607"/>
    <n v="22"/>
    <n v="3.33"/>
    <n v="18.670000000000002"/>
    <n v="1210.909090909091"/>
    <n v="0.84863636363636374"/>
    <n v="0.57587500000000003"/>
    <n v="1"/>
    <n v="0.48870846590909101"/>
    <s v="M/C stopped for net cleaning &amp; unavailability of T/F fabric (3.20 hrs). Production was affected for unavailability of T/F fabric."/>
  </r>
  <r>
    <x v="170"/>
    <x v="1"/>
    <x v="8"/>
    <x v="4"/>
    <n v="6000"/>
    <n v="1583"/>
    <n v="0"/>
    <n v="0"/>
    <n v="1583"/>
    <n v="22"/>
    <n v="8"/>
    <n v="14"/>
    <n v="2181.818181818182"/>
    <n v="0.63636363636363635"/>
    <n v="0.26383333333333331"/>
    <n v="1"/>
    <n v="0.16789393939393937"/>
    <s v="M/C stopped for unavailability of T/F fabric (8 hrs). Production was affected for unavailability of T/F fabric."/>
  </r>
  <r>
    <x v="170"/>
    <x v="1"/>
    <x v="9"/>
    <x v="4"/>
    <n v="5000"/>
    <n v="2270"/>
    <n v="0"/>
    <n v="0"/>
    <n v="2270"/>
    <n v="22"/>
    <n v="2"/>
    <n v="20"/>
    <n v="454.54545454545456"/>
    <n v="0.90909090909090906"/>
    <n v="0.45400000000000001"/>
    <n v="1"/>
    <n v="0.41272727272727272"/>
    <s v="M/C stopped for unavailability of T/F fabric (2 hrs). Production was affected for unavailability of T/F fabric."/>
  </r>
  <r>
    <x v="171"/>
    <x v="0"/>
    <x v="0"/>
    <x v="0"/>
    <n v="10000"/>
    <n v="8861"/>
    <n v="0"/>
    <n v="0"/>
    <n v="8861"/>
    <n v="22"/>
    <m/>
    <n v="22"/>
    <n v="0"/>
    <n v="1"/>
    <n v="0.8861"/>
    <n v="1"/>
    <n v="0.8861"/>
    <m/>
  </r>
  <r>
    <x v="171"/>
    <x v="0"/>
    <x v="11"/>
    <x v="0"/>
    <n v="9879"/>
    <n v="9879"/>
    <n v="0"/>
    <n v="0"/>
    <n v="9879"/>
    <m/>
    <m/>
    <s v=""/>
    <s v=""/>
    <s v=""/>
    <n v="1"/>
    <n v="1"/>
    <s v=""/>
    <m/>
  </r>
  <r>
    <x v="171"/>
    <x v="0"/>
    <x v="1"/>
    <x v="1"/>
    <n v="5000"/>
    <n v="5930"/>
    <n v="0"/>
    <n v="0"/>
    <n v="5930"/>
    <n v="22"/>
    <m/>
    <n v="22"/>
    <n v="0"/>
    <n v="1"/>
    <n v="1.1859999999999999"/>
    <n v="1"/>
    <n v="1.1859999999999999"/>
    <m/>
  </r>
  <r>
    <x v="171"/>
    <x v="0"/>
    <x v="1"/>
    <x v="2"/>
    <n v="4000"/>
    <n v="3412"/>
    <n v="0"/>
    <n v="0"/>
    <n v="3412"/>
    <m/>
    <m/>
    <s v=""/>
    <s v=""/>
    <s v=""/>
    <n v="0.85299999999999998"/>
    <n v="1"/>
    <s v=""/>
    <m/>
  </r>
  <r>
    <x v="171"/>
    <x v="0"/>
    <x v="2"/>
    <x v="2"/>
    <n v="7000"/>
    <n v="7233"/>
    <n v="0"/>
    <n v="0"/>
    <n v="7233"/>
    <n v="22"/>
    <m/>
    <n v="22"/>
    <n v="0"/>
    <n v="1"/>
    <n v="1.0332857142857144"/>
    <n v="1"/>
    <n v="1.0332857142857144"/>
    <m/>
  </r>
  <r>
    <x v="171"/>
    <x v="0"/>
    <x v="3"/>
    <x v="3"/>
    <n v="7800"/>
    <n v="6455"/>
    <n v="0"/>
    <n v="0"/>
    <n v="6455"/>
    <n v="22"/>
    <n v="5"/>
    <n v="17"/>
    <n v="1772.7272727272727"/>
    <n v="0.77272727272727271"/>
    <n v="0.82756410256410251"/>
    <n v="1"/>
    <n v="0.63948135198135192"/>
    <s v="M/C stopped for the unavailability of Heat Set fabric (5 hrs)."/>
  </r>
  <r>
    <x v="171"/>
    <x v="0"/>
    <x v="10"/>
    <x v="3"/>
    <m/>
    <m/>
    <m/>
    <s v=""/>
    <n v="0"/>
    <m/>
    <m/>
    <s v=""/>
    <s v=""/>
    <s v=""/>
    <s v=""/>
    <s v=""/>
    <s v=""/>
    <m/>
  </r>
  <r>
    <x v="171"/>
    <x v="0"/>
    <x v="4"/>
    <x v="4"/>
    <n v="9000"/>
    <n v="8602"/>
    <n v="0"/>
    <n v="0"/>
    <n v="8602"/>
    <n v="22"/>
    <m/>
    <n v="22"/>
    <n v="0"/>
    <n v="1"/>
    <n v="0.95577777777777773"/>
    <n v="1"/>
    <n v="0.95577777777777773"/>
    <m/>
  </r>
  <r>
    <x v="171"/>
    <x v="0"/>
    <x v="5"/>
    <x v="4"/>
    <n v="2500"/>
    <n v="849"/>
    <n v="0"/>
    <n v="0"/>
    <n v="849"/>
    <m/>
    <m/>
    <s v=""/>
    <s v=""/>
    <s v=""/>
    <n v="0.33960000000000001"/>
    <n v="1"/>
    <s v=""/>
    <m/>
  </r>
  <r>
    <x v="171"/>
    <x v="1"/>
    <x v="6"/>
    <x v="5"/>
    <n v="9000"/>
    <n v="6240"/>
    <n v="0"/>
    <n v="0"/>
    <n v="6240"/>
    <n v="22"/>
    <m/>
    <n v="22"/>
    <n v="0"/>
    <n v="1"/>
    <n v="0.69333333333333336"/>
    <n v="1"/>
    <n v="0.69333333333333336"/>
    <m/>
  </r>
  <r>
    <x v="171"/>
    <x v="1"/>
    <x v="7"/>
    <x v="6"/>
    <n v="8000"/>
    <n v="5991"/>
    <n v="0"/>
    <n v="0"/>
    <n v="5991"/>
    <n v="22"/>
    <n v="1.33"/>
    <n v="20.67"/>
    <n v="483.63636363636363"/>
    <n v="0.93954545454545457"/>
    <n v="0.74887499999999996"/>
    <n v="1"/>
    <n v="0.70360210227272724"/>
    <s v="M/C stopped for net cleaning &amp; unavailability of T/F fabric (1.20 hrs). Production was affected for unavailability of T/F fabric."/>
  </r>
  <r>
    <x v="171"/>
    <x v="1"/>
    <x v="8"/>
    <x v="4"/>
    <n v="6000"/>
    <n v="2499"/>
    <n v="0"/>
    <n v="0"/>
    <n v="2499"/>
    <n v="22"/>
    <n v="3"/>
    <n v="19"/>
    <n v="818.18181818181824"/>
    <n v="0.86363636363636365"/>
    <n v="0.41649999999999998"/>
    <n v="1"/>
    <n v="0.35970454545454544"/>
    <s v="M/C stopped for unavailability of T/F fabric (3 hrs). Production was affected for unavailability of T/F fabric."/>
  </r>
  <r>
    <x v="171"/>
    <x v="1"/>
    <x v="9"/>
    <x v="4"/>
    <n v="5000"/>
    <n v="3440"/>
    <n v="0"/>
    <n v="0"/>
    <n v="3440"/>
    <n v="22"/>
    <n v="2"/>
    <n v="20"/>
    <n v="454.54545454545456"/>
    <n v="0.90909090909090906"/>
    <n v="0.68799999999999994"/>
    <n v="1"/>
    <n v="0.62545454545454537"/>
    <s v="M/C stopped for unavailability of T/F fabric (2 hrs). Production was affected for unavailability of T/F fabric."/>
  </r>
  <r>
    <x v="172"/>
    <x v="0"/>
    <x v="0"/>
    <x v="0"/>
    <n v="10000"/>
    <n v="9646"/>
    <n v="0"/>
    <n v="0"/>
    <n v="9646"/>
    <n v="22"/>
    <m/>
    <n v="22"/>
    <n v="0"/>
    <n v="1"/>
    <n v="0.96460000000000001"/>
    <n v="1"/>
    <n v="0.96460000000000001"/>
    <m/>
  </r>
  <r>
    <x v="172"/>
    <x v="0"/>
    <x v="11"/>
    <x v="0"/>
    <n v="9931"/>
    <n v="9931"/>
    <n v="0"/>
    <n v="0"/>
    <n v="9931"/>
    <m/>
    <m/>
    <s v=""/>
    <s v=""/>
    <s v=""/>
    <n v="1"/>
    <n v="1"/>
    <s v=""/>
    <m/>
  </r>
  <r>
    <x v="172"/>
    <x v="0"/>
    <x v="1"/>
    <x v="1"/>
    <n v="5000"/>
    <n v="2517"/>
    <n v="0"/>
    <n v="0"/>
    <n v="2517"/>
    <n v="22"/>
    <m/>
    <n v="22"/>
    <n v="0"/>
    <n v="1"/>
    <n v="0.50339999999999996"/>
    <n v="1"/>
    <n v="0.50339999999999996"/>
    <m/>
  </r>
  <r>
    <x v="172"/>
    <x v="0"/>
    <x v="1"/>
    <x v="2"/>
    <n v="4000"/>
    <n v="8642"/>
    <n v="0"/>
    <n v="0"/>
    <n v="8642"/>
    <m/>
    <m/>
    <s v=""/>
    <s v=""/>
    <s v=""/>
    <n v="2.1604999999999999"/>
    <n v="1"/>
    <s v=""/>
    <m/>
  </r>
  <r>
    <x v="172"/>
    <x v="0"/>
    <x v="2"/>
    <x v="2"/>
    <n v="7000"/>
    <n v="7301"/>
    <n v="0"/>
    <n v="0"/>
    <n v="7301"/>
    <n v="22"/>
    <m/>
    <n v="22"/>
    <n v="0"/>
    <n v="1"/>
    <n v="1.0429999999999999"/>
    <n v="1"/>
    <n v="1.0429999999999999"/>
    <m/>
  </r>
  <r>
    <x v="172"/>
    <x v="0"/>
    <x v="3"/>
    <x v="3"/>
    <n v="7800"/>
    <n v="3442"/>
    <n v="0"/>
    <n v="0"/>
    <n v="3442"/>
    <n v="22"/>
    <n v="7.5"/>
    <n v="14.5"/>
    <n v="2659.090909090909"/>
    <n v="0.65909090909090906"/>
    <n v="0.44128205128205128"/>
    <n v="1"/>
    <n v="0.29084498834498834"/>
    <s v="M/C stopped for the unavailability of Heat Set fabric (7.30 hrs)."/>
  </r>
  <r>
    <x v="172"/>
    <x v="0"/>
    <x v="10"/>
    <x v="3"/>
    <m/>
    <m/>
    <m/>
    <s v=""/>
    <n v="0"/>
    <m/>
    <m/>
    <s v=""/>
    <s v=""/>
    <s v=""/>
    <s v=""/>
    <s v=""/>
    <s v=""/>
    <m/>
  </r>
  <r>
    <x v="172"/>
    <x v="0"/>
    <x v="4"/>
    <x v="4"/>
    <n v="9000"/>
    <n v="8300"/>
    <n v="0"/>
    <n v="0"/>
    <n v="8300"/>
    <n v="22"/>
    <m/>
    <n v="22"/>
    <n v="0"/>
    <n v="1"/>
    <n v="0.92222222222222228"/>
    <n v="1"/>
    <n v="0.92222222222222228"/>
    <m/>
  </r>
  <r>
    <x v="172"/>
    <x v="0"/>
    <x v="5"/>
    <x v="4"/>
    <n v="2500"/>
    <n v="1220"/>
    <n v="0"/>
    <n v="0"/>
    <n v="1220"/>
    <m/>
    <m/>
    <s v=""/>
    <s v=""/>
    <s v=""/>
    <n v="0.48799999999999999"/>
    <n v="1"/>
    <s v=""/>
    <m/>
  </r>
  <r>
    <x v="172"/>
    <x v="1"/>
    <x v="6"/>
    <x v="5"/>
    <n v="9000"/>
    <n v="7639"/>
    <n v="0"/>
    <n v="0"/>
    <n v="7639"/>
    <n v="22"/>
    <m/>
    <n v="22"/>
    <n v="0"/>
    <n v="1"/>
    <n v="0.84877777777777774"/>
    <n v="1"/>
    <n v="0.84877777777777774"/>
    <m/>
  </r>
  <r>
    <x v="172"/>
    <x v="1"/>
    <x v="7"/>
    <x v="6"/>
    <n v="8000"/>
    <n v="7638"/>
    <n v="0"/>
    <n v="0"/>
    <n v="7638"/>
    <n v="22"/>
    <n v="3.25"/>
    <n v="18.75"/>
    <n v="1181.8181818181818"/>
    <n v="0.85227272727272729"/>
    <n v="0.95474999999999999"/>
    <n v="1"/>
    <n v="0.81370738636363638"/>
    <s v="M/C stopped for net cleaning &amp; unavailability of T/F fabric (3.15 hrs). Production was affected for unavailability of T/F fabric."/>
  </r>
  <r>
    <x v="172"/>
    <x v="1"/>
    <x v="8"/>
    <x v="4"/>
    <n v="6000"/>
    <n v="3047"/>
    <n v="0"/>
    <n v="0"/>
    <n v="3047"/>
    <n v="22"/>
    <m/>
    <n v="22"/>
    <n v="0"/>
    <n v="1"/>
    <n v="0.50783333333333336"/>
    <n v="1"/>
    <n v="0.50783333333333336"/>
    <s v="Production was affected for unavailability of T/F fabric."/>
  </r>
  <r>
    <x v="172"/>
    <x v="1"/>
    <x v="9"/>
    <x v="4"/>
    <n v="5000"/>
    <n v="3148"/>
    <n v="0"/>
    <n v="0"/>
    <n v="3148"/>
    <n v="22"/>
    <m/>
    <n v="22"/>
    <n v="0"/>
    <n v="1"/>
    <n v="0.62960000000000005"/>
    <n v="1"/>
    <n v="0.62960000000000005"/>
    <s v="Production was affected for unavailability of T/F fabric."/>
  </r>
  <r>
    <x v="173"/>
    <x v="0"/>
    <x v="0"/>
    <x v="0"/>
    <n v="10000"/>
    <n v="5835"/>
    <n v="0"/>
    <n v="0"/>
    <n v="5835"/>
    <n v="22"/>
    <n v="2"/>
    <n v="20"/>
    <n v="909.09090909090912"/>
    <n v="0.90909090909090906"/>
    <n v="0.58350000000000002"/>
    <n v="1"/>
    <n v="0.5304545454545454"/>
    <s v="M/C stopped for scheduled maintenance  (2 hrs)"/>
  </r>
  <r>
    <x v="173"/>
    <x v="0"/>
    <x v="11"/>
    <x v="0"/>
    <n v="9542"/>
    <n v="9542"/>
    <n v="0"/>
    <n v="0"/>
    <n v="9542"/>
    <m/>
    <m/>
    <s v=""/>
    <s v=""/>
    <s v=""/>
    <n v="1"/>
    <n v="1"/>
    <s v=""/>
    <m/>
  </r>
  <r>
    <x v="173"/>
    <x v="0"/>
    <x v="1"/>
    <x v="1"/>
    <n v="5000"/>
    <n v="7432"/>
    <n v="0"/>
    <n v="0"/>
    <n v="7432"/>
    <n v="22"/>
    <n v="2.5"/>
    <n v="19.5"/>
    <n v="568.18181818181824"/>
    <n v="0.88636363636363635"/>
    <n v="1.4863999999999999"/>
    <n v="1"/>
    <n v="1.317490909090909"/>
    <s v="M/C stopped for scheduled maintenance  (2.30 hrs)"/>
  </r>
  <r>
    <x v="173"/>
    <x v="0"/>
    <x v="1"/>
    <x v="2"/>
    <n v="4000"/>
    <n v="301"/>
    <n v="0"/>
    <n v="0"/>
    <n v="301"/>
    <m/>
    <m/>
    <s v=""/>
    <s v=""/>
    <s v=""/>
    <n v="7.5249999999999997E-2"/>
    <n v="1"/>
    <s v=""/>
    <m/>
  </r>
  <r>
    <x v="173"/>
    <x v="0"/>
    <x v="2"/>
    <x v="2"/>
    <n v="7000"/>
    <n v="4969"/>
    <n v="0"/>
    <n v="0"/>
    <n v="4969"/>
    <n v="22"/>
    <n v="4.33"/>
    <n v="17.670000000000002"/>
    <n v="1377.7272727272727"/>
    <n v="0.80318181818181822"/>
    <n v="0.70985714285714285"/>
    <n v="1"/>
    <n v="0.57014435064935065"/>
    <s v="M/C stopped for scheduled maintenance &amp; unavailability of  fabric.(4.20 hrs)"/>
  </r>
  <r>
    <x v="173"/>
    <x v="0"/>
    <x v="3"/>
    <x v="3"/>
    <n v="7800"/>
    <n v="7636"/>
    <n v="0"/>
    <n v="0"/>
    <n v="7636"/>
    <n v="22"/>
    <m/>
    <n v="22"/>
    <n v="0"/>
    <n v="1"/>
    <n v="0.97897435897435903"/>
    <n v="1"/>
    <n v="0.97897435897435903"/>
    <m/>
  </r>
  <r>
    <x v="173"/>
    <x v="0"/>
    <x v="10"/>
    <x v="3"/>
    <m/>
    <m/>
    <m/>
    <s v=""/>
    <n v="0"/>
    <m/>
    <m/>
    <s v=""/>
    <s v=""/>
    <s v=""/>
    <s v=""/>
    <s v=""/>
    <s v=""/>
    <m/>
  </r>
  <r>
    <x v="173"/>
    <x v="0"/>
    <x v="4"/>
    <x v="4"/>
    <n v="9000"/>
    <n v="4132"/>
    <n v="0"/>
    <n v="0"/>
    <n v="4132"/>
    <n v="22"/>
    <m/>
    <n v="22"/>
    <n v="0"/>
    <n v="1"/>
    <n v="0.45911111111111114"/>
    <n v="1"/>
    <n v="0.45911111111111114"/>
    <m/>
  </r>
  <r>
    <x v="173"/>
    <x v="0"/>
    <x v="5"/>
    <x v="4"/>
    <m/>
    <m/>
    <m/>
    <s v=""/>
    <n v="0"/>
    <m/>
    <m/>
    <s v=""/>
    <s v=""/>
    <s v=""/>
    <s v=""/>
    <s v=""/>
    <s v=""/>
    <m/>
  </r>
  <r>
    <x v="173"/>
    <x v="1"/>
    <x v="6"/>
    <x v="5"/>
    <n v="9000"/>
    <n v="5796"/>
    <n v="0"/>
    <n v="0"/>
    <n v="5796"/>
    <n v="22"/>
    <n v="2"/>
    <n v="20"/>
    <n v="818.18181818181813"/>
    <n v="0.90909090909090906"/>
    <n v="0.64400000000000002"/>
    <n v="1"/>
    <n v="0.58545454545454545"/>
    <s v="M/C stopped for unavailability of T/F fabric (2 hrs). Production was affected for unavailability of T/F fabric."/>
  </r>
  <r>
    <x v="173"/>
    <x v="1"/>
    <x v="7"/>
    <x v="6"/>
    <n v="8000"/>
    <n v="5796"/>
    <n v="0"/>
    <n v="0"/>
    <n v="5796"/>
    <n v="22"/>
    <n v="5"/>
    <n v="17"/>
    <n v="1818.181818181818"/>
    <n v="0.77272727272727271"/>
    <n v="0.72450000000000003"/>
    <n v="1"/>
    <n v="0.55984090909090911"/>
    <s v="M/C stopped for scheduled maintenance &amp; unavailability of T/F fabric (5 hrs). Production was affected for unavailability of T/F fabric."/>
  </r>
  <r>
    <x v="173"/>
    <x v="1"/>
    <x v="8"/>
    <x v="4"/>
    <n v="6000"/>
    <n v="1632"/>
    <n v="0"/>
    <n v="0"/>
    <n v="1632"/>
    <n v="22"/>
    <n v="12"/>
    <n v="10"/>
    <n v="3272.727272727273"/>
    <n v="0.45454545454545453"/>
    <n v="0.27200000000000002"/>
    <n v="1"/>
    <n v="0.12363636363636364"/>
    <s v="M/C stopped for unavailability of T/F fabric (12 hrs). Production was affected for unavailability of T/F fabric."/>
  </r>
  <r>
    <x v="173"/>
    <x v="1"/>
    <x v="9"/>
    <x v="4"/>
    <n v="5000"/>
    <n v="3623"/>
    <n v="0"/>
    <n v="0"/>
    <n v="3623"/>
    <n v="22"/>
    <m/>
    <n v="22"/>
    <n v="0"/>
    <n v="1"/>
    <n v="0.72460000000000002"/>
    <n v="1"/>
    <n v="0.72460000000000002"/>
    <s v="Production was affected for unavailability of T/F fabric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grandTotalCaption="Total" updatedVersion="5" minRefreshableVersion="5" itemPrintTitles="1" createdVersion="5" indent="0" outline="1" outlineData="1" multipleFieldFilters="0" chartFormat="26" rowHeaderCaption="Machine Name">
  <location ref="A6:N17" firstHeaderRow="1" firstDataRow="2" firstDataCol="1" rowPageCount="3" colPageCount="1"/>
  <pivotFields count="23">
    <pivotField axis="axisPage" numFmtId="164" multipleItemSelectionAllowed="1" showAll="0">
      <items count="179">
        <item x="34"/>
        <item x="35"/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m="1" x="176"/>
        <item x="78"/>
        <item x="79"/>
        <item x="80"/>
        <item x="81"/>
        <item x="82"/>
        <item x="83"/>
        <item m="1" x="177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m="1" x="17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m="1" x="175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15">
        <item m="1" x="12"/>
        <item x="0"/>
        <item h="1" x="11"/>
        <item x="1"/>
        <item x="2"/>
        <item x="3"/>
        <item h="1" x="10"/>
        <item x="4"/>
        <item h="1" x="5"/>
        <item x="6"/>
        <item x="7"/>
        <item x="8"/>
        <item n="Indian Tube Compacting" m="1" x="13"/>
        <item x="9"/>
        <item t="default"/>
      </items>
    </pivotField>
    <pivotField axis="axisPage" multipleItemSelectionAllowed="1" showAll="0" defaultSubtotal="0">
      <items count="9">
        <item x="3"/>
        <item x="4"/>
        <item x="5"/>
        <item x="6"/>
        <item x="2"/>
        <item x="1"/>
        <item x="0"/>
        <item m="1" x="8"/>
        <item m="1" x="7"/>
      </items>
    </pivotField>
    <pivotField dataField="1" numFmtId="2" showAll="0" defaultSubtotal="0"/>
    <pivotField dataField="1" numFmtId="2" showAll="0"/>
    <pivotField dataField="1" numFmtId="2" showAll="0"/>
    <pivotField showAll="0"/>
    <pivotField dataField="1" numFmtId="2" showAll="0" defaultSubtotal="0"/>
    <pivotField dataField="1" showAll="0"/>
    <pivotField dataField="1" showAll="0"/>
    <pivotField dataField="1" showAll="0"/>
    <pivotField dataField="1" showAll="0"/>
    <pivotField showAll="0"/>
    <pivotField numFmtId="10" showAll="0" defaultSubtotal="0"/>
    <pivotField showAll="0" defaultSubtotal="0"/>
    <pivotField showAll="0" defaultSubtota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0">
    <i>
      <x v="1"/>
    </i>
    <i>
      <x v="3"/>
    </i>
    <i>
      <x v="4"/>
    </i>
    <i>
      <x v="5"/>
    </i>
    <i>
      <x v="7"/>
    </i>
    <i>
      <x v="9"/>
    </i>
    <i>
      <x v="10"/>
    </i>
    <i>
      <x v="11"/>
    </i>
    <i>
      <x v="1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3">
    <pageField fld="0" hier="-1"/>
    <pageField fld="1" hier="-1"/>
    <pageField fld="3" hier="-1"/>
  </pageFields>
  <dataFields count="13">
    <dataField name="Capacity (Kg) " fld="4" baseField="2" baseItem="2"/>
    <dataField name="Actual Production (Kg) " fld="5" baseField="2" baseItem="7"/>
    <dataField name="Re-process (Kg) " fld="6" baseField="2" baseItem="0"/>
    <dataField name="Re-process %  " fld="18" subtotal="average" baseField="2" baseItem="0" numFmtId="9"/>
    <dataField name="Quality Pass Production " fld="8" baseField="2" baseItem="6"/>
    <dataField name="Target Time (Hours) " fld="9" baseField="2" baseItem="0"/>
    <dataField name="Running Time (Hours) " fld="11" baseField="2" baseItem="4"/>
    <dataField name="Downtime (Hours) " fld="10" baseField="2" baseItem="0"/>
    <dataField name="Loss Production for Downtime " fld="12" baseField="2" baseItem="0"/>
    <dataField name="Machine Utilization % " fld="19" subtotal="average" baseField="2" baseItem="0" numFmtId="9"/>
    <dataField name="Efficiency % " fld="20" subtotal="average" baseField="2" baseItem="5" numFmtId="10"/>
    <dataField name="Quality %  " fld="21" subtotal="average" baseField="2" baseItem="1" numFmtId="10"/>
    <dataField name="OEE %  " fld="22" subtotal="average" baseField="2" baseItem="1" numFmtId="10"/>
  </dataFields>
  <formats count="51"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2" type="button" dataOnly="0" labelOnly="1" outline="0" axis="axisRow" fieldPosition="0"/>
    </format>
    <format dxfId="237">
      <pivotArea dataOnly="0" labelOnly="1" fieldPosition="0">
        <references count="1">
          <reference field="2" count="0"/>
        </references>
      </pivotArea>
    </format>
    <format dxfId="236">
      <pivotArea dataOnly="0" labelOnly="1" grandRow="1" outline="0" fieldPosition="0"/>
    </format>
    <format dxfId="235">
      <pivotArea dataOnly="0" labelOnly="1" outline="0" fieldPosition="0">
        <references count="1">
          <reference field="4294967294" count="4">
            <x v="2"/>
            <x v="3"/>
            <x v="5"/>
            <x v="6"/>
          </reference>
        </references>
      </pivotArea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2" type="button" dataOnly="0" labelOnly="1" outline="0" axis="axisRow" fieldPosition="0"/>
    </format>
    <format dxfId="231">
      <pivotArea dataOnly="0" labelOnly="1" fieldPosition="0">
        <references count="1">
          <reference field="2" count="0"/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1">
          <reference field="4294967294" count="4">
            <x v="2"/>
            <x v="3"/>
            <x v="5"/>
            <x v="6"/>
          </reference>
        </references>
      </pivotArea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2" type="button" dataOnly="0" labelOnly="1" outline="0" axis="axisRow" fieldPosition="0"/>
    </format>
    <format dxfId="225">
      <pivotArea dataOnly="0" labelOnly="1" fieldPosition="0">
        <references count="1">
          <reference field="2" count="0"/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1">
          <reference field="4294967294" count="4">
            <x v="2"/>
            <x v="3"/>
            <x v="5"/>
            <x v="6"/>
          </reference>
        </references>
      </pivotArea>
    </format>
    <format dxfId="222">
      <pivotArea dataOnly="0" outline="0" fieldPosition="0">
        <references count="1">
          <reference field="4294967294" count="1">
            <x v="8"/>
          </reference>
        </references>
      </pivotArea>
    </format>
    <format dxfId="221">
      <pivotArea outline="0" fieldPosition="0">
        <references count="1">
          <reference field="4294967294" count="1">
            <x v="9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2" type="button" dataOnly="0" labelOnly="1" outline="0" axis="axisRow" fieldPosition="0"/>
    </format>
    <format dxfId="217">
      <pivotArea dataOnly="0" labelOnly="1" fieldPosition="0">
        <references count="1">
          <reference field="2" count="0"/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9">
            <x v="1"/>
            <x v="2"/>
            <x v="3"/>
            <x v="5"/>
            <x v="6"/>
            <x v="7"/>
            <x v="8"/>
            <x v="9"/>
            <x v="10"/>
          </reference>
        </references>
      </pivotArea>
    </format>
    <format dxfId="214">
      <pivotArea dataOnly="0" labelOnly="1" fieldPosition="0">
        <references count="1">
          <reference field="2" count="0"/>
        </references>
      </pivotArea>
    </format>
    <format dxfId="213">
      <pivotArea field="2" type="button" dataOnly="0" labelOnly="1" outline="0" axis="axisRow" fieldPosition="0"/>
    </format>
    <format dxfId="212">
      <pivotArea dataOnly="0" labelOnly="1" outline="0" fieldPosition="0">
        <references count="1">
          <reference field="4294967294" count="9">
            <x v="1"/>
            <x v="2"/>
            <x v="3"/>
            <x v="5"/>
            <x v="6"/>
            <x v="7"/>
            <x v="8"/>
            <x v="9"/>
            <x v="10"/>
          </reference>
        </references>
      </pivotArea>
    </format>
    <format dxfId="211">
      <pivotArea grandRow="1" outline="0" collapsedLevelsAreSubtotals="1" fieldPosition="0"/>
    </format>
    <format dxfId="210">
      <pivotArea dataOnly="0" labelOnly="1" grandRow="1" outline="0" fieldPosition="0"/>
    </format>
    <format dxfId="209">
      <pivotArea outline="0" fieldPosition="0">
        <references count="1">
          <reference field="4294967294" count="1">
            <x v="10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7">
      <pivotArea outline="0" fieldPosition="0">
        <references count="1">
          <reference field="4294967294" count="1">
            <x v="11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5">
      <pivotArea outline="0" fieldPosition="0">
        <references count="1">
          <reference field="4294967294" count="1">
            <x v="12"/>
          </reference>
        </references>
      </pivotArea>
    </format>
    <format dxfId="20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03">
      <pivotArea dataOnly="0" fieldPosition="0">
        <references count="1">
          <reference field="2" count="1">
            <x v="8"/>
          </reference>
        </references>
      </pivotArea>
    </format>
    <format dxfId="202">
      <pivotArea collapsedLevelsAreSubtotals="1" fieldPosition="0">
        <references count="1">
          <reference field="2" count="1">
            <x v="6"/>
          </reference>
        </references>
      </pivotArea>
    </format>
    <format dxfId="201">
      <pivotArea dataOnly="0" labelOnly="1" fieldPosition="0">
        <references count="1">
          <reference field="2" count="1">
            <x v="6"/>
          </reference>
        </references>
      </pivotArea>
    </format>
    <format dxfId="200">
      <pivotArea dataOnly="0" labelOnly="1" fieldPosition="0">
        <references count="1">
          <reference field="2" count="0"/>
        </references>
      </pivotArea>
    </format>
    <format dxfId="199">
      <pivotArea field="2" type="button" dataOnly="0" labelOnly="1" outline="0" axis="axisRow" fieldPosition="0"/>
    </format>
    <format dxfId="198">
      <pivotArea dataOnly="0" labelOnly="1" fieldPosition="0">
        <references count="1">
          <reference field="2" count="0"/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collapsedLevelsAreSubtotals="1" fieldPosition="0">
        <references count="1">
          <reference field="2" count="1">
            <x v="8"/>
          </reference>
        </references>
      </pivotArea>
    </format>
    <format dxfId="195">
      <pivotArea dataOnly="0" labelOnly="1" fieldPosition="0">
        <references count="1">
          <reference field="2" count="1">
            <x v="8"/>
          </reference>
        </references>
      </pivotArea>
    </format>
    <format dxfId="194">
      <pivotArea dataOnly="0" labelOnly="1" fieldPosition="0">
        <references count="1">
          <reference field="2" count="1">
            <x v="2"/>
          </reference>
        </references>
      </pivotArea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collapsedLevelsAreSubtotals="1" fieldPosition="0">
        <references count="1">
          <reference field="2" count="1">
            <x v="2"/>
          </reference>
        </references>
      </pivotArea>
    </format>
    <format dxfId="190">
      <pivotArea dataOnly="0" labelOnly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Equal" evalOrder="-1" id="1040" name="Date">
      <autoFilter ref="A1">
        <filterColumn colId="0">
          <customFilters>
            <customFilter val="463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onth">
  <location ref="H188:I197" firstHeaderRow="1" firstDataRow="1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Finished Production (KG)" fld="2" baseField="0" baseItem="0"/>
  </dataFields>
  <formats count="12">
    <format dxfId="183">
      <pivotArea field="0" type="button" dataOnly="0" labelOnly="1" outline="0" axis="axisRow" fieldPosition="0"/>
    </format>
    <format>
      <pivotArea field="0" type="button" dataOnly="0" labelOnly="1" outline="0" axis="axisRow" fieldPosition="0"/>
    </format>
    <format dxfId="182">
      <pivotArea outline="0" collapsedLevelsAreSubtotals="1" fieldPosition="0"/>
    </format>
    <format dxfId="181">
      <pivotArea dataOnly="0" labelOnly="1" outline="0" axis="axisValues" fieldPosition="0"/>
    </format>
    <format dxfId="180">
      <pivotArea outline="0" collapsedLevelsAreSubtotals="1" fieldPosition="0"/>
    </format>
    <format dxfId="179">
      <pivotArea dataOnly="0" labelOnly="1" outline="0" axis="axisValues" fieldPosition="0"/>
    </format>
    <format dxfId="178">
      <pivotArea field="0" type="button" dataOnly="0" labelOnly="1" outline="0" axis="axisRow" fieldPosition="0"/>
    </format>
    <format dxfId="177">
      <pivotArea dataOnly="0" labelOnly="1" fieldPosition="0">
        <references count="1">
          <reference field="0" count="0"/>
        </references>
      </pivotArea>
    </format>
    <format dxfId="176">
      <pivotArea dataOnly="0" labelOnly="1" grandRow="1" outline="0" fieldPosition="0"/>
    </format>
    <format dxfId="175">
      <pivotArea dataOnly="0" labelOnly="1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field="0" type="button" dataOnly="0" labelOnly="1" outline="0" axis="axisRow" fieldPosition="0"/>
    </format>
  </format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R2150" totalsRowShown="0" headerRowDxfId="261" dataDxfId="260" tableBorderDxfId="259" headerRowCellStyle="Bad">
  <autoFilter ref="A1:R2150"/>
  <tableColumns count="18">
    <tableColumn id="1" name="Date" dataDxfId="258"/>
    <tableColumn id="2" name="Fabric Type" dataDxfId="257"/>
    <tableColumn id="3" name="Machine Name" dataDxfId="256"/>
    <tableColumn id="4" name="Finish Type" dataDxfId="255"/>
    <tableColumn id="5" name="Capacity (Kg)" dataDxfId="254"/>
    <tableColumn id="6" name="Actual Production (Kg)" dataDxfId="253"/>
    <tableColumn id="7" name="Re-process (Kg)" dataDxfId="252"/>
    <tableColumn id="8" name="Re-Process %" dataDxfId="251">
      <calculatedColumnFormula>IFERROR(Table1[Re-process (Kg)]/Table1[Actual Production (Kg)], "")</calculatedColumnFormula>
    </tableColumn>
    <tableColumn id="10" name="Quality Pass Production" dataDxfId="250">
      <calculatedColumnFormula>IFERROR(Table1[[#This Row],[Actual Production (Kg)]]-Table1[[#This Row],[Re-process (Kg)]], "")</calculatedColumnFormula>
    </tableColumn>
    <tableColumn id="9" name="Target Time (Hours)" dataDxfId="249"/>
    <tableColumn id="11" name="Downtime (Hours)" dataDxfId="248"/>
    <tableColumn id="16" name="Running Time (hr)" dataDxfId="247">
      <calculatedColumnFormula>IF(Table1[[#This Row],[Target Time (Hours)]]="","",Table1[[#This Row],[Target Time (Hours)]]-Table1[[#This Row],[Downtime (Hours)]])</calculatedColumnFormula>
    </tableColumn>
    <tableColumn id="12" name="Loss production for downtime" dataDxfId="246">
      <calculatedColumnFormula>IFERROR(Table1[[#This Row],[Capacity (Kg)]]/Table1[[#This Row],[Target Time (Hours)]] * Table1[[#This Row],[Downtime (Hours)]], "")</calculatedColumnFormula>
    </tableColumn>
    <tableColumn id="13" name="Utilization %" dataDxfId="245">
      <calculatedColumnFormula>IFERROR(Table1[[#This Row],[Running Time (hr)]]/Table1[Target Time (Hours)], "")</calculatedColumnFormula>
    </tableColumn>
    <tableColumn id="14" name="Efficiency %" dataDxfId="244">
      <calculatedColumnFormula>IFERROR(Table1[[#This Row],[Actual Production (Kg)]]/Table1[Capacity (Kg)], "")</calculatedColumnFormula>
    </tableColumn>
    <tableColumn id="17" name="Quality %" dataDxfId="243">
      <calculatedColumnFormula>IFERROR(Table1[[#This Row],[Quality Pass Production]]/Table1[[#This Row],[Actual Production (Kg)]], "")</calculatedColumnFormula>
    </tableColumn>
    <tableColumn id="18" name="OEE %" dataDxfId="242">
      <calculatedColumnFormula>IFERROR(Table1[[#This Row],[Utilization %]]*Table1[[#This Row],[Efficiency %]]*Table1[[#This Row],[Quality %]], "")</calculatedColumnFormula>
    </tableColumn>
    <tableColumn id="15" name="Delay Reason" dataDxfId="24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D462" totalsRowShown="0" headerRowDxfId="189" dataDxfId="188">
  <autoFilter ref="A1:D462"/>
  <tableColumns count="4">
    <tableColumn id="1" name="Date" dataDxfId="187"/>
    <tableColumn id="2" name="Machine " dataDxfId="186"/>
    <tableColumn id="4" name="Downtime" dataDxfId="185"/>
    <tableColumn id="3" name="Remarks" dataDxfId="18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6" displayName="Table6" ref="A1:E197" totalsRowShown="0" headerRowDxfId="172" dataDxfId="171">
  <tableColumns count="5">
    <tableColumn id="1" name="Month" dataDxfId="170">
      <calculatedColumnFormula>CHOOSE(VALUE(MID(TEXT(Table6[[#This Row],[Date]],"dd.mm.yyyy"),4,2)),"January","February","March","April","May","June","July","August","September","October","November","December")</calculatedColumnFormula>
    </tableColumn>
    <tableColumn id="4" name="Date" dataDxfId="169"/>
    <tableColumn id="8" name="Finished Production (kg/day)" dataDxfId="168"/>
    <tableColumn id="10" name="Dyeing(Unload) Production (kg/day)" dataDxfId="167"/>
    <tableColumn id="2" name="Remarks" dataDxfId="16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e24" sourceName="Date">
  <pivotTables>
    <pivotTable tabId="2" name="PivotTable1"/>
  </pivotTables>
  <state minimalRefreshVersion="6" lastRefreshVersion="6" pivotCacheId="1" filterType="dateEqual">
    <selection startDate="2026-10-17T00:00:00" endDate="2026-10-17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NativeTimeline_Date24" caption="Date" level="3" selectionLevel="3" scrollPosition="2026-10-12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2150"/>
  <sheetViews>
    <sheetView zoomScale="85" zoomScaleNormal="85" workbookViewId="0">
      <pane ySplit="1" topLeftCell="A2140" activePane="bottomLeft" state="frozen"/>
      <selection activeCell="B1" sqref="B1"/>
      <selection pane="bottomLeft" activeCell="A2138" sqref="A2138:R2150"/>
    </sheetView>
  </sheetViews>
  <sheetFormatPr defaultRowHeight="15" x14ac:dyDescent="0.25"/>
  <cols>
    <col min="1" max="1" width="8.7109375" style="1" bestFit="1" customWidth="1"/>
    <col min="2" max="2" width="8.28515625" style="89" customWidth="1"/>
    <col min="3" max="3" width="16.42578125" style="10" customWidth="1"/>
    <col min="4" max="4" width="12.5703125" style="89" customWidth="1"/>
    <col min="5" max="5" width="10" style="2" customWidth="1"/>
    <col min="6" max="6" width="13" style="40" bestFit="1" customWidth="1"/>
    <col min="7" max="7" width="8.5703125" style="2" customWidth="1"/>
    <col min="8" max="8" width="8.7109375" style="3" customWidth="1"/>
    <col min="9" max="9" width="11.85546875" style="89" customWidth="1"/>
    <col min="10" max="10" width="8.5703125" style="2" customWidth="1"/>
    <col min="11" max="11" width="8.42578125" style="86" customWidth="1"/>
    <col min="12" max="12" width="9.28515625" style="89" customWidth="1"/>
    <col min="13" max="13" width="13.28515625" style="2" customWidth="1"/>
    <col min="14" max="14" width="10.85546875" style="3" customWidth="1"/>
    <col min="15" max="15" width="10.140625" style="3" customWidth="1"/>
    <col min="16" max="16" width="8.42578125" style="3" customWidth="1"/>
    <col min="17" max="17" width="9" style="3" customWidth="1"/>
    <col min="18" max="18" width="44.85546875" style="48" customWidth="1"/>
  </cols>
  <sheetData>
    <row r="1" spans="1:18" ht="82.5" customHeight="1" x14ac:dyDescent="0.25">
      <c r="A1" s="64" t="s">
        <v>0</v>
      </c>
      <c r="B1" s="67" t="s">
        <v>1</v>
      </c>
      <c r="C1" s="67" t="s">
        <v>2</v>
      </c>
      <c r="D1" s="67" t="s">
        <v>3</v>
      </c>
      <c r="E1" s="65" t="s">
        <v>4</v>
      </c>
      <c r="F1" s="65" t="s">
        <v>5</v>
      </c>
      <c r="G1" s="65" t="s">
        <v>6</v>
      </c>
      <c r="H1" s="66" t="s">
        <v>7</v>
      </c>
      <c r="I1" s="67" t="s">
        <v>8</v>
      </c>
      <c r="J1" s="65" t="s">
        <v>9</v>
      </c>
      <c r="K1" s="67" t="s">
        <v>10</v>
      </c>
      <c r="L1" s="67" t="s">
        <v>11</v>
      </c>
      <c r="M1" s="65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7" t="s">
        <v>17</v>
      </c>
    </row>
    <row r="2" spans="1:18" s="4" customFormat="1" ht="30" customHeight="1" x14ac:dyDescent="0.25">
      <c r="A2" s="47">
        <v>46097</v>
      </c>
      <c r="B2" s="48" t="s">
        <v>18</v>
      </c>
      <c r="C2" s="48" t="s">
        <v>19</v>
      </c>
      <c r="D2" s="48" t="s">
        <v>20</v>
      </c>
      <c r="E2" s="49">
        <v>10000</v>
      </c>
      <c r="F2" s="76">
        <v>7291</v>
      </c>
      <c r="G2" s="49">
        <v>0</v>
      </c>
      <c r="H2" s="50">
        <f>IFERROR(Table1[Re-process (Kg)]/Table1[Actual Production (Kg)], "")</f>
        <v>0</v>
      </c>
      <c r="I2" s="49">
        <f>IFERROR(Table1[[#This Row],[Actual Production (Kg)]]-Table1[[#This Row],[Re-process (Kg)]], "")</f>
        <v>7291</v>
      </c>
      <c r="J2" s="49">
        <v>22</v>
      </c>
      <c r="K2" s="72">
        <v>4</v>
      </c>
      <c r="L2" s="49">
        <f>IF(Table1[[#This Row],[Target Time (Hours)]]="","",Table1[[#This Row],[Target Time (Hours)]]-Table1[[#This Row],[Downtime (Hours)]])</f>
        <v>18</v>
      </c>
      <c r="M2" s="49">
        <f>IFERROR(Table1[[#This Row],[Capacity (Kg)]]/Table1[[#This Row],[Target Time (Hours)]] * Table1[[#This Row],[Downtime (Hours)]], "")</f>
        <v>1818.1818181818182</v>
      </c>
      <c r="N2" s="50">
        <f>IFERROR(Table1[[#This Row],[Running Time (hr)]]/Table1[Target Time (Hours)], "")</f>
        <v>0.81818181818181823</v>
      </c>
      <c r="O2" s="50">
        <f>IFERROR(Table1[[#This Row],[Actual Production (Kg)]]/Table1[Capacity (Kg)], "")</f>
        <v>0.72909999999999997</v>
      </c>
      <c r="P2" s="50">
        <f>IFERROR(Table1[[#This Row],[Quality Pass Production]]/Table1[[#This Row],[Actual Production (Kg)]], "")</f>
        <v>1</v>
      </c>
      <c r="Q2" s="50">
        <f>IFERROR(Table1[[#This Row],[Utilization %]]*Table1[[#This Row],[Efficiency %]]*Table1[[#This Row],[Quality %]], "")</f>
        <v>0.59653636363636364</v>
      </c>
      <c r="R2" s="48" t="s">
        <v>21</v>
      </c>
    </row>
    <row r="3" spans="1:18" s="4" customFormat="1" ht="30" customHeight="1" x14ac:dyDescent="0.25">
      <c r="A3" s="47">
        <v>46097</v>
      </c>
      <c r="B3" s="48" t="s">
        <v>18</v>
      </c>
      <c r="C3" s="48" t="s">
        <v>22</v>
      </c>
      <c r="D3" s="48" t="s">
        <v>23</v>
      </c>
      <c r="E3" s="49">
        <v>5000</v>
      </c>
      <c r="F3" s="76">
        <v>2214</v>
      </c>
      <c r="G3" s="49">
        <v>0</v>
      </c>
      <c r="H3" s="50">
        <f>IFERROR(Table1[Re-process (Kg)]/Table1[Actual Production (Kg)], "")</f>
        <v>0</v>
      </c>
      <c r="I3" s="49">
        <f>IFERROR(Table1[[#This Row],[Actual Production (Kg)]]-Table1[[#This Row],[Re-process (Kg)]], "")</f>
        <v>2214</v>
      </c>
      <c r="J3" s="49">
        <v>22</v>
      </c>
      <c r="K3" s="72">
        <v>1</v>
      </c>
      <c r="L3" s="49">
        <f>IF(Table1[[#This Row],[Target Time (Hours)]]="","",Table1[[#This Row],[Target Time (Hours)]]-Table1[[#This Row],[Downtime (Hours)]])</f>
        <v>21</v>
      </c>
      <c r="M3" s="49">
        <f>IFERROR(Table1[[#This Row],[Capacity (Kg)]]/Table1[[#This Row],[Target Time (Hours)]] * Table1[[#This Row],[Downtime (Hours)]], "")</f>
        <v>227.27272727272728</v>
      </c>
      <c r="N3" s="50">
        <f>IFERROR(Table1[[#This Row],[Running Time (hr)]]/Table1[Target Time (Hours)], "")</f>
        <v>0.95454545454545459</v>
      </c>
      <c r="O3" s="50">
        <f>IFERROR(Table1[[#This Row],[Actual Production (Kg)]]/Table1[Capacity (Kg)], "")</f>
        <v>0.44280000000000003</v>
      </c>
      <c r="P3" s="50">
        <f>IFERROR(Table1[[#This Row],[Quality Pass Production]]/Table1[[#This Row],[Actual Production (Kg)]], "")</f>
        <v>1</v>
      </c>
      <c r="Q3" s="50">
        <f>IFERROR(Table1[[#This Row],[Utilization %]]*Table1[[#This Row],[Efficiency %]]*Table1[[#This Row],[Quality %]], "")</f>
        <v>0.42267272727272731</v>
      </c>
      <c r="R3" s="48" t="s">
        <v>24</v>
      </c>
    </row>
    <row r="4" spans="1:18" s="4" customFormat="1" x14ac:dyDescent="0.25">
      <c r="A4" s="47">
        <v>46097</v>
      </c>
      <c r="B4" s="48" t="s">
        <v>18</v>
      </c>
      <c r="C4" s="48" t="s">
        <v>22</v>
      </c>
      <c r="D4" s="48" t="s">
        <v>25</v>
      </c>
      <c r="E4" s="49">
        <v>4000</v>
      </c>
      <c r="F4" s="76">
        <v>6393</v>
      </c>
      <c r="G4" s="49">
        <v>0</v>
      </c>
      <c r="H4" s="50">
        <f>IFERROR(Table1[Re-process (Kg)]/Table1[Actual Production (Kg)], "")</f>
        <v>0</v>
      </c>
      <c r="I4" s="49">
        <f>IFERROR(Table1[[#This Row],[Actual Production (Kg)]]-Table1[[#This Row],[Re-process (Kg)]], "")</f>
        <v>6393</v>
      </c>
      <c r="J4" s="49"/>
      <c r="K4" s="72">
        <v>0</v>
      </c>
      <c r="L4" s="49" t="str">
        <f>IF(Table1[[#This Row],[Target Time (Hours)]]="","",Table1[[#This Row],[Target Time (Hours)]]-Table1[[#This Row],[Downtime (Hours)]])</f>
        <v/>
      </c>
      <c r="M4" s="49" t="str">
        <f>IFERROR(Table1[[#This Row],[Capacity (Kg)]]/Table1[[#This Row],[Target Time (Hours)]] * Table1[[#This Row],[Downtime (Hours)]], "")</f>
        <v/>
      </c>
      <c r="N4" s="50" t="str">
        <f>IFERROR(Table1[[#This Row],[Running Time (hr)]]/Table1[Target Time (Hours)], "")</f>
        <v/>
      </c>
      <c r="O4" s="50">
        <f>IFERROR(Table1[[#This Row],[Actual Production (Kg)]]/Table1[Capacity (Kg)], "")</f>
        <v>1.5982499999999999</v>
      </c>
      <c r="P4" s="50">
        <f>IFERROR(Table1[[#This Row],[Quality Pass Production]]/Table1[[#This Row],[Actual Production (Kg)]], "")</f>
        <v>1</v>
      </c>
      <c r="Q4" s="50" t="str">
        <f>IFERROR(Table1[[#This Row],[Utilization %]]*Table1[[#This Row],[Efficiency %]]*Table1[[#This Row],[Quality %]], "")</f>
        <v/>
      </c>
      <c r="R4" s="48"/>
    </row>
    <row r="5" spans="1:18" s="4" customFormat="1" ht="30" customHeight="1" x14ac:dyDescent="0.25">
      <c r="A5" s="47">
        <v>46097</v>
      </c>
      <c r="B5" s="48" t="s">
        <v>18</v>
      </c>
      <c r="C5" s="48" t="s">
        <v>26</v>
      </c>
      <c r="D5" s="48" t="s">
        <v>25</v>
      </c>
      <c r="E5" s="49">
        <v>7000</v>
      </c>
      <c r="F5" s="76">
        <v>5101</v>
      </c>
      <c r="G5" s="49">
        <v>0</v>
      </c>
      <c r="H5" s="50">
        <f>IFERROR(Table1[Re-process (Kg)]/Table1[Actual Production (Kg)], "")</f>
        <v>0</v>
      </c>
      <c r="I5" s="49">
        <f>IFERROR(Table1[[#This Row],[Actual Production (Kg)]]-Table1[[#This Row],[Re-process (Kg)]], "")</f>
        <v>5101</v>
      </c>
      <c r="J5" s="49">
        <v>22</v>
      </c>
      <c r="K5" s="72">
        <v>1.4499999999999991</v>
      </c>
      <c r="L5" s="49">
        <f>IF(Table1[[#This Row],[Target Time (Hours)]]="","",Table1[[#This Row],[Target Time (Hours)]]-Table1[[#This Row],[Downtime (Hours)]])</f>
        <v>20.55</v>
      </c>
      <c r="M5" s="49">
        <f>IFERROR(Table1[[#This Row],[Capacity (Kg)]]/Table1[[#This Row],[Target Time (Hours)]] * Table1[[#This Row],[Downtime (Hours)]], "")</f>
        <v>461.36363636363609</v>
      </c>
      <c r="N5" s="50">
        <f>IFERROR(Table1[[#This Row],[Running Time (hr)]]/Table1[Target Time (Hours)], "")</f>
        <v>0.93409090909090908</v>
      </c>
      <c r="O5" s="50">
        <f>IFERROR(Table1[[#This Row],[Actual Production (Kg)]]/Table1[Capacity (Kg)], "")</f>
        <v>0.72871428571428576</v>
      </c>
      <c r="P5" s="50">
        <f>IFERROR(Table1[[#This Row],[Quality Pass Production]]/Table1[[#This Row],[Actual Production (Kg)]], "")</f>
        <v>1</v>
      </c>
      <c r="Q5" s="50">
        <f>IFERROR(Table1[[#This Row],[Utilization %]]*Table1[[#This Row],[Efficiency %]]*Table1[[#This Row],[Quality %]], "")</f>
        <v>0.6806853896103896</v>
      </c>
      <c r="R5" s="48" t="s">
        <v>27</v>
      </c>
    </row>
    <row r="6" spans="1:18" s="4" customFormat="1" ht="30" customHeight="1" x14ac:dyDescent="0.25">
      <c r="A6" s="47">
        <v>46097</v>
      </c>
      <c r="B6" s="48" t="s">
        <v>18</v>
      </c>
      <c r="C6" s="48" t="s">
        <v>28</v>
      </c>
      <c r="D6" s="48" t="s">
        <v>29</v>
      </c>
      <c r="E6" s="49"/>
      <c r="F6" s="76"/>
      <c r="G6" s="49">
        <v>0</v>
      </c>
      <c r="H6" s="50" t="str">
        <f>IFERROR(Table1[Re-process (Kg)]/Table1[Actual Production (Kg)], "")</f>
        <v/>
      </c>
      <c r="I6" s="49">
        <f>IFERROR(Table1[[#This Row],[Actual Production (Kg)]]-Table1[[#This Row],[Re-process (Kg)]], "")</f>
        <v>0</v>
      </c>
      <c r="J6" s="49"/>
      <c r="K6" s="72">
        <v>0</v>
      </c>
      <c r="L6" s="49" t="str">
        <f>IF(Table1[[#This Row],[Target Time (Hours)]]="","",Table1[[#This Row],[Target Time (Hours)]]-Table1[[#This Row],[Downtime (Hours)]])</f>
        <v/>
      </c>
      <c r="M6" s="49" t="str">
        <f>IFERROR(Table1[[#This Row],[Capacity (Kg)]]/Table1[[#This Row],[Target Time (Hours)]] * Table1[[#This Row],[Downtime (Hours)]], "")</f>
        <v/>
      </c>
      <c r="N6" s="50" t="str">
        <f>IFERROR(Table1[[#This Row],[Running Time (hr)]]/Table1[Target Time (Hours)], "")</f>
        <v/>
      </c>
      <c r="O6" s="50" t="str">
        <f>IFERROR(Table1[[#This Row],[Actual Production (Kg)]]/Table1[Capacity (Kg)], "")</f>
        <v/>
      </c>
      <c r="P6" s="50" t="str">
        <f>IFERROR(Table1[[#This Row],[Quality Pass Production]]/Table1[[#This Row],[Actual Production (Kg)]], "")</f>
        <v/>
      </c>
      <c r="Q6" s="50" t="str">
        <f>IFERROR(Table1[[#This Row],[Utilization %]]*Table1[[#This Row],[Efficiency %]]*Table1[[#This Row],[Quality %]], "")</f>
        <v/>
      </c>
      <c r="R6" s="48"/>
    </row>
    <row r="7" spans="1:18" s="4" customFormat="1" ht="30" customHeight="1" x14ac:dyDescent="0.25">
      <c r="A7" s="47">
        <v>46097</v>
      </c>
      <c r="B7" s="48" t="s">
        <v>18</v>
      </c>
      <c r="C7" s="48" t="s">
        <v>30</v>
      </c>
      <c r="D7" s="48" t="s">
        <v>31</v>
      </c>
      <c r="E7" s="49">
        <v>9000</v>
      </c>
      <c r="F7" s="76">
        <v>8700</v>
      </c>
      <c r="G7" s="49">
        <v>0</v>
      </c>
      <c r="H7" s="50">
        <f>IFERROR(Table1[Re-process (Kg)]/Table1[Actual Production (Kg)], "")</f>
        <v>0</v>
      </c>
      <c r="I7" s="49">
        <f>IFERROR(Table1[[#This Row],[Actual Production (Kg)]]-Table1[[#This Row],[Re-process (Kg)]], "")</f>
        <v>8700</v>
      </c>
      <c r="J7" s="49">
        <v>22</v>
      </c>
      <c r="K7" s="72">
        <v>0</v>
      </c>
      <c r="L7" s="49">
        <f>IF(Table1[[#This Row],[Target Time (Hours)]]="","",Table1[[#This Row],[Target Time (Hours)]]-Table1[[#This Row],[Downtime (Hours)]])</f>
        <v>22</v>
      </c>
      <c r="M7" s="49">
        <f>IFERROR(Table1[[#This Row],[Capacity (Kg)]]/Table1[[#This Row],[Target Time (Hours)]] * Table1[[#This Row],[Downtime (Hours)]], "")</f>
        <v>0</v>
      </c>
      <c r="N7" s="50">
        <f>IFERROR(Table1[[#This Row],[Running Time (hr)]]/Table1[Target Time (Hours)], "")</f>
        <v>1</v>
      </c>
      <c r="O7" s="50">
        <f>IFERROR(Table1[[#This Row],[Actual Production (Kg)]]/Table1[Capacity (Kg)], "")</f>
        <v>0.96666666666666667</v>
      </c>
      <c r="P7" s="50">
        <f>IFERROR(Table1[[#This Row],[Quality Pass Production]]/Table1[[#This Row],[Actual Production (Kg)]], "")</f>
        <v>1</v>
      </c>
      <c r="Q7" s="50">
        <f>IFERROR(Table1[[#This Row],[Utilization %]]*Table1[[#This Row],[Efficiency %]]*Table1[[#This Row],[Quality %]], "")</f>
        <v>0.96666666666666667</v>
      </c>
      <c r="R7" s="48"/>
    </row>
    <row r="8" spans="1:18" s="4" customFormat="1" ht="30" customHeight="1" x14ac:dyDescent="0.25">
      <c r="A8" s="26">
        <v>46097</v>
      </c>
      <c r="B8" s="27" t="s">
        <v>18</v>
      </c>
      <c r="C8" s="27" t="s">
        <v>32</v>
      </c>
      <c r="D8" s="27" t="s">
        <v>31</v>
      </c>
      <c r="E8" s="79">
        <f>Table1[[#This Row],[Actual Production (Kg)]]</f>
        <v>3036</v>
      </c>
      <c r="F8" s="79">
        <v>3036</v>
      </c>
      <c r="G8" s="79">
        <v>0</v>
      </c>
      <c r="H8" s="28"/>
      <c r="I8" s="79"/>
      <c r="J8" s="79"/>
      <c r="K8" s="27"/>
      <c r="L8" s="53" t="str">
        <f>IF(Table1[[#This Row],[Target Time (Hours)]]="","",Table1[[#This Row],[Target Time (Hours)]]-Table1[[#This Row],[Downtime (Hours)]])</f>
        <v/>
      </c>
      <c r="M8" s="79"/>
      <c r="N8" s="28"/>
      <c r="O8" s="28"/>
      <c r="P8" s="28"/>
      <c r="Q8" s="28"/>
      <c r="R8" s="27"/>
    </row>
    <row r="9" spans="1:18" s="4" customFormat="1" ht="30" customHeight="1" x14ac:dyDescent="0.25">
      <c r="A9" s="47">
        <v>46097</v>
      </c>
      <c r="B9" s="48" t="s">
        <v>33</v>
      </c>
      <c r="C9" s="48" t="s">
        <v>34</v>
      </c>
      <c r="D9" s="48" t="s">
        <v>35</v>
      </c>
      <c r="E9" s="49">
        <v>9000</v>
      </c>
      <c r="F9" s="76">
        <v>6969</v>
      </c>
      <c r="G9" s="49">
        <v>0</v>
      </c>
      <c r="H9" s="50">
        <f>IFERROR(Table1[Re-process (Kg)]/Table1[Actual Production (Kg)], "")</f>
        <v>0</v>
      </c>
      <c r="I9" s="49">
        <f>IFERROR(Table1[[#This Row],[Actual Production (Kg)]]-Table1[[#This Row],[Re-process (Kg)]], "")</f>
        <v>6969</v>
      </c>
      <c r="J9" s="49">
        <v>22</v>
      </c>
      <c r="K9" s="72">
        <v>0</v>
      </c>
      <c r="L9" s="49">
        <f>IF(Table1[[#This Row],[Target Time (Hours)]]="","",Table1[[#This Row],[Target Time (Hours)]]-Table1[[#This Row],[Downtime (Hours)]])</f>
        <v>22</v>
      </c>
      <c r="M9" s="49">
        <f>IFERROR(Table1[[#This Row],[Capacity (Kg)]]/Table1[[#This Row],[Target Time (Hours)]] * Table1[[#This Row],[Downtime (Hours)]], "")</f>
        <v>0</v>
      </c>
      <c r="N9" s="50">
        <f>IFERROR(Table1[[#This Row],[Running Time (hr)]]/Table1[Target Time (Hours)], "")</f>
        <v>1</v>
      </c>
      <c r="O9" s="50">
        <f>IFERROR(Table1[[#This Row],[Actual Production (Kg)]]/Table1[Capacity (Kg)], "")</f>
        <v>0.77433333333333332</v>
      </c>
      <c r="P9" s="50">
        <f>IFERROR(Table1[[#This Row],[Quality Pass Production]]/Table1[[#This Row],[Actual Production (Kg)]], "")</f>
        <v>1</v>
      </c>
      <c r="Q9" s="50">
        <f>IFERROR(Table1[[#This Row],[Utilization %]]*Table1[[#This Row],[Efficiency %]]*Table1[[#This Row],[Quality %]], "")</f>
        <v>0.77433333333333332</v>
      </c>
      <c r="R9" s="48"/>
    </row>
    <row r="10" spans="1:18" s="4" customFormat="1" ht="30" customHeight="1" x14ac:dyDescent="0.25">
      <c r="A10" s="47">
        <v>46097</v>
      </c>
      <c r="B10" s="48" t="s">
        <v>33</v>
      </c>
      <c r="C10" s="48" t="s">
        <v>36</v>
      </c>
      <c r="D10" s="48" t="s">
        <v>37</v>
      </c>
      <c r="E10" s="49">
        <v>8000</v>
      </c>
      <c r="F10" s="76">
        <v>6556</v>
      </c>
      <c r="G10" s="49">
        <v>0</v>
      </c>
      <c r="H10" s="50">
        <f>IFERROR(Table1[Re-process (Kg)]/Table1[Actual Production (Kg)], "")</f>
        <v>0</v>
      </c>
      <c r="I10" s="49">
        <f>IFERROR(Table1[[#This Row],[Actual Production (Kg)]]-Table1[[#This Row],[Re-process (Kg)]], "")</f>
        <v>6556</v>
      </c>
      <c r="J10" s="49">
        <v>22</v>
      </c>
      <c r="K10" s="72">
        <v>1.1999999999999991</v>
      </c>
      <c r="L10" s="49">
        <f>IF(Table1[[#This Row],[Target Time (Hours)]]="","",Table1[[#This Row],[Target Time (Hours)]]-Table1[[#This Row],[Downtime (Hours)]])</f>
        <v>20.8</v>
      </c>
      <c r="M10" s="49">
        <f>IFERROR(Table1[[#This Row],[Capacity (Kg)]]/Table1[[#This Row],[Target Time (Hours)]] * Table1[[#This Row],[Downtime (Hours)]], "")</f>
        <v>436.36363636363603</v>
      </c>
      <c r="N10" s="50">
        <f>IFERROR(Table1[[#This Row],[Running Time (hr)]]/Table1[Target Time (Hours)], "")</f>
        <v>0.94545454545454544</v>
      </c>
      <c r="O10" s="50">
        <f>IFERROR(Table1[[#This Row],[Actual Production (Kg)]]/Table1[Capacity (Kg)], "")</f>
        <v>0.81950000000000001</v>
      </c>
      <c r="P10" s="50">
        <f>IFERROR(Table1[[#This Row],[Quality Pass Production]]/Table1[[#This Row],[Actual Production (Kg)]], "")</f>
        <v>1</v>
      </c>
      <c r="Q10" s="50">
        <f>IFERROR(Table1[[#This Row],[Utilization %]]*Table1[[#This Row],[Efficiency %]]*Table1[[#This Row],[Quality %]], "")</f>
        <v>0.77480000000000004</v>
      </c>
      <c r="R10" s="48" t="s">
        <v>38</v>
      </c>
    </row>
    <row r="11" spans="1:18" s="4" customFormat="1" ht="30" customHeight="1" x14ac:dyDescent="0.25">
      <c r="A11" s="47">
        <v>46097</v>
      </c>
      <c r="B11" s="48" t="s">
        <v>33</v>
      </c>
      <c r="C11" s="48" t="s">
        <v>39</v>
      </c>
      <c r="D11" s="48" t="s">
        <v>31</v>
      </c>
      <c r="E11" s="49">
        <v>6000</v>
      </c>
      <c r="F11" s="76">
        <v>3878</v>
      </c>
      <c r="G11" s="49">
        <v>0</v>
      </c>
      <c r="H11" s="50">
        <f>IFERROR(Table1[Re-process (Kg)]/Table1[Actual Production (Kg)], "")</f>
        <v>0</v>
      </c>
      <c r="I11" s="49">
        <f>IFERROR(Table1[[#This Row],[Actual Production (Kg)]]-Table1[[#This Row],[Re-process (Kg)]], "")</f>
        <v>3878</v>
      </c>
      <c r="J11" s="49">
        <v>22</v>
      </c>
      <c r="K11" s="72">
        <v>0</v>
      </c>
      <c r="L11" s="49">
        <f>IF(Table1[[#This Row],[Target Time (Hours)]]="","",Table1[[#This Row],[Target Time (Hours)]]-Table1[[#This Row],[Downtime (Hours)]])</f>
        <v>22</v>
      </c>
      <c r="M11" s="49">
        <f>IFERROR(Table1[[#This Row],[Capacity (Kg)]]/Table1[[#This Row],[Target Time (Hours)]] * Table1[[#This Row],[Downtime (Hours)]], "")</f>
        <v>0</v>
      </c>
      <c r="N11" s="50">
        <f>IFERROR(Table1[[#This Row],[Running Time (hr)]]/Table1[Target Time (Hours)], "")</f>
        <v>1</v>
      </c>
      <c r="O11" s="50">
        <f>IFERROR(Table1[[#This Row],[Actual Production (Kg)]]/Table1[Capacity (Kg)], "")</f>
        <v>0.64633333333333332</v>
      </c>
      <c r="P11" s="50">
        <f>IFERROR(Table1[[#This Row],[Quality Pass Production]]/Table1[[#This Row],[Actual Production (Kg)]], "")</f>
        <v>1</v>
      </c>
      <c r="Q11" s="50">
        <f>IFERROR(Table1[[#This Row],[Utilization %]]*Table1[[#This Row],[Efficiency %]]*Table1[[#This Row],[Quality %]], "")</f>
        <v>0.64633333333333332</v>
      </c>
      <c r="R11" s="48"/>
    </row>
    <row r="12" spans="1:18" s="4" customFormat="1" ht="45" customHeight="1" x14ac:dyDescent="0.25">
      <c r="A12" s="54">
        <v>46097</v>
      </c>
      <c r="B12" s="55" t="s">
        <v>33</v>
      </c>
      <c r="C12" s="55" t="s">
        <v>40</v>
      </c>
      <c r="D12" s="55" t="s">
        <v>31</v>
      </c>
      <c r="E12" s="56">
        <v>5000</v>
      </c>
      <c r="F12" s="56">
        <v>2233</v>
      </c>
      <c r="G12" s="56">
        <v>0</v>
      </c>
      <c r="H12" s="58">
        <f>IFERROR(Table1[Re-process (Kg)]/Table1[Actual Production (Kg)], "")</f>
        <v>0</v>
      </c>
      <c r="I12" s="56">
        <f>IFERROR(Table1[[#This Row],[Actual Production (Kg)]]-Table1[[#This Row],[Re-process (Kg)]], "")</f>
        <v>2233</v>
      </c>
      <c r="J12" s="56">
        <v>22</v>
      </c>
      <c r="K12" s="55">
        <v>0</v>
      </c>
      <c r="L12" s="56">
        <f>IF(Table1[[#This Row],[Target Time (Hours)]]="","",Table1[[#This Row],[Target Time (Hours)]]-Table1[[#This Row],[Downtime (Hours)]])</f>
        <v>22</v>
      </c>
      <c r="M12" s="56">
        <f>IFERROR(Table1[[#This Row],[Capacity (Kg)]]/Table1[[#This Row],[Target Time (Hours)]] * Table1[[#This Row],[Downtime (Hours)]], "")</f>
        <v>0</v>
      </c>
      <c r="N12" s="58">
        <f>IFERROR(Table1[[#This Row],[Running Time (hr)]]/Table1[Target Time (Hours)], "")</f>
        <v>1</v>
      </c>
      <c r="O12" s="58">
        <f>IFERROR(Table1[[#This Row],[Actual Production (Kg)]]/Table1[Capacity (Kg)], "")</f>
        <v>0.4466</v>
      </c>
      <c r="P12" s="58">
        <f>IFERROR(Table1[[#This Row],[Quality Pass Production]]/Table1[[#This Row],[Actual Production (Kg)]], "")</f>
        <v>1</v>
      </c>
      <c r="Q12" s="58">
        <f>IFERROR(Table1[[#This Row],[Utilization %]]*Table1[[#This Row],[Efficiency %]]*Table1[[#This Row],[Quality %]], "")</f>
        <v>0.4466</v>
      </c>
      <c r="R12" s="55"/>
    </row>
    <row r="13" spans="1:18" ht="30" customHeight="1" x14ac:dyDescent="0.25">
      <c r="A13" s="47">
        <v>46098</v>
      </c>
      <c r="B13" s="48" t="s">
        <v>18</v>
      </c>
      <c r="C13" s="48" t="s">
        <v>19</v>
      </c>
      <c r="D13" s="48" t="s">
        <v>20</v>
      </c>
      <c r="E13" s="49">
        <v>10000</v>
      </c>
      <c r="F13" s="76">
        <v>8613</v>
      </c>
      <c r="G13" s="49">
        <v>0</v>
      </c>
      <c r="H13" s="50">
        <f>IFERROR(Table1[Re-process (Kg)]/Table1[Actual Production (Kg)], "")</f>
        <v>0</v>
      </c>
      <c r="I13" s="49">
        <f>IFERROR(Table1[[#This Row],[Actual Production (Kg)]]-Table1[[#This Row],[Re-process (Kg)]], "")</f>
        <v>8613</v>
      </c>
      <c r="J13" s="49">
        <v>22</v>
      </c>
      <c r="K13" s="72">
        <v>0</v>
      </c>
      <c r="L13" s="49">
        <f>IF(Table1[[#This Row],[Target Time (Hours)]]="","",Table1[[#This Row],[Target Time (Hours)]]-Table1[[#This Row],[Downtime (Hours)]])</f>
        <v>22</v>
      </c>
      <c r="M13" s="49">
        <f>IFERROR(Table1[[#This Row],[Capacity (Kg)]]/Table1[[#This Row],[Target Time (Hours)]] * Table1[[#This Row],[Downtime (Hours)]], "")</f>
        <v>0</v>
      </c>
      <c r="N13" s="50">
        <f>IFERROR(Table1[[#This Row],[Running Time (hr)]]/Table1[Target Time (Hours)], "")</f>
        <v>1</v>
      </c>
      <c r="O13" s="50">
        <f>IFERROR(Table1[[#This Row],[Actual Production (Kg)]]/Table1[Capacity (Kg)], "")</f>
        <v>0.86129999999999995</v>
      </c>
      <c r="P13" s="50">
        <f>IFERROR(Table1[[#This Row],[Quality Pass Production]]/Table1[[#This Row],[Actual Production (Kg)]], "")</f>
        <v>1</v>
      </c>
      <c r="Q13" s="50">
        <f>IFERROR(Table1[[#This Row],[Utilization %]]*Table1[[#This Row],[Efficiency %]]*Table1[[#This Row],[Quality %]], "")</f>
        <v>0.86129999999999995</v>
      </c>
    </row>
    <row r="14" spans="1:18" x14ac:dyDescent="0.25">
      <c r="A14" s="47">
        <v>46098</v>
      </c>
      <c r="B14" s="48" t="s">
        <v>18</v>
      </c>
      <c r="C14" s="48" t="s">
        <v>22</v>
      </c>
      <c r="D14" s="48" t="s">
        <v>23</v>
      </c>
      <c r="E14" s="49">
        <v>5000</v>
      </c>
      <c r="F14" s="76">
        <v>3578</v>
      </c>
      <c r="G14" s="49">
        <v>0</v>
      </c>
      <c r="H14" s="50">
        <f>IFERROR(Table1[Re-process (Kg)]/Table1[Actual Production (Kg)], "")</f>
        <v>0</v>
      </c>
      <c r="I14" s="49">
        <f>IFERROR(Table1[[#This Row],[Actual Production (Kg)]]-Table1[[#This Row],[Re-process (Kg)]], "")</f>
        <v>3578</v>
      </c>
      <c r="J14" s="49">
        <v>22</v>
      </c>
      <c r="K14" s="72">
        <v>0</v>
      </c>
      <c r="L14" s="49">
        <f>IF(Table1[[#This Row],[Target Time (Hours)]]="","",Table1[[#This Row],[Target Time (Hours)]]-Table1[[#This Row],[Downtime (Hours)]])</f>
        <v>22</v>
      </c>
      <c r="M14" s="49">
        <f>IFERROR(Table1[[#This Row],[Capacity (Kg)]]/Table1[[#This Row],[Target Time (Hours)]] * Table1[[#This Row],[Downtime (Hours)]], "")</f>
        <v>0</v>
      </c>
      <c r="N14" s="50">
        <f>IFERROR(Table1[[#This Row],[Running Time (hr)]]/Table1[Target Time (Hours)], "")</f>
        <v>1</v>
      </c>
      <c r="O14" s="50">
        <f>IFERROR(Table1[[#This Row],[Actual Production (Kg)]]/Table1[Capacity (Kg)], "")</f>
        <v>0.71560000000000001</v>
      </c>
      <c r="P14" s="50">
        <f>IFERROR(Table1[[#This Row],[Quality Pass Production]]/Table1[[#This Row],[Actual Production (Kg)]], "")</f>
        <v>1</v>
      </c>
      <c r="Q14" s="50">
        <f>IFERROR(Table1[[#This Row],[Utilization %]]*Table1[[#This Row],[Efficiency %]]*Table1[[#This Row],[Quality %]], "")</f>
        <v>0.71560000000000001</v>
      </c>
    </row>
    <row r="15" spans="1:18" x14ac:dyDescent="0.25">
      <c r="A15" s="47">
        <v>46098</v>
      </c>
      <c r="B15" s="48" t="s">
        <v>18</v>
      </c>
      <c r="C15" s="48" t="s">
        <v>22</v>
      </c>
      <c r="D15" s="48" t="s">
        <v>25</v>
      </c>
      <c r="E15" s="49">
        <v>4000</v>
      </c>
      <c r="F15" s="76">
        <v>4324</v>
      </c>
      <c r="G15" s="49">
        <v>0</v>
      </c>
      <c r="H15" s="50">
        <f>IFERROR(Table1[Re-process (Kg)]/Table1[Actual Production (Kg)], "")</f>
        <v>0</v>
      </c>
      <c r="I15" s="49">
        <f>IFERROR(Table1[[#This Row],[Actual Production (Kg)]]-Table1[[#This Row],[Re-process (Kg)]], "")</f>
        <v>4324</v>
      </c>
      <c r="J15" s="49"/>
      <c r="K15" s="72">
        <v>0</v>
      </c>
      <c r="L15" s="49" t="str">
        <f>IF(Table1[[#This Row],[Target Time (Hours)]]="","",Table1[[#This Row],[Target Time (Hours)]]-Table1[[#This Row],[Downtime (Hours)]])</f>
        <v/>
      </c>
      <c r="M15" s="49" t="str">
        <f>IFERROR(Table1[[#This Row],[Capacity (Kg)]]/Table1[[#This Row],[Target Time (Hours)]] * Table1[[#This Row],[Downtime (Hours)]], "")</f>
        <v/>
      </c>
      <c r="N15" s="50" t="str">
        <f>IFERROR(Table1[[#This Row],[Running Time (hr)]]/Table1[Target Time (Hours)], "")</f>
        <v/>
      </c>
      <c r="O15" s="50">
        <f>IFERROR(Table1[[#This Row],[Actual Production (Kg)]]/Table1[Capacity (Kg)], "")</f>
        <v>1.081</v>
      </c>
      <c r="P15" s="50">
        <f>IFERROR(Table1[[#This Row],[Quality Pass Production]]/Table1[[#This Row],[Actual Production (Kg)]], "")</f>
        <v>1</v>
      </c>
      <c r="Q15" s="50" t="str">
        <f>IFERROR(Table1[[#This Row],[Utilization %]]*Table1[[#This Row],[Efficiency %]]*Table1[[#This Row],[Quality %]], "")</f>
        <v/>
      </c>
    </row>
    <row r="16" spans="1:18" ht="30" customHeight="1" x14ac:dyDescent="0.25">
      <c r="A16" s="47">
        <v>46098</v>
      </c>
      <c r="B16" s="48" t="s">
        <v>18</v>
      </c>
      <c r="C16" s="48" t="s">
        <v>26</v>
      </c>
      <c r="D16" s="48" t="s">
        <v>25</v>
      </c>
      <c r="E16" s="49">
        <v>7000</v>
      </c>
      <c r="F16" s="76">
        <v>6276</v>
      </c>
      <c r="G16" s="49">
        <v>0</v>
      </c>
      <c r="H16" s="50">
        <f>IFERROR(Table1[Re-process (Kg)]/Table1[Actual Production (Kg)], "")</f>
        <v>0</v>
      </c>
      <c r="I16" s="49">
        <f>IFERROR(Table1[[#This Row],[Actual Production (Kg)]]-Table1[[#This Row],[Re-process (Kg)]], "")</f>
        <v>6276</v>
      </c>
      <c r="J16" s="49">
        <v>22</v>
      </c>
      <c r="K16" s="72">
        <v>2</v>
      </c>
      <c r="L16" s="49">
        <f>IF(Table1[[#This Row],[Target Time (Hours)]]="","",Table1[[#This Row],[Target Time (Hours)]]-Table1[[#This Row],[Downtime (Hours)]])</f>
        <v>20</v>
      </c>
      <c r="M16" s="49">
        <f>IFERROR(Table1[[#This Row],[Capacity (Kg)]]/Table1[[#This Row],[Target Time (Hours)]] * Table1[[#This Row],[Downtime (Hours)]], "")</f>
        <v>636.36363636363637</v>
      </c>
      <c r="N16" s="50">
        <f>IFERROR(Table1[[#This Row],[Running Time (hr)]]/Table1[Target Time (Hours)], "")</f>
        <v>0.90909090909090906</v>
      </c>
      <c r="O16" s="50">
        <f>IFERROR(Table1[[#This Row],[Actual Production (Kg)]]/Table1[Capacity (Kg)], "")</f>
        <v>0.89657142857142857</v>
      </c>
      <c r="P16" s="50">
        <f>IFERROR(Table1[[#This Row],[Quality Pass Production]]/Table1[[#This Row],[Actual Production (Kg)]], "")</f>
        <v>1</v>
      </c>
      <c r="Q16" s="50">
        <f>IFERROR(Table1[[#This Row],[Utilization %]]*Table1[[#This Row],[Efficiency %]]*Table1[[#This Row],[Quality %]], "")</f>
        <v>0.81506493506493505</v>
      </c>
      <c r="R16" s="48" t="s">
        <v>41</v>
      </c>
    </row>
    <row r="17" spans="1:18" ht="30" customHeight="1" x14ac:dyDescent="0.25">
      <c r="A17" s="47">
        <v>46098</v>
      </c>
      <c r="B17" s="48" t="s">
        <v>18</v>
      </c>
      <c r="C17" s="48" t="s">
        <v>28</v>
      </c>
      <c r="D17" s="48" t="s">
        <v>29</v>
      </c>
      <c r="E17" s="49"/>
      <c r="F17" s="76"/>
      <c r="G17" s="49">
        <v>0</v>
      </c>
      <c r="H17" s="50" t="str">
        <f>IFERROR(Table1[Re-process (Kg)]/Table1[Actual Production (Kg)], "")</f>
        <v/>
      </c>
      <c r="I17" s="49">
        <f>IFERROR(Table1[[#This Row],[Actual Production (Kg)]]-Table1[[#This Row],[Re-process (Kg)]], "")</f>
        <v>0</v>
      </c>
      <c r="J17" s="49"/>
      <c r="K17" s="72">
        <v>0</v>
      </c>
      <c r="L17" s="49" t="str">
        <f>IF(Table1[[#This Row],[Target Time (Hours)]]="","",Table1[[#This Row],[Target Time (Hours)]]-Table1[[#This Row],[Downtime (Hours)]])</f>
        <v/>
      </c>
      <c r="M17" s="49" t="str">
        <f>IFERROR(Table1[[#This Row],[Capacity (Kg)]]/Table1[[#This Row],[Target Time (Hours)]] * Table1[[#This Row],[Downtime (Hours)]], "")</f>
        <v/>
      </c>
      <c r="N17" s="50" t="str">
        <f>IFERROR(Table1[[#This Row],[Running Time (hr)]]/Table1[Target Time (Hours)], "")</f>
        <v/>
      </c>
      <c r="O17" s="50" t="str">
        <f>IFERROR(Table1[[#This Row],[Actual Production (Kg)]]/Table1[Capacity (Kg)], "")</f>
        <v/>
      </c>
      <c r="P17" s="50" t="str">
        <f>IFERROR(Table1[[#This Row],[Quality Pass Production]]/Table1[[#This Row],[Actual Production (Kg)]], "")</f>
        <v/>
      </c>
      <c r="Q17" s="50" t="str">
        <f>IFERROR(Table1[[#This Row],[Utilization %]]*Table1[[#This Row],[Efficiency %]]*Table1[[#This Row],[Quality %]], "")</f>
        <v/>
      </c>
    </row>
    <row r="18" spans="1:18" ht="30" customHeight="1" x14ac:dyDescent="0.25">
      <c r="A18" s="47">
        <v>46098</v>
      </c>
      <c r="B18" s="48" t="s">
        <v>18</v>
      </c>
      <c r="C18" s="48" t="s">
        <v>30</v>
      </c>
      <c r="D18" s="48" t="s">
        <v>31</v>
      </c>
      <c r="E18" s="49">
        <v>9000</v>
      </c>
      <c r="F18" s="76">
        <v>8239</v>
      </c>
      <c r="G18" s="49">
        <v>0</v>
      </c>
      <c r="H18" s="50">
        <f>IFERROR(Table1[Re-process (Kg)]/Table1[Actual Production (Kg)], "")</f>
        <v>0</v>
      </c>
      <c r="I18" s="49">
        <f>IFERROR(Table1[[#This Row],[Actual Production (Kg)]]-Table1[[#This Row],[Re-process (Kg)]], "")</f>
        <v>8239</v>
      </c>
      <c r="J18" s="49">
        <v>22</v>
      </c>
      <c r="K18" s="72">
        <v>0</v>
      </c>
      <c r="L18" s="49">
        <f>IF(Table1[[#This Row],[Target Time (Hours)]]="","",Table1[[#This Row],[Target Time (Hours)]]-Table1[[#This Row],[Downtime (Hours)]])</f>
        <v>22</v>
      </c>
      <c r="M18" s="49">
        <f>IFERROR(Table1[[#This Row],[Capacity (Kg)]]/Table1[[#This Row],[Target Time (Hours)]] * Table1[[#This Row],[Downtime (Hours)]], "")</f>
        <v>0</v>
      </c>
      <c r="N18" s="50">
        <f>IFERROR(Table1[[#This Row],[Running Time (hr)]]/Table1[Target Time (Hours)], "")</f>
        <v>1</v>
      </c>
      <c r="O18" s="50">
        <f>IFERROR(Table1[[#This Row],[Actual Production (Kg)]]/Table1[Capacity (Kg)], "")</f>
        <v>0.91544444444444439</v>
      </c>
      <c r="P18" s="50">
        <f>IFERROR(Table1[[#This Row],[Quality Pass Production]]/Table1[[#This Row],[Actual Production (Kg)]], "")</f>
        <v>1</v>
      </c>
      <c r="Q18" s="50">
        <f>IFERROR(Table1[[#This Row],[Utilization %]]*Table1[[#This Row],[Efficiency %]]*Table1[[#This Row],[Quality %]], "")</f>
        <v>0.91544444444444439</v>
      </c>
    </row>
    <row r="19" spans="1:18" ht="30" customHeight="1" x14ac:dyDescent="0.25">
      <c r="A19" s="26">
        <v>46098</v>
      </c>
      <c r="B19" s="27" t="s">
        <v>18</v>
      </c>
      <c r="C19" s="27" t="s">
        <v>32</v>
      </c>
      <c r="D19" s="27" t="s">
        <v>31</v>
      </c>
      <c r="E19" s="79">
        <f>Table1[[#This Row],[Actual Production (Kg)]]</f>
        <v>1976</v>
      </c>
      <c r="F19" s="79">
        <v>1976</v>
      </c>
      <c r="G19" s="79"/>
      <c r="H19" s="28"/>
      <c r="I19" s="79"/>
      <c r="J19" s="79"/>
      <c r="K19" s="27"/>
      <c r="L19" s="53" t="str">
        <f>IF(Table1[[#This Row],[Target Time (Hours)]]="","",Table1[[#This Row],[Target Time (Hours)]]-Table1[[#This Row],[Downtime (Hours)]])</f>
        <v/>
      </c>
      <c r="M19" s="79"/>
      <c r="N19" s="28"/>
      <c r="O19" s="28"/>
      <c r="P19" s="28"/>
      <c r="Q19" s="28"/>
      <c r="R19" s="27"/>
    </row>
    <row r="20" spans="1:18" ht="30" customHeight="1" x14ac:dyDescent="0.25">
      <c r="A20" s="47">
        <v>46098</v>
      </c>
      <c r="B20" s="48" t="s">
        <v>33</v>
      </c>
      <c r="C20" s="48" t="s">
        <v>34</v>
      </c>
      <c r="D20" s="48" t="s">
        <v>35</v>
      </c>
      <c r="E20" s="49">
        <v>9000</v>
      </c>
      <c r="F20" s="76">
        <v>6765</v>
      </c>
      <c r="G20" s="49">
        <v>0</v>
      </c>
      <c r="H20" s="50">
        <f>IFERROR(Table1[Re-process (Kg)]/Table1[Actual Production (Kg)], "")</f>
        <v>0</v>
      </c>
      <c r="I20" s="49">
        <f>IFERROR(Table1[[#This Row],[Actual Production (Kg)]]-Table1[[#This Row],[Re-process (Kg)]], "")</f>
        <v>6765</v>
      </c>
      <c r="J20" s="49">
        <v>22</v>
      </c>
      <c r="K20" s="72">
        <v>0</v>
      </c>
      <c r="L20" s="49">
        <f>IF(Table1[[#This Row],[Target Time (Hours)]]="","",Table1[[#This Row],[Target Time (Hours)]]-Table1[[#This Row],[Downtime (Hours)]])</f>
        <v>22</v>
      </c>
      <c r="M20" s="49">
        <f>IFERROR(Table1[[#This Row],[Capacity (Kg)]]/Table1[[#This Row],[Target Time (Hours)]] * Table1[[#This Row],[Downtime (Hours)]], "")</f>
        <v>0</v>
      </c>
      <c r="N20" s="50">
        <f>IFERROR(Table1[[#This Row],[Running Time (hr)]]/Table1[Target Time (Hours)], "")</f>
        <v>1</v>
      </c>
      <c r="O20" s="50">
        <f>IFERROR(Table1[[#This Row],[Actual Production (Kg)]]/Table1[Capacity (Kg)], "")</f>
        <v>0.75166666666666671</v>
      </c>
      <c r="P20" s="50">
        <f>IFERROR(Table1[[#This Row],[Quality Pass Production]]/Table1[[#This Row],[Actual Production (Kg)]], "")</f>
        <v>1</v>
      </c>
      <c r="Q20" s="50">
        <f>IFERROR(Table1[[#This Row],[Utilization %]]*Table1[[#This Row],[Efficiency %]]*Table1[[#This Row],[Quality %]], "")</f>
        <v>0.75166666666666671</v>
      </c>
      <c r="R20" s="48" t="s">
        <v>42</v>
      </c>
    </row>
    <row r="21" spans="1:18" ht="30" customHeight="1" x14ac:dyDescent="0.25">
      <c r="A21" s="47">
        <v>46098</v>
      </c>
      <c r="B21" s="48" t="s">
        <v>33</v>
      </c>
      <c r="C21" s="48" t="s">
        <v>36</v>
      </c>
      <c r="D21" s="48" t="s">
        <v>37</v>
      </c>
      <c r="E21" s="49">
        <v>8000</v>
      </c>
      <c r="F21" s="76">
        <v>5700</v>
      </c>
      <c r="G21" s="49">
        <v>0</v>
      </c>
      <c r="H21" s="50">
        <f>IFERROR(Table1[Re-process (Kg)]/Table1[Actual Production (Kg)], "")</f>
        <v>0</v>
      </c>
      <c r="I21" s="49">
        <f>IFERROR(Table1[[#This Row],[Actual Production (Kg)]]-Table1[[#This Row],[Re-process (Kg)]], "")</f>
        <v>5700</v>
      </c>
      <c r="J21" s="49">
        <v>22</v>
      </c>
      <c r="K21" s="72">
        <v>1.1999999999999991</v>
      </c>
      <c r="L21" s="49">
        <f>IF(Table1[[#This Row],[Target Time (Hours)]]="","",Table1[[#This Row],[Target Time (Hours)]]-Table1[[#This Row],[Downtime (Hours)]])</f>
        <v>20.8</v>
      </c>
      <c r="M21" s="49">
        <f>IFERROR(Table1[[#This Row],[Capacity (Kg)]]/Table1[[#This Row],[Target Time (Hours)]] * Table1[[#This Row],[Downtime (Hours)]], "")</f>
        <v>436.36363636363603</v>
      </c>
      <c r="N21" s="50">
        <f>IFERROR(Table1[[#This Row],[Running Time (hr)]]/Table1[Target Time (Hours)], "")</f>
        <v>0.94545454545454544</v>
      </c>
      <c r="O21" s="50">
        <f>IFERROR(Table1[[#This Row],[Actual Production (Kg)]]/Table1[Capacity (Kg)], "")</f>
        <v>0.71250000000000002</v>
      </c>
      <c r="P21" s="50">
        <f>IFERROR(Table1[[#This Row],[Quality Pass Production]]/Table1[[#This Row],[Actual Production (Kg)]], "")</f>
        <v>1</v>
      </c>
      <c r="Q21" s="50">
        <f>IFERROR(Table1[[#This Row],[Utilization %]]*Table1[[#This Row],[Efficiency %]]*Table1[[#This Row],[Quality %]], "")</f>
        <v>0.6736363636363637</v>
      </c>
      <c r="R21" s="48" t="s">
        <v>43</v>
      </c>
    </row>
    <row r="22" spans="1:18" ht="30" customHeight="1" x14ac:dyDescent="0.25">
      <c r="A22" s="47">
        <v>46098</v>
      </c>
      <c r="B22" s="48" t="s">
        <v>33</v>
      </c>
      <c r="C22" s="48" t="s">
        <v>39</v>
      </c>
      <c r="D22" s="48" t="s">
        <v>31</v>
      </c>
      <c r="E22" s="49">
        <v>6000</v>
      </c>
      <c r="F22" s="76">
        <v>3476</v>
      </c>
      <c r="G22" s="49">
        <v>0</v>
      </c>
      <c r="H22" s="50">
        <f>IFERROR(Table1[Re-process (Kg)]/Table1[Actual Production (Kg)], "")</f>
        <v>0</v>
      </c>
      <c r="I22" s="49">
        <f>IFERROR(Table1[[#This Row],[Actual Production (Kg)]]-Table1[[#This Row],[Re-process (Kg)]], "")</f>
        <v>3476</v>
      </c>
      <c r="J22" s="49">
        <v>22</v>
      </c>
      <c r="K22" s="72">
        <v>11</v>
      </c>
      <c r="L22" s="49">
        <f>IF(Table1[[#This Row],[Target Time (Hours)]]="","",Table1[[#This Row],[Target Time (Hours)]]-Table1[[#This Row],[Downtime (Hours)]])</f>
        <v>11</v>
      </c>
      <c r="M22" s="49">
        <f>IFERROR(Table1[[#This Row],[Capacity (Kg)]]/Table1[[#This Row],[Target Time (Hours)]] * Table1[[#This Row],[Downtime (Hours)]], "")</f>
        <v>3000</v>
      </c>
      <c r="N22" s="50">
        <f>IFERROR(Table1[[#This Row],[Running Time (hr)]]/Table1[Target Time (Hours)], "")</f>
        <v>0.5</v>
      </c>
      <c r="O22" s="50">
        <f>IFERROR(Table1[[#This Row],[Actual Production (Kg)]]/Table1[Capacity (Kg)], "")</f>
        <v>0.57933333333333337</v>
      </c>
      <c r="P22" s="50">
        <f>IFERROR(Table1[[#This Row],[Quality Pass Production]]/Table1[[#This Row],[Actual Production (Kg)]], "")</f>
        <v>1</v>
      </c>
      <c r="Q22" s="50">
        <f>IFERROR(Table1[[#This Row],[Utilization %]]*Table1[[#This Row],[Efficiency %]]*Table1[[#This Row],[Quality %]], "")</f>
        <v>0.28966666666666668</v>
      </c>
      <c r="R22" s="48" t="s">
        <v>42</v>
      </c>
    </row>
    <row r="23" spans="1:18" ht="45" customHeight="1" x14ac:dyDescent="0.25">
      <c r="A23" s="54">
        <v>46098</v>
      </c>
      <c r="B23" s="55" t="s">
        <v>33</v>
      </c>
      <c r="C23" s="55" t="s">
        <v>40</v>
      </c>
      <c r="D23" s="55" t="s">
        <v>31</v>
      </c>
      <c r="E23" s="56">
        <v>5000</v>
      </c>
      <c r="F23" s="56">
        <v>2690</v>
      </c>
      <c r="G23" s="56">
        <v>0</v>
      </c>
      <c r="H23" s="58">
        <f>IFERROR(Table1[Re-process (Kg)]/Table1[Actual Production (Kg)], "")</f>
        <v>0</v>
      </c>
      <c r="I23" s="56">
        <f>IFERROR(Table1[[#This Row],[Actual Production (Kg)]]-Table1[[#This Row],[Re-process (Kg)]], "")</f>
        <v>2690</v>
      </c>
      <c r="J23" s="56">
        <v>22</v>
      </c>
      <c r="K23" s="55">
        <v>0</v>
      </c>
      <c r="L23" s="56">
        <f>IF(Table1[[#This Row],[Target Time (Hours)]]="","",Table1[[#This Row],[Target Time (Hours)]]-Table1[[#This Row],[Downtime (Hours)]])</f>
        <v>22</v>
      </c>
      <c r="M23" s="56">
        <f>IFERROR(Table1[[#This Row],[Capacity (Kg)]]/Table1[[#This Row],[Target Time (Hours)]] * Table1[[#This Row],[Downtime (Hours)]], "")</f>
        <v>0</v>
      </c>
      <c r="N23" s="58">
        <f>IFERROR(Table1[[#This Row],[Running Time (hr)]]/Table1[Target Time (Hours)], "")</f>
        <v>1</v>
      </c>
      <c r="O23" s="58">
        <f>IFERROR(Table1[[#This Row],[Actual Production (Kg)]]/Table1[Capacity (Kg)], "")</f>
        <v>0.53800000000000003</v>
      </c>
      <c r="P23" s="58">
        <f>IFERROR(Table1[[#This Row],[Quality Pass Production]]/Table1[[#This Row],[Actual Production (Kg)]], "")</f>
        <v>1</v>
      </c>
      <c r="Q23" s="58">
        <f>IFERROR(Table1[[#This Row],[Utilization %]]*Table1[[#This Row],[Efficiency %]]*Table1[[#This Row],[Quality %]], "")</f>
        <v>0.53800000000000003</v>
      </c>
      <c r="R23" s="55" t="s">
        <v>44</v>
      </c>
    </row>
    <row r="24" spans="1:18" ht="30" customHeight="1" x14ac:dyDescent="0.25">
      <c r="A24" s="47">
        <v>46099</v>
      </c>
      <c r="B24" s="48" t="s">
        <v>18</v>
      </c>
      <c r="C24" s="48" t="s">
        <v>19</v>
      </c>
      <c r="D24" s="48" t="s">
        <v>20</v>
      </c>
      <c r="E24" s="49">
        <v>10000</v>
      </c>
      <c r="F24" s="76">
        <v>5741</v>
      </c>
      <c r="G24" s="49">
        <v>0</v>
      </c>
      <c r="H24" s="50">
        <f>IFERROR(Table1[Re-process (Kg)]/Table1[Actual Production (Kg)], "")</f>
        <v>0</v>
      </c>
      <c r="I24" s="49">
        <f>IFERROR(Table1[[#This Row],[Actual Production (Kg)]]-Table1[[#This Row],[Re-process (Kg)]], "")</f>
        <v>5741</v>
      </c>
      <c r="J24" s="49">
        <v>22</v>
      </c>
      <c r="K24" s="72">
        <v>0</v>
      </c>
      <c r="L24" s="49">
        <f>IF(Table1[[#This Row],[Target Time (Hours)]]="","",Table1[[#This Row],[Target Time (Hours)]]-Table1[[#This Row],[Downtime (Hours)]])</f>
        <v>22</v>
      </c>
      <c r="M24" s="49">
        <f>IFERROR(Table1[[#This Row],[Capacity (Kg)]]/Table1[[#This Row],[Target Time (Hours)]] * Table1[[#This Row],[Downtime (Hours)]], "")</f>
        <v>0</v>
      </c>
      <c r="N24" s="50">
        <f>IFERROR(Table1[[#This Row],[Running Time (hr)]]/Table1[Target Time (Hours)], "")</f>
        <v>1</v>
      </c>
      <c r="O24" s="50">
        <f>IFERROR(Table1[[#This Row],[Actual Production (Kg)]]/Table1[Capacity (Kg)], "")</f>
        <v>0.57410000000000005</v>
      </c>
      <c r="P24" s="50">
        <f>IFERROR(Table1[[#This Row],[Quality Pass Production]]/Table1[[#This Row],[Actual Production (Kg)]], "")</f>
        <v>1</v>
      </c>
      <c r="Q24" s="50">
        <f>IFERROR(Table1[[#This Row],[Utilization %]]*Table1[[#This Row],[Efficiency %]]*Table1[[#This Row],[Quality %]], "")</f>
        <v>0.57410000000000005</v>
      </c>
    </row>
    <row r="25" spans="1:18" ht="30" customHeight="1" x14ac:dyDescent="0.25">
      <c r="A25" s="47">
        <v>46099</v>
      </c>
      <c r="B25" s="48" t="s">
        <v>18</v>
      </c>
      <c r="C25" s="48" t="s">
        <v>22</v>
      </c>
      <c r="D25" s="48" t="s">
        <v>23</v>
      </c>
      <c r="E25" s="49">
        <v>5000</v>
      </c>
      <c r="F25" s="76">
        <v>0</v>
      </c>
      <c r="G25" s="49">
        <v>0</v>
      </c>
      <c r="H25" s="50" t="str">
        <f>IFERROR(Table1[Re-process (Kg)]/Table1[Actual Production (Kg)], "")</f>
        <v/>
      </c>
      <c r="I25" s="49">
        <f>IFERROR(Table1[[#This Row],[Actual Production (Kg)]]-Table1[[#This Row],[Re-process (Kg)]], "")</f>
        <v>0</v>
      </c>
      <c r="J25" s="49">
        <v>22</v>
      </c>
      <c r="K25" s="72">
        <v>1</v>
      </c>
      <c r="L25" s="49">
        <f>IF(Table1[[#This Row],[Target Time (Hours)]]="","",Table1[[#This Row],[Target Time (Hours)]]-Table1[[#This Row],[Downtime (Hours)]])</f>
        <v>21</v>
      </c>
      <c r="M25" s="49">
        <f>IFERROR(Table1[[#This Row],[Capacity (Kg)]]/Table1[[#This Row],[Target Time (Hours)]] * Table1[[#This Row],[Downtime (Hours)]], "")</f>
        <v>227.27272727272728</v>
      </c>
      <c r="N25" s="50">
        <f>IFERROR(Table1[[#This Row],[Running Time (hr)]]/Table1[Target Time (Hours)], "")</f>
        <v>0.95454545454545459</v>
      </c>
      <c r="O25" s="50">
        <f>IFERROR(Table1[[#This Row],[Actual Production (Kg)]]/Table1[Capacity (Kg)], "")</f>
        <v>0</v>
      </c>
      <c r="P25" s="50" t="str">
        <f>IFERROR(Table1[[#This Row],[Quality Pass Production]]/Table1[[#This Row],[Actual Production (Kg)]], "")</f>
        <v/>
      </c>
      <c r="Q25" s="50" t="str">
        <f>IFERROR(Table1[[#This Row],[Utilization %]]*Table1[[#This Row],[Efficiency %]]*Table1[[#This Row],[Quality %]], "")</f>
        <v/>
      </c>
      <c r="R25" s="48" t="s">
        <v>45</v>
      </c>
    </row>
    <row r="26" spans="1:18" x14ac:dyDescent="0.25">
      <c r="A26" s="47">
        <v>46099</v>
      </c>
      <c r="B26" s="48" t="s">
        <v>18</v>
      </c>
      <c r="C26" s="48" t="s">
        <v>22</v>
      </c>
      <c r="D26" s="48" t="s">
        <v>25</v>
      </c>
      <c r="E26" s="49">
        <v>4000</v>
      </c>
      <c r="F26" s="76">
        <v>6400</v>
      </c>
      <c r="G26" s="49">
        <v>0</v>
      </c>
      <c r="H26" s="50">
        <f>IFERROR(Table1[Re-process (Kg)]/Table1[Actual Production (Kg)], "")</f>
        <v>0</v>
      </c>
      <c r="I26" s="49">
        <f>IFERROR(Table1[[#This Row],[Actual Production (Kg)]]-Table1[[#This Row],[Re-process (Kg)]], "")</f>
        <v>6400</v>
      </c>
      <c r="J26" s="49"/>
      <c r="K26" s="72">
        <v>0</v>
      </c>
      <c r="L26" s="49" t="str">
        <f>IF(Table1[[#This Row],[Target Time (Hours)]]="","",Table1[[#This Row],[Target Time (Hours)]]-Table1[[#This Row],[Downtime (Hours)]])</f>
        <v/>
      </c>
      <c r="M26" s="49" t="str">
        <f>IFERROR(Table1[[#This Row],[Capacity (Kg)]]/Table1[[#This Row],[Target Time (Hours)]] * Table1[[#This Row],[Downtime (Hours)]], "")</f>
        <v/>
      </c>
      <c r="N26" s="50" t="str">
        <f>IFERROR(Table1[[#This Row],[Running Time (hr)]]/Table1[Target Time (Hours)], "")</f>
        <v/>
      </c>
      <c r="O26" s="50">
        <f>IFERROR(Table1[[#This Row],[Actual Production (Kg)]]/Table1[Capacity (Kg)], "")</f>
        <v>1.6</v>
      </c>
      <c r="P26" s="50">
        <f>IFERROR(Table1[[#This Row],[Quality Pass Production]]/Table1[[#This Row],[Actual Production (Kg)]], "")</f>
        <v>1</v>
      </c>
      <c r="Q26" s="50" t="str">
        <f>IFERROR(Table1[[#This Row],[Utilization %]]*Table1[[#This Row],[Efficiency %]]*Table1[[#This Row],[Quality %]], "")</f>
        <v/>
      </c>
    </row>
    <row r="27" spans="1:18" x14ac:dyDescent="0.25">
      <c r="A27" s="47">
        <v>46099</v>
      </c>
      <c r="B27" s="48" t="s">
        <v>18</v>
      </c>
      <c r="C27" s="48" t="s">
        <v>26</v>
      </c>
      <c r="D27" s="48" t="s">
        <v>25</v>
      </c>
      <c r="E27" s="49">
        <v>7000</v>
      </c>
      <c r="F27" s="76">
        <v>5539</v>
      </c>
      <c r="G27" s="49">
        <v>0</v>
      </c>
      <c r="H27" s="50">
        <f>IFERROR(Table1[Re-process (Kg)]/Table1[Actual Production (Kg)], "")</f>
        <v>0</v>
      </c>
      <c r="I27" s="49">
        <f>IFERROR(Table1[[#This Row],[Actual Production (Kg)]]-Table1[[#This Row],[Re-process (Kg)]], "")</f>
        <v>5539</v>
      </c>
      <c r="J27" s="49">
        <v>22</v>
      </c>
      <c r="K27" s="72">
        <v>2</v>
      </c>
      <c r="L27" s="49">
        <f>IF(Table1[[#This Row],[Target Time (Hours)]]="","",Table1[[#This Row],[Target Time (Hours)]]-Table1[[#This Row],[Downtime (Hours)]])</f>
        <v>20</v>
      </c>
      <c r="M27" s="49">
        <f>IFERROR(Table1[[#This Row],[Capacity (Kg)]]/Table1[[#This Row],[Target Time (Hours)]] * Table1[[#This Row],[Downtime (Hours)]], "")</f>
        <v>636.36363636363637</v>
      </c>
      <c r="N27" s="50">
        <f>IFERROR(Table1[[#This Row],[Running Time (hr)]]/Table1[Target Time (Hours)], "")</f>
        <v>0.90909090909090906</v>
      </c>
      <c r="O27" s="50">
        <f>IFERROR(Table1[[#This Row],[Actual Production (Kg)]]/Table1[Capacity (Kg)], "")</f>
        <v>0.79128571428571426</v>
      </c>
      <c r="P27" s="50">
        <f>IFERROR(Table1[[#This Row],[Quality Pass Production]]/Table1[[#This Row],[Actual Production (Kg)]], "")</f>
        <v>1</v>
      </c>
      <c r="Q27" s="50">
        <f>IFERROR(Table1[[#This Row],[Utilization %]]*Table1[[#This Row],[Efficiency %]]*Table1[[#This Row],[Quality %]], "")</f>
        <v>0.7193506493506493</v>
      </c>
    </row>
    <row r="28" spans="1:18" ht="30" customHeight="1" x14ac:dyDescent="0.25">
      <c r="A28" s="47">
        <v>46099</v>
      </c>
      <c r="B28" s="48" t="s">
        <v>18</v>
      </c>
      <c r="C28" s="48" t="s">
        <v>28</v>
      </c>
      <c r="D28" s="48" t="s">
        <v>29</v>
      </c>
      <c r="E28" s="49"/>
      <c r="F28" s="76"/>
      <c r="G28" s="49">
        <v>0</v>
      </c>
      <c r="H28" s="50" t="str">
        <f>IFERROR(Table1[Re-process (Kg)]/Table1[Actual Production (Kg)], "")</f>
        <v/>
      </c>
      <c r="I28" s="49">
        <f>IFERROR(Table1[[#This Row],[Actual Production (Kg)]]-Table1[[#This Row],[Re-process (Kg)]], "")</f>
        <v>0</v>
      </c>
      <c r="J28" s="49"/>
      <c r="K28" s="72">
        <v>0</v>
      </c>
      <c r="L28" s="49" t="str">
        <f>IF(Table1[[#This Row],[Target Time (Hours)]]="","",Table1[[#This Row],[Target Time (Hours)]]-Table1[[#This Row],[Downtime (Hours)]])</f>
        <v/>
      </c>
      <c r="M28" s="49" t="str">
        <f>IFERROR(Table1[[#This Row],[Capacity (Kg)]]/Table1[[#This Row],[Target Time (Hours)]] * Table1[[#This Row],[Downtime (Hours)]], "")</f>
        <v/>
      </c>
      <c r="N28" s="50" t="str">
        <f>IFERROR(Table1[[#This Row],[Running Time (hr)]]/Table1[Target Time (Hours)], "")</f>
        <v/>
      </c>
      <c r="O28" s="50" t="str">
        <f>IFERROR(Table1[[#This Row],[Actual Production (Kg)]]/Table1[Capacity (Kg)], "")</f>
        <v/>
      </c>
      <c r="P28" s="50" t="str">
        <f>IFERROR(Table1[[#This Row],[Quality Pass Production]]/Table1[[#This Row],[Actual Production (Kg)]], "")</f>
        <v/>
      </c>
      <c r="Q28" s="50" t="str">
        <f>IFERROR(Table1[[#This Row],[Utilization %]]*Table1[[#This Row],[Efficiency %]]*Table1[[#This Row],[Quality %]], "")</f>
        <v/>
      </c>
    </row>
    <row r="29" spans="1:18" ht="30" customHeight="1" x14ac:dyDescent="0.25">
      <c r="A29" s="47">
        <v>46099</v>
      </c>
      <c r="B29" s="48" t="s">
        <v>18</v>
      </c>
      <c r="C29" s="48" t="s">
        <v>30</v>
      </c>
      <c r="D29" s="48" t="s">
        <v>31</v>
      </c>
      <c r="E29" s="49">
        <v>9000</v>
      </c>
      <c r="F29" s="76">
        <v>6974</v>
      </c>
      <c r="G29" s="49">
        <v>0</v>
      </c>
      <c r="H29" s="50">
        <f>IFERROR(Table1[Re-process (Kg)]/Table1[Actual Production (Kg)], "")</f>
        <v>0</v>
      </c>
      <c r="I29" s="49">
        <f>IFERROR(Table1[[#This Row],[Actual Production (Kg)]]-Table1[[#This Row],[Re-process (Kg)]], "")</f>
        <v>6974</v>
      </c>
      <c r="J29" s="49">
        <v>22</v>
      </c>
      <c r="K29" s="72">
        <v>0</v>
      </c>
      <c r="L29" s="49">
        <f>IF(Table1[[#This Row],[Target Time (Hours)]]="","",Table1[[#This Row],[Target Time (Hours)]]-Table1[[#This Row],[Downtime (Hours)]])</f>
        <v>22</v>
      </c>
      <c r="M29" s="49">
        <f>IFERROR(Table1[[#This Row],[Capacity (Kg)]]/Table1[[#This Row],[Target Time (Hours)]] * Table1[[#This Row],[Downtime (Hours)]], "")</f>
        <v>0</v>
      </c>
      <c r="N29" s="50">
        <f>IFERROR(Table1[[#This Row],[Running Time (hr)]]/Table1[Target Time (Hours)], "")</f>
        <v>1</v>
      </c>
      <c r="O29" s="50">
        <f>IFERROR(Table1[[#This Row],[Actual Production (Kg)]]/Table1[Capacity (Kg)], "")</f>
        <v>0.77488888888888885</v>
      </c>
      <c r="P29" s="50">
        <f>IFERROR(Table1[[#This Row],[Quality Pass Production]]/Table1[[#This Row],[Actual Production (Kg)]], "")</f>
        <v>1</v>
      </c>
      <c r="Q29" s="50">
        <f>IFERROR(Table1[[#This Row],[Utilization %]]*Table1[[#This Row],[Efficiency %]]*Table1[[#This Row],[Quality %]], "")</f>
        <v>0.77488888888888885</v>
      </c>
    </row>
    <row r="30" spans="1:18" ht="30" customHeight="1" x14ac:dyDescent="0.25">
      <c r="A30" s="26">
        <v>46099</v>
      </c>
      <c r="B30" s="27" t="s">
        <v>18</v>
      </c>
      <c r="C30" s="27" t="s">
        <v>32</v>
      </c>
      <c r="D30" s="27" t="s">
        <v>31</v>
      </c>
      <c r="E30" s="79">
        <f>Table1[[#This Row],[Actual Production (Kg)]]</f>
        <v>2144</v>
      </c>
      <c r="F30" s="79">
        <v>2144</v>
      </c>
      <c r="G30" s="79"/>
      <c r="H30" s="28"/>
      <c r="I30" s="79"/>
      <c r="J30" s="79"/>
      <c r="K30" s="27"/>
      <c r="L30" s="53" t="str">
        <f>IF(Table1[[#This Row],[Target Time (Hours)]]="","",Table1[[#This Row],[Target Time (Hours)]]-Table1[[#This Row],[Downtime (Hours)]])</f>
        <v/>
      </c>
      <c r="M30" s="79"/>
      <c r="N30" s="28"/>
      <c r="O30" s="28"/>
      <c r="P30" s="28"/>
      <c r="Q30" s="28"/>
      <c r="R30" s="27"/>
    </row>
    <row r="31" spans="1:18" ht="30" customHeight="1" x14ac:dyDescent="0.25">
      <c r="A31" s="47">
        <v>46099</v>
      </c>
      <c r="B31" s="48" t="s">
        <v>33</v>
      </c>
      <c r="C31" s="48" t="s">
        <v>34</v>
      </c>
      <c r="D31" s="48" t="s">
        <v>35</v>
      </c>
      <c r="E31" s="49">
        <v>9000</v>
      </c>
      <c r="F31" s="76">
        <v>3114</v>
      </c>
      <c r="G31" s="49">
        <v>0</v>
      </c>
      <c r="H31" s="50">
        <f>IFERROR(Table1[Re-process (Kg)]/Table1[Actual Production (Kg)], "")</f>
        <v>0</v>
      </c>
      <c r="I31" s="49">
        <f>IFERROR(Table1[[#This Row],[Actual Production (Kg)]]-Table1[[#This Row],[Re-process (Kg)]], "")</f>
        <v>3114</v>
      </c>
      <c r="J31" s="49">
        <v>22</v>
      </c>
      <c r="K31" s="72">
        <v>0</v>
      </c>
      <c r="L31" s="49">
        <f>IF(Table1[[#This Row],[Target Time (Hours)]]="","",Table1[[#This Row],[Target Time (Hours)]]-Table1[[#This Row],[Downtime (Hours)]])</f>
        <v>22</v>
      </c>
      <c r="M31" s="49">
        <f>IFERROR(Table1[[#This Row],[Capacity (Kg)]]/Table1[[#This Row],[Target Time (Hours)]] * Table1[[#This Row],[Downtime (Hours)]], "")</f>
        <v>0</v>
      </c>
      <c r="N31" s="50">
        <f>IFERROR(Table1[[#This Row],[Running Time (hr)]]/Table1[Target Time (Hours)], "")</f>
        <v>1</v>
      </c>
      <c r="O31" s="50">
        <f>IFERROR(Table1[[#This Row],[Actual Production (Kg)]]/Table1[Capacity (Kg)], "")</f>
        <v>0.34599999999999997</v>
      </c>
      <c r="P31" s="50">
        <f>IFERROR(Table1[[#This Row],[Quality Pass Production]]/Table1[[#This Row],[Actual Production (Kg)]], "")</f>
        <v>1</v>
      </c>
      <c r="Q31" s="50">
        <f>IFERROR(Table1[[#This Row],[Utilization %]]*Table1[[#This Row],[Efficiency %]]*Table1[[#This Row],[Quality %]], "")</f>
        <v>0.34599999999999997</v>
      </c>
      <c r="R31" s="48" t="s">
        <v>42</v>
      </c>
    </row>
    <row r="32" spans="1:18" x14ac:dyDescent="0.25">
      <c r="A32" s="47">
        <v>46099</v>
      </c>
      <c r="B32" s="48" t="s">
        <v>33</v>
      </c>
      <c r="C32" s="48" t="s">
        <v>36</v>
      </c>
      <c r="D32" s="48" t="s">
        <v>37</v>
      </c>
      <c r="E32" s="49">
        <v>8000</v>
      </c>
      <c r="F32" s="76">
        <v>3612</v>
      </c>
      <c r="G32" s="49">
        <v>0</v>
      </c>
      <c r="H32" s="50">
        <f>IFERROR(Table1[Re-process (Kg)]/Table1[Actual Production (Kg)], "")</f>
        <v>0</v>
      </c>
      <c r="I32" s="49">
        <f>IFERROR(Table1[[#This Row],[Actual Production (Kg)]]-Table1[[#This Row],[Re-process (Kg)]], "")</f>
        <v>3612</v>
      </c>
      <c r="J32" s="49">
        <v>22</v>
      </c>
      <c r="K32" s="72">
        <v>1.1999999999999991</v>
      </c>
      <c r="L32" s="49">
        <f>IF(Table1[[#This Row],[Target Time (Hours)]]="","",Table1[[#This Row],[Target Time (Hours)]]-Table1[[#This Row],[Downtime (Hours)]])</f>
        <v>20.8</v>
      </c>
      <c r="M32" s="49">
        <f>IFERROR(Table1[[#This Row],[Capacity (Kg)]]/Table1[[#This Row],[Target Time (Hours)]] * Table1[[#This Row],[Downtime (Hours)]], "")</f>
        <v>436.36363636363603</v>
      </c>
      <c r="N32" s="50">
        <f>IFERROR(Table1[[#This Row],[Running Time (hr)]]/Table1[Target Time (Hours)], "")</f>
        <v>0.94545454545454544</v>
      </c>
      <c r="O32" s="50">
        <f>IFERROR(Table1[[#This Row],[Actual Production (Kg)]]/Table1[Capacity (Kg)], "")</f>
        <v>0.45150000000000001</v>
      </c>
      <c r="P32" s="50">
        <f>IFERROR(Table1[[#This Row],[Quality Pass Production]]/Table1[[#This Row],[Actual Production (Kg)]], "")</f>
        <v>1</v>
      </c>
      <c r="Q32" s="50">
        <f>IFERROR(Table1[[#This Row],[Utilization %]]*Table1[[#This Row],[Efficiency %]]*Table1[[#This Row],[Quality %]], "")</f>
        <v>0.42687272727272729</v>
      </c>
      <c r="R32" s="48" t="s">
        <v>42</v>
      </c>
    </row>
    <row r="33" spans="1:18" ht="30" customHeight="1" x14ac:dyDescent="0.25">
      <c r="A33" s="47">
        <v>46099</v>
      </c>
      <c r="B33" s="48" t="s">
        <v>33</v>
      </c>
      <c r="C33" s="48" t="s">
        <v>39</v>
      </c>
      <c r="D33" s="48" t="s">
        <v>31</v>
      </c>
      <c r="E33" s="49">
        <v>6000</v>
      </c>
      <c r="F33" s="76">
        <v>1698</v>
      </c>
      <c r="G33" s="49">
        <v>0</v>
      </c>
      <c r="H33" s="50">
        <f>IFERROR(Table1[Re-process (Kg)]/Table1[Actual Production (Kg)], "")</f>
        <v>0</v>
      </c>
      <c r="I33" s="49">
        <f>IFERROR(Table1[[#This Row],[Actual Production (Kg)]]-Table1[[#This Row],[Re-process (Kg)]], "")</f>
        <v>1698</v>
      </c>
      <c r="J33" s="49">
        <v>22</v>
      </c>
      <c r="K33" s="72">
        <v>11</v>
      </c>
      <c r="L33" s="49">
        <f>IF(Table1[[#This Row],[Target Time (Hours)]]="","",Table1[[#This Row],[Target Time (Hours)]]-Table1[[#This Row],[Downtime (Hours)]])</f>
        <v>11</v>
      </c>
      <c r="M33" s="49">
        <f>IFERROR(Table1[[#This Row],[Capacity (Kg)]]/Table1[[#This Row],[Target Time (Hours)]] * Table1[[#This Row],[Downtime (Hours)]], "")</f>
        <v>3000</v>
      </c>
      <c r="N33" s="50">
        <f>IFERROR(Table1[[#This Row],[Running Time (hr)]]/Table1[Target Time (Hours)], "")</f>
        <v>0.5</v>
      </c>
      <c r="O33" s="50">
        <f>IFERROR(Table1[[#This Row],[Actual Production (Kg)]]/Table1[Capacity (Kg)], "")</f>
        <v>0.28299999999999997</v>
      </c>
      <c r="P33" s="50">
        <f>IFERROR(Table1[[#This Row],[Quality Pass Production]]/Table1[[#This Row],[Actual Production (Kg)]], "")</f>
        <v>1</v>
      </c>
      <c r="Q33" s="50">
        <f>IFERROR(Table1[[#This Row],[Utilization %]]*Table1[[#This Row],[Efficiency %]]*Table1[[#This Row],[Quality %]], "")</f>
        <v>0.14149999999999999</v>
      </c>
      <c r="R33" s="48" t="s">
        <v>42</v>
      </c>
    </row>
    <row r="34" spans="1:18" ht="45" customHeight="1" x14ac:dyDescent="0.25">
      <c r="A34" s="54">
        <v>46099</v>
      </c>
      <c r="B34" s="55" t="s">
        <v>33</v>
      </c>
      <c r="C34" s="55" t="s">
        <v>40</v>
      </c>
      <c r="D34" s="55" t="s">
        <v>31</v>
      </c>
      <c r="E34" s="56">
        <v>5000</v>
      </c>
      <c r="F34" s="56">
        <v>1065</v>
      </c>
      <c r="G34" s="56">
        <v>0</v>
      </c>
      <c r="H34" s="58">
        <f>IFERROR(Table1[Re-process (Kg)]/Table1[Actual Production (Kg)], "")</f>
        <v>0</v>
      </c>
      <c r="I34" s="56">
        <f>IFERROR(Table1[[#This Row],[Actual Production (Kg)]]-Table1[[#This Row],[Re-process (Kg)]], "")</f>
        <v>1065</v>
      </c>
      <c r="J34" s="56">
        <v>22</v>
      </c>
      <c r="K34" s="55">
        <v>0</v>
      </c>
      <c r="L34" s="56">
        <f>IF(Table1[[#This Row],[Target Time (Hours)]]="","",Table1[[#This Row],[Target Time (Hours)]]-Table1[[#This Row],[Downtime (Hours)]])</f>
        <v>22</v>
      </c>
      <c r="M34" s="56">
        <f>IFERROR(Table1[[#This Row],[Capacity (Kg)]]/Table1[[#This Row],[Target Time (Hours)]] * Table1[[#This Row],[Downtime (Hours)]], "")</f>
        <v>0</v>
      </c>
      <c r="N34" s="58">
        <f>IFERROR(Table1[[#This Row],[Running Time (hr)]]/Table1[Target Time (Hours)], "")</f>
        <v>1</v>
      </c>
      <c r="O34" s="58">
        <f>IFERROR(Table1[[#This Row],[Actual Production (Kg)]]/Table1[Capacity (Kg)], "")</f>
        <v>0.21299999999999999</v>
      </c>
      <c r="P34" s="58">
        <f>IFERROR(Table1[[#This Row],[Quality Pass Production]]/Table1[[#This Row],[Actual Production (Kg)]], "")</f>
        <v>1</v>
      </c>
      <c r="Q34" s="58">
        <f>IFERROR(Table1[[#This Row],[Utilization %]]*Table1[[#This Row],[Efficiency %]]*Table1[[#This Row],[Quality %]], "")</f>
        <v>0.21299999999999999</v>
      </c>
      <c r="R34" s="55" t="s">
        <v>44</v>
      </c>
    </row>
    <row r="35" spans="1:18" ht="30" customHeight="1" x14ac:dyDescent="0.25">
      <c r="A35" s="47">
        <v>46109</v>
      </c>
      <c r="B35" s="48" t="s">
        <v>18</v>
      </c>
      <c r="C35" s="48" t="s">
        <v>19</v>
      </c>
      <c r="D35" s="48" t="s">
        <v>20</v>
      </c>
      <c r="E35" s="49">
        <v>10000</v>
      </c>
      <c r="F35" s="76">
        <v>4720</v>
      </c>
      <c r="G35" s="49">
        <v>0</v>
      </c>
      <c r="H35" s="50">
        <f>IFERROR(Table1[Re-process (Kg)]/Table1[Actual Production (Kg)], "")</f>
        <v>0</v>
      </c>
      <c r="I35" s="49">
        <f>IFERROR(Table1[[#This Row],[Actual Production (Kg)]]-Table1[[#This Row],[Re-process (Kg)]], "")</f>
        <v>4720</v>
      </c>
      <c r="J35" s="49">
        <v>22</v>
      </c>
      <c r="K35" s="72">
        <v>8</v>
      </c>
      <c r="L35" s="49">
        <f>IF(Table1[[#This Row],[Target Time (Hours)]]="","",Table1[[#This Row],[Target Time (Hours)]]-Table1[[#This Row],[Downtime (Hours)]])</f>
        <v>14</v>
      </c>
      <c r="M35" s="49">
        <f>IFERROR(Table1[[#This Row],[Capacity (Kg)]]/Table1[[#This Row],[Target Time (Hours)]] * Table1[[#This Row],[Downtime (Hours)]], "")</f>
        <v>3636.3636363636365</v>
      </c>
      <c r="N35" s="50">
        <f>IFERROR(Table1[[#This Row],[Running Time (hr)]]/Table1[Target Time (Hours)], "")</f>
        <v>0.63636363636363635</v>
      </c>
      <c r="O35" s="50">
        <f>IFERROR(Table1[[#This Row],[Actual Production (Kg)]]/Table1[Capacity (Kg)], "")</f>
        <v>0.47199999999999998</v>
      </c>
      <c r="P35" s="50">
        <f>IFERROR(Table1[[#This Row],[Quality Pass Production]]/Table1[[#This Row],[Actual Production (Kg)]], "")</f>
        <v>1</v>
      </c>
      <c r="Q35" s="50">
        <f>IFERROR(Table1[[#This Row],[Utilization %]]*Table1[[#This Row],[Efficiency %]]*Table1[[#This Row],[Quality %]], "")</f>
        <v>0.30036363636363633</v>
      </c>
      <c r="R35" s="48" t="s">
        <v>46</v>
      </c>
    </row>
    <row r="36" spans="1:18" x14ac:dyDescent="0.25">
      <c r="A36" s="47">
        <v>46109</v>
      </c>
      <c r="B36" s="48" t="s">
        <v>18</v>
      </c>
      <c r="C36" s="48" t="s">
        <v>22</v>
      </c>
      <c r="D36" s="48" t="s">
        <v>23</v>
      </c>
      <c r="E36" s="49">
        <v>5000</v>
      </c>
      <c r="F36" s="76">
        <v>5493</v>
      </c>
      <c r="G36" s="49">
        <v>0</v>
      </c>
      <c r="H36" s="50">
        <f>IFERROR(Table1[Re-process (Kg)]/Table1[Actual Production (Kg)], "")</f>
        <v>0</v>
      </c>
      <c r="I36" s="49">
        <f>IFERROR(Table1[[#This Row],[Actual Production (Kg)]]-Table1[[#This Row],[Re-process (Kg)]], "")</f>
        <v>5493</v>
      </c>
      <c r="J36" s="49">
        <v>22</v>
      </c>
      <c r="K36" s="72">
        <v>3</v>
      </c>
      <c r="L36" s="49">
        <f>IF(Table1[[#This Row],[Target Time (Hours)]]="","",Table1[[#This Row],[Target Time (Hours)]]-Table1[[#This Row],[Downtime (Hours)]])</f>
        <v>19</v>
      </c>
      <c r="M36" s="49">
        <f>IFERROR(Table1[[#This Row],[Capacity (Kg)]]/Table1[[#This Row],[Target Time (Hours)]] * Table1[[#This Row],[Downtime (Hours)]], "")</f>
        <v>681.81818181818187</v>
      </c>
      <c r="N36" s="50">
        <f>IFERROR(Table1[[#This Row],[Running Time (hr)]]/Table1[Target Time (Hours)], "")</f>
        <v>0.86363636363636365</v>
      </c>
      <c r="O36" s="50">
        <f>IFERROR(Table1[[#This Row],[Actual Production (Kg)]]/Table1[Capacity (Kg)], "")</f>
        <v>1.0986</v>
      </c>
      <c r="P36" s="50">
        <f>IFERROR(Table1[[#This Row],[Quality Pass Production]]/Table1[[#This Row],[Actual Production (Kg)]], "")</f>
        <v>1</v>
      </c>
      <c r="Q36" s="50">
        <f>IFERROR(Table1[[#This Row],[Utilization %]]*Table1[[#This Row],[Efficiency %]]*Table1[[#This Row],[Quality %]], "")</f>
        <v>0.94879090909090913</v>
      </c>
      <c r="R36" s="48" t="s">
        <v>47</v>
      </c>
    </row>
    <row r="37" spans="1:18" x14ac:dyDescent="0.25">
      <c r="A37" s="47">
        <v>46109</v>
      </c>
      <c r="B37" s="48" t="s">
        <v>18</v>
      </c>
      <c r="C37" s="48" t="s">
        <v>22</v>
      </c>
      <c r="D37" s="48" t="s">
        <v>25</v>
      </c>
      <c r="E37" s="49">
        <v>4000</v>
      </c>
      <c r="F37" s="76">
        <v>0</v>
      </c>
      <c r="G37" s="49">
        <v>0</v>
      </c>
      <c r="H37" s="50" t="str">
        <f>IFERROR(Table1[Re-process (Kg)]/Table1[Actual Production (Kg)], "")</f>
        <v/>
      </c>
      <c r="I37" s="49">
        <f>IFERROR(Table1[[#This Row],[Actual Production (Kg)]]-Table1[[#This Row],[Re-process (Kg)]], "")</f>
        <v>0</v>
      </c>
      <c r="J37" s="49"/>
      <c r="K37" s="72"/>
      <c r="L37" s="49" t="str">
        <f>IF(Table1[[#This Row],[Target Time (Hours)]]="","",Table1[[#This Row],[Target Time (Hours)]]-Table1[[#This Row],[Downtime (Hours)]])</f>
        <v/>
      </c>
      <c r="M37" s="49" t="str">
        <f>IFERROR(Table1[[#This Row],[Capacity (Kg)]]/Table1[[#This Row],[Target Time (Hours)]] * Table1[[#This Row],[Downtime (Hours)]], "")</f>
        <v/>
      </c>
      <c r="N37" s="50" t="str">
        <f>IFERROR(Table1[[#This Row],[Running Time (hr)]]/Table1[Target Time (Hours)], "")</f>
        <v/>
      </c>
      <c r="O37" s="50">
        <f>IFERROR(Table1[[#This Row],[Actual Production (Kg)]]/Table1[Capacity (Kg)], "")</f>
        <v>0</v>
      </c>
      <c r="P37" s="50" t="str">
        <f>IFERROR(Table1[[#This Row],[Quality Pass Production]]/Table1[[#This Row],[Actual Production (Kg)]], "")</f>
        <v/>
      </c>
      <c r="Q37" s="50" t="str">
        <f>IFERROR(Table1[[#This Row],[Utilization %]]*Table1[[#This Row],[Efficiency %]]*Table1[[#This Row],[Quality %]], "")</f>
        <v/>
      </c>
    </row>
    <row r="38" spans="1:18" ht="30" customHeight="1" x14ac:dyDescent="0.25">
      <c r="A38" s="47">
        <v>46109</v>
      </c>
      <c r="B38" s="48" t="s">
        <v>18</v>
      </c>
      <c r="C38" s="48" t="s">
        <v>26</v>
      </c>
      <c r="D38" s="48" t="s">
        <v>25</v>
      </c>
      <c r="E38" s="49">
        <v>7000</v>
      </c>
      <c r="F38" s="76">
        <v>4296</v>
      </c>
      <c r="G38" s="49">
        <v>0</v>
      </c>
      <c r="H38" s="50">
        <f>IFERROR(Table1[Re-process (Kg)]/Table1[Actual Production (Kg)], "")</f>
        <v>0</v>
      </c>
      <c r="I38" s="49">
        <f>IFERROR(Table1[[#This Row],[Actual Production (Kg)]]-Table1[[#This Row],[Re-process (Kg)]], "")</f>
        <v>4296</v>
      </c>
      <c r="J38" s="49">
        <v>22</v>
      </c>
      <c r="K38" s="72">
        <v>6</v>
      </c>
      <c r="L38" s="49">
        <f>IF(Table1[[#This Row],[Target Time (Hours)]]="","",Table1[[#This Row],[Target Time (Hours)]]-Table1[[#This Row],[Downtime (Hours)]])</f>
        <v>16</v>
      </c>
      <c r="M38" s="49">
        <f>IFERROR(Table1[[#This Row],[Capacity (Kg)]]/Table1[[#This Row],[Target Time (Hours)]] * Table1[[#This Row],[Downtime (Hours)]], "")</f>
        <v>1909.090909090909</v>
      </c>
      <c r="N38" s="50">
        <f>IFERROR(Table1[[#This Row],[Running Time (hr)]]/Table1[Target Time (Hours)], "")</f>
        <v>0.72727272727272729</v>
      </c>
      <c r="O38" s="50">
        <f>IFERROR(Table1[[#This Row],[Actual Production (Kg)]]/Table1[Capacity (Kg)], "")</f>
        <v>0.61371428571428577</v>
      </c>
      <c r="P38" s="50">
        <f>IFERROR(Table1[[#This Row],[Quality Pass Production]]/Table1[[#This Row],[Actual Production (Kg)]], "")</f>
        <v>1</v>
      </c>
      <c r="Q38" s="50">
        <f>IFERROR(Table1[[#This Row],[Utilization %]]*Table1[[#This Row],[Efficiency %]]*Table1[[#This Row],[Quality %]], "")</f>
        <v>0.44633766233766237</v>
      </c>
      <c r="R38" s="48" t="s">
        <v>48</v>
      </c>
    </row>
    <row r="39" spans="1:18" ht="30" customHeight="1" x14ac:dyDescent="0.25">
      <c r="A39" s="47">
        <v>46109</v>
      </c>
      <c r="B39" s="48" t="s">
        <v>18</v>
      </c>
      <c r="C39" s="48" t="s">
        <v>28</v>
      </c>
      <c r="D39" s="48" t="s">
        <v>29</v>
      </c>
      <c r="E39" s="49"/>
      <c r="F39" s="76"/>
      <c r="G39" s="49">
        <v>0</v>
      </c>
      <c r="H39" s="50" t="str">
        <f>IFERROR(Table1[Re-process (Kg)]/Table1[Actual Production (Kg)], "")</f>
        <v/>
      </c>
      <c r="I39" s="49">
        <f>IFERROR(Table1[[#This Row],[Actual Production (Kg)]]-Table1[[#This Row],[Re-process (Kg)]], "")</f>
        <v>0</v>
      </c>
      <c r="J39" s="49"/>
      <c r="K39" s="72"/>
      <c r="L39" s="49" t="str">
        <f>IF(Table1[[#This Row],[Target Time (Hours)]]="","",Table1[[#This Row],[Target Time (Hours)]]-Table1[[#This Row],[Downtime (Hours)]])</f>
        <v/>
      </c>
      <c r="M39" s="49" t="str">
        <f>IFERROR(Table1[[#This Row],[Capacity (Kg)]]/Table1[[#This Row],[Target Time (Hours)]] * Table1[[#This Row],[Downtime (Hours)]], "")</f>
        <v/>
      </c>
      <c r="N39" s="50" t="str">
        <f>IFERROR(Table1[[#This Row],[Running Time (hr)]]/Table1[Target Time (Hours)], "")</f>
        <v/>
      </c>
      <c r="O39" s="50" t="str">
        <f>IFERROR(Table1[[#This Row],[Actual Production (Kg)]]/Table1[Capacity (Kg)], "")</f>
        <v/>
      </c>
      <c r="P39" s="50" t="str">
        <f>IFERROR(Table1[[#This Row],[Quality Pass Production]]/Table1[[#This Row],[Actual Production (Kg)]], "")</f>
        <v/>
      </c>
      <c r="Q39" s="50" t="str">
        <f>IFERROR(Table1[[#This Row],[Utilization %]]*Table1[[#This Row],[Efficiency %]]*Table1[[#This Row],[Quality %]], "")</f>
        <v/>
      </c>
    </row>
    <row r="40" spans="1:18" ht="30" customHeight="1" x14ac:dyDescent="0.25">
      <c r="A40" s="47">
        <v>46109</v>
      </c>
      <c r="B40" s="48" t="s">
        <v>18</v>
      </c>
      <c r="C40" s="48" t="s">
        <v>30</v>
      </c>
      <c r="D40" s="48" t="s">
        <v>31</v>
      </c>
      <c r="E40" s="49">
        <v>9000</v>
      </c>
      <c r="F40" s="76">
        <v>4982</v>
      </c>
      <c r="G40" s="49">
        <v>0</v>
      </c>
      <c r="H40" s="50">
        <f>IFERROR(Table1[Re-process (Kg)]/Table1[Actual Production (Kg)], "")</f>
        <v>0</v>
      </c>
      <c r="I40" s="49">
        <f>IFERROR(Table1[[#This Row],[Actual Production (Kg)]]-Table1[[#This Row],[Re-process (Kg)]], "")</f>
        <v>4982</v>
      </c>
      <c r="J40" s="49">
        <v>22</v>
      </c>
      <c r="K40" s="72">
        <v>3</v>
      </c>
      <c r="L40" s="49">
        <f>IF(Table1[[#This Row],[Target Time (Hours)]]="","",Table1[[#This Row],[Target Time (Hours)]]-Table1[[#This Row],[Downtime (Hours)]])</f>
        <v>19</v>
      </c>
      <c r="M40" s="49">
        <f>IFERROR(Table1[[#This Row],[Capacity (Kg)]]/Table1[[#This Row],[Target Time (Hours)]] * Table1[[#This Row],[Downtime (Hours)]], "")</f>
        <v>1227.2727272727273</v>
      </c>
      <c r="N40" s="50">
        <f>IFERROR(Table1[[#This Row],[Running Time (hr)]]/Table1[Target Time (Hours)], "")</f>
        <v>0.86363636363636365</v>
      </c>
      <c r="O40" s="50">
        <f>IFERROR(Table1[[#This Row],[Actual Production (Kg)]]/Table1[Capacity (Kg)], "")</f>
        <v>0.55355555555555558</v>
      </c>
      <c r="P40" s="50">
        <f>IFERROR(Table1[[#This Row],[Quality Pass Production]]/Table1[[#This Row],[Actual Production (Kg)]], "")</f>
        <v>1</v>
      </c>
      <c r="Q40" s="50">
        <f>IFERROR(Table1[[#This Row],[Utilization %]]*Table1[[#This Row],[Efficiency %]]*Table1[[#This Row],[Quality %]], "")</f>
        <v>0.47807070707070709</v>
      </c>
      <c r="R40" s="48" t="s">
        <v>49</v>
      </c>
    </row>
    <row r="41" spans="1:18" ht="30" customHeight="1" x14ac:dyDescent="0.25">
      <c r="A41" s="26">
        <v>46109</v>
      </c>
      <c r="B41" s="27" t="s">
        <v>18</v>
      </c>
      <c r="C41" s="27" t="s">
        <v>32</v>
      </c>
      <c r="D41" s="27" t="s">
        <v>31</v>
      </c>
      <c r="E41" s="79">
        <f>Table1[[#This Row],[Actual Production (Kg)]]</f>
        <v>0</v>
      </c>
      <c r="F41" s="79">
        <v>0</v>
      </c>
      <c r="G41" s="79"/>
      <c r="H41" s="28"/>
      <c r="I41" s="79"/>
      <c r="J41" s="79"/>
      <c r="K41" s="27"/>
      <c r="L41" s="53" t="str">
        <f>IF(Table1[[#This Row],[Target Time (Hours)]]="","",Table1[[#This Row],[Target Time (Hours)]]-Table1[[#This Row],[Downtime (Hours)]])</f>
        <v/>
      </c>
      <c r="M41" s="79"/>
      <c r="N41" s="28"/>
      <c r="O41" s="28"/>
      <c r="P41" s="28"/>
      <c r="Q41" s="28"/>
      <c r="R41" s="27" t="s">
        <v>50</v>
      </c>
    </row>
    <row r="42" spans="1:18" ht="30" customHeight="1" x14ac:dyDescent="0.25">
      <c r="A42" s="47">
        <v>46109</v>
      </c>
      <c r="B42" s="48" t="s">
        <v>33</v>
      </c>
      <c r="C42" s="48" t="s">
        <v>34</v>
      </c>
      <c r="D42" s="48" t="s">
        <v>35</v>
      </c>
      <c r="E42" s="49">
        <v>9000</v>
      </c>
      <c r="F42" s="76">
        <v>2145</v>
      </c>
      <c r="G42" s="49">
        <v>0</v>
      </c>
      <c r="H42" s="50">
        <f>IFERROR(Table1[Re-process (Kg)]/Table1[Actual Production (Kg)], "")</f>
        <v>0</v>
      </c>
      <c r="I42" s="49">
        <f>IFERROR(Table1[[#This Row],[Actual Production (Kg)]]-Table1[[#This Row],[Re-process (Kg)]], "")</f>
        <v>2145</v>
      </c>
      <c r="J42" s="49">
        <v>22</v>
      </c>
      <c r="K42" s="72">
        <v>6</v>
      </c>
      <c r="L42" s="49">
        <f>IF(Table1[[#This Row],[Target Time (Hours)]]="","",Table1[[#This Row],[Target Time (Hours)]]-Table1[[#This Row],[Downtime (Hours)]])</f>
        <v>16</v>
      </c>
      <c r="M42" s="49">
        <f>IFERROR(Table1[[#This Row],[Capacity (Kg)]]/Table1[[#This Row],[Target Time (Hours)]] * Table1[[#This Row],[Downtime (Hours)]], "")</f>
        <v>2454.5454545454545</v>
      </c>
      <c r="N42" s="50">
        <f>IFERROR(Table1[[#This Row],[Running Time (hr)]]/Table1[Target Time (Hours)], "")</f>
        <v>0.72727272727272729</v>
      </c>
      <c r="O42" s="50">
        <f>IFERROR(Table1[[#This Row],[Actual Production (Kg)]]/Table1[Capacity (Kg)], "")</f>
        <v>0.23833333333333334</v>
      </c>
      <c r="P42" s="50">
        <f>IFERROR(Table1[[#This Row],[Quality Pass Production]]/Table1[[#This Row],[Actual Production (Kg)]], "")</f>
        <v>1</v>
      </c>
      <c r="Q42" s="50">
        <f>IFERROR(Table1[[#This Row],[Utilization %]]*Table1[[#This Row],[Efficiency %]]*Table1[[#This Row],[Quality %]], "")</f>
        <v>0.17333333333333334</v>
      </c>
      <c r="R42" s="48" t="s">
        <v>48</v>
      </c>
    </row>
    <row r="43" spans="1:18" ht="30" customHeight="1" x14ac:dyDescent="0.25">
      <c r="A43" s="47">
        <v>46109</v>
      </c>
      <c r="B43" s="48" t="s">
        <v>33</v>
      </c>
      <c r="C43" s="48" t="s">
        <v>36</v>
      </c>
      <c r="D43" s="48" t="s">
        <v>37</v>
      </c>
      <c r="E43" s="49">
        <v>8000</v>
      </c>
      <c r="F43" s="76">
        <v>2451</v>
      </c>
      <c r="G43" s="49">
        <v>0</v>
      </c>
      <c r="H43" s="50">
        <f>IFERROR(Table1[Re-process (Kg)]/Table1[Actual Production (Kg)], "")</f>
        <v>0</v>
      </c>
      <c r="I43" s="49">
        <f>IFERROR(Table1[[#This Row],[Actual Production (Kg)]]-Table1[[#This Row],[Re-process (Kg)]], "")</f>
        <v>2451</v>
      </c>
      <c r="J43" s="49">
        <v>22</v>
      </c>
      <c r="K43" s="72">
        <v>6</v>
      </c>
      <c r="L43" s="49">
        <f>IF(Table1[[#This Row],[Target Time (Hours)]]="","",Table1[[#This Row],[Target Time (Hours)]]-Table1[[#This Row],[Downtime (Hours)]])</f>
        <v>16</v>
      </c>
      <c r="M43" s="49">
        <f>IFERROR(Table1[[#This Row],[Capacity (Kg)]]/Table1[[#This Row],[Target Time (Hours)]] * Table1[[#This Row],[Downtime (Hours)]], "")</f>
        <v>2181.818181818182</v>
      </c>
      <c r="N43" s="50">
        <f>IFERROR(Table1[[#This Row],[Running Time (hr)]]/Table1[Target Time (Hours)], "")</f>
        <v>0.72727272727272729</v>
      </c>
      <c r="O43" s="50">
        <f>IFERROR(Table1[[#This Row],[Actual Production (Kg)]]/Table1[Capacity (Kg)], "")</f>
        <v>0.30637500000000001</v>
      </c>
      <c r="P43" s="50">
        <f>IFERROR(Table1[[#This Row],[Quality Pass Production]]/Table1[[#This Row],[Actual Production (Kg)]], "")</f>
        <v>1</v>
      </c>
      <c r="Q43" s="50">
        <f>IFERROR(Table1[[#This Row],[Utilization %]]*Table1[[#This Row],[Efficiency %]]*Table1[[#This Row],[Quality %]], "")</f>
        <v>0.22281818181818183</v>
      </c>
      <c r="R43" s="48" t="s">
        <v>48</v>
      </c>
    </row>
    <row r="44" spans="1:18" ht="30" customHeight="1" x14ac:dyDescent="0.25">
      <c r="A44" s="47">
        <v>46109</v>
      </c>
      <c r="B44" s="48" t="s">
        <v>33</v>
      </c>
      <c r="C44" s="48" t="s">
        <v>39</v>
      </c>
      <c r="D44" s="48" t="s">
        <v>31</v>
      </c>
      <c r="E44" s="49">
        <v>6000</v>
      </c>
      <c r="F44" s="76">
        <v>1515</v>
      </c>
      <c r="G44" s="49">
        <v>0</v>
      </c>
      <c r="H44" s="50">
        <f>IFERROR(Table1[Re-process (Kg)]/Table1[Actual Production (Kg)], "")</f>
        <v>0</v>
      </c>
      <c r="I44" s="49">
        <f>IFERROR(Table1[[#This Row],[Actual Production (Kg)]]-Table1[[#This Row],[Re-process (Kg)]], "")</f>
        <v>1515</v>
      </c>
      <c r="J44" s="49">
        <v>22</v>
      </c>
      <c r="K44" s="72">
        <v>6</v>
      </c>
      <c r="L44" s="49">
        <f>IF(Table1[[#This Row],[Target Time (Hours)]]="","",Table1[[#This Row],[Target Time (Hours)]]-Table1[[#This Row],[Downtime (Hours)]])</f>
        <v>16</v>
      </c>
      <c r="M44" s="49">
        <f>IFERROR(Table1[[#This Row],[Capacity (Kg)]]/Table1[[#This Row],[Target Time (Hours)]] * Table1[[#This Row],[Downtime (Hours)]], "")</f>
        <v>1636.3636363636365</v>
      </c>
      <c r="N44" s="50">
        <f>IFERROR(Table1[[#This Row],[Running Time (hr)]]/Table1[Target Time (Hours)], "")</f>
        <v>0.72727272727272729</v>
      </c>
      <c r="O44" s="50">
        <f>IFERROR(Table1[[#This Row],[Actual Production (Kg)]]/Table1[Capacity (Kg)], "")</f>
        <v>0.2525</v>
      </c>
      <c r="P44" s="50">
        <f>IFERROR(Table1[[#This Row],[Quality Pass Production]]/Table1[[#This Row],[Actual Production (Kg)]], "")</f>
        <v>1</v>
      </c>
      <c r="Q44" s="50">
        <f>IFERROR(Table1[[#This Row],[Utilization %]]*Table1[[#This Row],[Efficiency %]]*Table1[[#This Row],[Quality %]], "")</f>
        <v>0.18363636363636365</v>
      </c>
      <c r="R44" s="48" t="s">
        <v>48</v>
      </c>
    </row>
    <row r="45" spans="1:18" ht="45" customHeight="1" x14ac:dyDescent="0.25">
      <c r="A45" s="54">
        <v>46109</v>
      </c>
      <c r="B45" s="55" t="s">
        <v>33</v>
      </c>
      <c r="C45" s="55" t="s">
        <v>40</v>
      </c>
      <c r="D45" s="55" t="s">
        <v>31</v>
      </c>
      <c r="E45" s="56">
        <v>5000</v>
      </c>
      <c r="F45" s="56">
        <v>1258</v>
      </c>
      <c r="G45" s="56">
        <v>0</v>
      </c>
      <c r="H45" s="58">
        <f>IFERROR(Table1[Re-process (Kg)]/Table1[Actual Production (Kg)], "")</f>
        <v>0</v>
      </c>
      <c r="I45" s="56">
        <f>IFERROR(Table1[[#This Row],[Actual Production (Kg)]]-Table1[[#This Row],[Re-process (Kg)]], "")</f>
        <v>1258</v>
      </c>
      <c r="J45" s="56">
        <v>22</v>
      </c>
      <c r="K45" s="55">
        <v>6</v>
      </c>
      <c r="L45" s="56">
        <f>IF(Table1[[#This Row],[Target Time (Hours)]]="","",Table1[[#This Row],[Target Time (Hours)]]-Table1[[#This Row],[Downtime (Hours)]])</f>
        <v>16</v>
      </c>
      <c r="M45" s="56">
        <f>IFERROR(Table1[[#This Row],[Capacity (Kg)]]/Table1[[#This Row],[Target Time (Hours)]] * Table1[[#This Row],[Downtime (Hours)]], "")</f>
        <v>1363.6363636363637</v>
      </c>
      <c r="N45" s="58">
        <f>IFERROR(Table1[[#This Row],[Running Time (hr)]]/Table1[Target Time (Hours)], "")</f>
        <v>0.72727272727272729</v>
      </c>
      <c r="O45" s="58">
        <f>IFERROR(Table1[[#This Row],[Actual Production (Kg)]]/Table1[Capacity (Kg)], "")</f>
        <v>0.25159999999999999</v>
      </c>
      <c r="P45" s="58">
        <f>IFERROR(Table1[[#This Row],[Quality Pass Production]]/Table1[[#This Row],[Actual Production (Kg)]], "")</f>
        <v>1</v>
      </c>
      <c r="Q45" s="58">
        <f>IFERROR(Table1[[#This Row],[Utilization %]]*Table1[[#This Row],[Efficiency %]]*Table1[[#This Row],[Quality %]], "")</f>
        <v>0.18298181818181819</v>
      </c>
      <c r="R45" s="55" t="s">
        <v>51</v>
      </c>
    </row>
    <row r="46" spans="1:18" ht="30" customHeight="1" x14ac:dyDescent="0.25">
      <c r="A46" s="47">
        <v>46110</v>
      </c>
      <c r="B46" s="48" t="s">
        <v>18</v>
      </c>
      <c r="C46" s="48" t="s">
        <v>19</v>
      </c>
      <c r="D46" s="48" t="s">
        <v>20</v>
      </c>
      <c r="E46" s="49">
        <v>10000</v>
      </c>
      <c r="F46" s="76">
        <v>8660</v>
      </c>
      <c r="G46" s="49">
        <v>0</v>
      </c>
      <c r="H46" s="50">
        <f>IFERROR(Table1[Re-process (Kg)]/Table1[Actual Production (Kg)], "")</f>
        <v>0</v>
      </c>
      <c r="I46" s="49">
        <f>IFERROR(Table1[[#This Row],[Actual Production (Kg)]]-Table1[[#This Row],[Re-process (Kg)]], "")</f>
        <v>8660</v>
      </c>
      <c r="J46" s="49">
        <v>22</v>
      </c>
      <c r="K46" s="72">
        <v>0</v>
      </c>
      <c r="L46" s="49">
        <f>IF(Table1[[#This Row],[Target Time (Hours)]]="","",Table1[[#This Row],[Target Time (Hours)]]-Table1[[#This Row],[Downtime (Hours)]])</f>
        <v>22</v>
      </c>
      <c r="M46" s="49">
        <f>IFERROR(Table1[[#This Row],[Capacity (Kg)]]/Table1[[#This Row],[Target Time (Hours)]] * Table1[[#This Row],[Downtime (Hours)]], "")</f>
        <v>0</v>
      </c>
      <c r="N46" s="50">
        <f>IFERROR(Table1[[#This Row],[Running Time (hr)]]/Table1[Target Time (Hours)], "")</f>
        <v>1</v>
      </c>
      <c r="O46" s="50">
        <f>IFERROR(Table1[[#This Row],[Actual Production (Kg)]]/Table1[Capacity (Kg)], "")</f>
        <v>0.86599999999999999</v>
      </c>
      <c r="P46" s="50">
        <f>IFERROR(Table1[[#This Row],[Quality Pass Production]]/Table1[[#This Row],[Actual Production (Kg)]], "")</f>
        <v>1</v>
      </c>
      <c r="Q46" s="50">
        <f>IFERROR(Table1[[#This Row],[Utilization %]]*Table1[[#This Row],[Efficiency %]]*Table1[[#This Row],[Quality %]], "")</f>
        <v>0.86599999999999999</v>
      </c>
    </row>
    <row r="47" spans="1:18" x14ac:dyDescent="0.25">
      <c r="A47" s="47">
        <v>46110</v>
      </c>
      <c r="B47" s="48" t="s">
        <v>18</v>
      </c>
      <c r="C47" s="48" t="s">
        <v>22</v>
      </c>
      <c r="D47" s="48" t="s">
        <v>23</v>
      </c>
      <c r="E47" s="49">
        <v>5000</v>
      </c>
      <c r="F47" s="76">
        <v>3475</v>
      </c>
      <c r="G47" s="49">
        <v>0</v>
      </c>
      <c r="H47" s="50">
        <f>IFERROR(Table1[Re-process (Kg)]/Table1[Actual Production (Kg)], "")</f>
        <v>0</v>
      </c>
      <c r="I47" s="49">
        <f>IFERROR(Table1[[#This Row],[Actual Production (Kg)]]-Table1[[#This Row],[Re-process (Kg)]], "")</f>
        <v>3475</v>
      </c>
      <c r="J47" s="49">
        <v>22</v>
      </c>
      <c r="K47" s="72">
        <v>1</v>
      </c>
      <c r="L47" s="49">
        <f>IF(Table1[[#This Row],[Target Time (Hours)]]="","",Table1[[#This Row],[Target Time (Hours)]]-Table1[[#This Row],[Downtime (Hours)]])</f>
        <v>21</v>
      </c>
      <c r="M47" s="49">
        <f>IFERROR(Table1[[#This Row],[Capacity (Kg)]]/Table1[[#This Row],[Target Time (Hours)]] * Table1[[#This Row],[Downtime (Hours)]], "")</f>
        <v>227.27272727272728</v>
      </c>
      <c r="N47" s="50">
        <f>IFERROR(Table1[[#This Row],[Running Time (hr)]]/Table1[Target Time (Hours)], "")</f>
        <v>0.95454545454545459</v>
      </c>
      <c r="O47" s="50">
        <f>IFERROR(Table1[[#This Row],[Actual Production (Kg)]]/Table1[Capacity (Kg)], "")</f>
        <v>0.69499999999999995</v>
      </c>
      <c r="P47" s="50">
        <f>IFERROR(Table1[[#This Row],[Quality Pass Production]]/Table1[[#This Row],[Actual Production (Kg)]], "")</f>
        <v>1</v>
      </c>
      <c r="Q47" s="50">
        <f>IFERROR(Table1[[#This Row],[Utilization %]]*Table1[[#This Row],[Efficiency %]]*Table1[[#This Row],[Quality %]], "")</f>
        <v>0.66340909090909084</v>
      </c>
    </row>
    <row r="48" spans="1:18" x14ac:dyDescent="0.25">
      <c r="A48" s="47">
        <v>46110</v>
      </c>
      <c r="B48" s="48" t="s">
        <v>18</v>
      </c>
      <c r="C48" s="48" t="s">
        <v>22</v>
      </c>
      <c r="D48" s="48" t="s">
        <v>25</v>
      </c>
      <c r="E48" s="49">
        <v>4000</v>
      </c>
      <c r="F48" s="76">
        <v>5877</v>
      </c>
      <c r="G48" s="49">
        <v>0</v>
      </c>
      <c r="H48" s="50">
        <f>IFERROR(Table1[Re-process (Kg)]/Table1[Actual Production (Kg)], "")</f>
        <v>0</v>
      </c>
      <c r="I48" s="49">
        <f>IFERROR(Table1[[#This Row],[Actual Production (Kg)]]-Table1[[#This Row],[Re-process (Kg)]], "")</f>
        <v>5877</v>
      </c>
      <c r="J48" s="49"/>
      <c r="K48" s="72"/>
      <c r="L48" s="49" t="str">
        <f>IF(Table1[[#This Row],[Target Time (Hours)]]="","",Table1[[#This Row],[Target Time (Hours)]]-Table1[[#This Row],[Downtime (Hours)]])</f>
        <v/>
      </c>
      <c r="M48" s="49" t="str">
        <f>IFERROR(Table1[[#This Row],[Capacity (Kg)]]/Table1[[#This Row],[Target Time (Hours)]] * Table1[[#This Row],[Downtime (Hours)]], "")</f>
        <v/>
      </c>
      <c r="N48" s="50" t="str">
        <f>IFERROR(Table1[[#This Row],[Running Time (hr)]]/Table1[Target Time (Hours)], "")</f>
        <v/>
      </c>
      <c r="O48" s="50">
        <f>IFERROR(Table1[[#This Row],[Actual Production (Kg)]]/Table1[Capacity (Kg)], "")</f>
        <v>1.4692499999999999</v>
      </c>
      <c r="P48" s="50">
        <f>IFERROR(Table1[[#This Row],[Quality Pass Production]]/Table1[[#This Row],[Actual Production (Kg)]], "")</f>
        <v>1</v>
      </c>
      <c r="Q48" s="50" t="str">
        <f>IFERROR(Table1[[#This Row],[Utilization %]]*Table1[[#This Row],[Efficiency %]]*Table1[[#This Row],[Quality %]], "")</f>
        <v/>
      </c>
    </row>
    <row r="49" spans="1:18" ht="60" customHeight="1" x14ac:dyDescent="0.25">
      <c r="A49" s="47">
        <v>46110</v>
      </c>
      <c r="B49" s="48" t="s">
        <v>18</v>
      </c>
      <c r="C49" s="48" t="s">
        <v>26</v>
      </c>
      <c r="D49" s="48" t="s">
        <v>25</v>
      </c>
      <c r="E49" s="49">
        <v>7000</v>
      </c>
      <c r="F49" s="76">
        <v>6820</v>
      </c>
      <c r="G49" s="49">
        <v>0</v>
      </c>
      <c r="H49" s="50">
        <f>IFERROR(Table1[Re-process (Kg)]/Table1[Actual Production (Kg)], "")</f>
        <v>0</v>
      </c>
      <c r="I49" s="49">
        <f>IFERROR(Table1[[#This Row],[Actual Production (Kg)]]-Table1[[#This Row],[Re-process (Kg)]], "")</f>
        <v>6820</v>
      </c>
      <c r="J49" s="49">
        <v>22</v>
      </c>
      <c r="K49" s="72">
        <v>2</v>
      </c>
      <c r="L49" s="49">
        <f>IF(Table1[[#This Row],[Target Time (Hours)]]="","",Table1[[#This Row],[Target Time (Hours)]]-Table1[[#This Row],[Downtime (Hours)]])</f>
        <v>20</v>
      </c>
      <c r="M49" s="49">
        <f>IFERROR(Table1[[#This Row],[Capacity (Kg)]]/Table1[[#This Row],[Target Time (Hours)]] * Table1[[#This Row],[Downtime (Hours)]], "")</f>
        <v>636.36363636363637</v>
      </c>
      <c r="N49" s="50">
        <f>IFERROR(Table1[[#This Row],[Running Time (hr)]]/Table1[Target Time (Hours)], "")</f>
        <v>0.90909090909090906</v>
      </c>
      <c r="O49" s="50">
        <f>IFERROR(Table1[[#This Row],[Actual Production (Kg)]]/Table1[Capacity (Kg)], "")</f>
        <v>0.97428571428571431</v>
      </c>
      <c r="P49" s="50">
        <f>IFERROR(Table1[[#This Row],[Quality Pass Production]]/Table1[[#This Row],[Actual Production (Kg)]], "")</f>
        <v>1</v>
      </c>
      <c r="Q49" s="50">
        <f>IFERROR(Table1[[#This Row],[Utilization %]]*Table1[[#This Row],[Efficiency %]]*Table1[[#This Row],[Quality %]], "")</f>
        <v>0.88571428571428568</v>
      </c>
      <c r="R49" s="48" t="s">
        <v>52</v>
      </c>
    </row>
    <row r="50" spans="1:18" ht="30" customHeight="1" x14ac:dyDescent="0.25">
      <c r="A50" s="47">
        <v>46110</v>
      </c>
      <c r="B50" s="48" t="s">
        <v>18</v>
      </c>
      <c r="C50" s="48" t="s">
        <v>28</v>
      </c>
      <c r="D50" s="48" t="s">
        <v>29</v>
      </c>
      <c r="E50" s="49"/>
      <c r="F50" s="76"/>
      <c r="G50" s="49">
        <v>0</v>
      </c>
      <c r="H50" s="50" t="str">
        <f>IFERROR(Table1[Re-process (Kg)]/Table1[Actual Production (Kg)], "")</f>
        <v/>
      </c>
      <c r="I50" s="49">
        <f>IFERROR(Table1[[#This Row],[Actual Production (Kg)]]-Table1[[#This Row],[Re-process (Kg)]], "")</f>
        <v>0</v>
      </c>
      <c r="J50" s="49"/>
      <c r="K50" s="72"/>
      <c r="L50" s="49" t="str">
        <f>IF(Table1[[#This Row],[Target Time (Hours)]]="","",Table1[[#This Row],[Target Time (Hours)]]-Table1[[#This Row],[Downtime (Hours)]])</f>
        <v/>
      </c>
      <c r="M50" s="49" t="str">
        <f>IFERROR(Table1[[#This Row],[Capacity (Kg)]]/Table1[[#This Row],[Target Time (Hours)]] * Table1[[#This Row],[Downtime (Hours)]], "")</f>
        <v/>
      </c>
      <c r="N50" s="50" t="str">
        <f>IFERROR(Table1[[#This Row],[Running Time (hr)]]/Table1[Target Time (Hours)], "")</f>
        <v/>
      </c>
      <c r="O50" s="50" t="str">
        <f>IFERROR(Table1[[#This Row],[Actual Production (Kg)]]/Table1[Capacity (Kg)], "")</f>
        <v/>
      </c>
      <c r="P50" s="50" t="str">
        <f>IFERROR(Table1[[#This Row],[Quality Pass Production]]/Table1[[#This Row],[Actual Production (Kg)]], "")</f>
        <v/>
      </c>
      <c r="Q50" s="50" t="str">
        <f>IFERROR(Table1[[#This Row],[Utilization %]]*Table1[[#This Row],[Efficiency %]]*Table1[[#This Row],[Quality %]], "")</f>
        <v/>
      </c>
    </row>
    <row r="51" spans="1:18" ht="30" customHeight="1" x14ac:dyDescent="0.25">
      <c r="A51" s="47">
        <v>46110</v>
      </c>
      <c r="B51" s="48" t="s">
        <v>18</v>
      </c>
      <c r="C51" s="48" t="s">
        <v>30</v>
      </c>
      <c r="D51" s="48" t="s">
        <v>31</v>
      </c>
      <c r="E51" s="49">
        <v>9000</v>
      </c>
      <c r="F51" s="76">
        <v>7500</v>
      </c>
      <c r="G51" s="49">
        <v>0</v>
      </c>
      <c r="H51" s="50">
        <f>IFERROR(Table1[Re-process (Kg)]/Table1[Actual Production (Kg)], "")</f>
        <v>0</v>
      </c>
      <c r="I51" s="49">
        <f>IFERROR(Table1[[#This Row],[Actual Production (Kg)]]-Table1[[#This Row],[Re-process (Kg)]], "")</f>
        <v>7500</v>
      </c>
      <c r="J51" s="49">
        <v>22</v>
      </c>
      <c r="K51" s="72">
        <v>0</v>
      </c>
      <c r="L51" s="49">
        <f>IF(Table1[[#This Row],[Target Time (Hours)]]="","",Table1[[#This Row],[Target Time (Hours)]]-Table1[[#This Row],[Downtime (Hours)]])</f>
        <v>22</v>
      </c>
      <c r="M51" s="49">
        <f>IFERROR(Table1[[#This Row],[Capacity (Kg)]]/Table1[[#This Row],[Target Time (Hours)]] * Table1[[#This Row],[Downtime (Hours)]], "")</f>
        <v>0</v>
      </c>
      <c r="N51" s="50">
        <f>IFERROR(Table1[[#This Row],[Running Time (hr)]]/Table1[Target Time (Hours)], "")</f>
        <v>1</v>
      </c>
      <c r="O51" s="50">
        <f>IFERROR(Table1[[#This Row],[Actual Production (Kg)]]/Table1[Capacity (Kg)], "")</f>
        <v>0.83333333333333337</v>
      </c>
      <c r="P51" s="50">
        <f>IFERROR(Table1[[#This Row],[Quality Pass Production]]/Table1[[#This Row],[Actual Production (Kg)]], "")</f>
        <v>1</v>
      </c>
      <c r="Q51" s="50">
        <f>IFERROR(Table1[[#This Row],[Utilization %]]*Table1[[#This Row],[Efficiency %]]*Table1[[#This Row],[Quality %]], "")</f>
        <v>0.83333333333333337</v>
      </c>
    </row>
    <row r="52" spans="1:18" ht="30" customHeight="1" x14ac:dyDescent="0.25">
      <c r="A52" s="26">
        <v>46110</v>
      </c>
      <c r="B52" s="27" t="s">
        <v>18</v>
      </c>
      <c r="C52" s="27" t="s">
        <v>32</v>
      </c>
      <c r="D52" s="27" t="s">
        <v>31</v>
      </c>
      <c r="E52" s="79">
        <f>Table1[[#This Row],[Actual Production (Kg)]]</f>
        <v>1574</v>
      </c>
      <c r="F52" s="79">
        <v>1574</v>
      </c>
      <c r="G52" s="79"/>
      <c r="H52" s="28"/>
      <c r="I52" s="79"/>
      <c r="J52" s="79"/>
      <c r="K52" s="27"/>
      <c r="L52" s="53" t="str">
        <f>IF(Table1[[#This Row],[Target Time (Hours)]]="","",Table1[[#This Row],[Target Time (Hours)]]-Table1[[#This Row],[Downtime (Hours)]])</f>
        <v/>
      </c>
      <c r="M52" s="79"/>
      <c r="N52" s="28"/>
      <c r="O52" s="28"/>
      <c r="P52" s="28"/>
      <c r="Q52" s="28"/>
      <c r="R52" s="27" t="s">
        <v>53</v>
      </c>
    </row>
    <row r="53" spans="1:18" ht="30" customHeight="1" x14ac:dyDescent="0.25">
      <c r="A53" s="47">
        <v>46110</v>
      </c>
      <c r="B53" s="48" t="s">
        <v>33</v>
      </c>
      <c r="C53" s="48" t="s">
        <v>34</v>
      </c>
      <c r="D53" s="48" t="s">
        <v>35</v>
      </c>
      <c r="E53" s="49">
        <v>9000</v>
      </c>
      <c r="F53" s="76">
        <v>5167</v>
      </c>
      <c r="G53" s="49">
        <v>0</v>
      </c>
      <c r="H53" s="50">
        <f>IFERROR(Table1[Re-process (Kg)]/Table1[Actual Production (Kg)], "")</f>
        <v>0</v>
      </c>
      <c r="I53" s="49">
        <f>IFERROR(Table1[[#This Row],[Actual Production (Kg)]]-Table1[[#This Row],[Re-process (Kg)]], "")</f>
        <v>5167</v>
      </c>
      <c r="J53" s="49">
        <v>22</v>
      </c>
      <c r="K53" s="72">
        <v>0</v>
      </c>
      <c r="L53" s="49">
        <f>IF(Table1[[#This Row],[Target Time (Hours)]]="","",Table1[[#This Row],[Target Time (Hours)]]-Table1[[#This Row],[Downtime (Hours)]])</f>
        <v>22</v>
      </c>
      <c r="M53" s="49">
        <f>IFERROR(Table1[[#This Row],[Capacity (Kg)]]/Table1[[#This Row],[Target Time (Hours)]] * Table1[[#This Row],[Downtime (Hours)]], "")</f>
        <v>0</v>
      </c>
      <c r="N53" s="50">
        <f>IFERROR(Table1[[#This Row],[Running Time (hr)]]/Table1[Target Time (Hours)], "")</f>
        <v>1</v>
      </c>
      <c r="O53" s="50">
        <f>IFERROR(Table1[[#This Row],[Actual Production (Kg)]]/Table1[Capacity (Kg)], "")</f>
        <v>0.57411111111111113</v>
      </c>
      <c r="P53" s="50">
        <f>IFERROR(Table1[[#This Row],[Quality Pass Production]]/Table1[[#This Row],[Actual Production (Kg)]], "")</f>
        <v>1</v>
      </c>
      <c r="Q53" s="50">
        <f>IFERROR(Table1[[#This Row],[Utilization %]]*Table1[[#This Row],[Efficiency %]]*Table1[[#This Row],[Quality %]], "")</f>
        <v>0.57411111111111113</v>
      </c>
      <c r="R53" s="48" t="s">
        <v>42</v>
      </c>
    </row>
    <row r="54" spans="1:18" ht="30" customHeight="1" x14ac:dyDescent="0.25">
      <c r="A54" s="47">
        <v>46110</v>
      </c>
      <c r="B54" s="48" t="s">
        <v>33</v>
      </c>
      <c r="C54" s="48" t="s">
        <v>36</v>
      </c>
      <c r="D54" s="48" t="s">
        <v>37</v>
      </c>
      <c r="E54" s="49">
        <v>8000</v>
      </c>
      <c r="F54" s="76">
        <v>5193</v>
      </c>
      <c r="G54" s="49">
        <v>0</v>
      </c>
      <c r="H54" s="50">
        <f>IFERROR(Table1[Re-process (Kg)]/Table1[Actual Production (Kg)], "")</f>
        <v>0</v>
      </c>
      <c r="I54" s="49">
        <f>IFERROR(Table1[[#This Row],[Actual Production (Kg)]]-Table1[[#This Row],[Re-process (Kg)]], "")</f>
        <v>5193</v>
      </c>
      <c r="J54" s="49">
        <v>22</v>
      </c>
      <c r="K54" s="72">
        <v>5</v>
      </c>
      <c r="L54" s="49">
        <f>IF(Table1[[#This Row],[Target Time (Hours)]]="","",Table1[[#This Row],[Target Time (Hours)]]-Table1[[#This Row],[Downtime (Hours)]])</f>
        <v>17</v>
      </c>
      <c r="M54" s="49">
        <f>IFERROR(Table1[[#This Row],[Capacity (Kg)]]/Table1[[#This Row],[Target Time (Hours)]] * Table1[[#This Row],[Downtime (Hours)]], "")</f>
        <v>1818.181818181818</v>
      </c>
      <c r="N54" s="50">
        <f>IFERROR(Table1[[#This Row],[Running Time (hr)]]/Table1[Target Time (Hours)], "")</f>
        <v>0.77272727272727271</v>
      </c>
      <c r="O54" s="50">
        <f>IFERROR(Table1[[#This Row],[Actual Production (Kg)]]/Table1[Capacity (Kg)], "")</f>
        <v>0.64912499999999995</v>
      </c>
      <c r="P54" s="50">
        <f>IFERROR(Table1[[#This Row],[Quality Pass Production]]/Table1[[#This Row],[Actual Production (Kg)]], "")</f>
        <v>1</v>
      </c>
      <c r="Q54" s="50">
        <f>IFERROR(Table1[[#This Row],[Utilization %]]*Table1[[#This Row],[Efficiency %]]*Table1[[#This Row],[Quality %]], "")</f>
        <v>0.50159659090909081</v>
      </c>
      <c r="R54" s="48" t="s">
        <v>54</v>
      </c>
    </row>
    <row r="55" spans="1:18" ht="30" customHeight="1" x14ac:dyDescent="0.25">
      <c r="A55" s="47">
        <v>46110</v>
      </c>
      <c r="B55" s="48" t="s">
        <v>33</v>
      </c>
      <c r="C55" s="48" t="s">
        <v>39</v>
      </c>
      <c r="D55" s="48" t="s">
        <v>31</v>
      </c>
      <c r="E55" s="49">
        <v>6000</v>
      </c>
      <c r="F55" s="76">
        <v>1518</v>
      </c>
      <c r="G55" s="49">
        <v>0</v>
      </c>
      <c r="H55" s="50">
        <f>IFERROR(Table1[Re-process (Kg)]/Table1[Actual Production (Kg)], "")</f>
        <v>0</v>
      </c>
      <c r="I55" s="49">
        <f>IFERROR(Table1[[#This Row],[Actual Production (Kg)]]-Table1[[#This Row],[Re-process (Kg)]], "")</f>
        <v>1518</v>
      </c>
      <c r="J55" s="49">
        <v>22</v>
      </c>
      <c r="K55" s="72">
        <v>9</v>
      </c>
      <c r="L55" s="49">
        <f>IF(Table1[[#This Row],[Target Time (Hours)]]="","",Table1[[#This Row],[Target Time (Hours)]]-Table1[[#This Row],[Downtime (Hours)]])</f>
        <v>13</v>
      </c>
      <c r="M55" s="49">
        <f>IFERROR(Table1[[#This Row],[Capacity (Kg)]]/Table1[[#This Row],[Target Time (Hours)]] * Table1[[#This Row],[Downtime (Hours)]], "")</f>
        <v>2454.545454545455</v>
      </c>
      <c r="N55" s="50">
        <f>IFERROR(Table1[[#This Row],[Running Time (hr)]]/Table1[Target Time (Hours)], "")</f>
        <v>0.59090909090909094</v>
      </c>
      <c r="O55" s="50">
        <f>IFERROR(Table1[[#This Row],[Actual Production (Kg)]]/Table1[Capacity (Kg)], "")</f>
        <v>0.253</v>
      </c>
      <c r="P55" s="50">
        <f>IFERROR(Table1[[#This Row],[Quality Pass Production]]/Table1[[#This Row],[Actual Production (Kg)]], "")</f>
        <v>1</v>
      </c>
      <c r="Q55" s="50">
        <f>IFERROR(Table1[[#This Row],[Utilization %]]*Table1[[#This Row],[Efficiency %]]*Table1[[#This Row],[Quality %]], "")</f>
        <v>0.14950000000000002</v>
      </c>
      <c r="R55" s="48" t="s">
        <v>55</v>
      </c>
    </row>
    <row r="56" spans="1:18" ht="45" customHeight="1" x14ac:dyDescent="0.25">
      <c r="A56" s="54">
        <v>46110</v>
      </c>
      <c r="B56" s="55" t="s">
        <v>33</v>
      </c>
      <c r="C56" s="55" t="s">
        <v>40</v>
      </c>
      <c r="D56" s="55" t="s">
        <v>31</v>
      </c>
      <c r="E56" s="56">
        <v>5000</v>
      </c>
      <c r="F56" s="56">
        <v>2552</v>
      </c>
      <c r="G56" s="56">
        <v>0</v>
      </c>
      <c r="H56" s="58">
        <f>IFERROR(Table1[Re-process (Kg)]/Table1[Actual Production (Kg)], "")</f>
        <v>0</v>
      </c>
      <c r="I56" s="56">
        <f>IFERROR(Table1[[#This Row],[Actual Production (Kg)]]-Table1[[#This Row],[Re-process (Kg)]], "")</f>
        <v>2552</v>
      </c>
      <c r="J56" s="56">
        <v>22</v>
      </c>
      <c r="K56" s="55">
        <v>0</v>
      </c>
      <c r="L56" s="56">
        <f>IF(Table1[[#This Row],[Target Time (Hours)]]="","",Table1[[#This Row],[Target Time (Hours)]]-Table1[[#This Row],[Downtime (Hours)]])</f>
        <v>22</v>
      </c>
      <c r="M56" s="56">
        <f>IFERROR(Table1[[#This Row],[Capacity (Kg)]]/Table1[[#This Row],[Target Time (Hours)]] * Table1[[#This Row],[Downtime (Hours)]], "")</f>
        <v>0</v>
      </c>
      <c r="N56" s="58">
        <f>IFERROR(Table1[[#This Row],[Running Time (hr)]]/Table1[Target Time (Hours)], "")</f>
        <v>1</v>
      </c>
      <c r="O56" s="58">
        <f>IFERROR(Table1[[#This Row],[Actual Production (Kg)]]/Table1[Capacity (Kg)], "")</f>
        <v>0.51039999999999996</v>
      </c>
      <c r="P56" s="58">
        <f>IFERROR(Table1[[#This Row],[Quality Pass Production]]/Table1[[#This Row],[Actual Production (Kg)]], "")</f>
        <v>1</v>
      </c>
      <c r="Q56" s="58">
        <f>IFERROR(Table1[[#This Row],[Utilization %]]*Table1[[#This Row],[Efficiency %]]*Table1[[#This Row],[Quality %]], "")</f>
        <v>0.51039999999999996</v>
      </c>
      <c r="R56" s="55" t="s">
        <v>56</v>
      </c>
    </row>
    <row r="57" spans="1:18" ht="30" customHeight="1" x14ac:dyDescent="0.25">
      <c r="A57" s="47">
        <v>46111</v>
      </c>
      <c r="B57" s="48" t="s">
        <v>18</v>
      </c>
      <c r="C57" s="48" t="s">
        <v>19</v>
      </c>
      <c r="D57" s="48" t="s">
        <v>20</v>
      </c>
      <c r="E57" s="49">
        <v>10000</v>
      </c>
      <c r="F57" s="76">
        <v>8489</v>
      </c>
      <c r="G57" s="49">
        <v>0</v>
      </c>
      <c r="H57" s="50">
        <f>IFERROR(Table1[Re-process (Kg)]/Table1[Actual Production (Kg)], "")</f>
        <v>0</v>
      </c>
      <c r="I57" s="49">
        <f>IFERROR(Table1[[#This Row],[Actual Production (Kg)]]-Table1[[#This Row],[Re-process (Kg)]], "")</f>
        <v>8489</v>
      </c>
      <c r="J57" s="49">
        <v>22</v>
      </c>
      <c r="K57" s="72">
        <v>0</v>
      </c>
      <c r="L57" s="49">
        <f>IF(Table1[[#This Row],[Target Time (Hours)]]="","",Table1[[#This Row],[Target Time (Hours)]]-Table1[[#This Row],[Downtime (Hours)]])</f>
        <v>22</v>
      </c>
      <c r="M57" s="49">
        <f>IFERROR(Table1[[#This Row],[Capacity (Kg)]]/Table1[[#This Row],[Target Time (Hours)]] * Table1[[#This Row],[Downtime (Hours)]], "")</f>
        <v>0</v>
      </c>
      <c r="N57" s="50">
        <f>IFERROR(Table1[[#This Row],[Running Time (hr)]]/Table1[Target Time (Hours)], "")</f>
        <v>1</v>
      </c>
      <c r="O57" s="50">
        <f>IFERROR(Table1[[#This Row],[Actual Production (Kg)]]/Table1[Capacity (Kg)], "")</f>
        <v>0.84889999999999999</v>
      </c>
      <c r="P57" s="50">
        <f>IFERROR(Table1[[#This Row],[Quality Pass Production]]/Table1[[#This Row],[Actual Production (Kg)]], "")</f>
        <v>1</v>
      </c>
      <c r="Q57" s="50">
        <f>IFERROR(Table1[[#This Row],[Utilization %]]*Table1[[#This Row],[Efficiency %]]*Table1[[#This Row],[Quality %]], "")</f>
        <v>0.84889999999999999</v>
      </c>
    </row>
    <row r="58" spans="1:18" x14ac:dyDescent="0.25">
      <c r="A58" s="47">
        <v>46111</v>
      </c>
      <c r="B58" s="48" t="s">
        <v>18</v>
      </c>
      <c r="C58" s="48" t="s">
        <v>22</v>
      </c>
      <c r="D58" s="48" t="s">
        <v>23</v>
      </c>
      <c r="E58" s="49">
        <v>5000</v>
      </c>
      <c r="F58" s="76">
        <v>3207</v>
      </c>
      <c r="G58" s="49">
        <v>0</v>
      </c>
      <c r="H58" s="50">
        <f>IFERROR(Table1[Re-process (Kg)]/Table1[Actual Production (Kg)], "")</f>
        <v>0</v>
      </c>
      <c r="I58" s="49">
        <f>IFERROR(Table1[[#This Row],[Actual Production (Kg)]]-Table1[[#This Row],[Re-process (Kg)]], "")</f>
        <v>3207</v>
      </c>
      <c r="J58" s="49">
        <v>22</v>
      </c>
      <c r="K58" s="72">
        <v>0</v>
      </c>
      <c r="L58" s="49">
        <f>IF(Table1[[#This Row],[Target Time (Hours)]]="","",Table1[[#This Row],[Target Time (Hours)]]-Table1[[#This Row],[Downtime (Hours)]])</f>
        <v>22</v>
      </c>
      <c r="M58" s="49">
        <f>IFERROR(Table1[[#This Row],[Capacity (Kg)]]/Table1[[#This Row],[Target Time (Hours)]] * Table1[[#This Row],[Downtime (Hours)]], "")</f>
        <v>0</v>
      </c>
      <c r="N58" s="50">
        <f>IFERROR(Table1[[#This Row],[Running Time (hr)]]/Table1[Target Time (Hours)], "")</f>
        <v>1</v>
      </c>
      <c r="O58" s="50">
        <f>IFERROR(Table1[[#This Row],[Actual Production (Kg)]]/Table1[Capacity (Kg)], "")</f>
        <v>0.64139999999999997</v>
      </c>
      <c r="P58" s="50">
        <f>IFERROR(Table1[[#This Row],[Quality Pass Production]]/Table1[[#This Row],[Actual Production (Kg)]], "")</f>
        <v>1</v>
      </c>
      <c r="Q58" s="50">
        <f>IFERROR(Table1[[#This Row],[Utilization %]]*Table1[[#This Row],[Efficiency %]]*Table1[[#This Row],[Quality %]], "")</f>
        <v>0.64139999999999997</v>
      </c>
    </row>
    <row r="59" spans="1:18" x14ac:dyDescent="0.25">
      <c r="A59" s="47">
        <v>46111</v>
      </c>
      <c r="B59" s="48" t="s">
        <v>18</v>
      </c>
      <c r="C59" s="48" t="s">
        <v>22</v>
      </c>
      <c r="D59" s="48" t="s">
        <v>25</v>
      </c>
      <c r="E59" s="49">
        <v>4000</v>
      </c>
      <c r="F59" s="76">
        <v>4767</v>
      </c>
      <c r="G59" s="49">
        <v>0</v>
      </c>
      <c r="H59" s="50">
        <f>IFERROR(Table1[Re-process (Kg)]/Table1[Actual Production (Kg)], "")</f>
        <v>0</v>
      </c>
      <c r="I59" s="49">
        <f>IFERROR(Table1[[#This Row],[Actual Production (Kg)]]-Table1[[#This Row],[Re-process (Kg)]], "")</f>
        <v>4767</v>
      </c>
      <c r="J59" s="49"/>
      <c r="K59" s="72"/>
      <c r="L59" s="49" t="str">
        <f>IF(Table1[[#This Row],[Target Time (Hours)]]="","",Table1[[#This Row],[Target Time (Hours)]]-Table1[[#This Row],[Downtime (Hours)]])</f>
        <v/>
      </c>
      <c r="M59" s="49" t="str">
        <f>IFERROR(Table1[[#This Row],[Capacity (Kg)]]/Table1[[#This Row],[Target Time (Hours)]] * Table1[[#This Row],[Downtime (Hours)]], "")</f>
        <v/>
      </c>
      <c r="N59" s="50" t="str">
        <f>IFERROR(Table1[[#This Row],[Running Time (hr)]]/Table1[Target Time (Hours)], "")</f>
        <v/>
      </c>
      <c r="O59" s="50">
        <f>IFERROR(Table1[[#This Row],[Actual Production (Kg)]]/Table1[Capacity (Kg)], "")</f>
        <v>1.1917500000000001</v>
      </c>
      <c r="P59" s="50">
        <f>IFERROR(Table1[[#This Row],[Quality Pass Production]]/Table1[[#This Row],[Actual Production (Kg)]], "")</f>
        <v>1</v>
      </c>
      <c r="Q59" s="50" t="str">
        <f>IFERROR(Table1[[#This Row],[Utilization %]]*Table1[[#This Row],[Efficiency %]]*Table1[[#This Row],[Quality %]], "")</f>
        <v/>
      </c>
    </row>
    <row r="60" spans="1:18" x14ac:dyDescent="0.25">
      <c r="A60" s="47">
        <v>46111</v>
      </c>
      <c r="B60" s="48" t="s">
        <v>18</v>
      </c>
      <c r="C60" s="48" t="s">
        <v>26</v>
      </c>
      <c r="D60" s="48" t="s">
        <v>25</v>
      </c>
      <c r="E60" s="49">
        <v>7000</v>
      </c>
      <c r="F60" s="76">
        <v>7031</v>
      </c>
      <c r="G60" s="49">
        <v>0</v>
      </c>
      <c r="H60" s="50">
        <f>IFERROR(Table1[Re-process (Kg)]/Table1[Actual Production (Kg)], "")</f>
        <v>0</v>
      </c>
      <c r="I60" s="49">
        <f>IFERROR(Table1[[#This Row],[Actual Production (Kg)]]-Table1[[#This Row],[Re-process (Kg)]], "")</f>
        <v>7031</v>
      </c>
      <c r="J60" s="49">
        <v>22</v>
      </c>
      <c r="K60" s="72">
        <v>0</v>
      </c>
      <c r="L60" s="49">
        <f>IF(Table1[[#This Row],[Target Time (Hours)]]="","",Table1[[#This Row],[Target Time (Hours)]]-Table1[[#This Row],[Downtime (Hours)]])</f>
        <v>22</v>
      </c>
      <c r="M60" s="49">
        <f>IFERROR(Table1[[#This Row],[Capacity (Kg)]]/Table1[[#This Row],[Target Time (Hours)]] * Table1[[#This Row],[Downtime (Hours)]], "")</f>
        <v>0</v>
      </c>
      <c r="N60" s="50">
        <f>IFERROR(Table1[[#This Row],[Running Time (hr)]]/Table1[Target Time (Hours)], "")</f>
        <v>1</v>
      </c>
      <c r="O60" s="50">
        <f>IFERROR(Table1[[#This Row],[Actual Production (Kg)]]/Table1[Capacity (Kg)], "")</f>
        <v>1.0044285714285714</v>
      </c>
      <c r="P60" s="50">
        <f>IFERROR(Table1[[#This Row],[Quality Pass Production]]/Table1[[#This Row],[Actual Production (Kg)]], "")</f>
        <v>1</v>
      </c>
      <c r="Q60" s="50">
        <f>IFERROR(Table1[[#This Row],[Utilization %]]*Table1[[#This Row],[Efficiency %]]*Table1[[#This Row],[Quality %]], "")</f>
        <v>1.0044285714285714</v>
      </c>
    </row>
    <row r="61" spans="1:18" ht="30" customHeight="1" x14ac:dyDescent="0.25">
      <c r="A61" s="47">
        <v>46111</v>
      </c>
      <c r="B61" s="48" t="s">
        <v>18</v>
      </c>
      <c r="C61" s="48" t="s">
        <v>28</v>
      </c>
      <c r="D61" s="48" t="s">
        <v>29</v>
      </c>
      <c r="E61" s="49"/>
      <c r="F61" s="76"/>
      <c r="G61" s="49">
        <v>0</v>
      </c>
      <c r="H61" s="50" t="str">
        <f>IFERROR(Table1[Re-process (Kg)]/Table1[Actual Production (Kg)], "")</f>
        <v/>
      </c>
      <c r="I61" s="49">
        <f>IFERROR(Table1[[#This Row],[Actual Production (Kg)]]-Table1[[#This Row],[Re-process (Kg)]], "")</f>
        <v>0</v>
      </c>
      <c r="J61" s="49"/>
      <c r="K61" s="72"/>
      <c r="L61" s="49" t="str">
        <f>IF(Table1[[#This Row],[Target Time (Hours)]]="","",Table1[[#This Row],[Target Time (Hours)]]-Table1[[#This Row],[Downtime (Hours)]])</f>
        <v/>
      </c>
      <c r="M61" s="49" t="str">
        <f>IFERROR(Table1[[#This Row],[Capacity (Kg)]]/Table1[[#This Row],[Target Time (Hours)]] * Table1[[#This Row],[Downtime (Hours)]], "")</f>
        <v/>
      </c>
      <c r="N61" s="50" t="str">
        <f>IFERROR(Table1[[#This Row],[Running Time (hr)]]/Table1[Target Time (Hours)], "")</f>
        <v/>
      </c>
      <c r="O61" s="50" t="str">
        <f>IFERROR(Table1[[#This Row],[Actual Production (Kg)]]/Table1[Capacity (Kg)], "")</f>
        <v/>
      </c>
      <c r="P61" s="50" t="str">
        <f>IFERROR(Table1[[#This Row],[Quality Pass Production]]/Table1[[#This Row],[Actual Production (Kg)]], "")</f>
        <v/>
      </c>
      <c r="Q61" s="50" t="str">
        <f>IFERROR(Table1[[#This Row],[Utilization %]]*Table1[[#This Row],[Efficiency %]]*Table1[[#This Row],[Quality %]], "")</f>
        <v/>
      </c>
    </row>
    <row r="62" spans="1:18" ht="30" customHeight="1" x14ac:dyDescent="0.25">
      <c r="A62" s="47">
        <v>46111</v>
      </c>
      <c r="B62" s="48" t="s">
        <v>18</v>
      </c>
      <c r="C62" s="48" t="s">
        <v>30</v>
      </c>
      <c r="D62" s="48" t="s">
        <v>31</v>
      </c>
      <c r="E62" s="49">
        <v>9000</v>
      </c>
      <c r="F62" s="76">
        <v>7684</v>
      </c>
      <c r="G62" s="49">
        <v>0</v>
      </c>
      <c r="H62" s="50">
        <f>IFERROR(Table1[Re-process (Kg)]/Table1[Actual Production (Kg)], "")</f>
        <v>0</v>
      </c>
      <c r="I62" s="49">
        <f>IFERROR(Table1[[#This Row],[Actual Production (Kg)]]-Table1[[#This Row],[Re-process (Kg)]], "")</f>
        <v>7684</v>
      </c>
      <c r="J62" s="49">
        <v>22</v>
      </c>
      <c r="K62" s="72">
        <v>0</v>
      </c>
      <c r="L62" s="49">
        <f>IF(Table1[[#This Row],[Target Time (Hours)]]="","",Table1[[#This Row],[Target Time (Hours)]]-Table1[[#This Row],[Downtime (Hours)]])</f>
        <v>22</v>
      </c>
      <c r="M62" s="49">
        <f>IFERROR(Table1[[#This Row],[Capacity (Kg)]]/Table1[[#This Row],[Target Time (Hours)]] * Table1[[#This Row],[Downtime (Hours)]], "")</f>
        <v>0</v>
      </c>
      <c r="N62" s="50">
        <f>IFERROR(Table1[[#This Row],[Running Time (hr)]]/Table1[Target Time (Hours)], "")</f>
        <v>1</v>
      </c>
      <c r="O62" s="50">
        <f>IFERROR(Table1[[#This Row],[Actual Production (Kg)]]/Table1[Capacity (Kg)], "")</f>
        <v>0.85377777777777775</v>
      </c>
      <c r="P62" s="50">
        <f>IFERROR(Table1[[#This Row],[Quality Pass Production]]/Table1[[#This Row],[Actual Production (Kg)]], "")</f>
        <v>1</v>
      </c>
      <c r="Q62" s="50">
        <f>IFERROR(Table1[[#This Row],[Utilization %]]*Table1[[#This Row],[Efficiency %]]*Table1[[#This Row],[Quality %]], "")</f>
        <v>0.85377777777777775</v>
      </c>
    </row>
    <row r="63" spans="1:18" ht="30" customHeight="1" x14ac:dyDescent="0.25">
      <c r="A63" s="26">
        <v>46111</v>
      </c>
      <c r="B63" s="27" t="s">
        <v>18</v>
      </c>
      <c r="C63" s="27" t="s">
        <v>32</v>
      </c>
      <c r="D63" s="27" t="s">
        <v>31</v>
      </c>
      <c r="E63" s="79">
        <f>Table1[[#This Row],[Actual Production (Kg)]]</f>
        <v>1246</v>
      </c>
      <c r="F63" s="79">
        <v>1246</v>
      </c>
      <c r="G63" s="79"/>
      <c r="H63" s="28"/>
      <c r="I63" s="79"/>
      <c r="J63" s="79"/>
      <c r="K63" s="27"/>
      <c r="L63" s="53" t="str">
        <f>IF(Table1[[#This Row],[Target Time (Hours)]]="","",Table1[[#This Row],[Target Time (Hours)]]-Table1[[#This Row],[Downtime (Hours)]])</f>
        <v/>
      </c>
      <c r="M63" s="79"/>
      <c r="N63" s="28"/>
      <c r="O63" s="28"/>
      <c r="P63" s="28"/>
      <c r="Q63" s="28"/>
      <c r="R63" s="27" t="s">
        <v>57</v>
      </c>
    </row>
    <row r="64" spans="1:18" ht="30" customHeight="1" x14ac:dyDescent="0.25">
      <c r="A64" s="47">
        <v>46111</v>
      </c>
      <c r="B64" s="48" t="s">
        <v>33</v>
      </c>
      <c r="C64" s="48" t="s">
        <v>34</v>
      </c>
      <c r="D64" s="48" t="s">
        <v>35</v>
      </c>
      <c r="E64" s="49">
        <v>9000</v>
      </c>
      <c r="F64" s="76">
        <v>6421</v>
      </c>
      <c r="G64" s="49">
        <v>0</v>
      </c>
      <c r="H64" s="50">
        <f>IFERROR(Table1[Re-process (Kg)]/Table1[Actual Production (Kg)], "")</f>
        <v>0</v>
      </c>
      <c r="I64" s="49">
        <f>IFERROR(Table1[[#This Row],[Actual Production (Kg)]]-Table1[[#This Row],[Re-process (Kg)]], "")</f>
        <v>6421</v>
      </c>
      <c r="J64" s="49">
        <v>22</v>
      </c>
      <c r="K64" s="72">
        <v>0</v>
      </c>
      <c r="L64" s="49">
        <f>IF(Table1[[#This Row],[Target Time (Hours)]]="","",Table1[[#This Row],[Target Time (Hours)]]-Table1[[#This Row],[Downtime (Hours)]])</f>
        <v>22</v>
      </c>
      <c r="M64" s="49">
        <f>IFERROR(Table1[[#This Row],[Capacity (Kg)]]/Table1[[#This Row],[Target Time (Hours)]] * Table1[[#This Row],[Downtime (Hours)]], "")</f>
        <v>0</v>
      </c>
      <c r="N64" s="50">
        <f>IFERROR(Table1[[#This Row],[Running Time (hr)]]/Table1[Target Time (Hours)], "")</f>
        <v>1</v>
      </c>
      <c r="O64" s="50">
        <f>IFERROR(Table1[[#This Row],[Actual Production (Kg)]]/Table1[Capacity (Kg)], "")</f>
        <v>0.71344444444444444</v>
      </c>
      <c r="P64" s="50">
        <f>IFERROR(Table1[[#This Row],[Quality Pass Production]]/Table1[[#This Row],[Actual Production (Kg)]], "")</f>
        <v>1</v>
      </c>
      <c r="Q64" s="50">
        <f>IFERROR(Table1[[#This Row],[Utilization %]]*Table1[[#This Row],[Efficiency %]]*Table1[[#This Row],[Quality %]], "")</f>
        <v>0.71344444444444444</v>
      </c>
      <c r="R64" s="48" t="s">
        <v>58</v>
      </c>
    </row>
    <row r="65" spans="1:18" x14ac:dyDescent="0.25">
      <c r="A65" s="47">
        <v>46111</v>
      </c>
      <c r="B65" s="48" t="s">
        <v>33</v>
      </c>
      <c r="C65" s="48" t="s">
        <v>36</v>
      </c>
      <c r="D65" s="48" t="s">
        <v>37</v>
      </c>
      <c r="E65" s="49">
        <v>8000</v>
      </c>
      <c r="F65" s="76">
        <v>6450</v>
      </c>
      <c r="G65" s="49">
        <v>0</v>
      </c>
      <c r="H65" s="50">
        <f>IFERROR(Table1[Re-process (Kg)]/Table1[Actual Production (Kg)], "")</f>
        <v>0</v>
      </c>
      <c r="I65" s="49">
        <f>IFERROR(Table1[[#This Row],[Actual Production (Kg)]]-Table1[[#This Row],[Re-process (Kg)]], "")</f>
        <v>6450</v>
      </c>
      <c r="J65" s="49">
        <v>22</v>
      </c>
      <c r="K65" s="72">
        <v>0</v>
      </c>
      <c r="L65" s="49">
        <f>IF(Table1[[#This Row],[Target Time (Hours)]]="","",Table1[[#This Row],[Target Time (Hours)]]-Table1[[#This Row],[Downtime (Hours)]])</f>
        <v>22</v>
      </c>
      <c r="M65" s="49">
        <f>IFERROR(Table1[[#This Row],[Capacity (Kg)]]/Table1[[#This Row],[Target Time (Hours)]] * Table1[[#This Row],[Downtime (Hours)]], "")</f>
        <v>0</v>
      </c>
      <c r="N65" s="50">
        <f>IFERROR(Table1[[#This Row],[Running Time (hr)]]/Table1[Target Time (Hours)], "")</f>
        <v>1</v>
      </c>
      <c r="O65" s="50">
        <f>IFERROR(Table1[[#This Row],[Actual Production (Kg)]]/Table1[Capacity (Kg)], "")</f>
        <v>0.80625000000000002</v>
      </c>
      <c r="P65" s="50">
        <f>IFERROR(Table1[[#This Row],[Quality Pass Production]]/Table1[[#This Row],[Actual Production (Kg)]], "")</f>
        <v>1</v>
      </c>
      <c r="Q65" s="50">
        <f>IFERROR(Table1[[#This Row],[Utilization %]]*Table1[[#This Row],[Efficiency %]]*Table1[[#This Row],[Quality %]], "")</f>
        <v>0.80625000000000002</v>
      </c>
      <c r="R65" s="48" t="s">
        <v>58</v>
      </c>
    </row>
    <row r="66" spans="1:18" ht="30" customHeight="1" x14ac:dyDescent="0.25">
      <c r="A66" s="47">
        <v>46111</v>
      </c>
      <c r="B66" s="48" t="s">
        <v>33</v>
      </c>
      <c r="C66" s="48" t="s">
        <v>39</v>
      </c>
      <c r="D66" s="48" t="s">
        <v>31</v>
      </c>
      <c r="E66" s="49">
        <v>6000</v>
      </c>
      <c r="F66" s="76">
        <v>2769</v>
      </c>
      <c r="G66" s="49">
        <v>0</v>
      </c>
      <c r="H66" s="50">
        <f>IFERROR(Table1[Re-process (Kg)]/Table1[Actual Production (Kg)], "")</f>
        <v>0</v>
      </c>
      <c r="I66" s="49">
        <f>IFERROR(Table1[[#This Row],[Actual Production (Kg)]]-Table1[[#This Row],[Re-process (Kg)]], "")</f>
        <v>2769</v>
      </c>
      <c r="J66" s="49">
        <v>22</v>
      </c>
      <c r="K66" s="72">
        <v>0</v>
      </c>
      <c r="L66" s="49">
        <f>IF(Table1[[#This Row],[Target Time (Hours)]]="","",Table1[[#This Row],[Target Time (Hours)]]-Table1[[#This Row],[Downtime (Hours)]])</f>
        <v>22</v>
      </c>
      <c r="M66" s="49">
        <f>IFERROR(Table1[[#This Row],[Capacity (Kg)]]/Table1[[#This Row],[Target Time (Hours)]] * Table1[[#This Row],[Downtime (Hours)]], "")</f>
        <v>0</v>
      </c>
      <c r="N66" s="50">
        <f>IFERROR(Table1[[#This Row],[Running Time (hr)]]/Table1[Target Time (Hours)], "")</f>
        <v>1</v>
      </c>
      <c r="O66" s="50">
        <f>IFERROR(Table1[[#This Row],[Actual Production (Kg)]]/Table1[Capacity (Kg)], "")</f>
        <v>0.46150000000000002</v>
      </c>
      <c r="P66" s="50">
        <f>IFERROR(Table1[[#This Row],[Quality Pass Production]]/Table1[[#This Row],[Actual Production (Kg)]], "")</f>
        <v>1</v>
      </c>
      <c r="Q66" s="50">
        <f>IFERROR(Table1[[#This Row],[Utilization %]]*Table1[[#This Row],[Efficiency %]]*Table1[[#This Row],[Quality %]], "")</f>
        <v>0.46150000000000002</v>
      </c>
      <c r="R66" s="48" t="s">
        <v>58</v>
      </c>
    </row>
    <row r="67" spans="1:18" ht="45" customHeight="1" x14ac:dyDescent="0.25">
      <c r="A67" s="54">
        <v>46111</v>
      </c>
      <c r="B67" s="55" t="s">
        <v>33</v>
      </c>
      <c r="C67" s="55" t="s">
        <v>40</v>
      </c>
      <c r="D67" s="55" t="s">
        <v>31</v>
      </c>
      <c r="E67" s="56">
        <v>5000</v>
      </c>
      <c r="F67" s="56">
        <v>3137</v>
      </c>
      <c r="G67" s="56">
        <v>0</v>
      </c>
      <c r="H67" s="58">
        <f>IFERROR(Table1[Re-process (Kg)]/Table1[Actual Production (Kg)], "")</f>
        <v>0</v>
      </c>
      <c r="I67" s="56">
        <f>IFERROR(Table1[[#This Row],[Actual Production (Kg)]]-Table1[[#This Row],[Re-process (Kg)]], "")</f>
        <v>3137</v>
      </c>
      <c r="J67" s="56">
        <v>22</v>
      </c>
      <c r="K67" s="55">
        <v>0</v>
      </c>
      <c r="L67" s="56">
        <f>IF(Table1[[#This Row],[Target Time (Hours)]]="","",Table1[[#This Row],[Target Time (Hours)]]-Table1[[#This Row],[Downtime (Hours)]])</f>
        <v>22</v>
      </c>
      <c r="M67" s="56">
        <f>IFERROR(Table1[[#This Row],[Capacity (Kg)]]/Table1[[#This Row],[Target Time (Hours)]] * Table1[[#This Row],[Downtime (Hours)]], "")</f>
        <v>0</v>
      </c>
      <c r="N67" s="58">
        <f>IFERROR(Table1[[#This Row],[Running Time (hr)]]/Table1[Target Time (Hours)], "")</f>
        <v>1</v>
      </c>
      <c r="O67" s="58">
        <f>IFERROR(Table1[[#This Row],[Actual Production (Kg)]]/Table1[Capacity (Kg)], "")</f>
        <v>0.62739999999999996</v>
      </c>
      <c r="P67" s="58">
        <f>IFERROR(Table1[[#This Row],[Quality Pass Production]]/Table1[[#This Row],[Actual Production (Kg)]], "")</f>
        <v>1</v>
      </c>
      <c r="Q67" s="58">
        <f>IFERROR(Table1[[#This Row],[Utilization %]]*Table1[[#This Row],[Efficiency %]]*Table1[[#This Row],[Quality %]], "")</f>
        <v>0.62739999999999996</v>
      </c>
      <c r="R67" s="55" t="s">
        <v>42</v>
      </c>
    </row>
    <row r="68" spans="1:18" ht="30" customHeight="1" x14ac:dyDescent="0.25">
      <c r="A68" s="47">
        <v>46113</v>
      </c>
      <c r="B68" s="48" t="s">
        <v>18</v>
      </c>
      <c r="C68" s="48" t="s">
        <v>19</v>
      </c>
      <c r="D68" s="48" t="s">
        <v>20</v>
      </c>
      <c r="E68" s="49">
        <v>10000</v>
      </c>
      <c r="F68" s="76">
        <v>9098</v>
      </c>
      <c r="G68" s="49">
        <v>0</v>
      </c>
      <c r="H68" s="50">
        <f>IFERROR(Table1[Re-process (Kg)]/Table1[Actual Production (Kg)], "")</f>
        <v>0</v>
      </c>
      <c r="I68" s="49">
        <f>IFERROR(Table1[[#This Row],[Actual Production (Kg)]]-Table1[[#This Row],[Re-process (Kg)]], "")</f>
        <v>9098</v>
      </c>
      <c r="J68" s="49">
        <v>22</v>
      </c>
      <c r="K68" s="72">
        <v>0</v>
      </c>
      <c r="L68" s="49">
        <f>IF(Table1[[#This Row],[Target Time (Hours)]]="","",Table1[[#This Row],[Target Time (Hours)]]-Table1[[#This Row],[Downtime (Hours)]])</f>
        <v>22</v>
      </c>
      <c r="M68" s="49">
        <f>IFERROR(Table1[[#This Row],[Capacity (Kg)]]/Table1[[#This Row],[Target Time (Hours)]] * Table1[[#This Row],[Downtime (Hours)]], "")</f>
        <v>0</v>
      </c>
      <c r="N68" s="50">
        <f>IFERROR(Table1[[#This Row],[Running Time (hr)]]/Table1[Target Time (Hours)], "")</f>
        <v>1</v>
      </c>
      <c r="O68" s="50">
        <f>IFERROR(Table1[[#This Row],[Actual Production (Kg)]]/Table1[Capacity (Kg)], "")</f>
        <v>0.90980000000000005</v>
      </c>
      <c r="P68" s="50">
        <f>IFERROR(Table1[[#This Row],[Quality Pass Production]]/Table1[[#This Row],[Actual Production (Kg)]], "")</f>
        <v>1</v>
      </c>
      <c r="Q68" s="50">
        <f>IFERROR(Table1[[#This Row],[Utilization %]]*Table1[[#This Row],[Efficiency %]]*Table1[[#This Row],[Quality %]], "")</f>
        <v>0.90980000000000005</v>
      </c>
    </row>
    <row r="69" spans="1:18" x14ac:dyDescent="0.25">
      <c r="A69" s="47">
        <v>46113</v>
      </c>
      <c r="B69" s="48" t="s">
        <v>18</v>
      </c>
      <c r="C69" s="48" t="s">
        <v>22</v>
      </c>
      <c r="D69" s="48" t="s">
        <v>23</v>
      </c>
      <c r="E69" s="49">
        <v>5000</v>
      </c>
      <c r="F69" s="76">
        <v>4470</v>
      </c>
      <c r="G69" s="49">
        <v>0</v>
      </c>
      <c r="H69" s="50">
        <f>IFERROR(Table1[Re-process (Kg)]/Table1[Actual Production (Kg)], "")</f>
        <v>0</v>
      </c>
      <c r="I69" s="49">
        <f>IFERROR(Table1[[#This Row],[Actual Production (Kg)]]-Table1[[#This Row],[Re-process (Kg)]], "")</f>
        <v>4470</v>
      </c>
      <c r="J69" s="49">
        <v>22</v>
      </c>
      <c r="K69" s="72">
        <v>0</v>
      </c>
      <c r="L69" s="49">
        <f>IF(Table1[[#This Row],[Target Time (Hours)]]="","",Table1[[#This Row],[Target Time (Hours)]]-Table1[[#This Row],[Downtime (Hours)]])</f>
        <v>22</v>
      </c>
      <c r="M69" s="49">
        <f>IFERROR(Table1[[#This Row],[Capacity (Kg)]]/Table1[[#This Row],[Target Time (Hours)]] * Table1[[#This Row],[Downtime (Hours)]], "")</f>
        <v>0</v>
      </c>
      <c r="N69" s="50">
        <f>IFERROR(Table1[[#This Row],[Running Time (hr)]]/Table1[Target Time (Hours)], "")</f>
        <v>1</v>
      </c>
      <c r="O69" s="50">
        <f>IFERROR(Table1[[#This Row],[Actual Production (Kg)]]/Table1[Capacity (Kg)], "")</f>
        <v>0.89400000000000002</v>
      </c>
      <c r="P69" s="50">
        <f>IFERROR(Table1[[#This Row],[Quality Pass Production]]/Table1[[#This Row],[Actual Production (Kg)]], "")</f>
        <v>1</v>
      </c>
      <c r="Q69" s="50">
        <f>IFERROR(Table1[[#This Row],[Utilization %]]*Table1[[#This Row],[Efficiency %]]*Table1[[#This Row],[Quality %]], "")</f>
        <v>0.89400000000000002</v>
      </c>
    </row>
    <row r="70" spans="1:18" x14ac:dyDescent="0.25">
      <c r="A70" s="47">
        <v>46113</v>
      </c>
      <c r="B70" s="48" t="s">
        <v>18</v>
      </c>
      <c r="C70" s="48" t="s">
        <v>22</v>
      </c>
      <c r="D70" s="48" t="s">
        <v>25</v>
      </c>
      <c r="E70" s="49">
        <v>4000</v>
      </c>
      <c r="F70" s="76">
        <v>3409</v>
      </c>
      <c r="G70" s="49">
        <v>0</v>
      </c>
      <c r="H70" s="50">
        <f>IFERROR(Table1[Re-process (Kg)]/Table1[Actual Production (Kg)], "")</f>
        <v>0</v>
      </c>
      <c r="I70" s="49">
        <f>IFERROR(Table1[[#This Row],[Actual Production (Kg)]]-Table1[[#This Row],[Re-process (Kg)]], "")</f>
        <v>3409</v>
      </c>
      <c r="J70" s="49"/>
      <c r="K70" s="72"/>
      <c r="L70" s="49" t="str">
        <f>IF(Table1[[#This Row],[Target Time (Hours)]]="","",Table1[[#This Row],[Target Time (Hours)]]-Table1[[#This Row],[Downtime (Hours)]])</f>
        <v/>
      </c>
      <c r="M70" s="49" t="str">
        <f>IFERROR(Table1[[#This Row],[Capacity (Kg)]]/Table1[[#This Row],[Target Time (Hours)]] * Table1[[#This Row],[Downtime (Hours)]], "")</f>
        <v/>
      </c>
      <c r="N70" s="50" t="str">
        <f>IFERROR(Table1[[#This Row],[Running Time (hr)]]/Table1[Target Time (Hours)], "")</f>
        <v/>
      </c>
      <c r="O70" s="50">
        <f>IFERROR(Table1[[#This Row],[Actual Production (Kg)]]/Table1[Capacity (Kg)], "")</f>
        <v>0.85224999999999995</v>
      </c>
      <c r="P70" s="50">
        <f>IFERROR(Table1[[#This Row],[Quality Pass Production]]/Table1[[#This Row],[Actual Production (Kg)]], "")</f>
        <v>1</v>
      </c>
      <c r="Q70" s="50" t="str">
        <f>IFERROR(Table1[[#This Row],[Utilization %]]*Table1[[#This Row],[Efficiency %]]*Table1[[#This Row],[Quality %]], "")</f>
        <v/>
      </c>
    </row>
    <row r="71" spans="1:18" x14ac:dyDescent="0.25">
      <c r="A71" s="47">
        <v>46113</v>
      </c>
      <c r="B71" s="48" t="s">
        <v>18</v>
      </c>
      <c r="C71" s="48" t="s">
        <v>26</v>
      </c>
      <c r="D71" s="48" t="s">
        <v>25</v>
      </c>
      <c r="E71" s="49">
        <v>7000</v>
      </c>
      <c r="F71" s="76">
        <v>7768</v>
      </c>
      <c r="G71" s="49">
        <v>0</v>
      </c>
      <c r="H71" s="50">
        <f>IFERROR(Table1[Re-process (Kg)]/Table1[Actual Production (Kg)], "")</f>
        <v>0</v>
      </c>
      <c r="I71" s="49">
        <f>IFERROR(Table1[[#This Row],[Actual Production (Kg)]]-Table1[[#This Row],[Re-process (Kg)]], "")</f>
        <v>7768</v>
      </c>
      <c r="J71" s="49">
        <v>22</v>
      </c>
      <c r="K71" s="72">
        <v>0</v>
      </c>
      <c r="L71" s="49">
        <f>IF(Table1[[#This Row],[Target Time (Hours)]]="","",Table1[[#This Row],[Target Time (Hours)]]-Table1[[#This Row],[Downtime (Hours)]])</f>
        <v>22</v>
      </c>
      <c r="M71" s="49">
        <f>IFERROR(Table1[[#This Row],[Capacity (Kg)]]/Table1[[#This Row],[Target Time (Hours)]] * Table1[[#This Row],[Downtime (Hours)]], "")</f>
        <v>0</v>
      </c>
      <c r="N71" s="50">
        <f>IFERROR(Table1[[#This Row],[Running Time (hr)]]/Table1[Target Time (Hours)], "")</f>
        <v>1</v>
      </c>
      <c r="O71" s="50">
        <f>IFERROR(Table1[[#This Row],[Actual Production (Kg)]]/Table1[Capacity (Kg)], "")</f>
        <v>1.1097142857142857</v>
      </c>
      <c r="P71" s="50">
        <f>IFERROR(Table1[[#This Row],[Quality Pass Production]]/Table1[[#This Row],[Actual Production (Kg)]], "")</f>
        <v>1</v>
      </c>
      <c r="Q71" s="50">
        <f>IFERROR(Table1[[#This Row],[Utilization %]]*Table1[[#This Row],[Efficiency %]]*Table1[[#This Row],[Quality %]], "")</f>
        <v>1.1097142857142857</v>
      </c>
    </row>
    <row r="72" spans="1:18" ht="30" customHeight="1" x14ac:dyDescent="0.25">
      <c r="A72" s="47">
        <v>46113</v>
      </c>
      <c r="B72" s="48" t="s">
        <v>18</v>
      </c>
      <c r="C72" s="48" t="s">
        <v>28</v>
      </c>
      <c r="D72" s="48" t="s">
        <v>29</v>
      </c>
      <c r="E72" s="49"/>
      <c r="F72" s="76"/>
      <c r="G72" s="49">
        <v>0</v>
      </c>
      <c r="H72" s="50" t="str">
        <f>IFERROR(Table1[Re-process (Kg)]/Table1[Actual Production (Kg)], "")</f>
        <v/>
      </c>
      <c r="I72" s="49">
        <f>IFERROR(Table1[[#This Row],[Actual Production (Kg)]]-Table1[[#This Row],[Re-process (Kg)]], "")</f>
        <v>0</v>
      </c>
      <c r="J72" s="49"/>
      <c r="K72" s="72"/>
      <c r="L72" s="49" t="str">
        <f>IF(Table1[[#This Row],[Target Time (Hours)]]="","",Table1[[#This Row],[Target Time (Hours)]]-Table1[[#This Row],[Downtime (Hours)]])</f>
        <v/>
      </c>
      <c r="M72" s="49" t="str">
        <f>IFERROR(Table1[[#This Row],[Capacity (Kg)]]/Table1[[#This Row],[Target Time (Hours)]] * Table1[[#This Row],[Downtime (Hours)]], "")</f>
        <v/>
      </c>
      <c r="N72" s="50" t="str">
        <f>IFERROR(Table1[[#This Row],[Running Time (hr)]]/Table1[Target Time (Hours)], "")</f>
        <v/>
      </c>
      <c r="O72" s="50" t="str">
        <f>IFERROR(Table1[[#This Row],[Actual Production (Kg)]]/Table1[Capacity (Kg)], "")</f>
        <v/>
      </c>
      <c r="P72" s="50" t="str">
        <f>IFERROR(Table1[[#This Row],[Quality Pass Production]]/Table1[[#This Row],[Actual Production (Kg)]], "")</f>
        <v/>
      </c>
      <c r="Q72" s="50" t="str">
        <f>IFERROR(Table1[[#This Row],[Utilization %]]*Table1[[#This Row],[Efficiency %]]*Table1[[#This Row],[Quality %]], "")</f>
        <v/>
      </c>
    </row>
    <row r="73" spans="1:18" ht="30" customHeight="1" x14ac:dyDescent="0.25">
      <c r="A73" s="47">
        <v>46113</v>
      </c>
      <c r="B73" s="48" t="s">
        <v>18</v>
      </c>
      <c r="C73" s="48" t="s">
        <v>30</v>
      </c>
      <c r="D73" s="48" t="s">
        <v>31</v>
      </c>
      <c r="E73" s="49">
        <v>9000</v>
      </c>
      <c r="F73" s="76">
        <v>7943</v>
      </c>
      <c r="G73" s="49">
        <v>0</v>
      </c>
      <c r="H73" s="50">
        <f>IFERROR(Table1[Re-process (Kg)]/Table1[Actual Production (Kg)], "")</f>
        <v>0</v>
      </c>
      <c r="I73" s="49">
        <f>IFERROR(Table1[[#This Row],[Actual Production (Kg)]]-Table1[[#This Row],[Re-process (Kg)]], "")</f>
        <v>7943</v>
      </c>
      <c r="J73" s="49">
        <v>22</v>
      </c>
      <c r="K73" s="72">
        <v>0</v>
      </c>
      <c r="L73" s="49">
        <f>IF(Table1[[#This Row],[Target Time (Hours)]]="","",Table1[[#This Row],[Target Time (Hours)]]-Table1[[#This Row],[Downtime (Hours)]])</f>
        <v>22</v>
      </c>
      <c r="M73" s="49">
        <f>IFERROR(Table1[[#This Row],[Capacity (Kg)]]/Table1[[#This Row],[Target Time (Hours)]] * Table1[[#This Row],[Downtime (Hours)]], "")</f>
        <v>0</v>
      </c>
      <c r="N73" s="50">
        <f>IFERROR(Table1[[#This Row],[Running Time (hr)]]/Table1[Target Time (Hours)], "")</f>
        <v>1</v>
      </c>
      <c r="O73" s="50">
        <f>IFERROR(Table1[[#This Row],[Actual Production (Kg)]]/Table1[Capacity (Kg)], "")</f>
        <v>0.88255555555555554</v>
      </c>
      <c r="P73" s="50">
        <f>IFERROR(Table1[[#This Row],[Quality Pass Production]]/Table1[[#This Row],[Actual Production (Kg)]], "")</f>
        <v>1</v>
      </c>
      <c r="Q73" s="50">
        <f>IFERROR(Table1[[#This Row],[Utilization %]]*Table1[[#This Row],[Efficiency %]]*Table1[[#This Row],[Quality %]], "")</f>
        <v>0.88255555555555554</v>
      </c>
    </row>
    <row r="74" spans="1:18" ht="30" customHeight="1" x14ac:dyDescent="0.25">
      <c r="A74" s="26">
        <v>46113</v>
      </c>
      <c r="B74" s="27" t="s">
        <v>18</v>
      </c>
      <c r="C74" s="27" t="s">
        <v>32</v>
      </c>
      <c r="D74" s="27" t="s">
        <v>31</v>
      </c>
      <c r="E74" s="79">
        <f>Table1[[#This Row],[Actual Production (Kg)]]</f>
        <v>0</v>
      </c>
      <c r="F74" s="79">
        <v>0</v>
      </c>
      <c r="G74" s="79"/>
      <c r="H74" s="28"/>
      <c r="I74" s="79"/>
      <c r="J74" s="79"/>
      <c r="K74" s="27"/>
      <c r="L74" s="53" t="str">
        <f>IF(Table1[[#This Row],[Target Time (Hours)]]="","",Table1[[#This Row],[Target Time (Hours)]]-Table1[[#This Row],[Downtime (Hours)]])</f>
        <v/>
      </c>
      <c r="M74" s="79"/>
      <c r="N74" s="28"/>
      <c r="O74" s="28"/>
      <c r="P74" s="28"/>
      <c r="Q74" s="28"/>
      <c r="R74" s="27"/>
    </row>
    <row r="75" spans="1:18" ht="30" customHeight="1" x14ac:dyDescent="0.25">
      <c r="A75" s="47">
        <v>46113</v>
      </c>
      <c r="B75" s="48" t="s">
        <v>33</v>
      </c>
      <c r="C75" s="48" t="s">
        <v>34</v>
      </c>
      <c r="D75" s="48" t="s">
        <v>35</v>
      </c>
      <c r="E75" s="49">
        <v>9000</v>
      </c>
      <c r="F75" s="76">
        <v>6707</v>
      </c>
      <c r="G75" s="49">
        <v>0</v>
      </c>
      <c r="H75" s="50">
        <f>IFERROR(Table1[Re-process (Kg)]/Table1[Actual Production (Kg)], "")</f>
        <v>0</v>
      </c>
      <c r="I75" s="49">
        <f>IFERROR(Table1[[#This Row],[Actual Production (Kg)]]-Table1[[#This Row],[Re-process (Kg)]], "")</f>
        <v>6707</v>
      </c>
      <c r="J75" s="49">
        <v>22</v>
      </c>
      <c r="K75" s="72">
        <v>0</v>
      </c>
      <c r="L75" s="49">
        <f>IF(Table1[[#This Row],[Target Time (Hours)]]="","",Table1[[#This Row],[Target Time (Hours)]]-Table1[[#This Row],[Downtime (Hours)]])</f>
        <v>22</v>
      </c>
      <c r="M75" s="49">
        <f>IFERROR(Table1[[#This Row],[Capacity (Kg)]]/Table1[[#This Row],[Target Time (Hours)]] * Table1[[#This Row],[Downtime (Hours)]], "")</f>
        <v>0</v>
      </c>
      <c r="N75" s="50">
        <f>IFERROR(Table1[[#This Row],[Running Time (hr)]]/Table1[Target Time (Hours)], "")</f>
        <v>1</v>
      </c>
      <c r="O75" s="50">
        <f>IFERROR(Table1[[#This Row],[Actual Production (Kg)]]/Table1[Capacity (Kg)], "")</f>
        <v>0.74522222222222223</v>
      </c>
      <c r="P75" s="50">
        <f>IFERROR(Table1[[#This Row],[Quality Pass Production]]/Table1[[#This Row],[Actual Production (Kg)]], "")</f>
        <v>1</v>
      </c>
      <c r="Q75" s="50">
        <f>IFERROR(Table1[[#This Row],[Utilization %]]*Table1[[#This Row],[Efficiency %]]*Table1[[#This Row],[Quality %]], "")</f>
        <v>0.74522222222222223</v>
      </c>
      <c r="R75" s="48" t="s">
        <v>58</v>
      </c>
    </row>
    <row r="76" spans="1:18" x14ac:dyDescent="0.25">
      <c r="A76" s="47">
        <v>46113</v>
      </c>
      <c r="B76" s="48" t="s">
        <v>33</v>
      </c>
      <c r="C76" s="48" t="s">
        <v>36</v>
      </c>
      <c r="D76" s="48" t="s">
        <v>37</v>
      </c>
      <c r="E76" s="49">
        <v>8000</v>
      </c>
      <c r="F76" s="76">
        <v>6840</v>
      </c>
      <c r="G76" s="49">
        <v>0</v>
      </c>
      <c r="H76" s="50">
        <f>IFERROR(Table1[Re-process (Kg)]/Table1[Actual Production (Kg)], "")</f>
        <v>0</v>
      </c>
      <c r="I76" s="49">
        <f>IFERROR(Table1[[#This Row],[Actual Production (Kg)]]-Table1[[#This Row],[Re-process (Kg)]], "")</f>
        <v>6840</v>
      </c>
      <c r="J76" s="49">
        <v>22</v>
      </c>
      <c r="K76" s="72">
        <v>0</v>
      </c>
      <c r="L76" s="49">
        <f>IF(Table1[[#This Row],[Target Time (Hours)]]="","",Table1[[#This Row],[Target Time (Hours)]]-Table1[[#This Row],[Downtime (Hours)]])</f>
        <v>22</v>
      </c>
      <c r="M76" s="49">
        <f>IFERROR(Table1[[#This Row],[Capacity (Kg)]]/Table1[[#This Row],[Target Time (Hours)]] * Table1[[#This Row],[Downtime (Hours)]], "")</f>
        <v>0</v>
      </c>
      <c r="N76" s="50">
        <f>IFERROR(Table1[[#This Row],[Running Time (hr)]]/Table1[Target Time (Hours)], "")</f>
        <v>1</v>
      </c>
      <c r="O76" s="50">
        <f>IFERROR(Table1[[#This Row],[Actual Production (Kg)]]/Table1[Capacity (Kg)], "")</f>
        <v>0.85499999999999998</v>
      </c>
      <c r="P76" s="50">
        <f>IFERROR(Table1[[#This Row],[Quality Pass Production]]/Table1[[#This Row],[Actual Production (Kg)]], "")</f>
        <v>1</v>
      </c>
      <c r="Q76" s="50">
        <f>IFERROR(Table1[[#This Row],[Utilization %]]*Table1[[#This Row],[Efficiency %]]*Table1[[#This Row],[Quality %]], "")</f>
        <v>0.85499999999999998</v>
      </c>
      <c r="R76" s="48" t="s">
        <v>58</v>
      </c>
    </row>
    <row r="77" spans="1:18" ht="30" customHeight="1" x14ac:dyDescent="0.25">
      <c r="A77" s="47">
        <v>46113</v>
      </c>
      <c r="B77" s="48" t="s">
        <v>33</v>
      </c>
      <c r="C77" s="48" t="s">
        <v>39</v>
      </c>
      <c r="D77" s="48" t="s">
        <v>31</v>
      </c>
      <c r="E77" s="49">
        <v>6000</v>
      </c>
      <c r="F77" s="76">
        <v>2991</v>
      </c>
      <c r="G77" s="49">
        <v>0</v>
      </c>
      <c r="H77" s="50">
        <f>IFERROR(Table1[Re-process (Kg)]/Table1[Actual Production (Kg)], "")</f>
        <v>0</v>
      </c>
      <c r="I77" s="49">
        <f>IFERROR(Table1[[#This Row],[Actual Production (Kg)]]-Table1[[#This Row],[Re-process (Kg)]], "")</f>
        <v>2991</v>
      </c>
      <c r="J77" s="49">
        <v>22</v>
      </c>
      <c r="K77" s="72">
        <v>0</v>
      </c>
      <c r="L77" s="49">
        <f>IF(Table1[[#This Row],[Target Time (Hours)]]="","",Table1[[#This Row],[Target Time (Hours)]]-Table1[[#This Row],[Downtime (Hours)]])</f>
        <v>22</v>
      </c>
      <c r="M77" s="49">
        <f>IFERROR(Table1[[#This Row],[Capacity (Kg)]]/Table1[[#This Row],[Target Time (Hours)]] * Table1[[#This Row],[Downtime (Hours)]], "")</f>
        <v>0</v>
      </c>
      <c r="N77" s="50">
        <f>IFERROR(Table1[[#This Row],[Running Time (hr)]]/Table1[Target Time (Hours)], "")</f>
        <v>1</v>
      </c>
      <c r="O77" s="50">
        <f>IFERROR(Table1[[#This Row],[Actual Production (Kg)]]/Table1[Capacity (Kg)], "")</f>
        <v>0.4985</v>
      </c>
      <c r="P77" s="50">
        <f>IFERROR(Table1[[#This Row],[Quality Pass Production]]/Table1[[#This Row],[Actual Production (Kg)]], "")</f>
        <v>1</v>
      </c>
      <c r="Q77" s="50">
        <f>IFERROR(Table1[[#This Row],[Utilization %]]*Table1[[#This Row],[Efficiency %]]*Table1[[#This Row],[Quality %]], "")</f>
        <v>0.4985</v>
      </c>
      <c r="R77" s="48" t="s">
        <v>58</v>
      </c>
    </row>
    <row r="78" spans="1:18" ht="45" customHeight="1" x14ac:dyDescent="0.25">
      <c r="A78" s="54">
        <v>46113</v>
      </c>
      <c r="B78" s="55" t="s">
        <v>33</v>
      </c>
      <c r="C78" s="55" t="s">
        <v>40</v>
      </c>
      <c r="D78" s="55" t="s">
        <v>31</v>
      </c>
      <c r="E78" s="56">
        <v>5000</v>
      </c>
      <c r="F78" s="56">
        <v>3740</v>
      </c>
      <c r="G78" s="56">
        <v>0</v>
      </c>
      <c r="H78" s="58">
        <f>IFERROR(Table1[Re-process (Kg)]/Table1[Actual Production (Kg)], "")</f>
        <v>0</v>
      </c>
      <c r="I78" s="56">
        <f>IFERROR(Table1[[#This Row],[Actual Production (Kg)]]-Table1[[#This Row],[Re-process (Kg)]], "")</f>
        <v>3740</v>
      </c>
      <c r="J78" s="56">
        <v>22</v>
      </c>
      <c r="K78" s="55">
        <v>0</v>
      </c>
      <c r="L78" s="56">
        <f>IF(Table1[[#This Row],[Target Time (Hours)]]="","",Table1[[#This Row],[Target Time (Hours)]]-Table1[[#This Row],[Downtime (Hours)]])</f>
        <v>22</v>
      </c>
      <c r="M78" s="56">
        <f>IFERROR(Table1[[#This Row],[Capacity (Kg)]]/Table1[[#This Row],[Target Time (Hours)]] * Table1[[#This Row],[Downtime (Hours)]], "")</f>
        <v>0</v>
      </c>
      <c r="N78" s="58">
        <f>IFERROR(Table1[[#This Row],[Running Time (hr)]]/Table1[Target Time (Hours)], "")</f>
        <v>1</v>
      </c>
      <c r="O78" s="58">
        <f>IFERROR(Table1[[#This Row],[Actual Production (Kg)]]/Table1[Capacity (Kg)], "")</f>
        <v>0.748</v>
      </c>
      <c r="P78" s="58">
        <f>IFERROR(Table1[[#This Row],[Quality Pass Production]]/Table1[[#This Row],[Actual Production (Kg)]], "")</f>
        <v>1</v>
      </c>
      <c r="Q78" s="58">
        <f>IFERROR(Table1[[#This Row],[Utilization %]]*Table1[[#This Row],[Efficiency %]]*Table1[[#This Row],[Quality %]], "")</f>
        <v>0.748</v>
      </c>
      <c r="R78" s="55" t="s">
        <v>58</v>
      </c>
    </row>
    <row r="79" spans="1:18" ht="30" customHeight="1" x14ac:dyDescent="0.25">
      <c r="A79" s="47">
        <v>46114</v>
      </c>
      <c r="B79" s="48" t="s">
        <v>18</v>
      </c>
      <c r="C79" s="48" t="s">
        <v>19</v>
      </c>
      <c r="D79" s="48" t="s">
        <v>20</v>
      </c>
      <c r="E79" s="49">
        <v>10000</v>
      </c>
      <c r="F79" s="76">
        <v>8530</v>
      </c>
      <c r="G79" s="49">
        <v>0</v>
      </c>
      <c r="H79" s="50">
        <f>IFERROR(Table1[Re-process (Kg)]/Table1[Actual Production (Kg)], "")</f>
        <v>0</v>
      </c>
      <c r="I79" s="49">
        <f>IFERROR(Table1[[#This Row],[Actual Production (Kg)]]-Table1[[#This Row],[Re-process (Kg)]], "")</f>
        <v>8530</v>
      </c>
      <c r="J79" s="49">
        <v>22</v>
      </c>
      <c r="K79" s="72">
        <v>0</v>
      </c>
      <c r="L79" s="49">
        <f>IF(Table1[[#This Row],[Target Time (Hours)]]="","",Table1[[#This Row],[Target Time (Hours)]]-Table1[[#This Row],[Downtime (Hours)]])</f>
        <v>22</v>
      </c>
      <c r="M79" s="49">
        <f>IFERROR(Table1[[#This Row],[Capacity (Kg)]]/Table1[[#This Row],[Target Time (Hours)]] * Table1[[#This Row],[Downtime (Hours)]], "")</f>
        <v>0</v>
      </c>
      <c r="N79" s="50">
        <f>IFERROR(Table1[[#This Row],[Running Time (hr)]]/Table1[Target Time (Hours)], "")</f>
        <v>1</v>
      </c>
      <c r="O79" s="50">
        <f>IFERROR(Table1[[#This Row],[Actual Production (Kg)]]/Table1[Capacity (Kg)], "")</f>
        <v>0.85299999999999998</v>
      </c>
      <c r="P79" s="50">
        <f>IFERROR(Table1[[#This Row],[Quality Pass Production]]/Table1[[#This Row],[Actual Production (Kg)]], "")</f>
        <v>1</v>
      </c>
      <c r="Q79" s="50">
        <f>IFERROR(Table1[[#This Row],[Utilization %]]*Table1[[#This Row],[Efficiency %]]*Table1[[#This Row],[Quality %]], "")</f>
        <v>0.85299999999999998</v>
      </c>
    </row>
    <row r="80" spans="1:18" x14ac:dyDescent="0.25">
      <c r="A80" s="47">
        <v>46114</v>
      </c>
      <c r="B80" s="48" t="s">
        <v>18</v>
      </c>
      <c r="C80" s="48" t="s">
        <v>22</v>
      </c>
      <c r="D80" s="48" t="s">
        <v>23</v>
      </c>
      <c r="E80" s="49">
        <v>5000</v>
      </c>
      <c r="F80" s="76">
        <v>2748</v>
      </c>
      <c r="G80" s="49">
        <v>0</v>
      </c>
      <c r="H80" s="50">
        <f>IFERROR(Table1[Re-process (Kg)]/Table1[Actual Production (Kg)], "")</f>
        <v>0</v>
      </c>
      <c r="I80" s="49">
        <f>IFERROR(Table1[[#This Row],[Actual Production (Kg)]]-Table1[[#This Row],[Re-process (Kg)]], "")</f>
        <v>2748</v>
      </c>
      <c r="J80" s="49">
        <v>22</v>
      </c>
      <c r="K80" s="72">
        <v>0</v>
      </c>
      <c r="L80" s="49">
        <f>IF(Table1[[#This Row],[Target Time (Hours)]]="","",Table1[[#This Row],[Target Time (Hours)]]-Table1[[#This Row],[Downtime (Hours)]])</f>
        <v>22</v>
      </c>
      <c r="M80" s="49">
        <f>IFERROR(Table1[[#This Row],[Capacity (Kg)]]/Table1[[#This Row],[Target Time (Hours)]] * Table1[[#This Row],[Downtime (Hours)]], "")</f>
        <v>0</v>
      </c>
      <c r="N80" s="50">
        <f>IFERROR(Table1[[#This Row],[Running Time (hr)]]/Table1[Target Time (Hours)], "")</f>
        <v>1</v>
      </c>
      <c r="O80" s="50">
        <f>IFERROR(Table1[[#This Row],[Actual Production (Kg)]]/Table1[Capacity (Kg)], "")</f>
        <v>0.54959999999999998</v>
      </c>
      <c r="P80" s="50">
        <f>IFERROR(Table1[[#This Row],[Quality Pass Production]]/Table1[[#This Row],[Actual Production (Kg)]], "")</f>
        <v>1</v>
      </c>
      <c r="Q80" s="50">
        <f>IFERROR(Table1[[#This Row],[Utilization %]]*Table1[[#This Row],[Efficiency %]]*Table1[[#This Row],[Quality %]], "")</f>
        <v>0.54959999999999998</v>
      </c>
    </row>
    <row r="81" spans="1:18" x14ac:dyDescent="0.25">
      <c r="A81" s="47">
        <v>46114</v>
      </c>
      <c r="B81" s="48" t="s">
        <v>18</v>
      </c>
      <c r="C81" s="48" t="s">
        <v>22</v>
      </c>
      <c r="D81" s="48" t="s">
        <v>25</v>
      </c>
      <c r="E81" s="49">
        <v>4000</v>
      </c>
      <c r="F81" s="76">
        <v>5922</v>
      </c>
      <c r="G81" s="49">
        <v>0</v>
      </c>
      <c r="H81" s="50">
        <f>IFERROR(Table1[Re-process (Kg)]/Table1[Actual Production (Kg)], "")</f>
        <v>0</v>
      </c>
      <c r="I81" s="49">
        <f>IFERROR(Table1[[#This Row],[Actual Production (Kg)]]-Table1[[#This Row],[Re-process (Kg)]], "")</f>
        <v>5922</v>
      </c>
      <c r="J81" s="49"/>
      <c r="K81" s="72"/>
      <c r="L81" s="49" t="str">
        <f>IF(Table1[[#This Row],[Target Time (Hours)]]="","",Table1[[#This Row],[Target Time (Hours)]]-Table1[[#This Row],[Downtime (Hours)]])</f>
        <v/>
      </c>
      <c r="M81" s="49" t="str">
        <f>IFERROR(Table1[[#This Row],[Capacity (Kg)]]/Table1[[#This Row],[Target Time (Hours)]] * Table1[[#This Row],[Downtime (Hours)]], "")</f>
        <v/>
      </c>
      <c r="N81" s="50" t="str">
        <f>IFERROR(Table1[[#This Row],[Running Time (hr)]]/Table1[Target Time (Hours)], "")</f>
        <v/>
      </c>
      <c r="O81" s="50">
        <f>IFERROR(Table1[[#This Row],[Actual Production (Kg)]]/Table1[Capacity (Kg)], "")</f>
        <v>1.4804999999999999</v>
      </c>
      <c r="P81" s="50">
        <f>IFERROR(Table1[[#This Row],[Quality Pass Production]]/Table1[[#This Row],[Actual Production (Kg)]], "")</f>
        <v>1</v>
      </c>
      <c r="Q81" s="50" t="str">
        <f>IFERROR(Table1[[#This Row],[Utilization %]]*Table1[[#This Row],[Efficiency %]]*Table1[[#This Row],[Quality %]], "")</f>
        <v/>
      </c>
    </row>
    <row r="82" spans="1:18" x14ac:dyDescent="0.25">
      <c r="A82" s="47">
        <v>46114</v>
      </c>
      <c r="B82" s="48" t="s">
        <v>18</v>
      </c>
      <c r="C82" s="48" t="s">
        <v>26</v>
      </c>
      <c r="D82" s="48" t="s">
        <v>25</v>
      </c>
      <c r="E82" s="49">
        <v>7000</v>
      </c>
      <c r="F82" s="76">
        <v>7225</v>
      </c>
      <c r="G82" s="49">
        <v>0</v>
      </c>
      <c r="H82" s="50">
        <f>IFERROR(Table1[Re-process (Kg)]/Table1[Actual Production (Kg)], "")</f>
        <v>0</v>
      </c>
      <c r="I82" s="49">
        <f>IFERROR(Table1[[#This Row],[Actual Production (Kg)]]-Table1[[#This Row],[Re-process (Kg)]], "")</f>
        <v>7225</v>
      </c>
      <c r="J82" s="49">
        <v>22</v>
      </c>
      <c r="K82" s="72">
        <v>0</v>
      </c>
      <c r="L82" s="49">
        <f>IF(Table1[[#This Row],[Target Time (Hours)]]="","",Table1[[#This Row],[Target Time (Hours)]]-Table1[[#This Row],[Downtime (Hours)]])</f>
        <v>22</v>
      </c>
      <c r="M82" s="49">
        <f>IFERROR(Table1[[#This Row],[Capacity (Kg)]]/Table1[[#This Row],[Target Time (Hours)]] * Table1[[#This Row],[Downtime (Hours)]], "")</f>
        <v>0</v>
      </c>
      <c r="N82" s="50">
        <f>IFERROR(Table1[[#This Row],[Running Time (hr)]]/Table1[Target Time (Hours)], "")</f>
        <v>1</v>
      </c>
      <c r="O82" s="50">
        <f>IFERROR(Table1[[#This Row],[Actual Production (Kg)]]/Table1[Capacity (Kg)], "")</f>
        <v>1.0321428571428573</v>
      </c>
      <c r="P82" s="50">
        <f>IFERROR(Table1[[#This Row],[Quality Pass Production]]/Table1[[#This Row],[Actual Production (Kg)]], "")</f>
        <v>1</v>
      </c>
      <c r="Q82" s="50">
        <f>IFERROR(Table1[[#This Row],[Utilization %]]*Table1[[#This Row],[Efficiency %]]*Table1[[#This Row],[Quality %]], "")</f>
        <v>1.0321428571428573</v>
      </c>
    </row>
    <row r="83" spans="1:18" ht="30" customHeight="1" x14ac:dyDescent="0.25">
      <c r="A83" s="47">
        <v>46114</v>
      </c>
      <c r="B83" s="48" t="s">
        <v>18</v>
      </c>
      <c r="C83" s="48" t="s">
        <v>28</v>
      </c>
      <c r="D83" s="48" t="s">
        <v>29</v>
      </c>
      <c r="E83" s="49"/>
      <c r="F83" s="76"/>
      <c r="G83" s="49">
        <v>0</v>
      </c>
      <c r="H83" s="50" t="str">
        <f>IFERROR(Table1[Re-process (Kg)]/Table1[Actual Production (Kg)], "")</f>
        <v/>
      </c>
      <c r="I83" s="49">
        <f>IFERROR(Table1[[#This Row],[Actual Production (Kg)]]-Table1[[#This Row],[Re-process (Kg)]], "")</f>
        <v>0</v>
      </c>
      <c r="J83" s="49"/>
      <c r="K83" s="72"/>
      <c r="L83" s="49" t="str">
        <f>IF(Table1[[#This Row],[Target Time (Hours)]]="","",Table1[[#This Row],[Target Time (Hours)]]-Table1[[#This Row],[Downtime (Hours)]])</f>
        <v/>
      </c>
      <c r="M83" s="49" t="str">
        <f>IFERROR(Table1[[#This Row],[Capacity (Kg)]]/Table1[[#This Row],[Target Time (Hours)]] * Table1[[#This Row],[Downtime (Hours)]], "")</f>
        <v/>
      </c>
      <c r="N83" s="50" t="str">
        <f>IFERROR(Table1[[#This Row],[Running Time (hr)]]/Table1[Target Time (Hours)], "")</f>
        <v/>
      </c>
      <c r="O83" s="50" t="str">
        <f>IFERROR(Table1[[#This Row],[Actual Production (Kg)]]/Table1[Capacity (Kg)], "")</f>
        <v/>
      </c>
      <c r="P83" s="50" t="str">
        <f>IFERROR(Table1[[#This Row],[Quality Pass Production]]/Table1[[#This Row],[Actual Production (Kg)]], "")</f>
        <v/>
      </c>
      <c r="Q83" s="50" t="str">
        <f>IFERROR(Table1[[#This Row],[Utilization %]]*Table1[[#This Row],[Efficiency %]]*Table1[[#This Row],[Quality %]], "")</f>
        <v/>
      </c>
    </row>
    <row r="84" spans="1:18" ht="30" customHeight="1" x14ac:dyDescent="0.25">
      <c r="A84" s="47">
        <v>46114</v>
      </c>
      <c r="B84" s="48" t="s">
        <v>18</v>
      </c>
      <c r="C84" s="48" t="s">
        <v>30</v>
      </c>
      <c r="D84" s="48" t="s">
        <v>31</v>
      </c>
      <c r="E84" s="49">
        <v>9000</v>
      </c>
      <c r="F84" s="76">
        <v>6472</v>
      </c>
      <c r="G84" s="49">
        <v>0</v>
      </c>
      <c r="H84" s="50">
        <f>IFERROR(Table1[Re-process (Kg)]/Table1[Actual Production (Kg)], "")</f>
        <v>0</v>
      </c>
      <c r="I84" s="49">
        <f>IFERROR(Table1[[#This Row],[Actual Production (Kg)]]-Table1[[#This Row],[Re-process (Kg)]], "")</f>
        <v>6472</v>
      </c>
      <c r="J84" s="49">
        <v>22</v>
      </c>
      <c r="K84" s="72">
        <v>0</v>
      </c>
      <c r="L84" s="49">
        <f>IF(Table1[[#This Row],[Target Time (Hours)]]="","",Table1[[#This Row],[Target Time (Hours)]]-Table1[[#This Row],[Downtime (Hours)]])</f>
        <v>22</v>
      </c>
      <c r="M84" s="49">
        <f>IFERROR(Table1[[#This Row],[Capacity (Kg)]]/Table1[[#This Row],[Target Time (Hours)]] * Table1[[#This Row],[Downtime (Hours)]], "")</f>
        <v>0</v>
      </c>
      <c r="N84" s="50">
        <f>IFERROR(Table1[[#This Row],[Running Time (hr)]]/Table1[Target Time (Hours)], "")</f>
        <v>1</v>
      </c>
      <c r="O84" s="50">
        <f>IFERROR(Table1[[#This Row],[Actual Production (Kg)]]/Table1[Capacity (Kg)], "")</f>
        <v>0.71911111111111115</v>
      </c>
      <c r="P84" s="50">
        <f>IFERROR(Table1[[#This Row],[Quality Pass Production]]/Table1[[#This Row],[Actual Production (Kg)]], "")</f>
        <v>1</v>
      </c>
      <c r="Q84" s="50">
        <f>IFERROR(Table1[[#This Row],[Utilization %]]*Table1[[#This Row],[Efficiency %]]*Table1[[#This Row],[Quality %]], "")</f>
        <v>0.71911111111111115</v>
      </c>
    </row>
    <row r="85" spans="1:18" ht="30" customHeight="1" x14ac:dyDescent="0.25">
      <c r="A85" s="26">
        <v>46114</v>
      </c>
      <c r="B85" s="27" t="s">
        <v>18</v>
      </c>
      <c r="C85" s="27" t="s">
        <v>32</v>
      </c>
      <c r="D85" s="27" t="s">
        <v>31</v>
      </c>
      <c r="E85" s="79">
        <f>Table1[[#This Row],[Actual Production (Kg)]]</f>
        <v>0</v>
      </c>
      <c r="F85" s="79">
        <v>0</v>
      </c>
      <c r="G85" s="79"/>
      <c r="H85" s="28"/>
      <c r="I85" s="79"/>
      <c r="J85" s="79"/>
      <c r="K85" s="27"/>
      <c r="L85" s="53" t="str">
        <f>IF(Table1[[#This Row],[Target Time (Hours)]]="","",Table1[[#This Row],[Target Time (Hours)]]-Table1[[#This Row],[Downtime (Hours)]])</f>
        <v/>
      </c>
      <c r="M85" s="79"/>
      <c r="N85" s="28"/>
      <c r="O85" s="28"/>
      <c r="P85" s="28"/>
      <c r="Q85" s="28"/>
      <c r="R85" s="27" t="s">
        <v>59</v>
      </c>
    </row>
    <row r="86" spans="1:18" ht="30" customHeight="1" x14ac:dyDescent="0.25">
      <c r="A86" s="47">
        <v>46114</v>
      </c>
      <c r="B86" s="48" t="s">
        <v>33</v>
      </c>
      <c r="C86" s="48" t="s">
        <v>34</v>
      </c>
      <c r="D86" s="48" t="s">
        <v>35</v>
      </c>
      <c r="E86" s="49">
        <v>9000</v>
      </c>
      <c r="F86" s="76">
        <v>6618</v>
      </c>
      <c r="G86" s="49">
        <v>0</v>
      </c>
      <c r="H86" s="50">
        <f>IFERROR(Table1[Re-process (Kg)]/Table1[Actual Production (Kg)], "")</f>
        <v>0</v>
      </c>
      <c r="I86" s="49">
        <f>IFERROR(Table1[[#This Row],[Actual Production (Kg)]]-Table1[[#This Row],[Re-process (Kg)]], "")</f>
        <v>6618</v>
      </c>
      <c r="J86" s="49">
        <v>22</v>
      </c>
      <c r="K86" s="72">
        <v>0</v>
      </c>
      <c r="L86" s="49">
        <f>IF(Table1[[#This Row],[Target Time (Hours)]]="","",Table1[[#This Row],[Target Time (Hours)]]-Table1[[#This Row],[Downtime (Hours)]])</f>
        <v>22</v>
      </c>
      <c r="M86" s="49">
        <f>IFERROR(Table1[[#This Row],[Capacity (Kg)]]/Table1[[#This Row],[Target Time (Hours)]] * Table1[[#This Row],[Downtime (Hours)]], "")</f>
        <v>0</v>
      </c>
      <c r="N86" s="50">
        <f>IFERROR(Table1[[#This Row],[Running Time (hr)]]/Table1[Target Time (Hours)], "")</f>
        <v>1</v>
      </c>
      <c r="O86" s="50">
        <f>IFERROR(Table1[[#This Row],[Actual Production (Kg)]]/Table1[Capacity (Kg)], "")</f>
        <v>0.73533333333333328</v>
      </c>
      <c r="P86" s="50">
        <f>IFERROR(Table1[[#This Row],[Quality Pass Production]]/Table1[[#This Row],[Actual Production (Kg)]], "")</f>
        <v>1</v>
      </c>
      <c r="Q86" s="50">
        <f>IFERROR(Table1[[#This Row],[Utilization %]]*Table1[[#This Row],[Efficiency %]]*Table1[[#This Row],[Quality %]], "")</f>
        <v>0.73533333333333328</v>
      </c>
      <c r="R86" s="48" t="s">
        <v>60</v>
      </c>
    </row>
    <row r="87" spans="1:18" x14ac:dyDescent="0.25">
      <c r="A87" s="47">
        <v>46114</v>
      </c>
      <c r="B87" s="48" t="s">
        <v>33</v>
      </c>
      <c r="C87" s="48" t="s">
        <v>36</v>
      </c>
      <c r="D87" s="48" t="s">
        <v>37</v>
      </c>
      <c r="E87" s="49">
        <v>8000</v>
      </c>
      <c r="F87" s="76">
        <v>7031</v>
      </c>
      <c r="G87" s="49">
        <v>0</v>
      </c>
      <c r="H87" s="50">
        <f>IFERROR(Table1[Re-process (Kg)]/Table1[Actual Production (Kg)], "")</f>
        <v>0</v>
      </c>
      <c r="I87" s="49">
        <f>IFERROR(Table1[[#This Row],[Actual Production (Kg)]]-Table1[[#This Row],[Re-process (Kg)]], "")</f>
        <v>7031</v>
      </c>
      <c r="J87" s="49">
        <v>22</v>
      </c>
      <c r="K87" s="72">
        <v>0</v>
      </c>
      <c r="L87" s="49">
        <f>IF(Table1[[#This Row],[Target Time (Hours)]]="","",Table1[[#This Row],[Target Time (Hours)]]-Table1[[#This Row],[Downtime (Hours)]])</f>
        <v>22</v>
      </c>
      <c r="M87" s="49">
        <f>IFERROR(Table1[[#This Row],[Capacity (Kg)]]/Table1[[#This Row],[Target Time (Hours)]] * Table1[[#This Row],[Downtime (Hours)]], "")</f>
        <v>0</v>
      </c>
      <c r="N87" s="50">
        <f>IFERROR(Table1[[#This Row],[Running Time (hr)]]/Table1[Target Time (Hours)], "")</f>
        <v>1</v>
      </c>
      <c r="O87" s="50">
        <f>IFERROR(Table1[[#This Row],[Actual Production (Kg)]]/Table1[Capacity (Kg)], "")</f>
        <v>0.87887499999999996</v>
      </c>
      <c r="P87" s="50">
        <f>IFERROR(Table1[[#This Row],[Quality Pass Production]]/Table1[[#This Row],[Actual Production (Kg)]], "")</f>
        <v>1</v>
      </c>
      <c r="Q87" s="50">
        <f>IFERROR(Table1[[#This Row],[Utilization %]]*Table1[[#This Row],[Efficiency %]]*Table1[[#This Row],[Quality %]], "")</f>
        <v>0.87887499999999996</v>
      </c>
    </row>
    <row r="88" spans="1:18" ht="30" customHeight="1" x14ac:dyDescent="0.25">
      <c r="A88" s="47">
        <v>46114</v>
      </c>
      <c r="B88" s="48" t="s">
        <v>33</v>
      </c>
      <c r="C88" s="48" t="s">
        <v>39</v>
      </c>
      <c r="D88" s="48" t="s">
        <v>31</v>
      </c>
      <c r="E88" s="49">
        <v>6000</v>
      </c>
      <c r="F88" s="76">
        <v>3058</v>
      </c>
      <c r="G88" s="49">
        <v>0</v>
      </c>
      <c r="H88" s="50">
        <f>IFERROR(Table1[Re-process (Kg)]/Table1[Actual Production (Kg)], "")</f>
        <v>0</v>
      </c>
      <c r="I88" s="49">
        <f>IFERROR(Table1[[#This Row],[Actual Production (Kg)]]-Table1[[#This Row],[Re-process (Kg)]], "")</f>
        <v>3058</v>
      </c>
      <c r="J88" s="49">
        <v>22</v>
      </c>
      <c r="K88" s="72">
        <v>0</v>
      </c>
      <c r="L88" s="49">
        <f>IF(Table1[[#This Row],[Target Time (Hours)]]="","",Table1[[#This Row],[Target Time (Hours)]]-Table1[[#This Row],[Downtime (Hours)]])</f>
        <v>22</v>
      </c>
      <c r="M88" s="49">
        <f>IFERROR(Table1[[#This Row],[Capacity (Kg)]]/Table1[[#This Row],[Target Time (Hours)]] * Table1[[#This Row],[Downtime (Hours)]], "")</f>
        <v>0</v>
      </c>
      <c r="N88" s="50">
        <f>IFERROR(Table1[[#This Row],[Running Time (hr)]]/Table1[Target Time (Hours)], "")</f>
        <v>1</v>
      </c>
      <c r="O88" s="50">
        <f>IFERROR(Table1[[#This Row],[Actual Production (Kg)]]/Table1[Capacity (Kg)], "")</f>
        <v>0.50966666666666671</v>
      </c>
      <c r="P88" s="50">
        <f>IFERROR(Table1[[#This Row],[Quality Pass Production]]/Table1[[#This Row],[Actual Production (Kg)]], "")</f>
        <v>1</v>
      </c>
      <c r="Q88" s="50">
        <f>IFERROR(Table1[[#This Row],[Utilization %]]*Table1[[#This Row],[Efficiency %]]*Table1[[#This Row],[Quality %]], "")</f>
        <v>0.50966666666666671</v>
      </c>
      <c r="R88" s="48" t="s">
        <v>60</v>
      </c>
    </row>
    <row r="89" spans="1:18" ht="45" customHeight="1" x14ac:dyDescent="0.25">
      <c r="A89" s="54">
        <v>46114</v>
      </c>
      <c r="B89" s="55" t="s">
        <v>33</v>
      </c>
      <c r="C89" s="55" t="s">
        <v>40</v>
      </c>
      <c r="D89" s="55" t="s">
        <v>31</v>
      </c>
      <c r="E89" s="56">
        <v>5000</v>
      </c>
      <c r="F89" s="56">
        <v>4033</v>
      </c>
      <c r="G89" s="56">
        <v>0</v>
      </c>
      <c r="H89" s="58">
        <f>IFERROR(Table1[Re-process (Kg)]/Table1[Actual Production (Kg)], "")</f>
        <v>0</v>
      </c>
      <c r="I89" s="56">
        <f>IFERROR(Table1[[#This Row],[Actual Production (Kg)]]-Table1[[#This Row],[Re-process (Kg)]], "")</f>
        <v>4033</v>
      </c>
      <c r="J89" s="56">
        <v>22</v>
      </c>
      <c r="K89" s="55">
        <v>0</v>
      </c>
      <c r="L89" s="56">
        <f>IF(Table1[[#This Row],[Target Time (Hours)]]="","",Table1[[#This Row],[Target Time (Hours)]]-Table1[[#This Row],[Downtime (Hours)]])</f>
        <v>22</v>
      </c>
      <c r="M89" s="56">
        <f>IFERROR(Table1[[#This Row],[Capacity (Kg)]]/Table1[[#This Row],[Target Time (Hours)]] * Table1[[#This Row],[Downtime (Hours)]], "")</f>
        <v>0</v>
      </c>
      <c r="N89" s="58">
        <f>IFERROR(Table1[[#This Row],[Running Time (hr)]]/Table1[Target Time (Hours)], "")</f>
        <v>1</v>
      </c>
      <c r="O89" s="58">
        <f>IFERROR(Table1[[#This Row],[Actual Production (Kg)]]/Table1[Capacity (Kg)], "")</f>
        <v>0.80659999999999998</v>
      </c>
      <c r="P89" s="58">
        <f>IFERROR(Table1[[#This Row],[Quality Pass Production]]/Table1[[#This Row],[Actual Production (Kg)]], "")</f>
        <v>1</v>
      </c>
      <c r="Q89" s="58">
        <f>IFERROR(Table1[[#This Row],[Utilization %]]*Table1[[#This Row],[Efficiency %]]*Table1[[#This Row],[Quality %]], "")</f>
        <v>0.80659999999999998</v>
      </c>
      <c r="R89" s="55"/>
    </row>
    <row r="90" spans="1:18" ht="30" customHeight="1" x14ac:dyDescent="0.25">
      <c r="A90" s="47">
        <v>46116</v>
      </c>
      <c r="B90" s="48" t="s">
        <v>18</v>
      </c>
      <c r="C90" s="48" t="s">
        <v>19</v>
      </c>
      <c r="D90" s="48" t="s">
        <v>20</v>
      </c>
      <c r="E90" s="49">
        <v>10000</v>
      </c>
      <c r="F90" s="76">
        <v>8390</v>
      </c>
      <c r="G90" s="49">
        <v>0</v>
      </c>
      <c r="H90" s="50">
        <f>IFERROR(Table1[Re-process (Kg)]/Table1[Actual Production (Kg)], "")</f>
        <v>0</v>
      </c>
      <c r="I90" s="49">
        <f>IFERROR(Table1[[#This Row],[Actual Production (Kg)]]-Table1[[#This Row],[Re-process (Kg)]], "")</f>
        <v>8390</v>
      </c>
      <c r="J90" s="49">
        <v>22</v>
      </c>
      <c r="K90" s="72">
        <v>2</v>
      </c>
      <c r="L90" s="49">
        <f>IF(Table1[[#This Row],[Target Time (Hours)]]="","",Table1[[#This Row],[Target Time (Hours)]]-Table1[[#This Row],[Downtime (Hours)]])</f>
        <v>20</v>
      </c>
      <c r="M90" s="49">
        <f>IFERROR(Table1[[#This Row],[Capacity (Kg)]]/Table1[[#This Row],[Target Time (Hours)]] * Table1[[#This Row],[Downtime (Hours)]], "")</f>
        <v>909.09090909090912</v>
      </c>
      <c r="N90" s="50">
        <f>IFERROR(Table1[[#This Row],[Running Time (hr)]]/Table1[Target Time (Hours)], "")</f>
        <v>0.90909090909090906</v>
      </c>
      <c r="O90" s="50">
        <f>IFERROR(Table1[[#This Row],[Actual Production (Kg)]]/Table1[Capacity (Kg)], "")</f>
        <v>0.83899999999999997</v>
      </c>
      <c r="P90" s="50">
        <f>IFERROR(Table1[[#This Row],[Quality Pass Production]]/Table1[[#This Row],[Actual Production (Kg)]], "")</f>
        <v>1</v>
      </c>
      <c r="Q90" s="50">
        <f>IFERROR(Table1[[#This Row],[Utilization %]]*Table1[[#This Row],[Efficiency %]]*Table1[[#This Row],[Quality %]], "")</f>
        <v>0.7627272727272727</v>
      </c>
      <c r="R90" s="48" t="s">
        <v>61</v>
      </c>
    </row>
    <row r="91" spans="1:18" x14ac:dyDescent="0.25">
      <c r="A91" s="47">
        <v>46116</v>
      </c>
      <c r="B91" s="48" t="s">
        <v>18</v>
      </c>
      <c r="C91" s="48" t="s">
        <v>22</v>
      </c>
      <c r="D91" s="48" t="s">
        <v>23</v>
      </c>
      <c r="E91" s="49">
        <v>5000</v>
      </c>
      <c r="F91" s="76">
        <v>6426</v>
      </c>
      <c r="G91" s="49">
        <v>0</v>
      </c>
      <c r="H91" s="50">
        <f>IFERROR(Table1[Re-process (Kg)]/Table1[Actual Production (Kg)], "")</f>
        <v>0</v>
      </c>
      <c r="I91" s="49">
        <f>IFERROR(Table1[[#This Row],[Actual Production (Kg)]]-Table1[[#This Row],[Re-process (Kg)]], "")</f>
        <v>6426</v>
      </c>
      <c r="J91" s="49">
        <v>22</v>
      </c>
      <c r="K91" s="72">
        <v>2</v>
      </c>
      <c r="L91" s="49">
        <f>IF(Table1[[#This Row],[Target Time (Hours)]]="","",Table1[[#This Row],[Target Time (Hours)]]-Table1[[#This Row],[Downtime (Hours)]])</f>
        <v>20</v>
      </c>
      <c r="M91" s="49">
        <f>IFERROR(Table1[[#This Row],[Capacity (Kg)]]/Table1[[#This Row],[Target Time (Hours)]] * Table1[[#This Row],[Downtime (Hours)]], "")</f>
        <v>454.54545454545456</v>
      </c>
      <c r="N91" s="50">
        <f>IFERROR(Table1[[#This Row],[Running Time (hr)]]/Table1[Target Time (Hours)], "")</f>
        <v>0.90909090909090906</v>
      </c>
      <c r="O91" s="50">
        <f>IFERROR(Table1[[#This Row],[Actual Production (Kg)]]/Table1[Capacity (Kg)], "")</f>
        <v>1.2851999999999999</v>
      </c>
      <c r="P91" s="50">
        <f>IFERROR(Table1[[#This Row],[Quality Pass Production]]/Table1[[#This Row],[Actual Production (Kg)]], "")</f>
        <v>1</v>
      </c>
      <c r="Q91" s="50">
        <f>IFERROR(Table1[[#This Row],[Utilization %]]*Table1[[#This Row],[Efficiency %]]*Table1[[#This Row],[Quality %]], "")</f>
        <v>1.1683636363636363</v>
      </c>
      <c r="R91" s="48" t="s">
        <v>61</v>
      </c>
    </row>
    <row r="92" spans="1:18" x14ac:dyDescent="0.25">
      <c r="A92" s="47">
        <v>46116</v>
      </c>
      <c r="B92" s="48" t="s">
        <v>18</v>
      </c>
      <c r="C92" s="48" t="s">
        <v>22</v>
      </c>
      <c r="D92" s="48" t="s">
        <v>25</v>
      </c>
      <c r="E92" s="49">
        <v>4000</v>
      </c>
      <c r="F92" s="76">
        <v>0</v>
      </c>
      <c r="G92" s="49">
        <v>0</v>
      </c>
      <c r="H92" s="50" t="str">
        <f>IFERROR(Table1[Re-process (Kg)]/Table1[Actual Production (Kg)], "")</f>
        <v/>
      </c>
      <c r="I92" s="49">
        <f>IFERROR(Table1[[#This Row],[Actual Production (Kg)]]-Table1[[#This Row],[Re-process (Kg)]], "")</f>
        <v>0</v>
      </c>
      <c r="J92" s="49"/>
      <c r="K92" s="72"/>
      <c r="L92" s="49" t="str">
        <f>IF(Table1[[#This Row],[Target Time (Hours)]]="","",Table1[[#This Row],[Target Time (Hours)]]-Table1[[#This Row],[Downtime (Hours)]])</f>
        <v/>
      </c>
      <c r="M92" s="49" t="str">
        <f>IFERROR(Table1[[#This Row],[Capacity (Kg)]]/Table1[[#This Row],[Target Time (Hours)]] * Table1[[#This Row],[Downtime (Hours)]], "")</f>
        <v/>
      </c>
      <c r="N92" s="50" t="str">
        <f>IFERROR(Table1[[#This Row],[Running Time (hr)]]/Table1[Target Time (Hours)], "")</f>
        <v/>
      </c>
      <c r="O92" s="50">
        <f>IFERROR(Table1[[#This Row],[Actual Production (Kg)]]/Table1[Capacity (Kg)], "")</f>
        <v>0</v>
      </c>
      <c r="P92" s="50" t="str">
        <f>IFERROR(Table1[[#This Row],[Quality Pass Production]]/Table1[[#This Row],[Actual Production (Kg)]], "")</f>
        <v/>
      </c>
      <c r="Q92" s="50" t="str">
        <f>IFERROR(Table1[[#This Row],[Utilization %]]*Table1[[#This Row],[Efficiency %]]*Table1[[#This Row],[Quality %]], "")</f>
        <v/>
      </c>
    </row>
    <row r="93" spans="1:18" x14ac:dyDescent="0.25">
      <c r="A93" s="47">
        <v>46116</v>
      </c>
      <c r="B93" s="48" t="s">
        <v>18</v>
      </c>
      <c r="C93" s="48" t="s">
        <v>26</v>
      </c>
      <c r="D93" s="48" t="s">
        <v>25</v>
      </c>
      <c r="E93" s="49">
        <v>7000</v>
      </c>
      <c r="F93" s="76">
        <v>6871</v>
      </c>
      <c r="G93" s="49">
        <v>0</v>
      </c>
      <c r="H93" s="50">
        <f>IFERROR(Table1[Re-process (Kg)]/Table1[Actual Production (Kg)], "")</f>
        <v>0</v>
      </c>
      <c r="I93" s="49">
        <f>IFERROR(Table1[[#This Row],[Actual Production (Kg)]]-Table1[[#This Row],[Re-process (Kg)]], "")</f>
        <v>6871</v>
      </c>
      <c r="J93" s="49">
        <v>22</v>
      </c>
      <c r="K93" s="72">
        <v>2</v>
      </c>
      <c r="L93" s="49">
        <f>IF(Table1[[#This Row],[Target Time (Hours)]]="","",Table1[[#This Row],[Target Time (Hours)]]-Table1[[#This Row],[Downtime (Hours)]])</f>
        <v>20</v>
      </c>
      <c r="M93" s="49">
        <f>IFERROR(Table1[[#This Row],[Capacity (Kg)]]/Table1[[#This Row],[Target Time (Hours)]] * Table1[[#This Row],[Downtime (Hours)]], "")</f>
        <v>636.36363636363637</v>
      </c>
      <c r="N93" s="50">
        <f>IFERROR(Table1[[#This Row],[Running Time (hr)]]/Table1[Target Time (Hours)], "")</f>
        <v>0.90909090909090906</v>
      </c>
      <c r="O93" s="50">
        <f>IFERROR(Table1[[#This Row],[Actual Production (Kg)]]/Table1[Capacity (Kg)], "")</f>
        <v>0.98157142857142854</v>
      </c>
      <c r="P93" s="50">
        <f>IFERROR(Table1[[#This Row],[Quality Pass Production]]/Table1[[#This Row],[Actual Production (Kg)]], "")</f>
        <v>1</v>
      </c>
      <c r="Q93" s="50">
        <f>IFERROR(Table1[[#This Row],[Utilization %]]*Table1[[#This Row],[Efficiency %]]*Table1[[#This Row],[Quality %]], "")</f>
        <v>0.89233766233766232</v>
      </c>
      <c r="R93" s="48" t="s">
        <v>61</v>
      </c>
    </row>
    <row r="94" spans="1:18" ht="30" customHeight="1" x14ac:dyDescent="0.25">
      <c r="A94" s="47">
        <v>46116</v>
      </c>
      <c r="B94" s="48" t="s">
        <v>18</v>
      </c>
      <c r="C94" s="48" t="s">
        <v>28</v>
      </c>
      <c r="D94" s="48" t="s">
        <v>29</v>
      </c>
      <c r="E94" s="49"/>
      <c r="F94" s="76"/>
      <c r="G94" s="49">
        <v>0</v>
      </c>
      <c r="H94" s="50" t="str">
        <f>IFERROR(Table1[Re-process (Kg)]/Table1[Actual Production (Kg)], "")</f>
        <v/>
      </c>
      <c r="I94" s="49">
        <f>IFERROR(Table1[[#This Row],[Actual Production (Kg)]]-Table1[[#This Row],[Re-process (Kg)]], "")</f>
        <v>0</v>
      </c>
      <c r="J94" s="49"/>
      <c r="K94" s="72"/>
      <c r="L94" s="49" t="str">
        <f>IF(Table1[[#This Row],[Target Time (Hours)]]="","",Table1[[#This Row],[Target Time (Hours)]]-Table1[[#This Row],[Downtime (Hours)]])</f>
        <v/>
      </c>
      <c r="M94" s="49" t="str">
        <f>IFERROR(Table1[[#This Row],[Capacity (Kg)]]/Table1[[#This Row],[Target Time (Hours)]] * Table1[[#This Row],[Downtime (Hours)]], "")</f>
        <v/>
      </c>
      <c r="N94" s="50" t="str">
        <f>IFERROR(Table1[[#This Row],[Running Time (hr)]]/Table1[Target Time (Hours)], "")</f>
        <v/>
      </c>
      <c r="O94" s="50" t="str">
        <f>IFERROR(Table1[[#This Row],[Actual Production (Kg)]]/Table1[Capacity (Kg)], "")</f>
        <v/>
      </c>
      <c r="P94" s="50" t="str">
        <f>IFERROR(Table1[[#This Row],[Quality Pass Production]]/Table1[[#This Row],[Actual Production (Kg)]], "")</f>
        <v/>
      </c>
      <c r="Q94" s="50" t="str">
        <f>IFERROR(Table1[[#This Row],[Utilization %]]*Table1[[#This Row],[Efficiency %]]*Table1[[#This Row],[Quality %]], "")</f>
        <v/>
      </c>
    </row>
    <row r="95" spans="1:18" ht="30" customHeight="1" x14ac:dyDescent="0.25">
      <c r="A95" s="47">
        <v>46116</v>
      </c>
      <c r="B95" s="48" t="s">
        <v>18</v>
      </c>
      <c r="C95" s="48" t="s">
        <v>30</v>
      </c>
      <c r="D95" s="48" t="s">
        <v>31</v>
      </c>
      <c r="E95" s="49">
        <v>9000</v>
      </c>
      <c r="F95" s="76">
        <v>5049</v>
      </c>
      <c r="G95" s="49">
        <v>0</v>
      </c>
      <c r="H95" s="50">
        <f>IFERROR(Table1[Re-process (Kg)]/Table1[Actual Production (Kg)], "")</f>
        <v>0</v>
      </c>
      <c r="I95" s="49">
        <f>IFERROR(Table1[[#This Row],[Actual Production (Kg)]]-Table1[[#This Row],[Re-process (Kg)]], "")</f>
        <v>5049</v>
      </c>
      <c r="J95" s="49">
        <v>22</v>
      </c>
      <c r="K95" s="72">
        <v>2</v>
      </c>
      <c r="L95" s="49">
        <f>IF(Table1[[#This Row],[Target Time (Hours)]]="","",Table1[[#This Row],[Target Time (Hours)]]-Table1[[#This Row],[Downtime (Hours)]])</f>
        <v>20</v>
      </c>
      <c r="M95" s="49">
        <f>IFERROR(Table1[[#This Row],[Capacity (Kg)]]/Table1[[#This Row],[Target Time (Hours)]] * Table1[[#This Row],[Downtime (Hours)]], "")</f>
        <v>818.18181818181813</v>
      </c>
      <c r="N95" s="50">
        <f>IFERROR(Table1[[#This Row],[Running Time (hr)]]/Table1[Target Time (Hours)], "")</f>
        <v>0.90909090909090906</v>
      </c>
      <c r="O95" s="50">
        <f>IFERROR(Table1[[#This Row],[Actual Production (Kg)]]/Table1[Capacity (Kg)], "")</f>
        <v>0.56100000000000005</v>
      </c>
      <c r="P95" s="50">
        <f>IFERROR(Table1[[#This Row],[Quality Pass Production]]/Table1[[#This Row],[Actual Production (Kg)]], "")</f>
        <v>1</v>
      </c>
      <c r="Q95" s="50">
        <f>IFERROR(Table1[[#This Row],[Utilization %]]*Table1[[#This Row],[Efficiency %]]*Table1[[#This Row],[Quality %]], "")</f>
        <v>0.51</v>
      </c>
      <c r="R95" s="48" t="s">
        <v>61</v>
      </c>
    </row>
    <row r="96" spans="1:18" ht="30" customHeight="1" x14ac:dyDescent="0.25">
      <c r="A96" s="26">
        <v>46116</v>
      </c>
      <c r="B96" s="27" t="s">
        <v>18</v>
      </c>
      <c r="C96" s="27" t="s">
        <v>32</v>
      </c>
      <c r="D96" s="27" t="s">
        <v>31</v>
      </c>
      <c r="E96" s="79">
        <f>Table1[[#This Row],[Actual Production (Kg)]]</f>
        <v>3124</v>
      </c>
      <c r="F96" s="79">
        <v>3124</v>
      </c>
      <c r="G96" s="79"/>
      <c r="H96" s="28"/>
      <c r="I96" s="79"/>
      <c r="J96" s="79"/>
      <c r="K96" s="27"/>
      <c r="L96" s="53" t="str">
        <f>IF(Table1[[#This Row],[Target Time (Hours)]]="","",Table1[[#This Row],[Target Time (Hours)]]-Table1[[#This Row],[Downtime (Hours)]])</f>
        <v/>
      </c>
      <c r="M96" s="79"/>
      <c r="N96" s="28"/>
      <c r="O96" s="28"/>
      <c r="P96" s="28"/>
      <c r="Q96" s="28"/>
      <c r="R96" s="27"/>
    </row>
    <row r="97" spans="1:18" ht="30" customHeight="1" x14ac:dyDescent="0.25">
      <c r="A97" s="47">
        <v>46116</v>
      </c>
      <c r="B97" s="48" t="s">
        <v>33</v>
      </c>
      <c r="C97" s="48" t="s">
        <v>34</v>
      </c>
      <c r="D97" s="48" t="s">
        <v>35</v>
      </c>
      <c r="E97" s="49">
        <v>9000</v>
      </c>
      <c r="F97" s="76">
        <v>6404</v>
      </c>
      <c r="G97" s="49">
        <v>0</v>
      </c>
      <c r="H97" s="50">
        <f>IFERROR(Table1[Re-process (Kg)]/Table1[Actual Production (Kg)], "")</f>
        <v>0</v>
      </c>
      <c r="I97" s="49">
        <f>IFERROR(Table1[[#This Row],[Actual Production (Kg)]]-Table1[[#This Row],[Re-process (Kg)]], "")</f>
        <v>6404</v>
      </c>
      <c r="J97" s="49">
        <v>22</v>
      </c>
      <c r="K97" s="72">
        <v>0</v>
      </c>
      <c r="L97" s="49">
        <f>IF(Table1[[#This Row],[Target Time (Hours)]]="","",Table1[[#This Row],[Target Time (Hours)]]-Table1[[#This Row],[Downtime (Hours)]])</f>
        <v>22</v>
      </c>
      <c r="M97" s="49">
        <f>IFERROR(Table1[[#This Row],[Capacity (Kg)]]/Table1[[#This Row],[Target Time (Hours)]] * Table1[[#This Row],[Downtime (Hours)]], "")</f>
        <v>0</v>
      </c>
      <c r="N97" s="50">
        <f>IFERROR(Table1[[#This Row],[Running Time (hr)]]/Table1[Target Time (Hours)], "")</f>
        <v>1</v>
      </c>
      <c r="O97" s="50">
        <f>IFERROR(Table1[[#This Row],[Actual Production (Kg)]]/Table1[Capacity (Kg)], "")</f>
        <v>0.71155555555555561</v>
      </c>
      <c r="P97" s="50">
        <f>IFERROR(Table1[[#This Row],[Quality Pass Production]]/Table1[[#This Row],[Actual Production (Kg)]], "")</f>
        <v>1</v>
      </c>
      <c r="Q97" s="50">
        <f>IFERROR(Table1[[#This Row],[Utilization %]]*Table1[[#This Row],[Efficiency %]]*Table1[[#This Row],[Quality %]], "")</f>
        <v>0.71155555555555561</v>
      </c>
      <c r="R97" s="48" t="s">
        <v>60</v>
      </c>
    </row>
    <row r="98" spans="1:18" ht="30" customHeight="1" x14ac:dyDescent="0.25">
      <c r="A98" s="47">
        <v>46116</v>
      </c>
      <c r="B98" s="48" t="s">
        <v>33</v>
      </c>
      <c r="C98" s="48" t="s">
        <v>36</v>
      </c>
      <c r="D98" s="48" t="s">
        <v>37</v>
      </c>
      <c r="E98" s="49">
        <v>8000</v>
      </c>
      <c r="F98" s="76">
        <v>5859</v>
      </c>
      <c r="G98" s="49">
        <v>0</v>
      </c>
      <c r="H98" s="50">
        <f>IFERROR(Table1[Re-process (Kg)]/Table1[Actual Production (Kg)], "")</f>
        <v>0</v>
      </c>
      <c r="I98" s="49">
        <f>IFERROR(Table1[[#This Row],[Actual Production (Kg)]]-Table1[[#This Row],[Re-process (Kg)]], "")</f>
        <v>5859</v>
      </c>
      <c r="J98" s="49">
        <v>22</v>
      </c>
      <c r="K98" s="72">
        <v>6</v>
      </c>
      <c r="L98" s="49">
        <f>IF(Table1[[#This Row],[Target Time (Hours)]]="","",Table1[[#This Row],[Target Time (Hours)]]-Table1[[#This Row],[Downtime (Hours)]])</f>
        <v>16</v>
      </c>
      <c r="M98" s="49">
        <f>IFERROR(Table1[[#This Row],[Capacity (Kg)]]/Table1[[#This Row],[Target Time (Hours)]] * Table1[[#This Row],[Downtime (Hours)]], "")</f>
        <v>2181.818181818182</v>
      </c>
      <c r="N98" s="50">
        <f>IFERROR(Table1[[#This Row],[Running Time (hr)]]/Table1[Target Time (Hours)], "")</f>
        <v>0.72727272727272729</v>
      </c>
      <c r="O98" s="50">
        <f>IFERROR(Table1[[#This Row],[Actual Production (Kg)]]/Table1[Capacity (Kg)], "")</f>
        <v>0.732375</v>
      </c>
      <c r="P98" s="50">
        <f>IFERROR(Table1[[#This Row],[Quality Pass Production]]/Table1[[#This Row],[Actual Production (Kg)]], "")</f>
        <v>1</v>
      </c>
      <c r="Q98" s="50">
        <f>IFERROR(Table1[[#This Row],[Utilization %]]*Table1[[#This Row],[Efficiency %]]*Table1[[#This Row],[Quality %]], "")</f>
        <v>0.53263636363636369</v>
      </c>
      <c r="R98" s="48" t="s">
        <v>62</v>
      </c>
    </row>
    <row r="99" spans="1:18" ht="30" customHeight="1" x14ac:dyDescent="0.25">
      <c r="A99" s="47">
        <v>46116</v>
      </c>
      <c r="B99" s="48" t="s">
        <v>33</v>
      </c>
      <c r="C99" s="48" t="s">
        <v>39</v>
      </c>
      <c r="D99" s="48" t="s">
        <v>31</v>
      </c>
      <c r="E99" s="49">
        <v>6000</v>
      </c>
      <c r="F99" s="76">
        <v>798</v>
      </c>
      <c r="G99" s="49">
        <v>0</v>
      </c>
      <c r="H99" s="50">
        <f>IFERROR(Table1[Re-process (Kg)]/Table1[Actual Production (Kg)], "")</f>
        <v>0</v>
      </c>
      <c r="I99" s="49">
        <f>IFERROR(Table1[[#This Row],[Actual Production (Kg)]]-Table1[[#This Row],[Re-process (Kg)]], "")</f>
        <v>798</v>
      </c>
      <c r="J99" s="49">
        <v>22</v>
      </c>
      <c r="K99" s="72">
        <v>0</v>
      </c>
      <c r="L99" s="49">
        <f>IF(Table1[[#This Row],[Target Time (Hours)]]="","",Table1[[#This Row],[Target Time (Hours)]]-Table1[[#This Row],[Downtime (Hours)]])</f>
        <v>22</v>
      </c>
      <c r="M99" s="49">
        <f>IFERROR(Table1[[#This Row],[Capacity (Kg)]]/Table1[[#This Row],[Target Time (Hours)]] * Table1[[#This Row],[Downtime (Hours)]], "")</f>
        <v>0</v>
      </c>
      <c r="N99" s="50">
        <f>IFERROR(Table1[[#This Row],[Running Time (hr)]]/Table1[Target Time (Hours)], "")</f>
        <v>1</v>
      </c>
      <c r="O99" s="50">
        <f>IFERROR(Table1[[#This Row],[Actual Production (Kg)]]/Table1[Capacity (Kg)], "")</f>
        <v>0.13300000000000001</v>
      </c>
      <c r="P99" s="50">
        <f>IFERROR(Table1[[#This Row],[Quality Pass Production]]/Table1[[#This Row],[Actual Production (Kg)]], "")</f>
        <v>1</v>
      </c>
      <c r="Q99" s="50">
        <f>IFERROR(Table1[[#This Row],[Utilization %]]*Table1[[#This Row],[Efficiency %]]*Table1[[#This Row],[Quality %]], "")</f>
        <v>0.13300000000000001</v>
      </c>
      <c r="R99" s="48" t="s">
        <v>63</v>
      </c>
    </row>
    <row r="100" spans="1:18" ht="45" customHeight="1" x14ac:dyDescent="0.25">
      <c r="A100" s="54">
        <v>46116</v>
      </c>
      <c r="B100" s="55" t="s">
        <v>33</v>
      </c>
      <c r="C100" s="55" t="s">
        <v>40</v>
      </c>
      <c r="D100" s="55" t="s">
        <v>31</v>
      </c>
      <c r="E100" s="56">
        <v>5000</v>
      </c>
      <c r="F100" s="56">
        <v>3539</v>
      </c>
      <c r="G100" s="56">
        <v>0</v>
      </c>
      <c r="H100" s="58">
        <f>IFERROR(Table1[Re-process (Kg)]/Table1[Actual Production (Kg)], "")</f>
        <v>0</v>
      </c>
      <c r="I100" s="56">
        <f>IFERROR(Table1[[#This Row],[Actual Production (Kg)]]-Table1[[#This Row],[Re-process (Kg)]], "")</f>
        <v>3539</v>
      </c>
      <c r="J100" s="56">
        <v>22</v>
      </c>
      <c r="K100" s="55">
        <v>0</v>
      </c>
      <c r="L100" s="56">
        <f>IF(Table1[[#This Row],[Target Time (Hours)]]="","",Table1[[#This Row],[Target Time (Hours)]]-Table1[[#This Row],[Downtime (Hours)]])</f>
        <v>22</v>
      </c>
      <c r="M100" s="56">
        <f>IFERROR(Table1[[#This Row],[Capacity (Kg)]]/Table1[[#This Row],[Target Time (Hours)]] * Table1[[#This Row],[Downtime (Hours)]], "")</f>
        <v>0</v>
      </c>
      <c r="N100" s="58">
        <f>IFERROR(Table1[[#This Row],[Running Time (hr)]]/Table1[Target Time (Hours)], "")</f>
        <v>1</v>
      </c>
      <c r="O100" s="58">
        <f>IFERROR(Table1[[#This Row],[Actual Production (Kg)]]/Table1[Capacity (Kg)], "")</f>
        <v>0.70779999999999998</v>
      </c>
      <c r="P100" s="58">
        <f>IFERROR(Table1[[#This Row],[Quality Pass Production]]/Table1[[#This Row],[Actual Production (Kg)]], "")</f>
        <v>1</v>
      </c>
      <c r="Q100" s="58">
        <f>IFERROR(Table1[[#This Row],[Utilization %]]*Table1[[#This Row],[Efficiency %]]*Table1[[#This Row],[Quality %]], "")</f>
        <v>0.70779999999999998</v>
      </c>
      <c r="R100" s="55" t="s">
        <v>60</v>
      </c>
    </row>
    <row r="101" spans="1:18" ht="30" customHeight="1" x14ac:dyDescent="0.25">
      <c r="A101" s="47">
        <v>46117</v>
      </c>
      <c r="B101" s="48" t="s">
        <v>18</v>
      </c>
      <c r="C101" s="48" t="s">
        <v>19</v>
      </c>
      <c r="D101" s="48" t="s">
        <v>20</v>
      </c>
      <c r="E101" s="49">
        <v>10000</v>
      </c>
      <c r="F101" s="76">
        <v>8915</v>
      </c>
      <c r="G101" s="49">
        <v>0</v>
      </c>
      <c r="H101" s="50">
        <f>IFERROR(Table1[Re-process (Kg)]/Table1[Actual Production (Kg)], "")</f>
        <v>0</v>
      </c>
      <c r="I101" s="49">
        <f>IFERROR(Table1[[#This Row],[Actual Production (Kg)]]-Table1[[#This Row],[Re-process (Kg)]], "")</f>
        <v>8915</v>
      </c>
      <c r="J101" s="49">
        <v>22</v>
      </c>
      <c r="K101" s="72">
        <v>0</v>
      </c>
      <c r="L101" s="49">
        <f>IF(Table1[[#This Row],[Target Time (Hours)]]="","",Table1[[#This Row],[Target Time (Hours)]]-Table1[[#This Row],[Downtime (Hours)]])</f>
        <v>22</v>
      </c>
      <c r="M101" s="49">
        <f>IFERROR(Table1[[#This Row],[Capacity (Kg)]]/Table1[[#This Row],[Target Time (Hours)]] * Table1[[#This Row],[Downtime (Hours)]], "")</f>
        <v>0</v>
      </c>
      <c r="N101" s="50">
        <f>IFERROR(Table1[[#This Row],[Running Time (hr)]]/Table1[Target Time (Hours)], "")</f>
        <v>1</v>
      </c>
      <c r="O101" s="50">
        <f>IFERROR(Table1[[#This Row],[Actual Production (Kg)]]/Table1[Capacity (Kg)], "")</f>
        <v>0.89149999999999996</v>
      </c>
      <c r="P101" s="50">
        <f>IFERROR(Table1[[#This Row],[Quality Pass Production]]/Table1[[#This Row],[Actual Production (Kg)]], "")</f>
        <v>1</v>
      </c>
      <c r="Q101" s="50">
        <f>IFERROR(Table1[[#This Row],[Utilization %]]*Table1[[#This Row],[Efficiency %]]*Table1[[#This Row],[Quality %]], "")</f>
        <v>0.89149999999999996</v>
      </c>
    </row>
    <row r="102" spans="1:18" x14ac:dyDescent="0.25">
      <c r="A102" s="47">
        <v>46117</v>
      </c>
      <c r="B102" s="48" t="s">
        <v>18</v>
      </c>
      <c r="C102" s="48" t="s">
        <v>22</v>
      </c>
      <c r="D102" s="48" t="s">
        <v>23</v>
      </c>
      <c r="E102" s="49">
        <v>5000</v>
      </c>
      <c r="F102" s="76">
        <v>3783</v>
      </c>
      <c r="G102" s="49">
        <v>0</v>
      </c>
      <c r="H102" s="50">
        <f>IFERROR(Table1[Re-process (Kg)]/Table1[Actual Production (Kg)], "")</f>
        <v>0</v>
      </c>
      <c r="I102" s="49">
        <f>IFERROR(Table1[[#This Row],[Actual Production (Kg)]]-Table1[[#This Row],[Re-process (Kg)]], "")</f>
        <v>3783</v>
      </c>
      <c r="J102" s="49">
        <v>22</v>
      </c>
      <c r="K102" s="72">
        <v>0</v>
      </c>
      <c r="L102" s="49">
        <f>IF(Table1[[#This Row],[Target Time (Hours)]]="","",Table1[[#This Row],[Target Time (Hours)]]-Table1[[#This Row],[Downtime (Hours)]])</f>
        <v>22</v>
      </c>
      <c r="M102" s="49">
        <f>IFERROR(Table1[[#This Row],[Capacity (Kg)]]/Table1[[#This Row],[Target Time (Hours)]] * Table1[[#This Row],[Downtime (Hours)]], "")</f>
        <v>0</v>
      </c>
      <c r="N102" s="50">
        <f>IFERROR(Table1[[#This Row],[Running Time (hr)]]/Table1[Target Time (Hours)], "")</f>
        <v>1</v>
      </c>
      <c r="O102" s="50">
        <f>IFERROR(Table1[[#This Row],[Actual Production (Kg)]]/Table1[Capacity (Kg)], "")</f>
        <v>0.75660000000000005</v>
      </c>
      <c r="P102" s="50">
        <f>IFERROR(Table1[[#This Row],[Quality Pass Production]]/Table1[[#This Row],[Actual Production (Kg)]], "")</f>
        <v>1</v>
      </c>
      <c r="Q102" s="50">
        <f>IFERROR(Table1[[#This Row],[Utilization %]]*Table1[[#This Row],[Efficiency %]]*Table1[[#This Row],[Quality %]], "")</f>
        <v>0.75660000000000005</v>
      </c>
    </row>
    <row r="103" spans="1:18" x14ac:dyDescent="0.25">
      <c r="A103" s="47">
        <v>46117</v>
      </c>
      <c r="B103" s="48" t="s">
        <v>18</v>
      </c>
      <c r="C103" s="48" t="s">
        <v>22</v>
      </c>
      <c r="D103" s="48" t="s">
        <v>25</v>
      </c>
      <c r="E103" s="49">
        <v>4000</v>
      </c>
      <c r="F103" s="76">
        <v>4952</v>
      </c>
      <c r="G103" s="49">
        <v>0</v>
      </c>
      <c r="H103" s="50">
        <f>IFERROR(Table1[Re-process (Kg)]/Table1[Actual Production (Kg)], "")</f>
        <v>0</v>
      </c>
      <c r="I103" s="49">
        <f>IFERROR(Table1[[#This Row],[Actual Production (Kg)]]-Table1[[#This Row],[Re-process (Kg)]], "")</f>
        <v>4952</v>
      </c>
      <c r="J103" s="49"/>
      <c r="K103" s="72"/>
      <c r="L103" s="49" t="str">
        <f>IF(Table1[[#This Row],[Target Time (Hours)]]="","",Table1[[#This Row],[Target Time (Hours)]]-Table1[[#This Row],[Downtime (Hours)]])</f>
        <v/>
      </c>
      <c r="M103" s="49" t="str">
        <f>IFERROR(Table1[[#This Row],[Capacity (Kg)]]/Table1[[#This Row],[Target Time (Hours)]] * Table1[[#This Row],[Downtime (Hours)]], "")</f>
        <v/>
      </c>
      <c r="N103" s="50" t="str">
        <f>IFERROR(Table1[[#This Row],[Running Time (hr)]]/Table1[Target Time (Hours)], "")</f>
        <v/>
      </c>
      <c r="O103" s="50">
        <f>IFERROR(Table1[[#This Row],[Actual Production (Kg)]]/Table1[Capacity (Kg)], "")</f>
        <v>1.238</v>
      </c>
      <c r="P103" s="50">
        <f>IFERROR(Table1[[#This Row],[Quality Pass Production]]/Table1[[#This Row],[Actual Production (Kg)]], "")</f>
        <v>1</v>
      </c>
      <c r="Q103" s="50" t="str">
        <f>IFERROR(Table1[[#This Row],[Utilization %]]*Table1[[#This Row],[Efficiency %]]*Table1[[#This Row],[Quality %]], "")</f>
        <v/>
      </c>
    </row>
    <row r="104" spans="1:18" x14ac:dyDescent="0.25">
      <c r="A104" s="47">
        <v>46117</v>
      </c>
      <c r="B104" s="48" t="s">
        <v>18</v>
      </c>
      <c r="C104" s="48" t="s">
        <v>26</v>
      </c>
      <c r="D104" s="48" t="s">
        <v>25</v>
      </c>
      <c r="E104" s="49">
        <v>7000</v>
      </c>
      <c r="F104" s="76">
        <v>7886</v>
      </c>
      <c r="G104" s="49">
        <v>0</v>
      </c>
      <c r="H104" s="50">
        <f>IFERROR(Table1[Re-process (Kg)]/Table1[Actual Production (Kg)], "")</f>
        <v>0</v>
      </c>
      <c r="I104" s="49">
        <f>IFERROR(Table1[[#This Row],[Actual Production (Kg)]]-Table1[[#This Row],[Re-process (Kg)]], "")</f>
        <v>7886</v>
      </c>
      <c r="J104" s="49">
        <v>22</v>
      </c>
      <c r="K104" s="72">
        <v>0</v>
      </c>
      <c r="L104" s="49">
        <f>IF(Table1[[#This Row],[Target Time (Hours)]]="","",Table1[[#This Row],[Target Time (Hours)]]-Table1[[#This Row],[Downtime (Hours)]])</f>
        <v>22</v>
      </c>
      <c r="M104" s="49">
        <f>IFERROR(Table1[[#This Row],[Capacity (Kg)]]/Table1[[#This Row],[Target Time (Hours)]] * Table1[[#This Row],[Downtime (Hours)]], "")</f>
        <v>0</v>
      </c>
      <c r="N104" s="50">
        <f>IFERROR(Table1[[#This Row],[Running Time (hr)]]/Table1[Target Time (Hours)], "")</f>
        <v>1</v>
      </c>
      <c r="O104" s="50">
        <f>IFERROR(Table1[[#This Row],[Actual Production (Kg)]]/Table1[Capacity (Kg)], "")</f>
        <v>1.1265714285714286</v>
      </c>
      <c r="P104" s="50">
        <f>IFERROR(Table1[[#This Row],[Quality Pass Production]]/Table1[[#This Row],[Actual Production (Kg)]], "")</f>
        <v>1</v>
      </c>
      <c r="Q104" s="50">
        <f>IFERROR(Table1[[#This Row],[Utilization %]]*Table1[[#This Row],[Efficiency %]]*Table1[[#This Row],[Quality %]], "")</f>
        <v>1.1265714285714286</v>
      </c>
    </row>
    <row r="105" spans="1:18" ht="30" customHeight="1" x14ac:dyDescent="0.25">
      <c r="A105" s="47">
        <v>46117</v>
      </c>
      <c r="B105" s="48" t="s">
        <v>18</v>
      </c>
      <c r="C105" s="48" t="s">
        <v>28</v>
      </c>
      <c r="D105" s="48" t="s">
        <v>29</v>
      </c>
      <c r="E105" s="49"/>
      <c r="F105" s="76"/>
      <c r="G105" s="49">
        <v>0</v>
      </c>
      <c r="H105" s="50" t="str">
        <f>IFERROR(Table1[Re-process (Kg)]/Table1[Actual Production (Kg)], "")</f>
        <v/>
      </c>
      <c r="I105" s="49">
        <f>IFERROR(Table1[[#This Row],[Actual Production (Kg)]]-Table1[[#This Row],[Re-process (Kg)]], "")</f>
        <v>0</v>
      </c>
      <c r="J105" s="49"/>
      <c r="K105" s="72"/>
      <c r="L105" s="49" t="str">
        <f>IF(Table1[[#This Row],[Target Time (Hours)]]="","",Table1[[#This Row],[Target Time (Hours)]]-Table1[[#This Row],[Downtime (Hours)]])</f>
        <v/>
      </c>
      <c r="M105" s="49" t="str">
        <f>IFERROR(Table1[[#This Row],[Capacity (Kg)]]/Table1[[#This Row],[Target Time (Hours)]] * Table1[[#This Row],[Downtime (Hours)]], "")</f>
        <v/>
      </c>
      <c r="N105" s="50" t="str">
        <f>IFERROR(Table1[[#This Row],[Running Time (hr)]]/Table1[Target Time (Hours)], "")</f>
        <v/>
      </c>
      <c r="O105" s="50" t="str">
        <f>IFERROR(Table1[[#This Row],[Actual Production (Kg)]]/Table1[Capacity (Kg)], "")</f>
        <v/>
      </c>
      <c r="P105" s="50" t="str">
        <f>IFERROR(Table1[[#This Row],[Quality Pass Production]]/Table1[[#This Row],[Actual Production (Kg)]], "")</f>
        <v/>
      </c>
      <c r="Q105" s="50" t="str">
        <f>IFERROR(Table1[[#This Row],[Utilization %]]*Table1[[#This Row],[Efficiency %]]*Table1[[#This Row],[Quality %]], "")</f>
        <v/>
      </c>
    </row>
    <row r="106" spans="1:18" ht="30" customHeight="1" x14ac:dyDescent="0.25">
      <c r="A106" s="47">
        <v>46117</v>
      </c>
      <c r="B106" s="48" t="s">
        <v>18</v>
      </c>
      <c r="C106" s="48" t="s">
        <v>30</v>
      </c>
      <c r="D106" s="48" t="s">
        <v>31</v>
      </c>
      <c r="E106" s="49">
        <v>9000</v>
      </c>
      <c r="F106" s="76">
        <v>7707</v>
      </c>
      <c r="G106" s="49">
        <v>0</v>
      </c>
      <c r="H106" s="50">
        <f>IFERROR(Table1[Re-process (Kg)]/Table1[Actual Production (Kg)], "")</f>
        <v>0</v>
      </c>
      <c r="I106" s="49">
        <f>IFERROR(Table1[[#This Row],[Actual Production (Kg)]]-Table1[[#This Row],[Re-process (Kg)]], "")</f>
        <v>7707</v>
      </c>
      <c r="J106" s="49">
        <v>22</v>
      </c>
      <c r="K106" s="72">
        <v>0</v>
      </c>
      <c r="L106" s="49">
        <f>IF(Table1[[#This Row],[Target Time (Hours)]]="","",Table1[[#This Row],[Target Time (Hours)]]-Table1[[#This Row],[Downtime (Hours)]])</f>
        <v>22</v>
      </c>
      <c r="M106" s="49">
        <f>IFERROR(Table1[[#This Row],[Capacity (Kg)]]/Table1[[#This Row],[Target Time (Hours)]] * Table1[[#This Row],[Downtime (Hours)]], "")</f>
        <v>0</v>
      </c>
      <c r="N106" s="50">
        <f>IFERROR(Table1[[#This Row],[Running Time (hr)]]/Table1[Target Time (Hours)], "")</f>
        <v>1</v>
      </c>
      <c r="O106" s="50">
        <f>IFERROR(Table1[[#This Row],[Actual Production (Kg)]]/Table1[Capacity (Kg)], "")</f>
        <v>0.85633333333333328</v>
      </c>
      <c r="P106" s="50">
        <f>IFERROR(Table1[[#This Row],[Quality Pass Production]]/Table1[[#This Row],[Actual Production (Kg)]], "")</f>
        <v>1</v>
      </c>
      <c r="Q106" s="50">
        <f>IFERROR(Table1[[#This Row],[Utilization %]]*Table1[[#This Row],[Efficiency %]]*Table1[[#This Row],[Quality %]], "")</f>
        <v>0.85633333333333328</v>
      </c>
    </row>
    <row r="107" spans="1:18" ht="30" customHeight="1" x14ac:dyDescent="0.25">
      <c r="A107" s="26">
        <v>46117</v>
      </c>
      <c r="B107" s="27" t="s">
        <v>18</v>
      </c>
      <c r="C107" s="27" t="s">
        <v>32</v>
      </c>
      <c r="D107" s="27" t="s">
        <v>31</v>
      </c>
      <c r="E107" s="79">
        <f>Table1[[#This Row],[Actual Production (Kg)]]</f>
        <v>2803</v>
      </c>
      <c r="F107" s="79">
        <v>2803</v>
      </c>
      <c r="G107" s="79"/>
      <c r="H107" s="28"/>
      <c r="I107" s="79"/>
      <c r="J107" s="79"/>
      <c r="K107" s="27"/>
      <c r="L107" s="53" t="str">
        <f>IF(Table1[[#This Row],[Target Time (Hours)]]="","",Table1[[#This Row],[Target Time (Hours)]]-Table1[[#This Row],[Downtime (Hours)]])</f>
        <v/>
      </c>
      <c r="M107" s="79"/>
      <c r="N107" s="28"/>
      <c r="O107" s="28"/>
      <c r="P107" s="28"/>
      <c r="Q107" s="28"/>
      <c r="R107" s="27"/>
    </row>
    <row r="108" spans="1:18" ht="30" customHeight="1" x14ac:dyDescent="0.25">
      <c r="A108" s="47">
        <v>46117</v>
      </c>
      <c r="B108" s="48" t="s">
        <v>33</v>
      </c>
      <c r="C108" s="48" t="s">
        <v>34</v>
      </c>
      <c r="D108" s="48" t="s">
        <v>35</v>
      </c>
      <c r="E108" s="49">
        <v>9000</v>
      </c>
      <c r="F108" s="76">
        <v>6219</v>
      </c>
      <c r="G108" s="49">
        <v>0</v>
      </c>
      <c r="H108" s="50">
        <f>IFERROR(Table1[Re-process (Kg)]/Table1[Actual Production (Kg)], "")</f>
        <v>0</v>
      </c>
      <c r="I108" s="49">
        <f>IFERROR(Table1[[#This Row],[Actual Production (Kg)]]-Table1[[#This Row],[Re-process (Kg)]], "")</f>
        <v>6219</v>
      </c>
      <c r="J108" s="49">
        <v>22</v>
      </c>
      <c r="K108" s="72">
        <v>0</v>
      </c>
      <c r="L108" s="49">
        <f>IF(Table1[[#This Row],[Target Time (Hours)]]="","",Table1[[#This Row],[Target Time (Hours)]]-Table1[[#This Row],[Downtime (Hours)]])</f>
        <v>22</v>
      </c>
      <c r="M108" s="49">
        <f>IFERROR(Table1[[#This Row],[Capacity (Kg)]]/Table1[[#This Row],[Target Time (Hours)]] * Table1[[#This Row],[Downtime (Hours)]], "")</f>
        <v>0</v>
      </c>
      <c r="N108" s="50">
        <f>IFERROR(Table1[[#This Row],[Running Time (hr)]]/Table1[Target Time (Hours)], "")</f>
        <v>1</v>
      </c>
      <c r="O108" s="50">
        <f>IFERROR(Table1[[#This Row],[Actual Production (Kg)]]/Table1[Capacity (Kg)], "")</f>
        <v>0.69099999999999995</v>
      </c>
      <c r="P108" s="50">
        <f>IFERROR(Table1[[#This Row],[Quality Pass Production]]/Table1[[#This Row],[Actual Production (Kg)]], "")</f>
        <v>1</v>
      </c>
      <c r="Q108" s="50">
        <f>IFERROR(Table1[[#This Row],[Utilization %]]*Table1[[#This Row],[Efficiency %]]*Table1[[#This Row],[Quality %]], "")</f>
        <v>0.69099999999999995</v>
      </c>
      <c r="R108" s="48" t="s">
        <v>64</v>
      </c>
    </row>
    <row r="109" spans="1:18" ht="45" customHeight="1" x14ac:dyDescent="0.25">
      <c r="A109" s="47">
        <v>46117</v>
      </c>
      <c r="B109" s="48" t="s">
        <v>33</v>
      </c>
      <c r="C109" s="48" t="s">
        <v>36</v>
      </c>
      <c r="D109" s="48" t="s">
        <v>37</v>
      </c>
      <c r="E109" s="49">
        <v>8000</v>
      </c>
      <c r="F109" s="76">
        <v>6634</v>
      </c>
      <c r="G109" s="49">
        <v>0</v>
      </c>
      <c r="H109" s="50">
        <f>IFERROR(Table1[Re-process (Kg)]/Table1[Actual Production (Kg)], "")</f>
        <v>0</v>
      </c>
      <c r="I109" s="49">
        <f>IFERROR(Table1[[#This Row],[Actual Production (Kg)]]-Table1[[#This Row],[Re-process (Kg)]], "")</f>
        <v>6634</v>
      </c>
      <c r="J109" s="49">
        <v>22</v>
      </c>
      <c r="K109" s="72">
        <v>3</v>
      </c>
      <c r="L109" s="49">
        <f>IF(Table1[[#This Row],[Target Time (Hours)]]="","",Table1[[#This Row],[Target Time (Hours)]]-Table1[[#This Row],[Downtime (Hours)]])</f>
        <v>19</v>
      </c>
      <c r="M109" s="49">
        <f>IFERROR(Table1[[#This Row],[Capacity (Kg)]]/Table1[[#This Row],[Target Time (Hours)]] * Table1[[#This Row],[Downtime (Hours)]], "")</f>
        <v>1090.909090909091</v>
      </c>
      <c r="N109" s="50">
        <f>IFERROR(Table1[[#This Row],[Running Time (hr)]]/Table1[Target Time (Hours)], "")</f>
        <v>0.86363636363636365</v>
      </c>
      <c r="O109" s="50">
        <f>IFERROR(Table1[[#This Row],[Actual Production (Kg)]]/Table1[Capacity (Kg)], "")</f>
        <v>0.82925000000000004</v>
      </c>
      <c r="P109" s="50">
        <f>IFERROR(Table1[[#This Row],[Quality Pass Production]]/Table1[[#This Row],[Actual Production (Kg)]], "")</f>
        <v>1</v>
      </c>
      <c r="Q109" s="50">
        <f>IFERROR(Table1[[#This Row],[Utilization %]]*Table1[[#This Row],[Efficiency %]]*Table1[[#This Row],[Quality %]], "")</f>
        <v>0.71617045454545458</v>
      </c>
      <c r="R109" s="48" t="s">
        <v>65</v>
      </c>
    </row>
    <row r="110" spans="1:18" ht="30" customHeight="1" x14ac:dyDescent="0.25">
      <c r="A110" s="47">
        <v>46117</v>
      </c>
      <c r="B110" s="48" t="s">
        <v>33</v>
      </c>
      <c r="C110" s="48" t="s">
        <v>39</v>
      </c>
      <c r="D110" s="48" t="s">
        <v>31</v>
      </c>
      <c r="E110" s="49">
        <v>6000</v>
      </c>
      <c r="F110" s="76">
        <v>3395</v>
      </c>
      <c r="G110" s="49">
        <v>0</v>
      </c>
      <c r="H110" s="50">
        <f>IFERROR(Table1[Re-process (Kg)]/Table1[Actual Production (Kg)], "")</f>
        <v>0</v>
      </c>
      <c r="I110" s="49">
        <f>IFERROR(Table1[[#This Row],[Actual Production (Kg)]]-Table1[[#This Row],[Re-process (Kg)]], "")</f>
        <v>3395</v>
      </c>
      <c r="J110" s="49">
        <v>22</v>
      </c>
      <c r="K110" s="72">
        <v>0</v>
      </c>
      <c r="L110" s="49">
        <f>IF(Table1[[#This Row],[Target Time (Hours)]]="","",Table1[[#This Row],[Target Time (Hours)]]-Table1[[#This Row],[Downtime (Hours)]])</f>
        <v>22</v>
      </c>
      <c r="M110" s="49">
        <f>IFERROR(Table1[[#This Row],[Capacity (Kg)]]/Table1[[#This Row],[Target Time (Hours)]] * Table1[[#This Row],[Downtime (Hours)]], "")</f>
        <v>0</v>
      </c>
      <c r="N110" s="50">
        <f>IFERROR(Table1[[#This Row],[Running Time (hr)]]/Table1[Target Time (Hours)], "")</f>
        <v>1</v>
      </c>
      <c r="O110" s="50">
        <f>IFERROR(Table1[[#This Row],[Actual Production (Kg)]]/Table1[Capacity (Kg)], "")</f>
        <v>0.5658333333333333</v>
      </c>
      <c r="P110" s="50">
        <f>IFERROR(Table1[[#This Row],[Quality Pass Production]]/Table1[[#This Row],[Actual Production (Kg)]], "")</f>
        <v>1</v>
      </c>
      <c r="Q110" s="50">
        <f>IFERROR(Table1[[#This Row],[Utilization %]]*Table1[[#This Row],[Efficiency %]]*Table1[[#This Row],[Quality %]], "")</f>
        <v>0.5658333333333333</v>
      </c>
      <c r="R110" s="48" t="s">
        <v>64</v>
      </c>
    </row>
    <row r="111" spans="1:18" ht="45" customHeight="1" x14ac:dyDescent="0.25">
      <c r="A111" s="54">
        <v>46117</v>
      </c>
      <c r="B111" s="55" t="s">
        <v>33</v>
      </c>
      <c r="C111" s="55" t="s">
        <v>40</v>
      </c>
      <c r="D111" s="55" t="s">
        <v>31</v>
      </c>
      <c r="E111" s="56">
        <v>5000</v>
      </c>
      <c r="F111" s="56">
        <v>2058</v>
      </c>
      <c r="G111" s="56">
        <v>0</v>
      </c>
      <c r="H111" s="58">
        <f>IFERROR(Table1[Re-process (Kg)]/Table1[Actual Production (Kg)], "")</f>
        <v>0</v>
      </c>
      <c r="I111" s="56">
        <f>IFERROR(Table1[[#This Row],[Actual Production (Kg)]]-Table1[[#This Row],[Re-process (Kg)]], "")</f>
        <v>2058</v>
      </c>
      <c r="J111" s="56">
        <v>22</v>
      </c>
      <c r="K111" s="55">
        <v>0</v>
      </c>
      <c r="L111" s="56">
        <f>IF(Table1[[#This Row],[Target Time (Hours)]]="","",Table1[[#This Row],[Target Time (Hours)]]-Table1[[#This Row],[Downtime (Hours)]])</f>
        <v>22</v>
      </c>
      <c r="M111" s="56">
        <f>IFERROR(Table1[[#This Row],[Capacity (Kg)]]/Table1[[#This Row],[Target Time (Hours)]] * Table1[[#This Row],[Downtime (Hours)]], "")</f>
        <v>0</v>
      </c>
      <c r="N111" s="58">
        <f>IFERROR(Table1[[#This Row],[Running Time (hr)]]/Table1[Target Time (Hours)], "")</f>
        <v>1</v>
      </c>
      <c r="O111" s="58">
        <f>IFERROR(Table1[[#This Row],[Actual Production (Kg)]]/Table1[Capacity (Kg)], "")</f>
        <v>0.41160000000000002</v>
      </c>
      <c r="P111" s="58">
        <f>IFERROR(Table1[[#This Row],[Quality Pass Production]]/Table1[[#This Row],[Actual Production (Kg)]], "")</f>
        <v>1</v>
      </c>
      <c r="Q111" s="58">
        <f>IFERROR(Table1[[#This Row],[Utilization %]]*Table1[[#This Row],[Efficiency %]]*Table1[[#This Row],[Quality %]], "")</f>
        <v>0.41160000000000002</v>
      </c>
      <c r="R111" s="55" t="s">
        <v>66</v>
      </c>
    </row>
    <row r="112" spans="1:18" ht="30" customHeight="1" x14ac:dyDescent="0.25">
      <c r="A112" s="47">
        <v>46118</v>
      </c>
      <c r="B112" s="48" t="s">
        <v>18</v>
      </c>
      <c r="C112" s="48" t="s">
        <v>19</v>
      </c>
      <c r="D112" s="48" t="s">
        <v>20</v>
      </c>
      <c r="E112" s="49">
        <v>10000</v>
      </c>
      <c r="F112" s="76">
        <v>9471</v>
      </c>
      <c r="G112" s="49">
        <v>0</v>
      </c>
      <c r="H112" s="50">
        <f>IFERROR(Table1[Re-process (Kg)]/Table1[Actual Production (Kg)], "")</f>
        <v>0</v>
      </c>
      <c r="I112" s="49">
        <f>IFERROR(Table1[[#This Row],[Actual Production (Kg)]]-Table1[[#This Row],[Re-process (Kg)]], "")</f>
        <v>9471</v>
      </c>
      <c r="J112" s="49">
        <v>22</v>
      </c>
      <c r="K112" s="72">
        <v>0</v>
      </c>
      <c r="L112" s="49">
        <f>IF(Table1[[#This Row],[Target Time (Hours)]]="","",Table1[[#This Row],[Target Time (Hours)]]-Table1[[#This Row],[Downtime (Hours)]])</f>
        <v>22</v>
      </c>
      <c r="M112" s="49">
        <f>IFERROR(Table1[[#This Row],[Capacity (Kg)]]/Table1[[#This Row],[Target Time (Hours)]] * Table1[[#This Row],[Downtime (Hours)]], "")</f>
        <v>0</v>
      </c>
      <c r="N112" s="50">
        <f>IFERROR(Table1[[#This Row],[Running Time (hr)]]/Table1[Target Time (Hours)], "")</f>
        <v>1</v>
      </c>
      <c r="O112" s="50">
        <f>IFERROR(Table1[[#This Row],[Actual Production (Kg)]]/Table1[Capacity (Kg)], "")</f>
        <v>0.94710000000000005</v>
      </c>
      <c r="P112" s="50">
        <f>IFERROR(Table1[[#This Row],[Quality Pass Production]]/Table1[[#This Row],[Actual Production (Kg)]], "")</f>
        <v>1</v>
      </c>
      <c r="Q112" s="50">
        <f>IFERROR(Table1[[#This Row],[Utilization %]]*Table1[[#This Row],[Efficiency %]]*Table1[[#This Row],[Quality %]], "")</f>
        <v>0.94710000000000005</v>
      </c>
    </row>
    <row r="113" spans="1:18" x14ac:dyDescent="0.25">
      <c r="A113" s="47">
        <v>46118</v>
      </c>
      <c r="B113" s="48" t="s">
        <v>18</v>
      </c>
      <c r="C113" s="48" t="s">
        <v>22</v>
      </c>
      <c r="D113" s="48" t="s">
        <v>23</v>
      </c>
      <c r="E113" s="49">
        <v>5000</v>
      </c>
      <c r="F113" s="76">
        <v>3909</v>
      </c>
      <c r="G113" s="49">
        <v>0</v>
      </c>
      <c r="H113" s="50">
        <f>IFERROR(Table1[Re-process (Kg)]/Table1[Actual Production (Kg)], "")</f>
        <v>0</v>
      </c>
      <c r="I113" s="49">
        <f>IFERROR(Table1[[#This Row],[Actual Production (Kg)]]-Table1[[#This Row],[Re-process (Kg)]], "")</f>
        <v>3909</v>
      </c>
      <c r="J113" s="49">
        <v>22</v>
      </c>
      <c r="K113" s="72">
        <v>0</v>
      </c>
      <c r="L113" s="49">
        <f>IF(Table1[[#This Row],[Target Time (Hours)]]="","",Table1[[#This Row],[Target Time (Hours)]]-Table1[[#This Row],[Downtime (Hours)]])</f>
        <v>22</v>
      </c>
      <c r="M113" s="49">
        <f>IFERROR(Table1[[#This Row],[Capacity (Kg)]]/Table1[[#This Row],[Target Time (Hours)]] * Table1[[#This Row],[Downtime (Hours)]], "")</f>
        <v>0</v>
      </c>
      <c r="N113" s="50">
        <f>IFERROR(Table1[[#This Row],[Running Time (hr)]]/Table1[Target Time (Hours)], "")</f>
        <v>1</v>
      </c>
      <c r="O113" s="50">
        <f>IFERROR(Table1[[#This Row],[Actual Production (Kg)]]/Table1[Capacity (Kg)], "")</f>
        <v>0.78180000000000005</v>
      </c>
      <c r="P113" s="50">
        <f>IFERROR(Table1[[#This Row],[Quality Pass Production]]/Table1[[#This Row],[Actual Production (Kg)]], "")</f>
        <v>1</v>
      </c>
      <c r="Q113" s="50">
        <f>IFERROR(Table1[[#This Row],[Utilization %]]*Table1[[#This Row],[Efficiency %]]*Table1[[#This Row],[Quality %]], "")</f>
        <v>0.78180000000000005</v>
      </c>
    </row>
    <row r="114" spans="1:18" x14ac:dyDescent="0.25">
      <c r="A114" s="47">
        <v>46118</v>
      </c>
      <c r="B114" s="48" t="s">
        <v>18</v>
      </c>
      <c r="C114" s="48" t="s">
        <v>22</v>
      </c>
      <c r="D114" s="48" t="s">
        <v>25</v>
      </c>
      <c r="E114" s="49">
        <v>4000</v>
      </c>
      <c r="F114" s="76">
        <v>4786</v>
      </c>
      <c r="G114" s="49">
        <v>0</v>
      </c>
      <c r="H114" s="50">
        <f>IFERROR(Table1[Re-process (Kg)]/Table1[Actual Production (Kg)], "")</f>
        <v>0</v>
      </c>
      <c r="I114" s="49">
        <f>IFERROR(Table1[[#This Row],[Actual Production (Kg)]]-Table1[[#This Row],[Re-process (Kg)]], "")</f>
        <v>4786</v>
      </c>
      <c r="J114" s="49"/>
      <c r="K114" s="72"/>
      <c r="L114" s="49" t="str">
        <f>IF(Table1[[#This Row],[Target Time (Hours)]]="","",Table1[[#This Row],[Target Time (Hours)]]-Table1[[#This Row],[Downtime (Hours)]])</f>
        <v/>
      </c>
      <c r="M114" s="49" t="str">
        <f>IFERROR(Table1[[#This Row],[Capacity (Kg)]]/Table1[[#This Row],[Target Time (Hours)]] * Table1[[#This Row],[Downtime (Hours)]], "")</f>
        <v/>
      </c>
      <c r="N114" s="50" t="str">
        <f>IFERROR(Table1[[#This Row],[Running Time (hr)]]/Table1[Target Time (Hours)], "")</f>
        <v/>
      </c>
      <c r="O114" s="50">
        <f>IFERROR(Table1[[#This Row],[Actual Production (Kg)]]/Table1[Capacity (Kg)], "")</f>
        <v>1.1964999999999999</v>
      </c>
      <c r="P114" s="50">
        <f>IFERROR(Table1[[#This Row],[Quality Pass Production]]/Table1[[#This Row],[Actual Production (Kg)]], "")</f>
        <v>1</v>
      </c>
      <c r="Q114" s="50" t="str">
        <f>IFERROR(Table1[[#This Row],[Utilization %]]*Table1[[#This Row],[Efficiency %]]*Table1[[#This Row],[Quality %]], "")</f>
        <v/>
      </c>
    </row>
    <row r="115" spans="1:18" x14ac:dyDescent="0.25">
      <c r="A115" s="47">
        <v>46118</v>
      </c>
      <c r="B115" s="48" t="s">
        <v>18</v>
      </c>
      <c r="C115" s="48" t="s">
        <v>26</v>
      </c>
      <c r="D115" s="48" t="s">
        <v>25</v>
      </c>
      <c r="E115" s="49">
        <v>7000</v>
      </c>
      <c r="F115" s="76">
        <v>7080</v>
      </c>
      <c r="G115" s="49">
        <v>0</v>
      </c>
      <c r="H115" s="50">
        <f>IFERROR(Table1[Re-process (Kg)]/Table1[Actual Production (Kg)], "")</f>
        <v>0</v>
      </c>
      <c r="I115" s="49">
        <f>IFERROR(Table1[[#This Row],[Actual Production (Kg)]]-Table1[[#This Row],[Re-process (Kg)]], "")</f>
        <v>7080</v>
      </c>
      <c r="J115" s="49">
        <v>22</v>
      </c>
      <c r="K115" s="72">
        <v>1</v>
      </c>
      <c r="L115" s="49">
        <f>IF(Table1[[#This Row],[Target Time (Hours)]]="","",Table1[[#This Row],[Target Time (Hours)]]-Table1[[#This Row],[Downtime (Hours)]])</f>
        <v>21</v>
      </c>
      <c r="M115" s="49">
        <f>IFERROR(Table1[[#This Row],[Capacity (Kg)]]/Table1[[#This Row],[Target Time (Hours)]] * Table1[[#This Row],[Downtime (Hours)]], "")</f>
        <v>318.18181818181819</v>
      </c>
      <c r="N115" s="50">
        <f>IFERROR(Table1[[#This Row],[Running Time (hr)]]/Table1[Target Time (Hours)], "")</f>
        <v>0.95454545454545459</v>
      </c>
      <c r="O115" s="50">
        <f>IFERROR(Table1[[#This Row],[Actual Production (Kg)]]/Table1[Capacity (Kg)], "")</f>
        <v>1.0114285714285713</v>
      </c>
      <c r="P115" s="50">
        <f>IFERROR(Table1[[#This Row],[Quality Pass Production]]/Table1[[#This Row],[Actual Production (Kg)]], "")</f>
        <v>1</v>
      </c>
      <c r="Q115" s="50">
        <f>IFERROR(Table1[[#This Row],[Utilization %]]*Table1[[#This Row],[Efficiency %]]*Table1[[#This Row],[Quality %]], "")</f>
        <v>0.96545454545454545</v>
      </c>
      <c r="R115" s="48" t="s">
        <v>67</v>
      </c>
    </row>
    <row r="116" spans="1:18" ht="30" customHeight="1" x14ac:dyDescent="0.25">
      <c r="A116" s="47">
        <v>46118</v>
      </c>
      <c r="B116" s="48" t="s">
        <v>18</v>
      </c>
      <c r="C116" s="48" t="s">
        <v>28</v>
      </c>
      <c r="D116" s="48" t="s">
        <v>29</v>
      </c>
      <c r="E116" s="49"/>
      <c r="F116" s="76"/>
      <c r="G116" s="49">
        <v>0</v>
      </c>
      <c r="H116" s="50" t="str">
        <f>IFERROR(Table1[Re-process (Kg)]/Table1[Actual Production (Kg)], "")</f>
        <v/>
      </c>
      <c r="I116" s="49">
        <f>IFERROR(Table1[[#This Row],[Actual Production (Kg)]]-Table1[[#This Row],[Re-process (Kg)]], "")</f>
        <v>0</v>
      </c>
      <c r="J116" s="49"/>
      <c r="K116" s="72"/>
      <c r="L116" s="49" t="str">
        <f>IF(Table1[[#This Row],[Target Time (Hours)]]="","",Table1[[#This Row],[Target Time (Hours)]]-Table1[[#This Row],[Downtime (Hours)]])</f>
        <v/>
      </c>
      <c r="M116" s="49" t="str">
        <f>IFERROR(Table1[[#This Row],[Capacity (Kg)]]/Table1[[#This Row],[Target Time (Hours)]] * Table1[[#This Row],[Downtime (Hours)]], "")</f>
        <v/>
      </c>
      <c r="N116" s="50" t="str">
        <f>IFERROR(Table1[[#This Row],[Running Time (hr)]]/Table1[Target Time (Hours)], "")</f>
        <v/>
      </c>
      <c r="O116" s="50" t="str">
        <f>IFERROR(Table1[[#This Row],[Actual Production (Kg)]]/Table1[Capacity (Kg)], "")</f>
        <v/>
      </c>
      <c r="P116" s="50" t="str">
        <f>IFERROR(Table1[[#This Row],[Quality Pass Production]]/Table1[[#This Row],[Actual Production (Kg)]], "")</f>
        <v/>
      </c>
      <c r="Q116" s="50" t="str">
        <f>IFERROR(Table1[[#This Row],[Utilization %]]*Table1[[#This Row],[Efficiency %]]*Table1[[#This Row],[Quality %]], "")</f>
        <v/>
      </c>
    </row>
    <row r="117" spans="1:18" ht="30" customHeight="1" x14ac:dyDescent="0.25">
      <c r="A117" s="47">
        <v>46118</v>
      </c>
      <c r="B117" s="48" t="s">
        <v>18</v>
      </c>
      <c r="C117" s="48" t="s">
        <v>30</v>
      </c>
      <c r="D117" s="48" t="s">
        <v>31</v>
      </c>
      <c r="E117" s="49">
        <v>9000</v>
      </c>
      <c r="F117" s="76">
        <v>9602</v>
      </c>
      <c r="G117" s="49">
        <v>0</v>
      </c>
      <c r="H117" s="50">
        <f>IFERROR(Table1[Re-process (Kg)]/Table1[Actual Production (Kg)], "")</f>
        <v>0</v>
      </c>
      <c r="I117" s="49">
        <f>IFERROR(Table1[[#This Row],[Actual Production (Kg)]]-Table1[[#This Row],[Re-process (Kg)]], "")</f>
        <v>9602</v>
      </c>
      <c r="J117" s="49">
        <v>22</v>
      </c>
      <c r="K117" s="72">
        <v>0</v>
      </c>
      <c r="L117" s="49">
        <f>IF(Table1[[#This Row],[Target Time (Hours)]]="","",Table1[[#This Row],[Target Time (Hours)]]-Table1[[#This Row],[Downtime (Hours)]])</f>
        <v>22</v>
      </c>
      <c r="M117" s="49">
        <f>IFERROR(Table1[[#This Row],[Capacity (Kg)]]/Table1[[#This Row],[Target Time (Hours)]] * Table1[[#This Row],[Downtime (Hours)]], "")</f>
        <v>0</v>
      </c>
      <c r="N117" s="50">
        <f>IFERROR(Table1[[#This Row],[Running Time (hr)]]/Table1[Target Time (Hours)], "")</f>
        <v>1</v>
      </c>
      <c r="O117" s="50">
        <f>IFERROR(Table1[[#This Row],[Actual Production (Kg)]]/Table1[Capacity (Kg)], "")</f>
        <v>1.066888888888889</v>
      </c>
      <c r="P117" s="50">
        <f>IFERROR(Table1[[#This Row],[Quality Pass Production]]/Table1[[#This Row],[Actual Production (Kg)]], "")</f>
        <v>1</v>
      </c>
      <c r="Q117" s="50">
        <f>IFERROR(Table1[[#This Row],[Utilization %]]*Table1[[#This Row],[Efficiency %]]*Table1[[#This Row],[Quality %]], "")</f>
        <v>1.066888888888889</v>
      </c>
    </row>
    <row r="118" spans="1:18" ht="30" customHeight="1" x14ac:dyDescent="0.25">
      <c r="A118" s="26">
        <v>46118</v>
      </c>
      <c r="B118" s="27" t="s">
        <v>18</v>
      </c>
      <c r="C118" s="27" t="s">
        <v>32</v>
      </c>
      <c r="D118" s="27" t="s">
        <v>31</v>
      </c>
      <c r="E118" s="79">
        <f>Table1[[#This Row],[Actual Production (Kg)]]</f>
        <v>0</v>
      </c>
      <c r="F118" s="79">
        <v>0</v>
      </c>
      <c r="G118" s="79"/>
      <c r="H118" s="28"/>
      <c r="I118" s="79"/>
      <c r="J118" s="79"/>
      <c r="K118" s="27"/>
      <c r="L118" s="53" t="str">
        <f>IF(Table1[[#This Row],[Target Time (Hours)]]="","",Table1[[#This Row],[Target Time (Hours)]]-Table1[[#This Row],[Downtime (Hours)]])</f>
        <v/>
      </c>
      <c r="M118" s="79"/>
      <c r="N118" s="28"/>
      <c r="O118" s="28"/>
      <c r="P118" s="28"/>
      <c r="Q118" s="28"/>
      <c r="R118" s="27"/>
    </row>
    <row r="119" spans="1:18" ht="30" customHeight="1" x14ac:dyDescent="0.25">
      <c r="A119" s="47">
        <v>46118</v>
      </c>
      <c r="B119" s="48" t="s">
        <v>33</v>
      </c>
      <c r="C119" s="48" t="s">
        <v>34</v>
      </c>
      <c r="D119" s="48" t="s">
        <v>35</v>
      </c>
      <c r="E119" s="49">
        <v>9000</v>
      </c>
      <c r="F119" s="76">
        <v>7800</v>
      </c>
      <c r="G119" s="49">
        <v>0</v>
      </c>
      <c r="H119" s="50">
        <f>IFERROR(Table1[Re-process (Kg)]/Table1[Actual Production (Kg)], "")</f>
        <v>0</v>
      </c>
      <c r="I119" s="49">
        <f>IFERROR(Table1[[#This Row],[Actual Production (Kg)]]-Table1[[#This Row],[Re-process (Kg)]], "")</f>
        <v>7800</v>
      </c>
      <c r="J119" s="49">
        <v>22</v>
      </c>
      <c r="K119" s="72">
        <v>0</v>
      </c>
      <c r="L119" s="49">
        <f>IF(Table1[[#This Row],[Target Time (Hours)]]="","",Table1[[#This Row],[Target Time (Hours)]]-Table1[[#This Row],[Downtime (Hours)]])</f>
        <v>22</v>
      </c>
      <c r="M119" s="49">
        <f>IFERROR(Table1[[#This Row],[Capacity (Kg)]]/Table1[[#This Row],[Target Time (Hours)]] * Table1[[#This Row],[Downtime (Hours)]], "")</f>
        <v>0</v>
      </c>
      <c r="N119" s="50">
        <f>IFERROR(Table1[[#This Row],[Running Time (hr)]]/Table1[Target Time (Hours)], "")</f>
        <v>1</v>
      </c>
      <c r="O119" s="50">
        <f>IFERROR(Table1[[#This Row],[Actual Production (Kg)]]/Table1[Capacity (Kg)], "")</f>
        <v>0.8666666666666667</v>
      </c>
      <c r="P119" s="50">
        <f>IFERROR(Table1[[#This Row],[Quality Pass Production]]/Table1[[#This Row],[Actual Production (Kg)]], "")</f>
        <v>1</v>
      </c>
      <c r="Q119" s="50">
        <f>IFERROR(Table1[[#This Row],[Utilization %]]*Table1[[#This Row],[Efficiency %]]*Table1[[#This Row],[Quality %]], "")</f>
        <v>0.8666666666666667</v>
      </c>
      <c r="R119" s="48" t="s">
        <v>64</v>
      </c>
    </row>
    <row r="120" spans="1:18" x14ac:dyDescent="0.25">
      <c r="A120" s="47">
        <v>46118</v>
      </c>
      <c r="B120" s="48" t="s">
        <v>33</v>
      </c>
      <c r="C120" s="48" t="s">
        <v>36</v>
      </c>
      <c r="D120" s="48" t="s">
        <v>37</v>
      </c>
      <c r="E120" s="49">
        <v>8000</v>
      </c>
      <c r="F120" s="76">
        <v>7244</v>
      </c>
      <c r="G120" s="49">
        <v>0</v>
      </c>
      <c r="H120" s="50">
        <f>IFERROR(Table1[Re-process (Kg)]/Table1[Actual Production (Kg)], "")</f>
        <v>0</v>
      </c>
      <c r="I120" s="49">
        <f>IFERROR(Table1[[#This Row],[Actual Production (Kg)]]-Table1[[#This Row],[Re-process (Kg)]], "")</f>
        <v>7244</v>
      </c>
      <c r="J120" s="49">
        <v>22</v>
      </c>
      <c r="K120" s="72">
        <v>1</v>
      </c>
      <c r="L120" s="49">
        <f>IF(Table1[[#This Row],[Target Time (Hours)]]="","",Table1[[#This Row],[Target Time (Hours)]]-Table1[[#This Row],[Downtime (Hours)]])</f>
        <v>21</v>
      </c>
      <c r="M120" s="49">
        <f>IFERROR(Table1[[#This Row],[Capacity (Kg)]]/Table1[[#This Row],[Target Time (Hours)]] * Table1[[#This Row],[Downtime (Hours)]], "")</f>
        <v>363.63636363636363</v>
      </c>
      <c r="N120" s="50">
        <f>IFERROR(Table1[[#This Row],[Running Time (hr)]]/Table1[Target Time (Hours)], "")</f>
        <v>0.95454545454545459</v>
      </c>
      <c r="O120" s="50">
        <f>IFERROR(Table1[[#This Row],[Actual Production (Kg)]]/Table1[Capacity (Kg)], "")</f>
        <v>0.90549999999999997</v>
      </c>
      <c r="P120" s="50">
        <f>IFERROR(Table1[[#This Row],[Quality Pass Production]]/Table1[[#This Row],[Actual Production (Kg)]], "")</f>
        <v>1</v>
      </c>
      <c r="Q120" s="50">
        <f>IFERROR(Table1[[#This Row],[Utilization %]]*Table1[[#This Row],[Efficiency %]]*Table1[[#This Row],[Quality %]], "")</f>
        <v>0.8643409090909091</v>
      </c>
      <c r="R120" s="48" t="s">
        <v>68</v>
      </c>
    </row>
    <row r="121" spans="1:18" ht="30" customHeight="1" x14ac:dyDescent="0.25">
      <c r="A121" s="47">
        <v>46118</v>
      </c>
      <c r="B121" s="48" t="s">
        <v>33</v>
      </c>
      <c r="C121" s="48" t="s">
        <v>39</v>
      </c>
      <c r="D121" s="48" t="s">
        <v>31</v>
      </c>
      <c r="E121" s="49">
        <v>6000</v>
      </c>
      <c r="F121" s="76">
        <v>3423</v>
      </c>
      <c r="G121" s="49">
        <v>0</v>
      </c>
      <c r="H121" s="50">
        <f>IFERROR(Table1[Re-process (Kg)]/Table1[Actual Production (Kg)], "")</f>
        <v>0</v>
      </c>
      <c r="I121" s="49">
        <f>IFERROR(Table1[[#This Row],[Actual Production (Kg)]]-Table1[[#This Row],[Re-process (Kg)]], "")</f>
        <v>3423</v>
      </c>
      <c r="J121" s="49">
        <v>22</v>
      </c>
      <c r="K121" s="72">
        <v>0</v>
      </c>
      <c r="L121" s="49">
        <f>IF(Table1[[#This Row],[Target Time (Hours)]]="","",Table1[[#This Row],[Target Time (Hours)]]-Table1[[#This Row],[Downtime (Hours)]])</f>
        <v>22</v>
      </c>
      <c r="M121" s="49">
        <f>IFERROR(Table1[[#This Row],[Capacity (Kg)]]/Table1[[#This Row],[Target Time (Hours)]] * Table1[[#This Row],[Downtime (Hours)]], "")</f>
        <v>0</v>
      </c>
      <c r="N121" s="50">
        <f>IFERROR(Table1[[#This Row],[Running Time (hr)]]/Table1[Target Time (Hours)], "")</f>
        <v>1</v>
      </c>
      <c r="O121" s="50">
        <f>IFERROR(Table1[[#This Row],[Actual Production (Kg)]]/Table1[Capacity (Kg)], "")</f>
        <v>0.57050000000000001</v>
      </c>
      <c r="P121" s="50">
        <f>IFERROR(Table1[[#This Row],[Quality Pass Production]]/Table1[[#This Row],[Actual Production (Kg)]], "")</f>
        <v>1</v>
      </c>
      <c r="Q121" s="50">
        <f>IFERROR(Table1[[#This Row],[Utilization %]]*Table1[[#This Row],[Efficiency %]]*Table1[[#This Row],[Quality %]], "")</f>
        <v>0.57050000000000001</v>
      </c>
      <c r="R121" s="48" t="s">
        <v>69</v>
      </c>
    </row>
    <row r="122" spans="1:18" ht="45" customHeight="1" x14ac:dyDescent="0.25">
      <c r="A122" s="54">
        <v>46118</v>
      </c>
      <c r="B122" s="55" t="s">
        <v>33</v>
      </c>
      <c r="C122" s="55" t="s">
        <v>40</v>
      </c>
      <c r="D122" s="55" t="s">
        <v>31</v>
      </c>
      <c r="E122" s="56">
        <v>5000</v>
      </c>
      <c r="F122" s="56">
        <v>3835</v>
      </c>
      <c r="G122" s="56">
        <v>0</v>
      </c>
      <c r="H122" s="58">
        <f>IFERROR(Table1[Re-process (Kg)]/Table1[Actual Production (Kg)], "")</f>
        <v>0</v>
      </c>
      <c r="I122" s="56">
        <f>IFERROR(Table1[[#This Row],[Actual Production (Kg)]]-Table1[[#This Row],[Re-process (Kg)]], "")</f>
        <v>3835</v>
      </c>
      <c r="J122" s="56">
        <v>22</v>
      </c>
      <c r="K122" s="55">
        <v>0</v>
      </c>
      <c r="L122" s="56">
        <f>IF(Table1[[#This Row],[Target Time (Hours)]]="","",Table1[[#This Row],[Target Time (Hours)]]-Table1[[#This Row],[Downtime (Hours)]])</f>
        <v>22</v>
      </c>
      <c r="M122" s="56">
        <f>IFERROR(Table1[[#This Row],[Capacity (Kg)]]/Table1[[#This Row],[Target Time (Hours)]] * Table1[[#This Row],[Downtime (Hours)]], "")</f>
        <v>0</v>
      </c>
      <c r="N122" s="58">
        <f>IFERROR(Table1[[#This Row],[Running Time (hr)]]/Table1[Target Time (Hours)], "")</f>
        <v>1</v>
      </c>
      <c r="O122" s="58">
        <f>IFERROR(Table1[[#This Row],[Actual Production (Kg)]]/Table1[Capacity (Kg)], "")</f>
        <v>0.76700000000000002</v>
      </c>
      <c r="P122" s="58">
        <f>IFERROR(Table1[[#This Row],[Quality Pass Production]]/Table1[[#This Row],[Actual Production (Kg)]], "")</f>
        <v>1</v>
      </c>
      <c r="Q122" s="58">
        <f>IFERROR(Table1[[#This Row],[Utilization %]]*Table1[[#This Row],[Efficiency %]]*Table1[[#This Row],[Quality %]], "")</f>
        <v>0.76700000000000002</v>
      </c>
      <c r="R122" s="55" t="s">
        <v>69</v>
      </c>
    </row>
    <row r="123" spans="1:18" ht="30" customHeight="1" x14ac:dyDescent="0.25">
      <c r="A123" s="47">
        <v>46119</v>
      </c>
      <c r="B123" s="48" t="s">
        <v>18</v>
      </c>
      <c r="C123" s="48" t="s">
        <v>19</v>
      </c>
      <c r="D123" s="48" t="s">
        <v>20</v>
      </c>
      <c r="E123" s="49">
        <v>10000</v>
      </c>
      <c r="F123" s="76">
        <v>7762</v>
      </c>
      <c r="G123" s="49">
        <v>0</v>
      </c>
      <c r="H123" s="50">
        <f>IFERROR(Table1[Re-process (Kg)]/Table1[Actual Production (Kg)], "")</f>
        <v>0</v>
      </c>
      <c r="I123" s="49">
        <f>IFERROR(Table1[[#This Row],[Actual Production (Kg)]]-Table1[[#This Row],[Re-process (Kg)]], "")</f>
        <v>7762</v>
      </c>
      <c r="J123" s="49">
        <v>22</v>
      </c>
      <c r="K123" s="72">
        <v>0</v>
      </c>
      <c r="L123" s="49">
        <f>IF(Table1[[#This Row],[Target Time (Hours)]]="","",Table1[[#This Row],[Target Time (Hours)]]-Table1[[#This Row],[Downtime (Hours)]])</f>
        <v>22</v>
      </c>
      <c r="M123" s="49">
        <f>IFERROR(Table1[[#This Row],[Capacity (Kg)]]/Table1[[#This Row],[Target Time (Hours)]] * Table1[[#This Row],[Downtime (Hours)]], "")</f>
        <v>0</v>
      </c>
      <c r="N123" s="50">
        <f>IFERROR(Table1[[#This Row],[Running Time (hr)]]/Table1[Target Time (Hours)], "")</f>
        <v>1</v>
      </c>
      <c r="O123" s="50">
        <f>IFERROR(Table1[[#This Row],[Actual Production (Kg)]]/Table1[Capacity (Kg)], "")</f>
        <v>0.7762</v>
      </c>
      <c r="P123" s="50">
        <f>IFERROR(Table1[[#This Row],[Quality Pass Production]]/Table1[[#This Row],[Actual Production (Kg)]], "")</f>
        <v>1</v>
      </c>
      <c r="Q123" s="50">
        <f>IFERROR(Table1[[#This Row],[Utilization %]]*Table1[[#This Row],[Efficiency %]]*Table1[[#This Row],[Quality %]], "")</f>
        <v>0.7762</v>
      </c>
    </row>
    <row r="124" spans="1:18" x14ac:dyDescent="0.25">
      <c r="A124" s="47">
        <v>46119</v>
      </c>
      <c r="B124" s="48" t="s">
        <v>18</v>
      </c>
      <c r="C124" s="48" t="s">
        <v>22</v>
      </c>
      <c r="D124" s="48" t="s">
        <v>23</v>
      </c>
      <c r="E124" s="49">
        <v>5000</v>
      </c>
      <c r="F124" s="76">
        <v>5933</v>
      </c>
      <c r="G124" s="49">
        <v>0</v>
      </c>
      <c r="H124" s="50">
        <f>IFERROR(Table1[Re-process (Kg)]/Table1[Actual Production (Kg)], "")</f>
        <v>0</v>
      </c>
      <c r="I124" s="49">
        <f>IFERROR(Table1[[#This Row],[Actual Production (Kg)]]-Table1[[#This Row],[Re-process (Kg)]], "")</f>
        <v>5933</v>
      </c>
      <c r="J124" s="49">
        <v>22</v>
      </c>
      <c r="K124" s="72">
        <v>0</v>
      </c>
      <c r="L124" s="49">
        <f>IF(Table1[[#This Row],[Target Time (Hours)]]="","",Table1[[#This Row],[Target Time (Hours)]]-Table1[[#This Row],[Downtime (Hours)]])</f>
        <v>22</v>
      </c>
      <c r="M124" s="49">
        <f>IFERROR(Table1[[#This Row],[Capacity (Kg)]]/Table1[[#This Row],[Target Time (Hours)]] * Table1[[#This Row],[Downtime (Hours)]], "")</f>
        <v>0</v>
      </c>
      <c r="N124" s="50">
        <f>IFERROR(Table1[[#This Row],[Running Time (hr)]]/Table1[Target Time (Hours)], "")</f>
        <v>1</v>
      </c>
      <c r="O124" s="50">
        <f>IFERROR(Table1[[#This Row],[Actual Production (Kg)]]/Table1[Capacity (Kg)], "")</f>
        <v>1.1866000000000001</v>
      </c>
      <c r="P124" s="50">
        <f>IFERROR(Table1[[#This Row],[Quality Pass Production]]/Table1[[#This Row],[Actual Production (Kg)]], "")</f>
        <v>1</v>
      </c>
      <c r="Q124" s="50">
        <f>IFERROR(Table1[[#This Row],[Utilization %]]*Table1[[#This Row],[Efficiency %]]*Table1[[#This Row],[Quality %]], "")</f>
        <v>1.1866000000000001</v>
      </c>
    </row>
    <row r="125" spans="1:18" x14ac:dyDescent="0.25">
      <c r="A125" s="47">
        <v>46119</v>
      </c>
      <c r="B125" s="48" t="s">
        <v>18</v>
      </c>
      <c r="C125" s="48" t="s">
        <v>22</v>
      </c>
      <c r="D125" s="48" t="s">
        <v>25</v>
      </c>
      <c r="E125" s="49">
        <v>4000</v>
      </c>
      <c r="F125" s="76">
        <v>2476</v>
      </c>
      <c r="G125" s="49">
        <v>0</v>
      </c>
      <c r="H125" s="50">
        <f>IFERROR(Table1[Re-process (Kg)]/Table1[Actual Production (Kg)], "")</f>
        <v>0</v>
      </c>
      <c r="I125" s="49">
        <f>IFERROR(Table1[[#This Row],[Actual Production (Kg)]]-Table1[[#This Row],[Re-process (Kg)]], "")</f>
        <v>2476</v>
      </c>
      <c r="J125" s="49"/>
      <c r="K125" s="72"/>
      <c r="L125" s="49" t="str">
        <f>IF(Table1[[#This Row],[Target Time (Hours)]]="","",Table1[[#This Row],[Target Time (Hours)]]-Table1[[#This Row],[Downtime (Hours)]])</f>
        <v/>
      </c>
      <c r="M125" s="49" t="str">
        <f>IFERROR(Table1[[#This Row],[Capacity (Kg)]]/Table1[[#This Row],[Target Time (Hours)]] * Table1[[#This Row],[Downtime (Hours)]], "")</f>
        <v/>
      </c>
      <c r="N125" s="50" t="str">
        <f>IFERROR(Table1[[#This Row],[Running Time (hr)]]/Table1[Target Time (Hours)], "")</f>
        <v/>
      </c>
      <c r="O125" s="50">
        <f>IFERROR(Table1[[#This Row],[Actual Production (Kg)]]/Table1[Capacity (Kg)], "")</f>
        <v>0.61899999999999999</v>
      </c>
      <c r="P125" s="50">
        <f>IFERROR(Table1[[#This Row],[Quality Pass Production]]/Table1[[#This Row],[Actual Production (Kg)]], "")</f>
        <v>1</v>
      </c>
      <c r="Q125" s="50" t="str">
        <f>IFERROR(Table1[[#This Row],[Utilization %]]*Table1[[#This Row],[Efficiency %]]*Table1[[#This Row],[Quality %]], "")</f>
        <v/>
      </c>
    </row>
    <row r="126" spans="1:18" x14ac:dyDescent="0.25">
      <c r="A126" s="47">
        <v>46119</v>
      </c>
      <c r="B126" s="48" t="s">
        <v>18</v>
      </c>
      <c r="C126" s="48" t="s">
        <v>26</v>
      </c>
      <c r="D126" s="48" t="s">
        <v>25</v>
      </c>
      <c r="E126" s="49">
        <v>7000</v>
      </c>
      <c r="F126" s="76">
        <v>6882</v>
      </c>
      <c r="G126" s="49">
        <v>0</v>
      </c>
      <c r="H126" s="50">
        <f>IFERROR(Table1[Re-process (Kg)]/Table1[Actual Production (Kg)], "")</f>
        <v>0</v>
      </c>
      <c r="I126" s="49">
        <f>IFERROR(Table1[[#This Row],[Actual Production (Kg)]]-Table1[[#This Row],[Re-process (Kg)]], "")</f>
        <v>6882</v>
      </c>
      <c r="J126" s="49">
        <v>22</v>
      </c>
      <c r="K126" s="72">
        <v>0</v>
      </c>
      <c r="L126" s="49">
        <f>IF(Table1[[#This Row],[Target Time (Hours)]]="","",Table1[[#This Row],[Target Time (Hours)]]-Table1[[#This Row],[Downtime (Hours)]])</f>
        <v>22</v>
      </c>
      <c r="M126" s="49">
        <f>IFERROR(Table1[[#This Row],[Capacity (Kg)]]/Table1[[#This Row],[Target Time (Hours)]] * Table1[[#This Row],[Downtime (Hours)]], "")</f>
        <v>0</v>
      </c>
      <c r="N126" s="50">
        <f>IFERROR(Table1[[#This Row],[Running Time (hr)]]/Table1[Target Time (Hours)], "")</f>
        <v>1</v>
      </c>
      <c r="O126" s="50">
        <f>IFERROR(Table1[[#This Row],[Actual Production (Kg)]]/Table1[Capacity (Kg)], "")</f>
        <v>0.9831428571428571</v>
      </c>
      <c r="P126" s="50">
        <f>IFERROR(Table1[[#This Row],[Quality Pass Production]]/Table1[[#This Row],[Actual Production (Kg)]], "")</f>
        <v>1</v>
      </c>
      <c r="Q126" s="50">
        <f>IFERROR(Table1[[#This Row],[Utilization %]]*Table1[[#This Row],[Efficiency %]]*Table1[[#This Row],[Quality %]], "")</f>
        <v>0.9831428571428571</v>
      </c>
    </row>
    <row r="127" spans="1:18" ht="30" customHeight="1" x14ac:dyDescent="0.25">
      <c r="A127" s="47">
        <v>46119</v>
      </c>
      <c r="B127" s="48" t="s">
        <v>18</v>
      </c>
      <c r="C127" s="48" t="s">
        <v>28</v>
      </c>
      <c r="D127" s="48" t="s">
        <v>29</v>
      </c>
      <c r="E127" s="49"/>
      <c r="F127" s="76"/>
      <c r="G127" s="49">
        <v>0</v>
      </c>
      <c r="H127" s="50" t="str">
        <f>IFERROR(Table1[Re-process (Kg)]/Table1[Actual Production (Kg)], "")</f>
        <v/>
      </c>
      <c r="I127" s="49">
        <f>IFERROR(Table1[[#This Row],[Actual Production (Kg)]]-Table1[[#This Row],[Re-process (Kg)]], "")</f>
        <v>0</v>
      </c>
      <c r="J127" s="49"/>
      <c r="K127" s="72"/>
      <c r="L127" s="49" t="str">
        <f>IF(Table1[[#This Row],[Target Time (Hours)]]="","",Table1[[#This Row],[Target Time (Hours)]]-Table1[[#This Row],[Downtime (Hours)]])</f>
        <v/>
      </c>
      <c r="M127" s="49" t="str">
        <f>IFERROR(Table1[[#This Row],[Capacity (Kg)]]/Table1[[#This Row],[Target Time (Hours)]] * Table1[[#This Row],[Downtime (Hours)]], "")</f>
        <v/>
      </c>
      <c r="N127" s="50" t="str">
        <f>IFERROR(Table1[[#This Row],[Running Time (hr)]]/Table1[Target Time (Hours)], "")</f>
        <v/>
      </c>
      <c r="O127" s="50" t="str">
        <f>IFERROR(Table1[[#This Row],[Actual Production (Kg)]]/Table1[Capacity (Kg)], "")</f>
        <v/>
      </c>
      <c r="P127" s="50" t="str">
        <f>IFERROR(Table1[[#This Row],[Quality Pass Production]]/Table1[[#This Row],[Actual Production (Kg)]], "")</f>
        <v/>
      </c>
      <c r="Q127" s="50" t="str">
        <f>IFERROR(Table1[[#This Row],[Utilization %]]*Table1[[#This Row],[Efficiency %]]*Table1[[#This Row],[Quality %]], "")</f>
        <v/>
      </c>
    </row>
    <row r="128" spans="1:18" ht="30" customHeight="1" x14ac:dyDescent="0.25">
      <c r="A128" s="47">
        <v>46119</v>
      </c>
      <c r="B128" s="48" t="s">
        <v>18</v>
      </c>
      <c r="C128" s="48" t="s">
        <v>30</v>
      </c>
      <c r="D128" s="48" t="s">
        <v>31</v>
      </c>
      <c r="E128" s="49">
        <v>9000</v>
      </c>
      <c r="F128" s="76">
        <v>7040</v>
      </c>
      <c r="G128" s="49">
        <v>0</v>
      </c>
      <c r="H128" s="50">
        <f>IFERROR(Table1[Re-process (Kg)]/Table1[Actual Production (Kg)], "")</f>
        <v>0</v>
      </c>
      <c r="I128" s="49">
        <f>IFERROR(Table1[[#This Row],[Actual Production (Kg)]]-Table1[[#This Row],[Re-process (Kg)]], "")</f>
        <v>7040</v>
      </c>
      <c r="J128" s="49">
        <v>22</v>
      </c>
      <c r="K128" s="72">
        <v>0</v>
      </c>
      <c r="L128" s="49">
        <f>IF(Table1[[#This Row],[Target Time (Hours)]]="","",Table1[[#This Row],[Target Time (Hours)]]-Table1[[#This Row],[Downtime (Hours)]])</f>
        <v>22</v>
      </c>
      <c r="M128" s="49">
        <f>IFERROR(Table1[[#This Row],[Capacity (Kg)]]/Table1[[#This Row],[Target Time (Hours)]] * Table1[[#This Row],[Downtime (Hours)]], "")</f>
        <v>0</v>
      </c>
      <c r="N128" s="50">
        <f>IFERROR(Table1[[#This Row],[Running Time (hr)]]/Table1[Target Time (Hours)], "")</f>
        <v>1</v>
      </c>
      <c r="O128" s="50">
        <f>IFERROR(Table1[[#This Row],[Actual Production (Kg)]]/Table1[Capacity (Kg)], "")</f>
        <v>0.78222222222222226</v>
      </c>
      <c r="P128" s="50">
        <f>IFERROR(Table1[[#This Row],[Quality Pass Production]]/Table1[[#This Row],[Actual Production (Kg)]], "")</f>
        <v>1</v>
      </c>
      <c r="Q128" s="50">
        <f>IFERROR(Table1[[#This Row],[Utilization %]]*Table1[[#This Row],[Efficiency %]]*Table1[[#This Row],[Quality %]], "")</f>
        <v>0.78222222222222226</v>
      </c>
      <c r="R128" s="48" t="s">
        <v>70</v>
      </c>
    </row>
    <row r="129" spans="1:18" ht="30" customHeight="1" x14ac:dyDescent="0.25">
      <c r="A129" s="26">
        <v>46119</v>
      </c>
      <c r="B129" s="27" t="s">
        <v>18</v>
      </c>
      <c r="C129" s="27" t="s">
        <v>32</v>
      </c>
      <c r="D129" s="27" t="s">
        <v>31</v>
      </c>
      <c r="E129" s="79">
        <f>Table1[[#This Row],[Actual Production (Kg)]]</f>
        <v>0</v>
      </c>
      <c r="F129" s="79">
        <v>0</v>
      </c>
      <c r="G129" s="79"/>
      <c r="H129" s="28"/>
      <c r="I129" s="79"/>
      <c r="J129" s="79"/>
      <c r="K129" s="27"/>
      <c r="L129" s="53" t="str">
        <f>IF(Table1[[#This Row],[Target Time (Hours)]]="","",Table1[[#This Row],[Target Time (Hours)]]-Table1[[#This Row],[Downtime (Hours)]])</f>
        <v/>
      </c>
      <c r="M129" s="79"/>
      <c r="N129" s="28"/>
      <c r="O129" s="28"/>
      <c r="P129" s="28"/>
      <c r="Q129" s="28"/>
      <c r="R129" s="27"/>
    </row>
    <row r="130" spans="1:18" ht="30" customHeight="1" x14ac:dyDescent="0.25">
      <c r="A130" s="47">
        <v>46119</v>
      </c>
      <c r="B130" s="48" t="s">
        <v>33</v>
      </c>
      <c r="C130" s="48" t="s">
        <v>34</v>
      </c>
      <c r="D130" s="48" t="s">
        <v>35</v>
      </c>
      <c r="E130" s="49">
        <v>9000</v>
      </c>
      <c r="F130" s="76">
        <v>6687</v>
      </c>
      <c r="G130" s="49">
        <v>0</v>
      </c>
      <c r="H130" s="50">
        <f>IFERROR(Table1[Re-process (Kg)]/Table1[Actual Production (Kg)], "")</f>
        <v>0</v>
      </c>
      <c r="I130" s="49">
        <f>IFERROR(Table1[[#This Row],[Actual Production (Kg)]]-Table1[[#This Row],[Re-process (Kg)]], "")</f>
        <v>6687</v>
      </c>
      <c r="J130" s="49">
        <v>22</v>
      </c>
      <c r="K130" s="72">
        <v>2</v>
      </c>
      <c r="L130" s="49">
        <f>IF(Table1[[#This Row],[Target Time (Hours)]]="","",Table1[[#This Row],[Target Time (Hours)]]-Table1[[#This Row],[Downtime (Hours)]])</f>
        <v>20</v>
      </c>
      <c r="M130" s="49">
        <f>IFERROR(Table1[[#This Row],[Capacity (Kg)]]/Table1[[#This Row],[Target Time (Hours)]] * Table1[[#This Row],[Downtime (Hours)]], "")</f>
        <v>818.18181818181813</v>
      </c>
      <c r="N130" s="50">
        <f>IFERROR(Table1[[#This Row],[Running Time (hr)]]/Table1[Target Time (Hours)], "")</f>
        <v>0.90909090909090906</v>
      </c>
      <c r="O130" s="50">
        <f>IFERROR(Table1[[#This Row],[Actual Production (Kg)]]/Table1[Capacity (Kg)], "")</f>
        <v>0.74299999999999999</v>
      </c>
      <c r="P130" s="50">
        <f>IFERROR(Table1[[#This Row],[Quality Pass Production]]/Table1[[#This Row],[Actual Production (Kg)]], "")</f>
        <v>1</v>
      </c>
      <c r="Q130" s="50">
        <f>IFERROR(Table1[[#This Row],[Utilization %]]*Table1[[#This Row],[Efficiency %]]*Table1[[#This Row],[Quality %]], "")</f>
        <v>0.67545454545454542</v>
      </c>
      <c r="R130" s="48" t="s">
        <v>71</v>
      </c>
    </row>
    <row r="131" spans="1:18" x14ac:dyDescent="0.25">
      <c r="A131" s="47">
        <v>46119</v>
      </c>
      <c r="B131" s="48" t="s">
        <v>33</v>
      </c>
      <c r="C131" s="48" t="s">
        <v>36</v>
      </c>
      <c r="D131" s="48" t="s">
        <v>37</v>
      </c>
      <c r="E131" s="49">
        <v>8000</v>
      </c>
      <c r="F131" s="76">
        <v>2951</v>
      </c>
      <c r="G131" s="49">
        <v>0</v>
      </c>
      <c r="H131" s="50">
        <f>IFERROR(Table1[Re-process (Kg)]/Table1[Actual Production (Kg)], "")</f>
        <v>0</v>
      </c>
      <c r="I131" s="49">
        <f>IFERROR(Table1[[#This Row],[Actual Production (Kg)]]-Table1[[#This Row],[Re-process (Kg)]], "")</f>
        <v>2951</v>
      </c>
      <c r="J131" s="49">
        <v>22</v>
      </c>
      <c r="K131" s="72">
        <v>0</v>
      </c>
      <c r="L131" s="49">
        <f>IF(Table1[[#This Row],[Target Time (Hours)]]="","",Table1[[#This Row],[Target Time (Hours)]]-Table1[[#This Row],[Downtime (Hours)]])</f>
        <v>22</v>
      </c>
      <c r="M131" s="49">
        <f>IFERROR(Table1[[#This Row],[Capacity (Kg)]]/Table1[[#This Row],[Target Time (Hours)]] * Table1[[#This Row],[Downtime (Hours)]], "")</f>
        <v>0</v>
      </c>
      <c r="N131" s="50">
        <f>IFERROR(Table1[[#This Row],[Running Time (hr)]]/Table1[Target Time (Hours)], "")</f>
        <v>1</v>
      </c>
      <c r="O131" s="50">
        <f>IFERROR(Table1[[#This Row],[Actual Production (Kg)]]/Table1[Capacity (Kg)], "")</f>
        <v>0.36887500000000001</v>
      </c>
      <c r="P131" s="50">
        <f>IFERROR(Table1[[#This Row],[Quality Pass Production]]/Table1[[#This Row],[Actual Production (Kg)]], "")</f>
        <v>1</v>
      </c>
      <c r="Q131" s="50">
        <f>IFERROR(Table1[[#This Row],[Utilization %]]*Table1[[#This Row],[Efficiency %]]*Table1[[#This Row],[Quality %]], "")</f>
        <v>0.36887500000000001</v>
      </c>
      <c r="R131" s="48" t="s">
        <v>64</v>
      </c>
    </row>
    <row r="132" spans="1:18" ht="30" customHeight="1" x14ac:dyDescent="0.25">
      <c r="A132" s="47">
        <v>46119</v>
      </c>
      <c r="B132" s="48" t="s">
        <v>33</v>
      </c>
      <c r="C132" s="48" t="s">
        <v>39</v>
      </c>
      <c r="D132" s="48" t="s">
        <v>31</v>
      </c>
      <c r="E132" s="49">
        <v>6000</v>
      </c>
      <c r="F132" s="76">
        <v>4043</v>
      </c>
      <c r="G132" s="49">
        <v>0</v>
      </c>
      <c r="H132" s="50">
        <f>IFERROR(Table1[Re-process (Kg)]/Table1[Actual Production (Kg)], "")</f>
        <v>0</v>
      </c>
      <c r="I132" s="49">
        <f>IFERROR(Table1[[#This Row],[Actual Production (Kg)]]-Table1[[#This Row],[Re-process (Kg)]], "")</f>
        <v>4043</v>
      </c>
      <c r="J132" s="49">
        <v>22</v>
      </c>
      <c r="K132" s="72">
        <v>0</v>
      </c>
      <c r="L132" s="49">
        <f>IF(Table1[[#This Row],[Target Time (Hours)]]="","",Table1[[#This Row],[Target Time (Hours)]]-Table1[[#This Row],[Downtime (Hours)]])</f>
        <v>22</v>
      </c>
      <c r="M132" s="49">
        <f>IFERROR(Table1[[#This Row],[Capacity (Kg)]]/Table1[[#This Row],[Target Time (Hours)]] * Table1[[#This Row],[Downtime (Hours)]], "")</f>
        <v>0</v>
      </c>
      <c r="N132" s="50">
        <f>IFERROR(Table1[[#This Row],[Running Time (hr)]]/Table1[Target Time (Hours)], "")</f>
        <v>1</v>
      </c>
      <c r="O132" s="50">
        <f>IFERROR(Table1[[#This Row],[Actual Production (Kg)]]/Table1[Capacity (Kg)], "")</f>
        <v>0.67383333333333328</v>
      </c>
      <c r="P132" s="50">
        <f>IFERROR(Table1[[#This Row],[Quality Pass Production]]/Table1[[#This Row],[Actual Production (Kg)]], "")</f>
        <v>1</v>
      </c>
      <c r="Q132" s="50">
        <f>IFERROR(Table1[[#This Row],[Utilization %]]*Table1[[#This Row],[Efficiency %]]*Table1[[#This Row],[Quality %]], "")</f>
        <v>0.67383333333333328</v>
      </c>
      <c r="R132" s="48" t="s">
        <v>69</v>
      </c>
    </row>
    <row r="133" spans="1:18" ht="45" customHeight="1" x14ac:dyDescent="0.25">
      <c r="A133" s="54">
        <v>46119</v>
      </c>
      <c r="B133" s="55" t="s">
        <v>33</v>
      </c>
      <c r="C133" s="55" t="s">
        <v>40</v>
      </c>
      <c r="D133" s="55" t="s">
        <v>31</v>
      </c>
      <c r="E133" s="56">
        <v>5000</v>
      </c>
      <c r="F133" s="56">
        <v>8903</v>
      </c>
      <c r="G133" s="56">
        <v>0</v>
      </c>
      <c r="H133" s="58">
        <f>IFERROR(Table1[Re-process (Kg)]/Table1[Actual Production (Kg)], "")</f>
        <v>0</v>
      </c>
      <c r="I133" s="56">
        <f>IFERROR(Table1[[#This Row],[Actual Production (Kg)]]-Table1[[#This Row],[Re-process (Kg)]], "")</f>
        <v>8903</v>
      </c>
      <c r="J133" s="56">
        <v>22</v>
      </c>
      <c r="K133" s="55">
        <v>2</v>
      </c>
      <c r="L133" s="56">
        <f>IF(Table1[[#This Row],[Target Time (Hours)]]="","",Table1[[#This Row],[Target Time (Hours)]]-Table1[[#This Row],[Downtime (Hours)]])</f>
        <v>20</v>
      </c>
      <c r="M133" s="56">
        <f>IFERROR(Table1[[#This Row],[Capacity (Kg)]]/Table1[[#This Row],[Target Time (Hours)]] * Table1[[#This Row],[Downtime (Hours)]], "")</f>
        <v>454.54545454545456</v>
      </c>
      <c r="N133" s="58">
        <f>IFERROR(Table1[[#This Row],[Running Time (hr)]]/Table1[Target Time (Hours)], "")</f>
        <v>0.90909090909090906</v>
      </c>
      <c r="O133" s="58">
        <f>IFERROR(Table1[[#This Row],[Actual Production (Kg)]]/Table1[Capacity (Kg)], "")</f>
        <v>1.7806</v>
      </c>
      <c r="P133" s="58">
        <f>IFERROR(Table1[[#This Row],[Quality Pass Production]]/Table1[[#This Row],[Actual Production (Kg)]], "")</f>
        <v>1</v>
      </c>
      <c r="Q133" s="58">
        <f>IFERROR(Table1[[#This Row],[Utilization %]]*Table1[[#This Row],[Efficiency %]]*Table1[[#This Row],[Quality %]], "")</f>
        <v>1.6187272727272726</v>
      </c>
      <c r="R133" s="55" t="s">
        <v>72</v>
      </c>
    </row>
    <row r="134" spans="1:18" ht="30" customHeight="1" x14ac:dyDescent="0.25">
      <c r="A134" s="47">
        <v>46120</v>
      </c>
      <c r="B134" s="48" t="s">
        <v>18</v>
      </c>
      <c r="C134" s="48" t="s">
        <v>19</v>
      </c>
      <c r="D134" s="48" t="s">
        <v>20</v>
      </c>
      <c r="E134" s="49">
        <v>10000</v>
      </c>
      <c r="F134" s="76">
        <v>3125</v>
      </c>
      <c r="G134" s="49">
        <v>0</v>
      </c>
      <c r="H134" s="50">
        <f>IFERROR(Table1[Re-process (Kg)]/Table1[Actual Production (Kg)], "")</f>
        <v>0</v>
      </c>
      <c r="I134" s="49">
        <f>IFERROR(Table1[[#This Row],[Actual Production (Kg)]]-Table1[[#This Row],[Re-process (Kg)]], "")</f>
        <v>3125</v>
      </c>
      <c r="J134" s="49">
        <v>22</v>
      </c>
      <c r="K134" s="72">
        <v>3</v>
      </c>
      <c r="L134" s="49">
        <f>IF(Table1[[#This Row],[Target Time (Hours)]]="","",Table1[[#This Row],[Target Time (Hours)]]-Table1[[#This Row],[Downtime (Hours)]])</f>
        <v>19</v>
      </c>
      <c r="M134" s="49">
        <f>IFERROR(Table1[[#This Row],[Capacity (Kg)]]/Table1[[#This Row],[Target Time (Hours)]] * Table1[[#This Row],[Downtime (Hours)]], "")</f>
        <v>1363.6363636363637</v>
      </c>
      <c r="N134" s="50">
        <f>IFERROR(Table1[[#This Row],[Running Time (hr)]]/Table1[Target Time (Hours)], "")</f>
        <v>0.86363636363636365</v>
      </c>
      <c r="O134" s="50">
        <f>IFERROR(Table1[[#This Row],[Actual Production (Kg)]]/Table1[Capacity (Kg)], "")</f>
        <v>0.3125</v>
      </c>
      <c r="P134" s="50">
        <f>IFERROR(Table1[[#This Row],[Quality Pass Production]]/Table1[[#This Row],[Actual Production (Kg)]], "")</f>
        <v>1</v>
      </c>
      <c r="Q134" s="50">
        <f>IFERROR(Table1[[#This Row],[Utilization %]]*Table1[[#This Row],[Efficiency %]]*Table1[[#This Row],[Quality %]], "")</f>
        <v>0.26988636363636365</v>
      </c>
      <c r="R134" s="48" t="s">
        <v>73</v>
      </c>
    </row>
    <row r="135" spans="1:18" x14ac:dyDescent="0.25">
      <c r="A135" s="47">
        <v>46120</v>
      </c>
      <c r="B135" s="48" t="s">
        <v>18</v>
      </c>
      <c r="C135" s="48" t="s">
        <v>22</v>
      </c>
      <c r="D135" s="48" t="s">
        <v>23</v>
      </c>
      <c r="E135" s="49">
        <v>5000</v>
      </c>
      <c r="F135" s="76">
        <v>4744</v>
      </c>
      <c r="G135" s="49">
        <v>0</v>
      </c>
      <c r="H135" s="50">
        <f>IFERROR(Table1[Re-process (Kg)]/Table1[Actual Production (Kg)], "")</f>
        <v>0</v>
      </c>
      <c r="I135" s="49">
        <f>IFERROR(Table1[[#This Row],[Actual Production (Kg)]]-Table1[[#This Row],[Re-process (Kg)]], "")</f>
        <v>4744</v>
      </c>
      <c r="J135" s="49"/>
      <c r="K135" s="72"/>
      <c r="L135" s="49" t="str">
        <f>IF(Table1[[#This Row],[Target Time (Hours)]]="","",Table1[[#This Row],[Target Time (Hours)]]-Table1[[#This Row],[Downtime (Hours)]])</f>
        <v/>
      </c>
      <c r="M135" s="49" t="str">
        <f>IFERROR(Table1[[#This Row],[Capacity (Kg)]]/Table1[[#This Row],[Target Time (Hours)]] * Table1[[#This Row],[Downtime (Hours)]], "")</f>
        <v/>
      </c>
      <c r="N135" s="50" t="str">
        <f>IFERROR(Table1[[#This Row],[Running Time (hr)]]/Table1[Target Time (Hours)], "")</f>
        <v/>
      </c>
      <c r="O135" s="50">
        <f>IFERROR(Table1[[#This Row],[Actual Production (Kg)]]/Table1[Capacity (Kg)], "")</f>
        <v>0.94879999999999998</v>
      </c>
      <c r="P135" s="50">
        <f>IFERROR(Table1[[#This Row],[Quality Pass Production]]/Table1[[#This Row],[Actual Production (Kg)]], "")</f>
        <v>1</v>
      </c>
      <c r="Q135" s="50" t="str">
        <f>IFERROR(Table1[[#This Row],[Utilization %]]*Table1[[#This Row],[Efficiency %]]*Table1[[#This Row],[Quality %]], "")</f>
        <v/>
      </c>
    </row>
    <row r="136" spans="1:18" ht="30" customHeight="1" x14ac:dyDescent="0.25">
      <c r="A136" s="47">
        <v>46120</v>
      </c>
      <c r="B136" s="48" t="s">
        <v>18</v>
      </c>
      <c r="C136" s="48" t="s">
        <v>22</v>
      </c>
      <c r="D136" s="48" t="s">
        <v>25</v>
      </c>
      <c r="E136" s="49">
        <v>4000</v>
      </c>
      <c r="F136" s="76">
        <v>7201</v>
      </c>
      <c r="G136" s="49">
        <v>0</v>
      </c>
      <c r="H136" s="50">
        <f>IFERROR(Table1[Re-process (Kg)]/Table1[Actual Production (Kg)], "")</f>
        <v>0</v>
      </c>
      <c r="I136" s="49">
        <f>IFERROR(Table1[[#This Row],[Actual Production (Kg)]]-Table1[[#This Row],[Re-process (Kg)]], "")</f>
        <v>7201</v>
      </c>
      <c r="J136" s="49">
        <v>22</v>
      </c>
      <c r="K136" s="72">
        <v>3</v>
      </c>
      <c r="L136" s="49">
        <f>IF(Table1[[#This Row],[Target Time (Hours)]]="","",Table1[[#This Row],[Target Time (Hours)]]-Table1[[#This Row],[Downtime (Hours)]])</f>
        <v>19</v>
      </c>
      <c r="M136" s="49">
        <f>IFERROR(Table1[[#This Row],[Capacity (Kg)]]/Table1[[#This Row],[Target Time (Hours)]] * Table1[[#This Row],[Downtime (Hours)]], "")</f>
        <v>545.4545454545455</v>
      </c>
      <c r="N136" s="50">
        <f>IFERROR(Table1[[#This Row],[Running Time (hr)]]/Table1[Target Time (Hours)], "")</f>
        <v>0.86363636363636365</v>
      </c>
      <c r="O136" s="50">
        <f>IFERROR(Table1[[#This Row],[Actual Production (Kg)]]/Table1[Capacity (Kg)], "")</f>
        <v>1.8002499999999999</v>
      </c>
      <c r="P136" s="50">
        <f>IFERROR(Table1[[#This Row],[Quality Pass Production]]/Table1[[#This Row],[Actual Production (Kg)]], "")</f>
        <v>1</v>
      </c>
      <c r="Q136" s="50">
        <f>IFERROR(Table1[[#This Row],[Utilization %]]*Table1[[#This Row],[Efficiency %]]*Table1[[#This Row],[Quality %]], "")</f>
        <v>1.5547613636363635</v>
      </c>
      <c r="R136" s="48" t="s">
        <v>73</v>
      </c>
    </row>
    <row r="137" spans="1:18" x14ac:dyDescent="0.25">
      <c r="A137" s="47">
        <v>46120</v>
      </c>
      <c r="B137" s="48" t="s">
        <v>18</v>
      </c>
      <c r="C137" s="48" t="s">
        <v>26</v>
      </c>
      <c r="D137" s="48" t="s">
        <v>25</v>
      </c>
      <c r="E137" s="49">
        <v>7000</v>
      </c>
      <c r="F137" s="76"/>
      <c r="G137" s="49">
        <v>0</v>
      </c>
      <c r="H137" s="50" t="str">
        <f>IFERROR(Table1[Re-process (Kg)]/Table1[Actual Production (Kg)], "")</f>
        <v/>
      </c>
      <c r="I137" s="49">
        <f>IFERROR(Table1[[#This Row],[Actual Production (Kg)]]-Table1[[#This Row],[Re-process (Kg)]], "")</f>
        <v>0</v>
      </c>
      <c r="J137" s="49"/>
      <c r="K137" s="72"/>
      <c r="L137" s="49" t="str">
        <f>IF(Table1[[#This Row],[Target Time (Hours)]]="","",Table1[[#This Row],[Target Time (Hours)]]-Table1[[#This Row],[Downtime (Hours)]])</f>
        <v/>
      </c>
      <c r="M137" s="49" t="str">
        <f>IFERROR(Table1[[#This Row],[Capacity (Kg)]]/Table1[[#This Row],[Target Time (Hours)]] * Table1[[#This Row],[Downtime (Hours)]], "")</f>
        <v/>
      </c>
      <c r="N137" s="50" t="str">
        <f>IFERROR(Table1[[#This Row],[Running Time (hr)]]/Table1[Target Time (Hours)], "")</f>
        <v/>
      </c>
      <c r="O137" s="50">
        <f>IFERROR(Table1[[#This Row],[Actual Production (Kg)]]/Table1[Capacity (Kg)], "")</f>
        <v>0</v>
      </c>
      <c r="P137" s="50" t="str">
        <f>IFERROR(Table1[[#This Row],[Quality Pass Production]]/Table1[[#This Row],[Actual Production (Kg)]], "")</f>
        <v/>
      </c>
      <c r="Q137" s="50" t="str">
        <f>IFERROR(Table1[[#This Row],[Utilization %]]*Table1[[#This Row],[Efficiency %]]*Table1[[#This Row],[Quality %]], "")</f>
        <v/>
      </c>
    </row>
    <row r="138" spans="1:18" ht="30" customHeight="1" x14ac:dyDescent="0.25">
      <c r="A138" s="47">
        <v>46120</v>
      </c>
      <c r="B138" s="48" t="s">
        <v>18</v>
      </c>
      <c r="C138" s="48" t="s">
        <v>28</v>
      </c>
      <c r="D138" s="48" t="s">
        <v>29</v>
      </c>
      <c r="E138" s="49">
        <v>7800</v>
      </c>
      <c r="F138" s="76">
        <v>7512</v>
      </c>
      <c r="G138" s="49">
        <v>0</v>
      </c>
      <c r="H138" s="50">
        <f>IFERROR(Table1[Re-process (Kg)]/Table1[Actual Production (Kg)], "")</f>
        <v>0</v>
      </c>
      <c r="I138" s="49">
        <f>IFERROR(Table1[[#This Row],[Actual Production (Kg)]]-Table1[[#This Row],[Re-process (Kg)]], "")</f>
        <v>7512</v>
      </c>
      <c r="J138" s="49">
        <v>22</v>
      </c>
      <c r="K138" s="72">
        <v>0</v>
      </c>
      <c r="L138" s="49">
        <f>IF(Table1[[#This Row],[Target Time (Hours)]]="","",Table1[[#This Row],[Target Time (Hours)]]-Table1[[#This Row],[Downtime (Hours)]])</f>
        <v>22</v>
      </c>
      <c r="M138" s="49">
        <f>IFERROR(Table1[[#This Row],[Capacity (Kg)]]/Table1[[#This Row],[Target Time (Hours)]] * Table1[[#This Row],[Downtime (Hours)]], "")</f>
        <v>0</v>
      </c>
      <c r="N138" s="50">
        <f>IFERROR(Table1[[#This Row],[Running Time (hr)]]/Table1[Target Time (Hours)], "")</f>
        <v>1</v>
      </c>
      <c r="O138" s="50">
        <f>IFERROR(Table1[[#This Row],[Actual Production (Kg)]]/Table1[Capacity (Kg)], "")</f>
        <v>0.96307692307692305</v>
      </c>
      <c r="P138" s="50">
        <f>IFERROR(Table1[[#This Row],[Quality Pass Production]]/Table1[[#This Row],[Actual Production (Kg)]], "")</f>
        <v>1</v>
      </c>
      <c r="Q138" s="50">
        <f>IFERROR(Table1[[#This Row],[Utilization %]]*Table1[[#This Row],[Efficiency %]]*Table1[[#This Row],[Quality %]], "")</f>
        <v>0.96307692307692305</v>
      </c>
    </row>
    <row r="139" spans="1:18" ht="30" customHeight="1" x14ac:dyDescent="0.25">
      <c r="A139" s="47">
        <v>46120</v>
      </c>
      <c r="B139" s="48" t="s">
        <v>18</v>
      </c>
      <c r="C139" s="48" t="s">
        <v>30</v>
      </c>
      <c r="D139" s="48" t="s">
        <v>31</v>
      </c>
      <c r="E139" s="49">
        <v>9000</v>
      </c>
      <c r="F139" s="76">
        <v>0</v>
      </c>
      <c r="G139" s="49">
        <v>0</v>
      </c>
      <c r="H139" s="50" t="str">
        <f>IFERROR(Table1[Re-process (Kg)]/Table1[Actual Production (Kg)], "")</f>
        <v/>
      </c>
      <c r="I139" s="49">
        <f>IFERROR(Table1[[#This Row],[Actual Production (Kg)]]-Table1[[#This Row],[Re-process (Kg)]], "")</f>
        <v>0</v>
      </c>
      <c r="J139" s="49">
        <v>22</v>
      </c>
      <c r="K139" s="72">
        <v>0</v>
      </c>
      <c r="L139" s="49">
        <f>IF(Table1[[#This Row],[Target Time (Hours)]]="","",Table1[[#This Row],[Target Time (Hours)]]-Table1[[#This Row],[Downtime (Hours)]])</f>
        <v>22</v>
      </c>
      <c r="M139" s="49">
        <f>IFERROR(Table1[[#This Row],[Capacity (Kg)]]/Table1[[#This Row],[Target Time (Hours)]] * Table1[[#This Row],[Downtime (Hours)]], "")</f>
        <v>0</v>
      </c>
      <c r="N139" s="50">
        <f>IFERROR(Table1[[#This Row],[Running Time (hr)]]/Table1[Target Time (Hours)], "")</f>
        <v>1</v>
      </c>
      <c r="O139" s="50">
        <f>IFERROR(Table1[[#This Row],[Actual Production (Kg)]]/Table1[Capacity (Kg)], "")</f>
        <v>0</v>
      </c>
      <c r="P139" s="50" t="str">
        <f>IFERROR(Table1[[#This Row],[Quality Pass Production]]/Table1[[#This Row],[Actual Production (Kg)]], "")</f>
        <v/>
      </c>
      <c r="Q139" s="50" t="str">
        <f>IFERROR(Table1[[#This Row],[Utilization %]]*Table1[[#This Row],[Efficiency %]]*Table1[[#This Row],[Quality %]], "")</f>
        <v/>
      </c>
      <c r="R139" s="48" t="s">
        <v>74</v>
      </c>
    </row>
    <row r="140" spans="1:18" ht="30" customHeight="1" x14ac:dyDescent="0.25">
      <c r="A140" s="26">
        <v>46120</v>
      </c>
      <c r="B140" s="27" t="s">
        <v>18</v>
      </c>
      <c r="C140" s="27" t="s">
        <v>32</v>
      </c>
      <c r="D140" s="27" t="s">
        <v>31</v>
      </c>
      <c r="E140" s="79">
        <f>Table1[[#This Row],[Actual Production (Kg)]]</f>
        <v>0</v>
      </c>
      <c r="F140" s="79">
        <v>0</v>
      </c>
      <c r="G140" s="79"/>
      <c r="H140" s="28"/>
      <c r="I140" s="79"/>
      <c r="J140" s="79"/>
      <c r="K140" s="27"/>
      <c r="L140" s="53" t="str">
        <f>IF(Table1[[#This Row],[Target Time (Hours)]]="","",Table1[[#This Row],[Target Time (Hours)]]-Table1[[#This Row],[Downtime (Hours)]])</f>
        <v/>
      </c>
      <c r="M140" s="79"/>
      <c r="N140" s="28"/>
      <c r="O140" s="28"/>
      <c r="P140" s="28"/>
      <c r="Q140" s="28"/>
      <c r="R140" s="27" t="s">
        <v>64</v>
      </c>
    </row>
    <row r="141" spans="1:18" ht="30" customHeight="1" x14ac:dyDescent="0.25">
      <c r="A141" s="47">
        <v>46120</v>
      </c>
      <c r="B141" s="48" t="s">
        <v>33</v>
      </c>
      <c r="C141" s="48" t="s">
        <v>34</v>
      </c>
      <c r="D141" s="48" t="s">
        <v>35</v>
      </c>
      <c r="E141" s="49">
        <v>9000</v>
      </c>
      <c r="F141" s="76">
        <v>4766</v>
      </c>
      <c r="G141" s="49">
        <v>0</v>
      </c>
      <c r="H141" s="50">
        <f>IFERROR(Table1[Re-process (Kg)]/Table1[Actual Production (Kg)], "")</f>
        <v>0</v>
      </c>
      <c r="I141" s="49">
        <f>IFERROR(Table1[[#This Row],[Actual Production (Kg)]]-Table1[[#This Row],[Re-process (Kg)]], "")</f>
        <v>4766</v>
      </c>
      <c r="J141" s="49">
        <v>22</v>
      </c>
      <c r="K141" s="72">
        <v>2</v>
      </c>
      <c r="L141" s="49">
        <f>IF(Table1[[#This Row],[Target Time (Hours)]]="","",Table1[[#This Row],[Target Time (Hours)]]-Table1[[#This Row],[Downtime (Hours)]])</f>
        <v>20</v>
      </c>
      <c r="M141" s="49">
        <f>IFERROR(Table1[[#This Row],[Capacity (Kg)]]/Table1[[#This Row],[Target Time (Hours)]] * Table1[[#This Row],[Downtime (Hours)]], "")</f>
        <v>818.18181818181813</v>
      </c>
      <c r="N141" s="50">
        <f>IFERROR(Table1[[#This Row],[Running Time (hr)]]/Table1[Target Time (Hours)], "")</f>
        <v>0.90909090909090906</v>
      </c>
      <c r="O141" s="50">
        <f>IFERROR(Table1[[#This Row],[Actual Production (Kg)]]/Table1[Capacity (Kg)], "")</f>
        <v>0.52955555555555556</v>
      </c>
      <c r="P141" s="50">
        <f>IFERROR(Table1[[#This Row],[Quality Pass Production]]/Table1[[#This Row],[Actual Production (Kg)]], "")</f>
        <v>1</v>
      </c>
      <c r="Q141" s="50">
        <f>IFERROR(Table1[[#This Row],[Utilization %]]*Table1[[#This Row],[Efficiency %]]*Table1[[#This Row],[Quality %]], "")</f>
        <v>0.48141414141414141</v>
      </c>
      <c r="R141" s="48" t="s">
        <v>71</v>
      </c>
    </row>
    <row r="142" spans="1:18" x14ac:dyDescent="0.25">
      <c r="A142" s="47">
        <v>46120</v>
      </c>
      <c r="B142" s="48" t="s">
        <v>33</v>
      </c>
      <c r="C142" s="48" t="s">
        <v>36</v>
      </c>
      <c r="D142" s="48" t="s">
        <v>37</v>
      </c>
      <c r="E142" s="49">
        <v>8000</v>
      </c>
      <c r="F142" s="76">
        <v>2759</v>
      </c>
      <c r="G142" s="49">
        <v>0</v>
      </c>
      <c r="H142" s="50">
        <f>IFERROR(Table1[Re-process (Kg)]/Table1[Actual Production (Kg)], "")</f>
        <v>0</v>
      </c>
      <c r="I142" s="49">
        <f>IFERROR(Table1[[#This Row],[Actual Production (Kg)]]-Table1[[#This Row],[Re-process (Kg)]], "")</f>
        <v>2759</v>
      </c>
      <c r="J142" s="49">
        <v>22</v>
      </c>
      <c r="K142" s="72">
        <v>0</v>
      </c>
      <c r="L142" s="49">
        <f>IF(Table1[[#This Row],[Target Time (Hours)]]="","",Table1[[#This Row],[Target Time (Hours)]]-Table1[[#This Row],[Downtime (Hours)]])</f>
        <v>22</v>
      </c>
      <c r="M142" s="49">
        <f>IFERROR(Table1[[#This Row],[Capacity (Kg)]]/Table1[[#This Row],[Target Time (Hours)]] * Table1[[#This Row],[Downtime (Hours)]], "")</f>
        <v>0</v>
      </c>
      <c r="N142" s="50">
        <f>IFERROR(Table1[[#This Row],[Running Time (hr)]]/Table1[Target Time (Hours)], "")</f>
        <v>1</v>
      </c>
      <c r="O142" s="50">
        <f>IFERROR(Table1[[#This Row],[Actual Production (Kg)]]/Table1[Capacity (Kg)], "")</f>
        <v>0.34487499999999999</v>
      </c>
      <c r="P142" s="50">
        <f>IFERROR(Table1[[#This Row],[Quality Pass Production]]/Table1[[#This Row],[Actual Production (Kg)]], "")</f>
        <v>1</v>
      </c>
      <c r="Q142" s="50">
        <f>IFERROR(Table1[[#This Row],[Utilization %]]*Table1[[#This Row],[Efficiency %]]*Table1[[#This Row],[Quality %]], "")</f>
        <v>0.34487499999999999</v>
      </c>
      <c r="R142" s="48" t="s">
        <v>64</v>
      </c>
    </row>
    <row r="143" spans="1:18" ht="30" customHeight="1" x14ac:dyDescent="0.25">
      <c r="A143" s="47">
        <v>46120</v>
      </c>
      <c r="B143" s="48" t="s">
        <v>33</v>
      </c>
      <c r="C143" s="48" t="s">
        <v>39</v>
      </c>
      <c r="D143" s="48" t="s">
        <v>31</v>
      </c>
      <c r="E143" s="49">
        <v>6000</v>
      </c>
      <c r="F143" s="76">
        <v>2097</v>
      </c>
      <c r="G143" s="49">
        <v>0</v>
      </c>
      <c r="H143" s="50">
        <f>IFERROR(Table1[Re-process (Kg)]/Table1[Actual Production (Kg)], "")</f>
        <v>0</v>
      </c>
      <c r="I143" s="49">
        <f>IFERROR(Table1[[#This Row],[Actual Production (Kg)]]-Table1[[#This Row],[Re-process (Kg)]], "")</f>
        <v>2097</v>
      </c>
      <c r="J143" s="49">
        <v>22</v>
      </c>
      <c r="K143" s="72">
        <v>0</v>
      </c>
      <c r="L143" s="49">
        <f>IF(Table1[[#This Row],[Target Time (Hours)]]="","",Table1[[#This Row],[Target Time (Hours)]]-Table1[[#This Row],[Downtime (Hours)]])</f>
        <v>22</v>
      </c>
      <c r="M143" s="49">
        <f>IFERROR(Table1[[#This Row],[Capacity (Kg)]]/Table1[[#This Row],[Target Time (Hours)]] * Table1[[#This Row],[Downtime (Hours)]], "")</f>
        <v>0</v>
      </c>
      <c r="N143" s="50">
        <f>IFERROR(Table1[[#This Row],[Running Time (hr)]]/Table1[Target Time (Hours)], "")</f>
        <v>1</v>
      </c>
      <c r="O143" s="50">
        <f>IFERROR(Table1[[#This Row],[Actual Production (Kg)]]/Table1[Capacity (Kg)], "")</f>
        <v>0.34949999999999998</v>
      </c>
      <c r="P143" s="50">
        <f>IFERROR(Table1[[#This Row],[Quality Pass Production]]/Table1[[#This Row],[Actual Production (Kg)]], "")</f>
        <v>1</v>
      </c>
      <c r="Q143" s="50">
        <f>IFERROR(Table1[[#This Row],[Utilization %]]*Table1[[#This Row],[Efficiency %]]*Table1[[#This Row],[Quality %]], "")</f>
        <v>0.34949999999999998</v>
      </c>
      <c r="R143" s="48" t="s">
        <v>69</v>
      </c>
    </row>
    <row r="144" spans="1:18" ht="45" customHeight="1" x14ac:dyDescent="0.25">
      <c r="A144" s="54">
        <v>46120</v>
      </c>
      <c r="B144" s="55" t="s">
        <v>33</v>
      </c>
      <c r="C144" s="55" t="s">
        <v>40</v>
      </c>
      <c r="D144" s="55" t="s">
        <v>31</v>
      </c>
      <c r="E144" s="56">
        <v>5000</v>
      </c>
      <c r="F144" s="56">
        <v>7578</v>
      </c>
      <c r="G144" s="56">
        <v>0</v>
      </c>
      <c r="H144" s="58">
        <f>IFERROR(Table1[Re-process (Kg)]/Table1[Actual Production (Kg)], "")</f>
        <v>0</v>
      </c>
      <c r="I144" s="56">
        <f>IFERROR(Table1[[#This Row],[Actual Production (Kg)]]-Table1[[#This Row],[Re-process (Kg)]], "")</f>
        <v>7578</v>
      </c>
      <c r="J144" s="56">
        <v>22</v>
      </c>
      <c r="K144" s="55">
        <v>0</v>
      </c>
      <c r="L144" s="56">
        <f>IF(Table1[[#This Row],[Target Time (Hours)]]="","",Table1[[#This Row],[Target Time (Hours)]]-Table1[[#This Row],[Downtime (Hours)]])</f>
        <v>22</v>
      </c>
      <c r="M144" s="56">
        <f>IFERROR(Table1[[#This Row],[Capacity (Kg)]]/Table1[[#This Row],[Target Time (Hours)]] * Table1[[#This Row],[Downtime (Hours)]], "")</f>
        <v>0</v>
      </c>
      <c r="N144" s="58">
        <f>IFERROR(Table1[[#This Row],[Running Time (hr)]]/Table1[Target Time (Hours)], "")</f>
        <v>1</v>
      </c>
      <c r="O144" s="58">
        <f>IFERROR(Table1[[#This Row],[Actual Production (Kg)]]/Table1[Capacity (Kg)], "")</f>
        <v>1.5156000000000001</v>
      </c>
      <c r="P144" s="58">
        <f>IFERROR(Table1[[#This Row],[Quality Pass Production]]/Table1[[#This Row],[Actual Production (Kg)]], "")</f>
        <v>1</v>
      </c>
      <c r="Q144" s="58">
        <f>IFERROR(Table1[[#This Row],[Utilization %]]*Table1[[#This Row],[Efficiency %]]*Table1[[#This Row],[Quality %]], "")</f>
        <v>1.5156000000000001</v>
      </c>
      <c r="R144" s="55" t="s">
        <v>75</v>
      </c>
    </row>
    <row r="145" spans="1:18" ht="30" customHeight="1" x14ac:dyDescent="0.25">
      <c r="A145" s="47">
        <v>46121</v>
      </c>
      <c r="B145" s="48" t="s">
        <v>18</v>
      </c>
      <c r="C145" s="48" t="s">
        <v>19</v>
      </c>
      <c r="D145" s="48" t="s">
        <v>20</v>
      </c>
      <c r="E145" s="49">
        <v>10000</v>
      </c>
      <c r="F145" s="76">
        <v>3125</v>
      </c>
      <c r="G145" s="49">
        <v>0</v>
      </c>
      <c r="H145" s="50">
        <f>IFERROR(Table1[Re-process (Kg)]/Table1[Actual Production (Kg)], "")</f>
        <v>0</v>
      </c>
      <c r="I145" s="49">
        <f>IFERROR(Table1[[#This Row],[Actual Production (Kg)]]-Table1[[#This Row],[Re-process (Kg)]], "")</f>
        <v>3125</v>
      </c>
      <c r="J145" s="49">
        <v>22</v>
      </c>
      <c r="K145" s="72">
        <v>0</v>
      </c>
      <c r="L145" s="49">
        <f>IF(Table1[[#This Row],[Target Time (Hours)]]="","",Table1[[#This Row],[Target Time (Hours)]]-Table1[[#This Row],[Downtime (Hours)]])</f>
        <v>22</v>
      </c>
      <c r="M145" s="49">
        <f>IFERROR(Table1[[#This Row],[Capacity (Kg)]]/Table1[[#This Row],[Target Time (Hours)]] * Table1[[#This Row],[Downtime (Hours)]], "")</f>
        <v>0</v>
      </c>
      <c r="N145" s="50">
        <f>IFERROR(Table1[[#This Row],[Running Time (hr)]]/Table1[Target Time (Hours)], "")</f>
        <v>1</v>
      </c>
      <c r="O145" s="50">
        <f>IFERROR(Table1[[#This Row],[Actual Production (Kg)]]/Table1[Capacity (Kg)], "")</f>
        <v>0.3125</v>
      </c>
      <c r="P145" s="50">
        <f>IFERROR(Table1[[#This Row],[Quality Pass Production]]/Table1[[#This Row],[Actual Production (Kg)]], "")</f>
        <v>1</v>
      </c>
      <c r="Q145" s="50">
        <f>IFERROR(Table1[[#This Row],[Utilization %]]*Table1[[#This Row],[Efficiency %]]*Table1[[#This Row],[Quality %]], "")</f>
        <v>0.3125</v>
      </c>
      <c r="R145" s="48" t="s">
        <v>75</v>
      </c>
    </row>
    <row r="146" spans="1:18" x14ac:dyDescent="0.25">
      <c r="A146" s="47">
        <v>46121</v>
      </c>
      <c r="B146" s="48" t="s">
        <v>18</v>
      </c>
      <c r="C146" s="48" t="s">
        <v>22</v>
      </c>
      <c r="D146" s="48" t="s">
        <v>23</v>
      </c>
      <c r="E146" s="49">
        <v>5000</v>
      </c>
      <c r="F146" s="76">
        <v>4744</v>
      </c>
      <c r="G146" s="49">
        <v>0</v>
      </c>
      <c r="H146" s="50">
        <f>IFERROR(Table1[Re-process (Kg)]/Table1[Actual Production (Kg)], "")</f>
        <v>0</v>
      </c>
      <c r="I146" s="49">
        <f>IFERROR(Table1[[#This Row],[Actual Production (Kg)]]-Table1[[#This Row],[Re-process (Kg)]], "")</f>
        <v>4744</v>
      </c>
      <c r="J146" s="49"/>
      <c r="K146" s="72"/>
      <c r="L146" s="49" t="str">
        <f>IF(Table1[[#This Row],[Target Time (Hours)]]="","",Table1[[#This Row],[Target Time (Hours)]]-Table1[[#This Row],[Downtime (Hours)]])</f>
        <v/>
      </c>
      <c r="M146" s="49" t="str">
        <f>IFERROR(Table1[[#This Row],[Capacity (Kg)]]/Table1[[#This Row],[Target Time (Hours)]] * Table1[[#This Row],[Downtime (Hours)]], "")</f>
        <v/>
      </c>
      <c r="N146" s="50" t="str">
        <f>IFERROR(Table1[[#This Row],[Running Time (hr)]]/Table1[Target Time (Hours)], "")</f>
        <v/>
      </c>
      <c r="O146" s="50">
        <f>IFERROR(Table1[[#This Row],[Actual Production (Kg)]]/Table1[Capacity (Kg)], "")</f>
        <v>0.94879999999999998</v>
      </c>
      <c r="P146" s="50">
        <f>IFERROR(Table1[[#This Row],[Quality Pass Production]]/Table1[[#This Row],[Actual Production (Kg)]], "")</f>
        <v>1</v>
      </c>
      <c r="Q146" s="50" t="str">
        <f>IFERROR(Table1[[#This Row],[Utilization %]]*Table1[[#This Row],[Efficiency %]]*Table1[[#This Row],[Quality %]], "")</f>
        <v/>
      </c>
      <c r="R146" s="48" t="s">
        <v>75</v>
      </c>
    </row>
    <row r="147" spans="1:18" x14ac:dyDescent="0.25">
      <c r="A147" s="47">
        <v>46121</v>
      </c>
      <c r="B147" s="48" t="s">
        <v>18</v>
      </c>
      <c r="C147" s="48" t="s">
        <v>22</v>
      </c>
      <c r="D147" s="48" t="s">
        <v>25</v>
      </c>
      <c r="E147" s="49">
        <v>4000</v>
      </c>
      <c r="F147" s="76">
        <v>6250</v>
      </c>
      <c r="G147" s="49">
        <v>0</v>
      </c>
      <c r="H147" s="50">
        <f>IFERROR(Table1[Re-process (Kg)]/Table1[Actual Production (Kg)], "")</f>
        <v>0</v>
      </c>
      <c r="I147" s="49">
        <f>IFERROR(Table1[[#This Row],[Actual Production (Kg)]]-Table1[[#This Row],[Re-process (Kg)]], "")</f>
        <v>6250</v>
      </c>
      <c r="J147" s="49">
        <v>22</v>
      </c>
      <c r="K147" s="72">
        <v>0</v>
      </c>
      <c r="L147" s="49">
        <f>IF(Table1[[#This Row],[Target Time (Hours)]]="","",Table1[[#This Row],[Target Time (Hours)]]-Table1[[#This Row],[Downtime (Hours)]])</f>
        <v>22</v>
      </c>
      <c r="M147" s="49">
        <f>IFERROR(Table1[[#This Row],[Capacity (Kg)]]/Table1[[#This Row],[Target Time (Hours)]] * Table1[[#This Row],[Downtime (Hours)]], "")</f>
        <v>0</v>
      </c>
      <c r="N147" s="50">
        <f>IFERROR(Table1[[#This Row],[Running Time (hr)]]/Table1[Target Time (Hours)], "")</f>
        <v>1</v>
      </c>
      <c r="O147" s="50">
        <f>IFERROR(Table1[[#This Row],[Actual Production (Kg)]]/Table1[Capacity (Kg)], "")</f>
        <v>1.5625</v>
      </c>
      <c r="P147" s="50">
        <f>IFERROR(Table1[[#This Row],[Quality Pass Production]]/Table1[[#This Row],[Actual Production (Kg)]], "")</f>
        <v>1</v>
      </c>
      <c r="Q147" s="50">
        <f>IFERROR(Table1[[#This Row],[Utilization %]]*Table1[[#This Row],[Efficiency %]]*Table1[[#This Row],[Quality %]], "")</f>
        <v>1.5625</v>
      </c>
      <c r="R147" s="48" t="s">
        <v>75</v>
      </c>
    </row>
    <row r="148" spans="1:18" x14ac:dyDescent="0.25">
      <c r="A148" s="47">
        <v>46121</v>
      </c>
      <c r="B148" s="48" t="s">
        <v>18</v>
      </c>
      <c r="C148" s="48" t="s">
        <v>26</v>
      </c>
      <c r="D148" s="48" t="s">
        <v>25</v>
      </c>
      <c r="E148" s="49">
        <v>7000</v>
      </c>
      <c r="F148" s="76"/>
      <c r="G148" s="49">
        <v>0</v>
      </c>
      <c r="H148" s="50" t="str">
        <f>IFERROR(Table1[Re-process (Kg)]/Table1[Actual Production (Kg)], "")</f>
        <v/>
      </c>
      <c r="I148" s="49">
        <f>IFERROR(Table1[[#This Row],[Actual Production (Kg)]]-Table1[[#This Row],[Re-process (Kg)]], "")</f>
        <v>0</v>
      </c>
      <c r="J148" s="49"/>
      <c r="K148" s="72"/>
      <c r="L148" s="49" t="str">
        <f>IF(Table1[[#This Row],[Target Time (Hours)]]="","",Table1[[#This Row],[Target Time (Hours)]]-Table1[[#This Row],[Downtime (Hours)]])</f>
        <v/>
      </c>
      <c r="M148" s="49" t="str">
        <f>IFERROR(Table1[[#This Row],[Capacity (Kg)]]/Table1[[#This Row],[Target Time (Hours)]] * Table1[[#This Row],[Downtime (Hours)]], "")</f>
        <v/>
      </c>
      <c r="N148" s="50" t="str">
        <f>IFERROR(Table1[[#This Row],[Running Time (hr)]]/Table1[Target Time (Hours)], "")</f>
        <v/>
      </c>
      <c r="O148" s="50">
        <f>IFERROR(Table1[[#This Row],[Actual Production (Kg)]]/Table1[Capacity (Kg)], "")</f>
        <v>0</v>
      </c>
      <c r="P148" s="50" t="str">
        <f>IFERROR(Table1[[#This Row],[Quality Pass Production]]/Table1[[#This Row],[Actual Production (Kg)]], "")</f>
        <v/>
      </c>
      <c r="Q148" s="50" t="str">
        <f>IFERROR(Table1[[#This Row],[Utilization %]]*Table1[[#This Row],[Efficiency %]]*Table1[[#This Row],[Quality %]], "")</f>
        <v/>
      </c>
    </row>
    <row r="149" spans="1:18" ht="30" customHeight="1" x14ac:dyDescent="0.25">
      <c r="A149" s="47">
        <v>46121</v>
      </c>
      <c r="B149" s="48" t="s">
        <v>18</v>
      </c>
      <c r="C149" s="48" t="s">
        <v>28</v>
      </c>
      <c r="D149" s="48" t="s">
        <v>29</v>
      </c>
      <c r="E149" s="49">
        <v>7800</v>
      </c>
      <c r="F149" s="76">
        <v>8004</v>
      </c>
      <c r="G149" s="49">
        <v>0</v>
      </c>
      <c r="H149" s="50">
        <f>IFERROR(Table1[Re-process (Kg)]/Table1[Actual Production (Kg)], "")</f>
        <v>0</v>
      </c>
      <c r="I149" s="49">
        <f>IFERROR(Table1[[#This Row],[Actual Production (Kg)]]-Table1[[#This Row],[Re-process (Kg)]], "")</f>
        <v>8004</v>
      </c>
      <c r="J149" s="49">
        <v>22</v>
      </c>
      <c r="K149" s="72">
        <v>0</v>
      </c>
      <c r="L149" s="49">
        <f>IF(Table1[[#This Row],[Target Time (Hours)]]="","",Table1[[#This Row],[Target Time (Hours)]]-Table1[[#This Row],[Downtime (Hours)]])</f>
        <v>22</v>
      </c>
      <c r="M149" s="49">
        <f>IFERROR(Table1[[#This Row],[Capacity (Kg)]]/Table1[[#This Row],[Target Time (Hours)]] * Table1[[#This Row],[Downtime (Hours)]], "")</f>
        <v>0</v>
      </c>
      <c r="N149" s="50">
        <f>IFERROR(Table1[[#This Row],[Running Time (hr)]]/Table1[Target Time (Hours)], "")</f>
        <v>1</v>
      </c>
      <c r="O149" s="50">
        <f>IFERROR(Table1[[#This Row],[Actual Production (Kg)]]/Table1[Capacity (Kg)], "")</f>
        <v>1.0261538461538462</v>
      </c>
      <c r="P149" s="50">
        <f>IFERROR(Table1[[#This Row],[Quality Pass Production]]/Table1[[#This Row],[Actual Production (Kg)]], "")</f>
        <v>1</v>
      </c>
      <c r="Q149" s="50">
        <f>IFERROR(Table1[[#This Row],[Utilization %]]*Table1[[#This Row],[Efficiency %]]*Table1[[#This Row],[Quality %]], "")</f>
        <v>1.0261538461538462</v>
      </c>
    </row>
    <row r="150" spans="1:18" ht="30" customHeight="1" x14ac:dyDescent="0.25">
      <c r="A150" s="47">
        <v>46121</v>
      </c>
      <c r="B150" s="48" t="s">
        <v>18</v>
      </c>
      <c r="C150" s="48" t="s">
        <v>30</v>
      </c>
      <c r="D150" s="48" t="s">
        <v>31</v>
      </c>
      <c r="E150" s="49">
        <v>9000</v>
      </c>
      <c r="F150" s="76">
        <v>0</v>
      </c>
      <c r="G150" s="49">
        <v>0</v>
      </c>
      <c r="H150" s="50" t="str">
        <f>IFERROR(Table1[Re-process (Kg)]/Table1[Actual Production (Kg)], "")</f>
        <v/>
      </c>
      <c r="I150" s="49">
        <f>IFERROR(Table1[[#This Row],[Actual Production (Kg)]]-Table1[[#This Row],[Re-process (Kg)]], "")</f>
        <v>0</v>
      </c>
      <c r="J150" s="49">
        <v>22</v>
      </c>
      <c r="K150" s="72">
        <v>0</v>
      </c>
      <c r="L150" s="49">
        <f>IF(Table1[[#This Row],[Target Time (Hours)]]="","",Table1[[#This Row],[Target Time (Hours)]]-Table1[[#This Row],[Downtime (Hours)]])</f>
        <v>22</v>
      </c>
      <c r="M150" s="49">
        <f>IFERROR(Table1[[#This Row],[Capacity (Kg)]]/Table1[[#This Row],[Target Time (Hours)]] * Table1[[#This Row],[Downtime (Hours)]], "")</f>
        <v>0</v>
      </c>
      <c r="N150" s="50">
        <f>IFERROR(Table1[[#This Row],[Running Time (hr)]]/Table1[Target Time (Hours)], "")</f>
        <v>1</v>
      </c>
      <c r="O150" s="50">
        <f>IFERROR(Table1[[#This Row],[Actual Production (Kg)]]/Table1[Capacity (Kg)], "")</f>
        <v>0</v>
      </c>
      <c r="P150" s="50" t="str">
        <f>IFERROR(Table1[[#This Row],[Quality Pass Production]]/Table1[[#This Row],[Actual Production (Kg)]], "")</f>
        <v/>
      </c>
      <c r="Q150" s="50" t="str">
        <f>IFERROR(Table1[[#This Row],[Utilization %]]*Table1[[#This Row],[Efficiency %]]*Table1[[#This Row],[Quality %]], "")</f>
        <v/>
      </c>
      <c r="R150" s="48" t="s">
        <v>76</v>
      </c>
    </row>
    <row r="151" spans="1:18" ht="30" customHeight="1" x14ac:dyDescent="0.25">
      <c r="A151" s="26">
        <v>46121</v>
      </c>
      <c r="B151" s="27" t="s">
        <v>18</v>
      </c>
      <c r="C151" s="27" t="s">
        <v>32</v>
      </c>
      <c r="D151" s="27" t="s">
        <v>31</v>
      </c>
      <c r="E151" s="79">
        <f>Table1[[#This Row],[Actual Production (Kg)]]</f>
        <v>0</v>
      </c>
      <c r="F151" s="79">
        <v>0</v>
      </c>
      <c r="G151" s="79"/>
      <c r="H151" s="28"/>
      <c r="I151" s="79"/>
      <c r="J151" s="79"/>
      <c r="K151" s="27"/>
      <c r="L151" s="53" t="str">
        <f>IF(Table1[[#This Row],[Target Time (Hours)]]="","",Table1[[#This Row],[Target Time (Hours)]]-Table1[[#This Row],[Downtime (Hours)]])</f>
        <v/>
      </c>
      <c r="M151" s="79"/>
      <c r="N151" s="28"/>
      <c r="O151" s="28"/>
      <c r="P151" s="28"/>
      <c r="Q151" s="28"/>
      <c r="R151" s="27" t="s">
        <v>64</v>
      </c>
    </row>
    <row r="152" spans="1:18" ht="30" customHeight="1" x14ac:dyDescent="0.25">
      <c r="A152" s="47">
        <v>46121</v>
      </c>
      <c r="B152" s="48" t="s">
        <v>33</v>
      </c>
      <c r="C152" s="48" t="s">
        <v>34</v>
      </c>
      <c r="D152" s="48" t="s">
        <v>35</v>
      </c>
      <c r="E152" s="49">
        <v>9000</v>
      </c>
      <c r="F152" s="76">
        <v>5333</v>
      </c>
      <c r="G152" s="49">
        <v>0</v>
      </c>
      <c r="H152" s="50">
        <f>IFERROR(Table1[Re-process (Kg)]/Table1[Actual Production (Kg)], "")</f>
        <v>0</v>
      </c>
      <c r="I152" s="49">
        <f>IFERROR(Table1[[#This Row],[Actual Production (Kg)]]-Table1[[#This Row],[Re-process (Kg)]], "")</f>
        <v>5333</v>
      </c>
      <c r="J152" s="49">
        <v>22</v>
      </c>
      <c r="K152" s="72">
        <v>2</v>
      </c>
      <c r="L152" s="49">
        <f>IF(Table1[[#This Row],[Target Time (Hours)]]="","",Table1[[#This Row],[Target Time (Hours)]]-Table1[[#This Row],[Downtime (Hours)]])</f>
        <v>20</v>
      </c>
      <c r="M152" s="49">
        <f>IFERROR(Table1[[#This Row],[Capacity (Kg)]]/Table1[[#This Row],[Target Time (Hours)]] * Table1[[#This Row],[Downtime (Hours)]], "")</f>
        <v>818.18181818181813</v>
      </c>
      <c r="N152" s="50">
        <f>IFERROR(Table1[[#This Row],[Running Time (hr)]]/Table1[Target Time (Hours)], "")</f>
        <v>0.90909090909090906</v>
      </c>
      <c r="O152" s="50">
        <f>IFERROR(Table1[[#This Row],[Actual Production (Kg)]]/Table1[Capacity (Kg)], "")</f>
        <v>0.5925555555555555</v>
      </c>
      <c r="P152" s="50">
        <f>IFERROR(Table1[[#This Row],[Quality Pass Production]]/Table1[[#This Row],[Actual Production (Kg)]], "")</f>
        <v>1</v>
      </c>
      <c r="Q152" s="50">
        <f>IFERROR(Table1[[#This Row],[Utilization %]]*Table1[[#This Row],[Efficiency %]]*Table1[[#This Row],[Quality %]], "")</f>
        <v>0.53868686868686866</v>
      </c>
      <c r="R152" s="48" t="s">
        <v>64</v>
      </c>
    </row>
    <row r="153" spans="1:18" x14ac:dyDescent="0.25">
      <c r="A153" s="47">
        <v>46121</v>
      </c>
      <c r="B153" s="48" t="s">
        <v>33</v>
      </c>
      <c r="C153" s="48" t="s">
        <v>36</v>
      </c>
      <c r="D153" s="48" t="s">
        <v>37</v>
      </c>
      <c r="E153" s="49">
        <v>8000</v>
      </c>
      <c r="F153" s="76">
        <v>2558</v>
      </c>
      <c r="G153" s="49">
        <v>0</v>
      </c>
      <c r="H153" s="50">
        <f>IFERROR(Table1[Re-process (Kg)]/Table1[Actual Production (Kg)], "")</f>
        <v>0</v>
      </c>
      <c r="I153" s="49">
        <f>IFERROR(Table1[[#This Row],[Actual Production (Kg)]]-Table1[[#This Row],[Re-process (Kg)]], "")</f>
        <v>2558</v>
      </c>
      <c r="J153" s="49">
        <v>22</v>
      </c>
      <c r="K153" s="72">
        <v>0</v>
      </c>
      <c r="L153" s="49">
        <f>IF(Table1[[#This Row],[Target Time (Hours)]]="","",Table1[[#This Row],[Target Time (Hours)]]-Table1[[#This Row],[Downtime (Hours)]])</f>
        <v>22</v>
      </c>
      <c r="M153" s="49">
        <f>IFERROR(Table1[[#This Row],[Capacity (Kg)]]/Table1[[#This Row],[Target Time (Hours)]] * Table1[[#This Row],[Downtime (Hours)]], "")</f>
        <v>0</v>
      </c>
      <c r="N153" s="50">
        <f>IFERROR(Table1[[#This Row],[Running Time (hr)]]/Table1[Target Time (Hours)], "")</f>
        <v>1</v>
      </c>
      <c r="O153" s="50">
        <f>IFERROR(Table1[[#This Row],[Actual Production (Kg)]]/Table1[Capacity (Kg)], "")</f>
        <v>0.31974999999999998</v>
      </c>
      <c r="P153" s="50">
        <f>IFERROR(Table1[[#This Row],[Quality Pass Production]]/Table1[[#This Row],[Actual Production (Kg)]], "")</f>
        <v>1</v>
      </c>
      <c r="Q153" s="50">
        <f>IFERROR(Table1[[#This Row],[Utilization %]]*Table1[[#This Row],[Efficiency %]]*Table1[[#This Row],[Quality %]], "")</f>
        <v>0.31974999999999998</v>
      </c>
      <c r="R153" s="48" t="s">
        <v>64</v>
      </c>
    </row>
    <row r="154" spans="1:18" ht="30" customHeight="1" x14ac:dyDescent="0.25">
      <c r="A154" s="47">
        <v>46121</v>
      </c>
      <c r="B154" s="48" t="s">
        <v>33</v>
      </c>
      <c r="C154" s="48" t="s">
        <v>39</v>
      </c>
      <c r="D154" s="48" t="s">
        <v>31</v>
      </c>
      <c r="E154" s="49">
        <v>6000</v>
      </c>
      <c r="F154" s="76">
        <v>2410</v>
      </c>
      <c r="G154" s="49">
        <v>0</v>
      </c>
      <c r="H154" s="50">
        <f>IFERROR(Table1[Re-process (Kg)]/Table1[Actual Production (Kg)], "")</f>
        <v>0</v>
      </c>
      <c r="I154" s="49">
        <f>IFERROR(Table1[[#This Row],[Actual Production (Kg)]]-Table1[[#This Row],[Re-process (Kg)]], "")</f>
        <v>2410</v>
      </c>
      <c r="J154" s="49">
        <v>22</v>
      </c>
      <c r="K154" s="72">
        <v>0</v>
      </c>
      <c r="L154" s="49">
        <f>IF(Table1[[#This Row],[Target Time (Hours)]]="","",Table1[[#This Row],[Target Time (Hours)]]-Table1[[#This Row],[Downtime (Hours)]])</f>
        <v>22</v>
      </c>
      <c r="M154" s="49">
        <f>IFERROR(Table1[[#This Row],[Capacity (Kg)]]/Table1[[#This Row],[Target Time (Hours)]] * Table1[[#This Row],[Downtime (Hours)]], "")</f>
        <v>0</v>
      </c>
      <c r="N154" s="50">
        <f>IFERROR(Table1[[#This Row],[Running Time (hr)]]/Table1[Target Time (Hours)], "")</f>
        <v>1</v>
      </c>
      <c r="O154" s="50">
        <f>IFERROR(Table1[[#This Row],[Actual Production (Kg)]]/Table1[Capacity (Kg)], "")</f>
        <v>0.40166666666666667</v>
      </c>
      <c r="P154" s="50">
        <f>IFERROR(Table1[[#This Row],[Quality Pass Production]]/Table1[[#This Row],[Actual Production (Kg)]], "")</f>
        <v>1</v>
      </c>
      <c r="Q154" s="50">
        <f>IFERROR(Table1[[#This Row],[Utilization %]]*Table1[[#This Row],[Efficiency %]]*Table1[[#This Row],[Quality %]], "")</f>
        <v>0.40166666666666667</v>
      </c>
      <c r="R154" s="48" t="s">
        <v>69</v>
      </c>
    </row>
    <row r="155" spans="1:18" ht="45" customHeight="1" x14ac:dyDescent="0.25">
      <c r="A155" s="54">
        <v>46121</v>
      </c>
      <c r="B155" s="55" t="s">
        <v>33</v>
      </c>
      <c r="C155" s="55" t="s">
        <v>40</v>
      </c>
      <c r="D155" s="55" t="s">
        <v>31</v>
      </c>
      <c r="E155" s="56">
        <v>5000</v>
      </c>
      <c r="F155" s="56">
        <v>5890</v>
      </c>
      <c r="G155" s="56">
        <v>0</v>
      </c>
      <c r="H155" s="58">
        <f>IFERROR(Table1[Re-process (Kg)]/Table1[Actual Production (Kg)], "")</f>
        <v>0</v>
      </c>
      <c r="I155" s="56">
        <f>IFERROR(Table1[[#This Row],[Actual Production (Kg)]]-Table1[[#This Row],[Re-process (Kg)]], "")</f>
        <v>5890</v>
      </c>
      <c r="J155" s="56">
        <v>16</v>
      </c>
      <c r="K155" s="55">
        <v>0</v>
      </c>
      <c r="L155" s="56">
        <f>IF(Table1[[#This Row],[Target Time (Hours)]]="","",Table1[[#This Row],[Target Time (Hours)]]-Table1[[#This Row],[Downtime (Hours)]])</f>
        <v>16</v>
      </c>
      <c r="M155" s="56">
        <f>IFERROR(Table1[[#This Row],[Capacity (Kg)]]/Table1[[#This Row],[Target Time (Hours)]] * Table1[[#This Row],[Downtime (Hours)]], "")</f>
        <v>0</v>
      </c>
      <c r="N155" s="58">
        <f>IFERROR(Table1[[#This Row],[Running Time (hr)]]/Table1[Target Time (Hours)], "")</f>
        <v>1</v>
      </c>
      <c r="O155" s="58">
        <f>IFERROR(Table1[[#This Row],[Actual Production (Kg)]]/Table1[Capacity (Kg)], "")</f>
        <v>1.1779999999999999</v>
      </c>
      <c r="P155" s="58">
        <f>IFERROR(Table1[[#This Row],[Quality Pass Production]]/Table1[[#This Row],[Actual Production (Kg)]], "")</f>
        <v>1</v>
      </c>
      <c r="Q155" s="58">
        <f>IFERROR(Table1[[#This Row],[Utilization %]]*Table1[[#This Row],[Efficiency %]]*Table1[[#This Row],[Quality %]], "")</f>
        <v>1.1779999999999999</v>
      </c>
      <c r="R155" s="55"/>
    </row>
    <row r="156" spans="1:18" ht="30" customHeight="1" x14ac:dyDescent="0.25">
      <c r="A156" s="47">
        <v>46122</v>
      </c>
      <c r="B156" s="48" t="s">
        <v>18</v>
      </c>
      <c r="C156" s="48" t="s">
        <v>19</v>
      </c>
      <c r="D156" s="48" t="s">
        <v>20</v>
      </c>
      <c r="E156" s="49">
        <v>10000</v>
      </c>
      <c r="F156" s="76">
        <v>1343</v>
      </c>
      <c r="G156" s="49">
        <v>0</v>
      </c>
      <c r="H156" s="50">
        <f>IFERROR(Table1[Re-process (Kg)]/Table1[Actual Production (Kg)], "")</f>
        <v>0</v>
      </c>
      <c r="I156" s="49">
        <f>IFERROR(Table1[[#This Row],[Actual Production (Kg)]]-Table1[[#This Row],[Re-process (Kg)]], "")</f>
        <v>1343</v>
      </c>
      <c r="J156" s="49">
        <v>16</v>
      </c>
      <c r="K156" s="72">
        <v>0</v>
      </c>
      <c r="L156" s="49">
        <f>IF(Table1[[#This Row],[Target Time (Hours)]]="","",Table1[[#This Row],[Target Time (Hours)]]-Table1[[#This Row],[Downtime (Hours)]])</f>
        <v>16</v>
      </c>
      <c r="M156" s="49">
        <f>IFERROR(Table1[[#This Row],[Capacity (Kg)]]/Table1[[#This Row],[Target Time (Hours)]] * Table1[[#This Row],[Downtime (Hours)]], "")</f>
        <v>0</v>
      </c>
      <c r="N156" s="50">
        <f>IFERROR(Table1[[#This Row],[Running Time (hr)]]/Table1[Target Time (Hours)], "")</f>
        <v>1</v>
      </c>
      <c r="O156" s="50">
        <f>IFERROR(Table1[[#This Row],[Actual Production (Kg)]]/Table1[Capacity (Kg)], "")</f>
        <v>0.1343</v>
      </c>
      <c r="P156" s="50">
        <f>IFERROR(Table1[[#This Row],[Quality Pass Production]]/Table1[[#This Row],[Actual Production (Kg)]], "")</f>
        <v>1</v>
      </c>
      <c r="Q156" s="50">
        <f>IFERROR(Table1[[#This Row],[Utilization %]]*Table1[[#This Row],[Efficiency %]]*Table1[[#This Row],[Quality %]], "")</f>
        <v>0.1343</v>
      </c>
    </row>
    <row r="157" spans="1:18" x14ac:dyDescent="0.25">
      <c r="A157" s="47">
        <v>46122</v>
      </c>
      <c r="B157" s="48" t="s">
        <v>18</v>
      </c>
      <c r="C157" s="48" t="s">
        <v>22</v>
      </c>
      <c r="D157" s="48" t="s">
        <v>23</v>
      </c>
      <c r="E157" s="49">
        <v>5000</v>
      </c>
      <c r="F157" s="76">
        <v>4005</v>
      </c>
      <c r="G157" s="49">
        <v>0</v>
      </c>
      <c r="H157" s="50">
        <f>IFERROR(Table1[Re-process (Kg)]/Table1[Actual Production (Kg)], "")</f>
        <v>0</v>
      </c>
      <c r="I157" s="49">
        <f>IFERROR(Table1[[#This Row],[Actual Production (Kg)]]-Table1[[#This Row],[Re-process (Kg)]], "")</f>
        <v>4005</v>
      </c>
      <c r="J157" s="49"/>
      <c r="K157" s="72"/>
      <c r="L157" s="49" t="str">
        <f>IF(Table1[[#This Row],[Target Time (Hours)]]="","",Table1[[#This Row],[Target Time (Hours)]]-Table1[[#This Row],[Downtime (Hours)]])</f>
        <v/>
      </c>
      <c r="M157" s="49" t="str">
        <f>IFERROR(Table1[[#This Row],[Capacity (Kg)]]/Table1[[#This Row],[Target Time (Hours)]] * Table1[[#This Row],[Downtime (Hours)]], "")</f>
        <v/>
      </c>
      <c r="N157" s="50" t="str">
        <f>IFERROR(Table1[[#This Row],[Running Time (hr)]]/Table1[Target Time (Hours)], "")</f>
        <v/>
      </c>
      <c r="O157" s="50">
        <f>IFERROR(Table1[[#This Row],[Actual Production (Kg)]]/Table1[Capacity (Kg)], "")</f>
        <v>0.80100000000000005</v>
      </c>
      <c r="P157" s="50">
        <f>IFERROR(Table1[[#This Row],[Quality Pass Production]]/Table1[[#This Row],[Actual Production (Kg)]], "")</f>
        <v>1</v>
      </c>
      <c r="Q157" s="50" t="str">
        <f>IFERROR(Table1[[#This Row],[Utilization %]]*Table1[[#This Row],[Efficiency %]]*Table1[[#This Row],[Quality %]], "")</f>
        <v/>
      </c>
    </row>
    <row r="158" spans="1:18" x14ac:dyDescent="0.25">
      <c r="A158" s="47">
        <v>46122</v>
      </c>
      <c r="B158" s="48" t="s">
        <v>18</v>
      </c>
      <c r="C158" s="48" t="s">
        <v>22</v>
      </c>
      <c r="D158" s="48" t="s">
        <v>25</v>
      </c>
      <c r="E158" s="49">
        <v>4000</v>
      </c>
      <c r="F158" s="76">
        <v>5094</v>
      </c>
      <c r="G158" s="49">
        <v>0</v>
      </c>
      <c r="H158" s="50">
        <f>IFERROR(Table1[Re-process (Kg)]/Table1[Actual Production (Kg)], "")</f>
        <v>0</v>
      </c>
      <c r="I158" s="49">
        <f>IFERROR(Table1[[#This Row],[Actual Production (Kg)]]-Table1[[#This Row],[Re-process (Kg)]], "")</f>
        <v>5094</v>
      </c>
      <c r="J158" s="49">
        <v>16</v>
      </c>
      <c r="K158" s="72">
        <v>0</v>
      </c>
      <c r="L158" s="49">
        <f>IF(Table1[[#This Row],[Target Time (Hours)]]="","",Table1[[#This Row],[Target Time (Hours)]]-Table1[[#This Row],[Downtime (Hours)]])</f>
        <v>16</v>
      </c>
      <c r="M158" s="49">
        <f>IFERROR(Table1[[#This Row],[Capacity (Kg)]]/Table1[[#This Row],[Target Time (Hours)]] * Table1[[#This Row],[Downtime (Hours)]], "")</f>
        <v>0</v>
      </c>
      <c r="N158" s="50">
        <f>IFERROR(Table1[[#This Row],[Running Time (hr)]]/Table1[Target Time (Hours)], "")</f>
        <v>1</v>
      </c>
      <c r="O158" s="50">
        <f>IFERROR(Table1[[#This Row],[Actual Production (Kg)]]/Table1[Capacity (Kg)], "")</f>
        <v>1.2735000000000001</v>
      </c>
      <c r="P158" s="50">
        <f>IFERROR(Table1[[#This Row],[Quality Pass Production]]/Table1[[#This Row],[Actual Production (Kg)]], "")</f>
        <v>1</v>
      </c>
      <c r="Q158" s="50">
        <f>IFERROR(Table1[[#This Row],[Utilization %]]*Table1[[#This Row],[Efficiency %]]*Table1[[#This Row],[Quality %]], "")</f>
        <v>1.2735000000000001</v>
      </c>
    </row>
    <row r="159" spans="1:18" x14ac:dyDescent="0.25">
      <c r="A159" s="47">
        <v>46122</v>
      </c>
      <c r="B159" s="48" t="s">
        <v>18</v>
      </c>
      <c r="C159" s="48" t="s">
        <v>26</v>
      </c>
      <c r="D159" s="48" t="s">
        <v>25</v>
      </c>
      <c r="E159" s="49">
        <v>7000</v>
      </c>
      <c r="F159" s="76"/>
      <c r="G159" s="49">
        <v>0</v>
      </c>
      <c r="H159" s="50" t="str">
        <f>IFERROR(Table1[Re-process (Kg)]/Table1[Actual Production (Kg)], "")</f>
        <v/>
      </c>
      <c r="I159" s="49">
        <f>IFERROR(Table1[[#This Row],[Actual Production (Kg)]]-Table1[[#This Row],[Re-process (Kg)]], "")</f>
        <v>0</v>
      </c>
      <c r="J159" s="49"/>
      <c r="K159" s="72"/>
      <c r="L159" s="49" t="str">
        <f>IF(Table1[[#This Row],[Target Time (Hours)]]="","",Table1[[#This Row],[Target Time (Hours)]]-Table1[[#This Row],[Downtime (Hours)]])</f>
        <v/>
      </c>
      <c r="M159" s="49" t="str">
        <f>IFERROR(Table1[[#This Row],[Capacity (Kg)]]/Table1[[#This Row],[Target Time (Hours)]] * Table1[[#This Row],[Downtime (Hours)]], "")</f>
        <v/>
      </c>
      <c r="N159" s="50" t="str">
        <f>IFERROR(Table1[[#This Row],[Running Time (hr)]]/Table1[Target Time (Hours)], "")</f>
        <v/>
      </c>
      <c r="O159" s="50">
        <f>IFERROR(Table1[[#This Row],[Actual Production (Kg)]]/Table1[Capacity (Kg)], "")</f>
        <v>0</v>
      </c>
      <c r="P159" s="50" t="str">
        <f>IFERROR(Table1[[#This Row],[Quality Pass Production]]/Table1[[#This Row],[Actual Production (Kg)]], "")</f>
        <v/>
      </c>
      <c r="Q159" s="50" t="str">
        <f>IFERROR(Table1[[#This Row],[Utilization %]]*Table1[[#This Row],[Efficiency %]]*Table1[[#This Row],[Quality %]], "")</f>
        <v/>
      </c>
    </row>
    <row r="160" spans="1:18" ht="30" customHeight="1" x14ac:dyDescent="0.25">
      <c r="A160" s="47">
        <v>46122</v>
      </c>
      <c r="B160" s="48" t="s">
        <v>18</v>
      </c>
      <c r="C160" s="48" t="s">
        <v>28</v>
      </c>
      <c r="D160" s="48" t="s">
        <v>29</v>
      </c>
      <c r="E160" s="49">
        <v>7800</v>
      </c>
      <c r="F160" s="76">
        <v>4973</v>
      </c>
      <c r="G160" s="49">
        <v>0</v>
      </c>
      <c r="H160" s="50">
        <f>IFERROR(Table1[Re-process (Kg)]/Table1[Actual Production (Kg)], "")</f>
        <v>0</v>
      </c>
      <c r="I160" s="49">
        <f>IFERROR(Table1[[#This Row],[Actual Production (Kg)]]-Table1[[#This Row],[Re-process (Kg)]], "")</f>
        <v>4973</v>
      </c>
      <c r="J160" s="49">
        <v>16</v>
      </c>
      <c r="K160" s="72">
        <v>0</v>
      </c>
      <c r="L160" s="49">
        <f>IF(Table1[[#This Row],[Target Time (Hours)]]="","",Table1[[#This Row],[Target Time (Hours)]]-Table1[[#This Row],[Downtime (Hours)]])</f>
        <v>16</v>
      </c>
      <c r="M160" s="49">
        <f>IFERROR(Table1[[#This Row],[Capacity (Kg)]]/Table1[[#This Row],[Target Time (Hours)]] * Table1[[#This Row],[Downtime (Hours)]], "")</f>
        <v>0</v>
      </c>
      <c r="N160" s="50">
        <f>IFERROR(Table1[[#This Row],[Running Time (hr)]]/Table1[Target Time (Hours)], "")</f>
        <v>1</v>
      </c>
      <c r="O160" s="50">
        <f>IFERROR(Table1[[#This Row],[Actual Production (Kg)]]/Table1[Capacity (Kg)], "")</f>
        <v>0.63756410256410256</v>
      </c>
      <c r="P160" s="50">
        <f>IFERROR(Table1[[#This Row],[Quality Pass Production]]/Table1[[#This Row],[Actual Production (Kg)]], "")</f>
        <v>1</v>
      </c>
      <c r="Q160" s="50">
        <f>IFERROR(Table1[[#This Row],[Utilization %]]*Table1[[#This Row],[Efficiency %]]*Table1[[#This Row],[Quality %]], "")</f>
        <v>0.63756410256410256</v>
      </c>
    </row>
    <row r="161" spans="1:18" ht="30" customHeight="1" x14ac:dyDescent="0.25">
      <c r="A161" s="47">
        <v>46122</v>
      </c>
      <c r="B161" s="48" t="s">
        <v>18</v>
      </c>
      <c r="C161" s="48" t="s">
        <v>30</v>
      </c>
      <c r="D161" s="48" t="s">
        <v>31</v>
      </c>
      <c r="E161" s="49">
        <v>9000</v>
      </c>
      <c r="F161" s="76">
        <v>1596</v>
      </c>
      <c r="G161" s="49">
        <v>0</v>
      </c>
      <c r="H161" s="50">
        <f>IFERROR(Table1[Re-process (Kg)]/Table1[Actual Production (Kg)], "")</f>
        <v>0</v>
      </c>
      <c r="I161" s="49">
        <f>IFERROR(Table1[[#This Row],[Actual Production (Kg)]]-Table1[[#This Row],[Re-process (Kg)]], "")</f>
        <v>1596</v>
      </c>
      <c r="J161" s="49">
        <v>16</v>
      </c>
      <c r="K161" s="72">
        <v>0</v>
      </c>
      <c r="L161" s="49">
        <f>IF(Table1[[#This Row],[Target Time (Hours)]]="","",Table1[[#This Row],[Target Time (Hours)]]-Table1[[#This Row],[Downtime (Hours)]])</f>
        <v>16</v>
      </c>
      <c r="M161" s="49">
        <f>IFERROR(Table1[[#This Row],[Capacity (Kg)]]/Table1[[#This Row],[Target Time (Hours)]] * Table1[[#This Row],[Downtime (Hours)]], "")</f>
        <v>0</v>
      </c>
      <c r="N161" s="50">
        <f>IFERROR(Table1[[#This Row],[Running Time (hr)]]/Table1[Target Time (Hours)], "")</f>
        <v>1</v>
      </c>
      <c r="O161" s="50">
        <f>IFERROR(Table1[[#This Row],[Actual Production (Kg)]]/Table1[Capacity (Kg)], "")</f>
        <v>0.17733333333333334</v>
      </c>
      <c r="P161" s="50">
        <f>IFERROR(Table1[[#This Row],[Quality Pass Production]]/Table1[[#This Row],[Actual Production (Kg)]], "")</f>
        <v>1</v>
      </c>
      <c r="Q161" s="50">
        <f>IFERROR(Table1[[#This Row],[Utilization %]]*Table1[[#This Row],[Efficiency %]]*Table1[[#This Row],[Quality %]], "")</f>
        <v>0.17733333333333334</v>
      </c>
    </row>
    <row r="162" spans="1:18" ht="30" customHeight="1" x14ac:dyDescent="0.25">
      <c r="A162" s="26">
        <v>46122</v>
      </c>
      <c r="B162" s="27" t="s">
        <v>18</v>
      </c>
      <c r="C162" s="27" t="s">
        <v>32</v>
      </c>
      <c r="D162" s="27" t="s">
        <v>31</v>
      </c>
      <c r="E162" s="79">
        <f>Table1[[#This Row],[Actual Production (Kg)]]</f>
        <v>1596</v>
      </c>
      <c r="F162" s="79">
        <v>1596</v>
      </c>
      <c r="G162" s="79"/>
      <c r="H162" s="28"/>
      <c r="I162" s="79"/>
      <c r="J162" s="79"/>
      <c r="K162" s="27"/>
      <c r="L162" s="53" t="str">
        <f>IF(Table1[[#This Row],[Target Time (Hours)]]="","",Table1[[#This Row],[Target Time (Hours)]]-Table1[[#This Row],[Downtime (Hours)]])</f>
        <v/>
      </c>
      <c r="M162" s="79"/>
      <c r="N162" s="28"/>
      <c r="O162" s="28"/>
      <c r="P162" s="28"/>
      <c r="Q162" s="28"/>
      <c r="R162" s="27" t="s">
        <v>64</v>
      </c>
    </row>
    <row r="163" spans="1:18" ht="45" customHeight="1" x14ac:dyDescent="0.25">
      <c r="A163" s="47">
        <v>46122</v>
      </c>
      <c r="B163" s="48" t="s">
        <v>33</v>
      </c>
      <c r="C163" s="48" t="s">
        <v>34</v>
      </c>
      <c r="D163" s="48" t="s">
        <v>35</v>
      </c>
      <c r="E163" s="49">
        <v>9000</v>
      </c>
      <c r="F163" s="76">
        <v>4061</v>
      </c>
      <c r="G163" s="49">
        <v>0</v>
      </c>
      <c r="H163" s="50">
        <f>IFERROR(Table1[Re-process (Kg)]/Table1[Actual Production (Kg)], "")</f>
        <v>0</v>
      </c>
      <c r="I163" s="49">
        <f>IFERROR(Table1[[#This Row],[Actual Production (Kg)]]-Table1[[#This Row],[Re-process (Kg)]], "")</f>
        <v>4061</v>
      </c>
      <c r="J163" s="49">
        <v>16</v>
      </c>
      <c r="K163" s="72">
        <v>2</v>
      </c>
      <c r="L163" s="49">
        <f>IF(Table1[[#This Row],[Target Time (Hours)]]="","",Table1[[#This Row],[Target Time (Hours)]]-Table1[[#This Row],[Downtime (Hours)]])</f>
        <v>14</v>
      </c>
      <c r="M163" s="49">
        <f>IFERROR(Table1[[#This Row],[Capacity (Kg)]]/Table1[[#This Row],[Target Time (Hours)]] * Table1[[#This Row],[Downtime (Hours)]], "")</f>
        <v>1125</v>
      </c>
      <c r="N163" s="50">
        <f>IFERROR(Table1[[#This Row],[Running Time (hr)]]/Table1[Target Time (Hours)], "")</f>
        <v>0.875</v>
      </c>
      <c r="O163" s="50">
        <f>IFERROR(Table1[[#This Row],[Actual Production (Kg)]]/Table1[Capacity (Kg)], "")</f>
        <v>0.45122222222222225</v>
      </c>
      <c r="P163" s="50">
        <f>IFERROR(Table1[[#This Row],[Quality Pass Production]]/Table1[[#This Row],[Actual Production (Kg)]], "")</f>
        <v>1</v>
      </c>
      <c r="Q163" s="50">
        <f>IFERROR(Table1[[#This Row],[Utilization %]]*Table1[[#This Row],[Efficiency %]]*Table1[[#This Row],[Quality %]], "")</f>
        <v>0.39481944444444445</v>
      </c>
      <c r="R163" s="48" t="s">
        <v>77</v>
      </c>
    </row>
    <row r="164" spans="1:18" x14ac:dyDescent="0.25">
      <c r="A164" s="47">
        <v>46122</v>
      </c>
      <c r="B164" s="48" t="s">
        <v>33</v>
      </c>
      <c r="C164" s="48" t="s">
        <v>36</v>
      </c>
      <c r="D164" s="48" t="s">
        <v>37</v>
      </c>
      <c r="E164" s="49">
        <v>8000</v>
      </c>
      <c r="F164" s="76">
        <v>3495</v>
      </c>
      <c r="G164" s="49">
        <v>0</v>
      </c>
      <c r="H164" s="50">
        <f>IFERROR(Table1[Re-process (Kg)]/Table1[Actual Production (Kg)], "")</f>
        <v>0</v>
      </c>
      <c r="I164" s="49">
        <f>IFERROR(Table1[[#This Row],[Actual Production (Kg)]]-Table1[[#This Row],[Re-process (Kg)]], "")</f>
        <v>3495</v>
      </c>
      <c r="J164" s="49">
        <v>16</v>
      </c>
      <c r="K164" s="72">
        <v>0</v>
      </c>
      <c r="L164" s="49">
        <f>IF(Table1[[#This Row],[Target Time (Hours)]]="","",Table1[[#This Row],[Target Time (Hours)]]-Table1[[#This Row],[Downtime (Hours)]])</f>
        <v>16</v>
      </c>
      <c r="M164" s="49">
        <f>IFERROR(Table1[[#This Row],[Capacity (Kg)]]/Table1[[#This Row],[Target Time (Hours)]] * Table1[[#This Row],[Downtime (Hours)]], "")</f>
        <v>0</v>
      </c>
      <c r="N164" s="50">
        <f>IFERROR(Table1[[#This Row],[Running Time (hr)]]/Table1[Target Time (Hours)], "")</f>
        <v>1</v>
      </c>
      <c r="O164" s="50">
        <f>IFERROR(Table1[[#This Row],[Actual Production (Kg)]]/Table1[Capacity (Kg)], "")</f>
        <v>0.43687500000000001</v>
      </c>
      <c r="P164" s="50">
        <f>IFERROR(Table1[[#This Row],[Quality Pass Production]]/Table1[[#This Row],[Actual Production (Kg)]], "")</f>
        <v>1</v>
      </c>
      <c r="Q164" s="50">
        <f>IFERROR(Table1[[#This Row],[Utilization %]]*Table1[[#This Row],[Efficiency %]]*Table1[[#This Row],[Quality %]], "")</f>
        <v>0.43687500000000001</v>
      </c>
      <c r="R164" s="48" t="s">
        <v>64</v>
      </c>
    </row>
    <row r="165" spans="1:18" ht="30" customHeight="1" x14ac:dyDescent="0.25">
      <c r="A165" s="47">
        <v>46122</v>
      </c>
      <c r="B165" s="48" t="s">
        <v>33</v>
      </c>
      <c r="C165" s="48" t="s">
        <v>39</v>
      </c>
      <c r="D165" s="48" t="s">
        <v>31</v>
      </c>
      <c r="E165" s="49">
        <v>6000</v>
      </c>
      <c r="F165" s="76">
        <v>946</v>
      </c>
      <c r="G165" s="49">
        <v>0</v>
      </c>
      <c r="H165" s="50">
        <f>IFERROR(Table1[Re-process (Kg)]/Table1[Actual Production (Kg)], "")</f>
        <v>0</v>
      </c>
      <c r="I165" s="49">
        <f>IFERROR(Table1[[#This Row],[Actual Production (Kg)]]-Table1[[#This Row],[Re-process (Kg)]], "")</f>
        <v>946</v>
      </c>
      <c r="J165" s="49">
        <v>16</v>
      </c>
      <c r="K165" s="72">
        <v>0</v>
      </c>
      <c r="L165" s="49">
        <f>IF(Table1[[#This Row],[Target Time (Hours)]]="","",Table1[[#This Row],[Target Time (Hours)]]-Table1[[#This Row],[Downtime (Hours)]])</f>
        <v>16</v>
      </c>
      <c r="M165" s="49">
        <f>IFERROR(Table1[[#This Row],[Capacity (Kg)]]/Table1[[#This Row],[Target Time (Hours)]] * Table1[[#This Row],[Downtime (Hours)]], "")</f>
        <v>0</v>
      </c>
      <c r="N165" s="50">
        <f>IFERROR(Table1[[#This Row],[Running Time (hr)]]/Table1[Target Time (Hours)], "")</f>
        <v>1</v>
      </c>
      <c r="O165" s="50">
        <f>IFERROR(Table1[[#This Row],[Actual Production (Kg)]]/Table1[Capacity (Kg)], "")</f>
        <v>0.15766666666666668</v>
      </c>
      <c r="P165" s="50">
        <f>IFERROR(Table1[[#This Row],[Quality Pass Production]]/Table1[[#This Row],[Actual Production (Kg)]], "")</f>
        <v>1</v>
      </c>
      <c r="Q165" s="50">
        <f>IFERROR(Table1[[#This Row],[Utilization %]]*Table1[[#This Row],[Efficiency %]]*Table1[[#This Row],[Quality %]], "")</f>
        <v>0.15766666666666668</v>
      </c>
      <c r="R165" s="48" t="s">
        <v>78</v>
      </c>
    </row>
    <row r="166" spans="1:18" ht="45" customHeight="1" x14ac:dyDescent="0.25">
      <c r="A166" s="54">
        <v>46122</v>
      </c>
      <c r="B166" s="55" t="s">
        <v>33</v>
      </c>
      <c r="C166" s="55" t="s">
        <v>40</v>
      </c>
      <c r="D166" s="55" t="s">
        <v>31</v>
      </c>
      <c r="E166" s="56">
        <v>5000</v>
      </c>
      <c r="F166" s="56">
        <v>7296</v>
      </c>
      <c r="G166" s="56">
        <v>0</v>
      </c>
      <c r="H166" s="58">
        <f>IFERROR(Table1[Re-process (Kg)]/Table1[Actual Production (Kg)], "")</f>
        <v>0</v>
      </c>
      <c r="I166" s="56">
        <f>IFERROR(Table1[[#This Row],[Actual Production (Kg)]]-Table1[[#This Row],[Re-process (Kg)]], "")</f>
        <v>7296</v>
      </c>
      <c r="J166" s="56">
        <v>22</v>
      </c>
      <c r="K166" s="55">
        <v>2</v>
      </c>
      <c r="L166" s="56">
        <f>IF(Table1[[#This Row],[Target Time (Hours)]]="","",Table1[[#This Row],[Target Time (Hours)]]-Table1[[#This Row],[Downtime (Hours)]])</f>
        <v>20</v>
      </c>
      <c r="M166" s="56">
        <f>IFERROR(Table1[[#This Row],[Capacity (Kg)]]/Table1[[#This Row],[Target Time (Hours)]] * Table1[[#This Row],[Downtime (Hours)]], "")</f>
        <v>454.54545454545456</v>
      </c>
      <c r="N166" s="58">
        <f>IFERROR(Table1[[#This Row],[Running Time (hr)]]/Table1[Target Time (Hours)], "")</f>
        <v>0.90909090909090906</v>
      </c>
      <c r="O166" s="58">
        <f>IFERROR(Table1[[#This Row],[Actual Production (Kg)]]/Table1[Capacity (Kg)], "")</f>
        <v>1.4592000000000001</v>
      </c>
      <c r="P166" s="58">
        <f>IFERROR(Table1[[#This Row],[Quality Pass Production]]/Table1[[#This Row],[Actual Production (Kg)]], "")</f>
        <v>1</v>
      </c>
      <c r="Q166" s="58">
        <f>IFERROR(Table1[[#This Row],[Utilization %]]*Table1[[#This Row],[Efficiency %]]*Table1[[#This Row],[Quality %]], "")</f>
        <v>1.3265454545454545</v>
      </c>
      <c r="R166" s="55" t="s">
        <v>72</v>
      </c>
    </row>
    <row r="167" spans="1:18" ht="30" customHeight="1" x14ac:dyDescent="0.25">
      <c r="A167" s="47">
        <v>46123</v>
      </c>
      <c r="B167" s="48" t="s">
        <v>18</v>
      </c>
      <c r="C167" s="48" t="s">
        <v>19</v>
      </c>
      <c r="D167" s="48" t="s">
        <v>20</v>
      </c>
      <c r="E167" s="49">
        <v>10000</v>
      </c>
      <c r="F167" s="76">
        <v>7039</v>
      </c>
      <c r="G167" s="49">
        <v>0</v>
      </c>
      <c r="H167" s="50">
        <f>IFERROR(Table1[Re-process (Kg)]/Table1[Actual Production (Kg)], "")</f>
        <v>0</v>
      </c>
      <c r="I167" s="49">
        <f>IFERROR(Table1[[#This Row],[Actual Production (Kg)]]-Table1[[#This Row],[Re-process (Kg)]], "")</f>
        <v>7039</v>
      </c>
      <c r="J167" s="49">
        <v>22</v>
      </c>
      <c r="K167" s="72">
        <v>3</v>
      </c>
      <c r="L167" s="49">
        <f>IF(Table1[[#This Row],[Target Time (Hours)]]="","",Table1[[#This Row],[Target Time (Hours)]]-Table1[[#This Row],[Downtime (Hours)]])</f>
        <v>19</v>
      </c>
      <c r="M167" s="49">
        <f>IFERROR(Table1[[#This Row],[Capacity (Kg)]]/Table1[[#This Row],[Target Time (Hours)]] * Table1[[#This Row],[Downtime (Hours)]], "")</f>
        <v>1363.6363636363637</v>
      </c>
      <c r="N167" s="50">
        <f>IFERROR(Table1[[#This Row],[Running Time (hr)]]/Table1[Target Time (Hours)], "")</f>
        <v>0.86363636363636365</v>
      </c>
      <c r="O167" s="50">
        <f>IFERROR(Table1[[#This Row],[Actual Production (Kg)]]/Table1[Capacity (Kg)], "")</f>
        <v>0.70389999999999997</v>
      </c>
      <c r="P167" s="50">
        <f>IFERROR(Table1[[#This Row],[Quality Pass Production]]/Table1[[#This Row],[Actual Production (Kg)]], "")</f>
        <v>1</v>
      </c>
      <c r="Q167" s="50">
        <f>IFERROR(Table1[[#This Row],[Utilization %]]*Table1[[#This Row],[Efficiency %]]*Table1[[#This Row],[Quality %]], "")</f>
        <v>0.60791363636363638</v>
      </c>
      <c r="R167" s="48" t="s">
        <v>73</v>
      </c>
    </row>
    <row r="168" spans="1:18" x14ac:dyDescent="0.25">
      <c r="A168" s="47">
        <v>46123</v>
      </c>
      <c r="B168" s="48" t="s">
        <v>18</v>
      </c>
      <c r="C168" s="48" t="s">
        <v>22</v>
      </c>
      <c r="D168" s="48" t="s">
        <v>23</v>
      </c>
      <c r="E168" s="49">
        <v>5000</v>
      </c>
      <c r="F168" s="76">
        <v>0</v>
      </c>
      <c r="G168" s="49">
        <v>0</v>
      </c>
      <c r="H168" s="50" t="str">
        <f>IFERROR(Table1[Re-process (Kg)]/Table1[Actual Production (Kg)], "")</f>
        <v/>
      </c>
      <c r="I168" s="49">
        <f>IFERROR(Table1[[#This Row],[Actual Production (Kg)]]-Table1[[#This Row],[Re-process (Kg)]], "")</f>
        <v>0</v>
      </c>
      <c r="J168" s="49"/>
      <c r="K168" s="72"/>
      <c r="L168" s="49" t="str">
        <f>IF(Table1[[#This Row],[Target Time (Hours)]]="","",Table1[[#This Row],[Target Time (Hours)]]-Table1[[#This Row],[Downtime (Hours)]])</f>
        <v/>
      </c>
      <c r="M168" s="49" t="str">
        <f>IFERROR(Table1[[#This Row],[Capacity (Kg)]]/Table1[[#This Row],[Target Time (Hours)]] * Table1[[#This Row],[Downtime (Hours)]], "")</f>
        <v/>
      </c>
      <c r="N168" s="50" t="str">
        <f>IFERROR(Table1[[#This Row],[Running Time (hr)]]/Table1[Target Time (Hours)], "")</f>
        <v/>
      </c>
      <c r="O168" s="50">
        <f>IFERROR(Table1[[#This Row],[Actual Production (Kg)]]/Table1[Capacity (Kg)], "")</f>
        <v>0</v>
      </c>
      <c r="P168" s="50" t="str">
        <f>IFERROR(Table1[[#This Row],[Quality Pass Production]]/Table1[[#This Row],[Actual Production (Kg)]], "")</f>
        <v/>
      </c>
      <c r="Q168" s="50" t="str">
        <f>IFERROR(Table1[[#This Row],[Utilization %]]*Table1[[#This Row],[Efficiency %]]*Table1[[#This Row],[Quality %]], "")</f>
        <v/>
      </c>
    </row>
    <row r="169" spans="1:18" ht="30" customHeight="1" x14ac:dyDescent="0.25">
      <c r="A169" s="47">
        <v>46123</v>
      </c>
      <c r="B169" s="48" t="s">
        <v>18</v>
      </c>
      <c r="C169" s="48" t="s">
        <v>22</v>
      </c>
      <c r="D169" s="48" t="s">
        <v>25</v>
      </c>
      <c r="E169" s="49">
        <v>4000</v>
      </c>
      <c r="F169" s="76">
        <v>6577</v>
      </c>
      <c r="G169" s="49">
        <v>0</v>
      </c>
      <c r="H169" s="50">
        <f>IFERROR(Table1[Re-process (Kg)]/Table1[Actual Production (Kg)], "")</f>
        <v>0</v>
      </c>
      <c r="I169" s="49">
        <f>IFERROR(Table1[[#This Row],[Actual Production (Kg)]]-Table1[[#This Row],[Re-process (Kg)]], "")</f>
        <v>6577</v>
      </c>
      <c r="J169" s="49">
        <v>22</v>
      </c>
      <c r="K169" s="72">
        <v>3</v>
      </c>
      <c r="L169" s="49">
        <f>IF(Table1[[#This Row],[Target Time (Hours)]]="","",Table1[[#This Row],[Target Time (Hours)]]-Table1[[#This Row],[Downtime (Hours)]])</f>
        <v>19</v>
      </c>
      <c r="M169" s="49">
        <f>IFERROR(Table1[[#This Row],[Capacity (Kg)]]/Table1[[#This Row],[Target Time (Hours)]] * Table1[[#This Row],[Downtime (Hours)]], "")</f>
        <v>545.4545454545455</v>
      </c>
      <c r="N169" s="50">
        <f>IFERROR(Table1[[#This Row],[Running Time (hr)]]/Table1[Target Time (Hours)], "")</f>
        <v>0.86363636363636365</v>
      </c>
      <c r="O169" s="50">
        <f>IFERROR(Table1[[#This Row],[Actual Production (Kg)]]/Table1[Capacity (Kg)], "")</f>
        <v>1.64425</v>
      </c>
      <c r="P169" s="50">
        <f>IFERROR(Table1[[#This Row],[Quality Pass Production]]/Table1[[#This Row],[Actual Production (Kg)]], "")</f>
        <v>1</v>
      </c>
      <c r="Q169" s="50">
        <f>IFERROR(Table1[[#This Row],[Utilization %]]*Table1[[#This Row],[Efficiency %]]*Table1[[#This Row],[Quality %]], "")</f>
        <v>1.4200340909090909</v>
      </c>
      <c r="R169" s="48" t="s">
        <v>73</v>
      </c>
    </row>
    <row r="170" spans="1:18" x14ac:dyDescent="0.25">
      <c r="A170" s="47">
        <v>46123</v>
      </c>
      <c r="B170" s="48" t="s">
        <v>18</v>
      </c>
      <c r="C170" s="48" t="s">
        <v>26</v>
      </c>
      <c r="D170" s="48" t="s">
        <v>25</v>
      </c>
      <c r="E170" s="49">
        <v>7000</v>
      </c>
      <c r="F170" s="76"/>
      <c r="G170" s="49">
        <v>0</v>
      </c>
      <c r="H170" s="50" t="str">
        <f>IFERROR(Table1[Re-process (Kg)]/Table1[Actual Production (Kg)], "")</f>
        <v/>
      </c>
      <c r="I170" s="49">
        <f>IFERROR(Table1[[#This Row],[Actual Production (Kg)]]-Table1[[#This Row],[Re-process (Kg)]], "")</f>
        <v>0</v>
      </c>
      <c r="J170" s="49"/>
      <c r="K170" s="72"/>
      <c r="L170" s="49" t="str">
        <f>IF(Table1[[#This Row],[Target Time (Hours)]]="","",Table1[[#This Row],[Target Time (Hours)]]-Table1[[#This Row],[Downtime (Hours)]])</f>
        <v/>
      </c>
      <c r="M170" s="49" t="str">
        <f>IFERROR(Table1[[#This Row],[Capacity (Kg)]]/Table1[[#This Row],[Target Time (Hours)]] * Table1[[#This Row],[Downtime (Hours)]], "")</f>
        <v/>
      </c>
      <c r="N170" s="50" t="str">
        <f>IFERROR(Table1[[#This Row],[Running Time (hr)]]/Table1[Target Time (Hours)], "")</f>
        <v/>
      </c>
      <c r="O170" s="50">
        <f>IFERROR(Table1[[#This Row],[Actual Production (Kg)]]/Table1[Capacity (Kg)], "")</f>
        <v>0</v>
      </c>
      <c r="P170" s="50" t="str">
        <f>IFERROR(Table1[[#This Row],[Quality Pass Production]]/Table1[[#This Row],[Actual Production (Kg)]], "")</f>
        <v/>
      </c>
      <c r="Q170" s="50" t="str">
        <f>IFERROR(Table1[[#This Row],[Utilization %]]*Table1[[#This Row],[Efficiency %]]*Table1[[#This Row],[Quality %]], "")</f>
        <v/>
      </c>
    </row>
    <row r="171" spans="1:18" ht="30" customHeight="1" x14ac:dyDescent="0.25">
      <c r="A171" s="47">
        <v>46123</v>
      </c>
      <c r="B171" s="48" t="s">
        <v>18</v>
      </c>
      <c r="C171" s="48" t="s">
        <v>28</v>
      </c>
      <c r="D171" s="48" t="s">
        <v>29</v>
      </c>
      <c r="E171" s="49">
        <v>7800</v>
      </c>
      <c r="F171" s="76">
        <v>7319</v>
      </c>
      <c r="G171" s="49">
        <v>0</v>
      </c>
      <c r="H171" s="50">
        <f>IFERROR(Table1[Re-process (Kg)]/Table1[Actual Production (Kg)], "")</f>
        <v>0</v>
      </c>
      <c r="I171" s="49">
        <f>IFERROR(Table1[[#This Row],[Actual Production (Kg)]]-Table1[[#This Row],[Re-process (Kg)]], "")</f>
        <v>7319</v>
      </c>
      <c r="J171" s="49">
        <v>22</v>
      </c>
      <c r="K171" s="72">
        <v>1</v>
      </c>
      <c r="L171" s="49">
        <f>IF(Table1[[#This Row],[Target Time (Hours)]]="","",Table1[[#This Row],[Target Time (Hours)]]-Table1[[#This Row],[Downtime (Hours)]])</f>
        <v>21</v>
      </c>
      <c r="M171" s="49">
        <f>IFERROR(Table1[[#This Row],[Capacity (Kg)]]/Table1[[#This Row],[Target Time (Hours)]] * Table1[[#This Row],[Downtime (Hours)]], "")</f>
        <v>354.54545454545456</v>
      </c>
      <c r="N171" s="50">
        <f>IFERROR(Table1[[#This Row],[Running Time (hr)]]/Table1[Target Time (Hours)], "")</f>
        <v>0.95454545454545459</v>
      </c>
      <c r="O171" s="50">
        <f>IFERROR(Table1[[#This Row],[Actual Production (Kg)]]/Table1[Capacity (Kg)], "")</f>
        <v>0.93833333333333335</v>
      </c>
      <c r="P171" s="50">
        <f>IFERROR(Table1[[#This Row],[Quality Pass Production]]/Table1[[#This Row],[Actual Production (Kg)]], "")</f>
        <v>1</v>
      </c>
      <c r="Q171" s="50">
        <f>IFERROR(Table1[[#This Row],[Utilization %]]*Table1[[#This Row],[Efficiency %]]*Table1[[#This Row],[Quality %]], "")</f>
        <v>0.89568181818181825</v>
      </c>
      <c r="R171" s="48" t="s">
        <v>79</v>
      </c>
    </row>
    <row r="172" spans="1:18" ht="30" customHeight="1" x14ac:dyDescent="0.25">
      <c r="A172" s="47">
        <v>46123</v>
      </c>
      <c r="B172" s="48" t="s">
        <v>18</v>
      </c>
      <c r="C172" s="48" t="s">
        <v>30</v>
      </c>
      <c r="D172" s="48" t="s">
        <v>31</v>
      </c>
      <c r="E172" s="49">
        <v>9000</v>
      </c>
      <c r="F172" s="76">
        <v>0</v>
      </c>
      <c r="G172" s="49">
        <v>0</v>
      </c>
      <c r="H172" s="50" t="str">
        <f>IFERROR(Table1[Re-process (Kg)]/Table1[Actual Production (Kg)], "")</f>
        <v/>
      </c>
      <c r="I172" s="49">
        <f>IFERROR(Table1[[#This Row],[Actual Production (Kg)]]-Table1[[#This Row],[Re-process (Kg)]], "")</f>
        <v>0</v>
      </c>
      <c r="J172" s="49">
        <v>22</v>
      </c>
      <c r="K172" s="72">
        <v>0</v>
      </c>
      <c r="L172" s="49">
        <f>IF(Table1[[#This Row],[Target Time (Hours)]]="","",Table1[[#This Row],[Target Time (Hours)]]-Table1[[#This Row],[Downtime (Hours)]])</f>
        <v>22</v>
      </c>
      <c r="M172" s="49">
        <f>IFERROR(Table1[[#This Row],[Capacity (Kg)]]/Table1[[#This Row],[Target Time (Hours)]] * Table1[[#This Row],[Downtime (Hours)]], "")</f>
        <v>0</v>
      </c>
      <c r="N172" s="50">
        <f>IFERROR(Table1[[#This Row],[Running Time (hr)]]/Table1[Target Time (Hours)], "")</f>
        <v>1</v>
      </c>
      <c r="O172" s="50">
        <f>IFERROR(Table1[[#This Row],[Actual Production (Kg)]]/Table1[Capacity (Kg)], "")</f>
        <v>0</v>
      </c>
      <c r="P172" s="50" t="str">
        <f>IFERROR(Table1[[#This Row],[Quality Pass Production]]/Table1[[#This Row],[Actual Production (Kg)]], "")</f>
        <v/>
      </c>
      <c r="Q172" s="50" t="str">
        <f>IFERROR(Table1[[#This Row],[Utilization %]]*Table1[[#This Row],[Efficiency %]]*Table1[[#This Row],[Quality %]], "")</f>
        <v/>
      </c>
    </row>
    <row r="173" spans="1:18" ht="30" customHeight="1" x14ac:dyDescent="0.25">
      <c r="A173" s="26">
        <v>46123</v>
      </c>
      <c r="B173" s="27" t="s">
        <v>18</v>
      </c>
      <c r="C173" s="27" t="s">
        <v>32</v>
      </c>
      <c r="D173" s="27" t="s">
        <v>31</v>
      </c>
      <c r="E173" s="79">
        <f>Table1[[#This Row],[Actual Production (Kg)]]</f>
        <v>0</v>
      </c>
      <c r="F173" s="79">
        <v>0</v>
      </c>
      <c r="G173" s="79"/>
      <c r="H173" s="28"/>
      <c r="I173" s="79"/>
      <c r="J173" s="79"/>
      <c r="K173" s="27"/>
      <c r="L173" s="53" t="str">
        <f>IF(Table1[[#This Row],[Target Time (Hours)]]="","",Table1[[#This Row],[Target Time (Hours)]]-Table1[[#This Row],[Downtime (Hours)]])</f>
        <v/>
      </c>
      <c r="M173" s="79"/>
      <c r="N173" s="28"/>
      <c r="O173" s="28"/>
      <c r="P173" s="28"/>
      <c r="Q173" s="28"/>
      <c r="R173" s="27" t="s">
        <v>73</v>
      </c>
    </row>
    <row r="174" spans="1:18" ht="60" customHeight="1" x14ac:dyDescent="0.25">
      <c r="A174" s="47">
        <v>46123</v>
      </c>
      <c r="B174" s="48" t="s">
        <v>33</v>
      </c>
      <c r="C174" s="48" t="s">
        <v>34</v>
      </c>
      <c r="D174" s="48" t="s">
        <v>35</v>
      </c>
      <c r="E174" s="49">
        <v>9000</v>
      </c>
      <c r="F174" s="76">
        <v>4790</v>
      </c>
      <c r="G174" s="49">
        <v>0</v>
      </c>
      <c r="H174" s="50">
        <f>IFERROR(Table1[Re-process (Kg)]/Table1[Actual Production (Kg)], "")</f>
        <v>0</v>
      </c>
      <c r="I174" s="49">
        <f>IFERROR(Table1[[#This Row],[Actual Production (Kg)]]-Table1[[#This Row],[Re-process (Kg)]], "")</f>
        <v>4790</v>
      </c>
      <c r="J174" s="49">
        <v>22</v>
      </c>
      <c r="K174" s="72">
        <v>6</v>
      </c>
      <c r="L174" s="49">
        <f>IF(Table1[[#This Row],[Target Time (Hours)]]="","",Table1[[#This Row],[Target Time (Hours)]]-Table1[[#This Row],[Downtime (Hours)]])</f>
        <v>16</v>
      </c>
      <c r="M174" s="49">
        <f>IFERROR(Table1[[#This Row],[Capacity (Kg)]]/Table1[[#This Row],[Target Time (Hours)]] * Table1[[#This Row],[Downtime (Hours)]], "")</f>
        <v>2454.5454545454545</v>
      </c>
      <c r="N174" s="50">
        <f>IFERROR(Table1[[#This Row],[Running Time (hr)]]/Table1[Target Time (Hours)], "")</f>
        <v>0.72727272727272729</v>
      </c>
      <c r="O174" s="50">
        <f>IFERROR(Table1[[#This Row],[Actual Production (Kg)]]/Table1[Capacity (Kg)], "")</f>
        <v>0.53222222222222226</v>
      </c>
      <c r="P174" s="50">
        <f>IFERROR(Table1[[#This Row],[Quality Pass Production]]/Table1[[#This Row],[Actual Production (Kg)]], "")</f>
        <v>1</v>
      </c>
      <c r="Q174" s="50">
        <f>IFERROR(Table1[[#This Row],[Utilization %]]*Table1[[#This Row],[Efficiency %]]*Table1[[#This Row],[Quality %]], "")</f>
        <v>0.38707070707070712</v>
      </c>
      <c r="R174" s="48" t="s">
        <v>80</v>
      </c>
    </row>
    <row r="175" spans="1:18" x14ac:dyDescent="0.25">
      <c r="A175" s="47">
        <v>46123</v>
      </c>
      <c r="B175" s="48" t="s">
        <v>33</v>
      </c>
      <c r="C175" s="48" t="s">
        <v>36</v>
      </c>
      <c r="D175" s="48" t="s">
        <v>37</v>
      </c>
      <c r="E175" s="49">
        <v>8000</v>
      </c>
      <c r="F175" s="76">
        <v>3924</v>
      </c>
      <c r="G175" s="49">
        <v>0</v>
      </c>
      <c r="H175" s="50">
        <f>IFERROR(Table1[Re-process (Kg)]/Table1[Actual Production (Kg)], "")</f>
        <v>0</v>
      </c>
      <c r="I175" s="49">
        <f>IFERROR(Table1[[#This Row],[Actual Production (Kg)]]-Table1[[#This Row],[Re-process (Kg)]], "")</f>
        <v>3924</v>
      </c>
      <c r="J175" s="49">
        <v>22</v>
      </c>
      <c r="K175" s="72">
        <v>0</v>
      </c>
      <c r="L175" s="49">
        <f>IF(Table1[[#This Row],[Target Time (Hours)]]="","",Table1[[#This Row],[Target Time (Hours)]]-Table1[[#This Row],[Downtime (Hours)]])</f>
        <v>22</v>
      </c>
      <c r="M175" s="49">
        <f>IFERROR(Table1[[#This Row],[Capacity (Kg)]]/Table1[[#This Row],[Target Time (Hours)]] * Table1[[#This Row],[Downtime (Hours)]], "")</f>
        <v>0</v>
      </c>
      <c r="N175" s="50">
        <f>IFERROR(Table1[[#This Row],[Running Time (hr)]]/Table1[Target Time (Hours)], "")</f>
        <v>1</v>
      </c>
      <c r="O175" s="50">
        <f>IFERROR(Table1[[#This Row],[Actual Production (Kg)]]/Table1[Capacity (Kg)], "")</f>
        <v>0.49049999999999999</v>
      </c>
      <c r="P175" s="50">
        <f>IFERROR(Table1[[#This Row],[Quality Pass Production]]/Table1[[#This Row],[Actual Production (Kg)]], "")</f>
        <v>1</v>
      </c>
      <c r="Q175" s="50">
        <f>IFERROR(Table1[[#This Row],[Utilization %]]*Table1[[#This Row],[Efficiency %]]*Table1[[#This Row],[Quality %]], "")</f>
        <v>0.49049999999999999</v>
      </c>
      <c r="R175" s="48" t="s">
        <v>64</v>
      </c>
    </row>
    <row r="176" spans="1:18" ht="30" customHeight="1" x14ac:dyDescent="0.25">
      <c r="A176" s="47">
        <v>46123</v>
      </c>
      <c r="B176" s="48" t="s">
        <v>33</v>
      </c>
      <c r="C176" s="48" t="s">
        <v>39</v>
      </c>
      <c r="D176" s="48" t="s">
        <v>31</v>
      </c>
      <c r="E176" s="49">
        <v>6000</v>
      </c>
      <c r="F176" s="76">
        <v>850</v>
      </c>
      <c r="G176" s="49">
        <v>0</v>
      </c>
      <c r="H176" s="50">
        <f>IFERROR(Table1[Re-process (Kg)]/Table1[Actual Production (Kg)], "")</f>
        <v>0</v>
      </c>
      <c r="I176" s="49">
        <f>IFERROR(Table1[[#This Row],[Actual Production (Kg)]]-Table1[[#This Row],[Re-process (Kg)]], "")</f>
        <v>850</v>
      </c>
      <c r="J176" s="49">
        <v>22</v>
      </c>
      <c r="K176" s="72">
        <v>0</v>
      </c>
      <c r="L176" s="49">
        <f>IF(Table1[[#This Row],[Target Time (Hours)]]="","",Table1[[#This Row],[Target Time (Hours)]]-Table1[[#This Row],[Downtime (Hours)]])</f>
        <v>22</v>
      </c>
      <c r="M176" s="49">
        <f>IFERROR(Table1[[#This Row],[Capacity (Kg)]]/Table1[[#This Row],[Target Time (Hours)]] * Table1[[#This Row],[Downtime (Hours)]], "")</f>
        <v>0</v>
      </c>
      <c r="N176" s="50">
        <f>IFERROR(Table1[[#This Row],[Running Time (hr)]]/Table1[Target Time (Hours)], "")</f>
        <v>1</v>
      </c>
      <c r="O176" s="50">
        <f>IFERROR(Table1[[#This Row],[Actual Production (Kg)]]/Table1[Capacity (Kg)], "")</f>
        <v>0.14166666666666666</v>
      </c>
      <c r="P176" s="50">
        <f>IFERROR(Table1[[#This Row],[Quality Pass Production]]/Table1[[#This Row],[Actual Production (Kg)]], "")</f>
        <v>1</v>
      </c>
      <c r="Q176" s="50">
        <f>IFERROR(Table1[[#This Row],[Utilization %]]*Table1[[#This Row],[Efficiency %]]*Table1[[#This Row],[Quality %]], "")</f>
        <v>0.14166666666666666</v>
      </c>
      <c r="R176" s="48" t="s">
        <v>64</v>
      </c>
    </row>
    <row r="177" spans="1:18" ht="45" customHeight="1" x14ac:dyDescent="0.25">
      <c r="A177" s="54">
        <v>46123</v>
      </c>
      <c r="B177" s="55" t="s">
        <v>33</v>
      </c>
      <c r="C177" s="55" t="s">
        <v>40</v>
      </c>
      <c r="D177" s="55" t="s">
        <v>31</v>
      </c>
      <c r="E177" s="56">
        <v>5000</v>
      </c>
      <c r="F177" s="56">
        <v>8546</v>
      </c>
      <c r="G177" s="56">
        <v>0</v>
      </c>
      <c r="H177" s="58">
        <f>IFERROR(Table1[Re-process (Kg)]/Table1[Actual Production (Kg)], "")</f>
        <v>0</v>
      </c>
      <c r="I177" s="56">
        <f>IFERROR(Table1[[#This Row],[Actual Production (Kg)]]-Table1[[#This Row],[Re-process (Kg)]], "")</f>
        <v>8546</v>
      </c>
      <c r="J177" s="56">
        <v>22</v>
      </c>
      <c r="K177" s="55">
        <v>0</v>
      </c>
      <c r="L177" s="56">
        <f>IF(Table1[[#This Row],[Target Time (Hours)]]="","",Table1[[#This Row],[Target Time (Hours)]]-Table1[[#This Row],[Downtime (Hours)]])</f>
        <v>22</v>
      </c>
      <c r="M177" s="56">
        <f>IFERROR(Table1[[#This Row],[Capacity (Kg)]]/Table1[[#This Row],[Target Time (Hours)]] * Table1[[#This Row],[Downtime (Hours)]], "")</f>
        <v>0</v>
      </c>
      <c r="N177" s="58">
        <f>IFERROR(Table1[[#This Row],[Running Time (hr)]]/Table1[Target Time (Hours)], "")</f>
        <v>1</v>
      </c>
      <c r="O177" s="58">
        <f>IFERROR(Table1[[#This Row],[Actual Production (Kg)]]/Table1[Capacity (Kg)], "")</f>
        <v>1.7092000000000001</v>
      </c>
      <c r="P177" s="58">
        <f>IFERROR(Table1[[#This Row],[Quality Pass Production]]/Table1[[#This Row],[Actual Production (Kg)]], "")</f>
        <v>1</v>
      </c>
      <c r="Q177" s="58">
        <f>IFERROR(Table1[[#This Row],[Utilization %]]*Table1[[#This Row],[Efficiency %]]*Table1[[#This Row],[Quality %]], "")</f>
        <v>1.7092000000000001</v>
      </c>
      <c r="R177" s="55"/>
    </row>
    <row r="178" spans="1:18" ht="30" customHeight="1" x14ac:dyDescent="0.25">
      <c r="A178" s="47">
        <v>46124</v>
      </c>
      <c r="B178" s="48" t="s">
        <v>18</v>
      </c>
      <c r="C178" s="48" t="s">
        <v>19</v>
      </c>
      <c r="D178" s="48" t="s">
        <v>20</v>
      </c>
      <c r="E178" s="49">
        <v>10000</v>
      </c>
      <c r="F178" s="76">
        <v>2873</v>
      </c>
      <c r="G178" s="49">
        <v>0</v>
      </c>
      <c r="H178" s="50">
        <f>IFERROR(Table1[Re-process (Kg)]/Table1[Actual Production (Kg)], "")</f>
        <v>0</v>
      </c>
      <c r="I178" s="49">
        <f>IFERROR(Table1[[#This Row],[Actual Production (Kg)]]-Table1[[#This Row],[Re-process (Kg)]], "")</f>
        <v>2873</v>
      </c>
      <c r="J178" s="49">
        <v>22</v>
      </c>
      <c r="K178" s="72">
        <v>0</v>
      </c>
      <c r="L178" s="49">
        <f>IF(Table1[[#This Row],[Target Time (Hours)]]="","",Table1[[#This Row],[Target Time (Hours)]]-Table1[[#This Row],[Downtime (Hours)]])</f>
        <v>22</v>
      </c>
      <c r="M178" s="49">
        <f>IFERROR(Table1[[#This Row],[Capacity (Kg)]]/Table1[[#This Row],[Target Time (Hours)]] * Table1[[#This Row],[Downtime (Hours)]], "")</f>
        <v>0</v>
      </c>
      <c r="N178" s="50">
        <f>IFERROR(Table1[[#This Row],[Running Time (hr)]]/Table1[Target Time (Hours)], "")</f>
        <v>1</v>
      </c>
      <c r="O178" s="50">
        <f>IFERROR(Table1[[#This Row],[Actual Production (Kg)]]/Table1[Capacity (Kg)], "")</f>
        <v>0.2873</v>
      </c>
      <c r="P178" s="50">
        <f>IFERROR(Table1[[#This Row],[Quality Pass Production]]/Table1[[#This Row],[Actual Production (Kg)]], "")</f>
        <v>1</v>
      </c>
      <c r="Q178" s="50">
        <f>IFERROR(Table1[[#This Row],[Utilization %]]*Table1[[#This Row],[Efficiency %]]*Table1[[#This Row],[Quality %]], "")</f>
        <v>0.2873</v>
      </c>
    </row>
    <row r="179" spans="1:18" x14ac:dyDescent="0.25">
      <c r="A179" s="47">
        <v>46124</v>
      </c>
      <c r="B179" s="48" t="s">
        <v>18</v>
      </c>
      <c r="C179" s="48" t="s">
        <v>22</v>
      </c>
      <c r="D179" s="48" t="s">
        <v>23</v>
      </c>
      <c r="E179" s="49">
        <v>5000</v>
      </c>
      <c r="F179" s="76">
        <v>5960</v>
      </c>
      <c r="G179" s="49">
        <v>0</v>
      </c>
      <c r="H179" s="50">
        <f>IFERROR(Table1[Re-process (Kg)]/Table1[Actual Production (Kg)], "")</f>
        <v>0</v>
      </c>
      <c r="I179" s="49">
        <f>IFERROR(Table1[[#This Row],[Actual Production (Kg)]]-Table1[[#This Row],[Re-process (Kg)]], "")</f>
        <v>5960</v>
      </c>
      <c r="J179" s="49"/>
      <c r="K179" s="72"/>
      <c r="L179" s="49" t="str">
        <f>IF(Table1[[#This Row],[Target Time (Hours)]]="","",Table1[[#This Row],[Target Time (Hours)]]-Table1[[#This Row],[Downtime (Hours)]])</f>
        <v/>
      </c>
      <c r="M179" s="49" t="str">
        <f>IFERROR(Table1[[#This Row],[Capacity (Kg)]]/Table1[[#This Row],[Target Time (Hours)]] * Table1[[#This Row],[Downtime (Hours)]], "")</f>
        <v/>
      </c>
      <c r="N179" s="50" t="str">
        <f>IFERROR(Table1[[#This Row],[Running Time (hr)]]/Table1[Target Time (Hours)], "")</f>
        <v/>
      </c>
      <c r="O179" s="50">
        <f>IFERROR(Table1[[#This Row],[Actual Production (Kg)]]/Table1[Capacity (Kg)], "")</f>
        <v>1.1919999999999999</v>
      </c>
      <c r="P179" s="50">
        <f>IFERROR(Table1[[#This Row],[Quality Pass Production]]/Table1[[#This Row],[Actual Production (Kg)]], "")</f>
        <v>1</v>
      </c>
      <c r="Q179" s="50" t="str">
        <f>IFERROR(Table1[[#This Row],[Utilization %]]*Table1[[#This Row],[Efficiency %]]*Table1[[#This Row],[Quality %]], "")</f>
        <v/>
      </c>
    </row>
    <row r="180" spans="1:18" x14ac:dyDescent="0.25">
      <c r="A180" s="47">
        <v>46124</v>
      </c>
      <c r="B180" s="48" t="s">
        <v>18</v>
      </c>
      <c r="C180" s="48" t="s">
        <v>22</v>
      </c>
      <c r="D180" s="48" t="s">
        <v>25</v>
      </c>
      <c r="E180" s="49">
        <v>4000</v>
      </c>
      <c r="F180" s="76">
        <v>6649</v>
      </c>
      <c r="G180" s="49">
        <v>0</v>
      </c>
      <c r="H180" s="50">
        <f>IFERROR(Table1[Re-process (Kg)]/Table1[Actual Production (Kg)], "")</f>
        <v>0</v>
      </c>
      <c r="I180" s="49">
        <f>IFERROR(Table1[[#This Row],[Actual Production (Kg)]]-Table1[[#This Row],[Re-process (Kg)]], "")</f>
        <v>6649</v>
      </c>
      <c r="J180" s="49">
        <v>22</v>
      </c>
      <c r="K180" s="72">
        <v>0</v>
      </c>
      <c r="L180" s="49">
        <f>IF(Table1[[#This Row],[Target Time (Hours)]]="","",Table1[[#This Row],[Target Time (Hours)]]-Table1[[#This Row],[Downtime (Hours)]])</f>
        <v>22</v>
      </c>
      <c r="M180" s="49">
        <f>IFERROR(Table1[[#This Row],[Capacity (Kg)]]/Table1[[#This Row],[Target Time (Hours)]] * Table1[[#This Row],[Downtime (Hours)]], "")</f>
        <v>0</v>
      </c>
      <c r="N180" s="50">
        <f>IFERROR(Table1[[#This Row],[Running Time (hr)]]/Table1[Target Time (Hours)], "")</f>
        <v>1</v>
      </c>
      <c r="O180" s="50">
        <f>IFERROR(Table1[[#This Row],[Actual Production (Kg)]]/Table1[Capacity (Kg)], "")</f>
        <v>1.66225</v>
      </c>
      <c r="P180" s="50">
        <f>IFERROR(Table1[[#This Row],[Quality Pass Production]]/Table1[[#This Row],[Actual Production (Kg)]], "")</f>
        <v>1</v>
      </c>
      <c r="Q180" s="50">
        <f>IFERROR(Table1[[#This Row],[Utilization %]]*Table1[[#This Row],[Efficiency %]]*Table1[[#This Row],[Quality %]], "")</f>
        <v>1.66225</v>
      </c>
    </row>
    <row r="181" spans="1:18" x14ac:dyDescent="0.25">
      <c r="A181" s="47">
        <v>46124</v>
      </c>
      <c r="B181" s="48" t="s">
        <v>18</v>
      </c>
      <c r="C181" s="48" t="s">
        <v>26</v>
      </c>
      <c r="D181" s="48" t="s">
        <v>25</v>
      </c>
      <c r="E181" s="49">
        <v>7000</v>
      </c>
      <c r="F181" s="76"/>
      <c r="G181" s="49">
        <v>0</v>
      </c>
      <c r="H181" s="50" t="str">
        <f>IFERROR(Table1[Re-process (Kg)]/Table1[Actual Production (Kg)], "")</f>
        <v/>
      </c>
      <c r="I181" s="49">
        <f>IFERROR(Table1[[#This Row],[Actual Production (Kg)]]-Table1[[#This Row],[Re-process (Kg)]], "")</f>
        <v>0</v>
      </c>
      <c r="J181" s="49"/>
      <c r="K181" s="72"/>
      <c r="L181" s="49" t="str">
        <f>IF(Table1[[#This Row],[Target Time (Hours)]]="","",Table1[[#This Row],[Target Time (Hours)]]-Table1[[#This Row],[Downtime (Hours)]])</f>
        <v/>
      </c>
      <c r="M181" s="49" t="str">
        <f>IFERROR(Table1[[#This Row],[Capacity (Kg)]]/Table1[[#This Row],[Target Time (Hours)]] * Table1[[#This Row],[Downtime (Hours)]], "")</f>
        <v/>
      </c>
      <c r="N181" s="50" t="str">
        <f>IFERROR(Table1[[#This Row],[Running Time (hr)]]/Table1[Target Time (Hours)], "")</f>
        <v/>
      </c>
      <c r="O181" s="50">
        <f>IFERROR(Table1[[#This Row],[Actual Production (Kg)]]/Table1[Capacity (Kg)], "")</f>
        <v>0</v>
      </c>
      <c r="P181" s="50" t="str">
        <f>IFERROR(Table1[[#This Row],[Quality Pass Production]]/Table1[[#This Row],[Actual Production (Kg)]], "")</f>
        <v/>
      </c>
      <c r="Q181" s="50" t="str">
        <f>IFERROR(Table1[[#This Row],[Utilization %]]*Table1[[#This Row],[Efficiency %]]*Table1[[#This Row],[Quality %]], "")</f>
        <v/>
      </c>
    </row>
    <row r="182" spans="1:18" ht="30" customHeight="1" x14ac:dyDescent="0.25">
      <c r="A182" s="47">
        <v>46124</v>
      </c>
      <c r="B182" s="48" t="s">
        <v>18</v>
      </c>
      <c r="C182" s="48" t="s">
        <v>28</v>
      </c>
      <c r="D182" s="48" t="s">
        <v>29</v>
      </c>
      <c r="E182" s="49">
        <v>7800</v>
      </c>
      <c r="F182" s="76">
        <v>7779</v>
      </c>
      <c r="G182" s="49">
        <v>0</v>
      </c>
      <c r="H182" s="50">
        <f>IFERROR(Table1[Re-process (Kg)]/Table1[Actual Production (Kg)], "")</f>
        <v>0</v>
      </c>
      <c r="I182" s="49">
        <f>IFERROR(Table1[[#This Row],[Actual Production (Kg)]]-Table1[[#This Row],[Re-process (Kg)]], "")</f>
        <v>7779</v>
      </c>
      <c r="J182" s="49">
        <v>22</v>
      </c>
      <c r="K182" s="72">
        <v>0</v>
      </c>
      <c r="L182" s="49">
        <f>IF(Table1[[#This Row],[Target Time (Hours)]]="","",Table1[[#This Row],[Target Time (Hours)]]-Table1[[#This Row],[Downtime (Hours)]])</f>
        <v>22</v>
      </c>
      <c r="M182" s="49">
        <f>IFERROR(Table1[[#This Row],[Capacity (Kg)]]/Table1[[#This Row],[Target Time (Hours)]] * Table1[[#This Row],[Downtime (Hours)]], "")</f>
        <v>0</v>
      </c>
      <c r="N182" s="50">
        <f>IFERROR(Table1[[#This Row],[Running Time (hr)]]/Table1[Target Time (Hours)], "")</f>
        <v>1</v>
      </c>
      <c r="O182" s="50">
        <f>IFERROR(Table1[[#This Row],[Actual Production (Kg)]]/Table1[Capacity (Kg)], "")</f>
        <v>0.99730769230769234</v>
      </c>
      <c r="P182" s="50">
        <f>IFERROR(Table1[[#This Row],[Quality Pass Production]]/Table1[[#This Row],[Actual Production (Kg)]], "")</f>
        <v>1</v>
      </c>
      <c r="Q182" s="50">
        <f>IFERROR(Table1[[#This Row],[Utilization %]]*Table1[[#This Row],[Efficiency %]]*Table1[[#This Row],[Quality %]], "")</f>
        <v>0.99730769230769234</v>
      </c>
    </row>
    <row r="183" spans="1:18" ht="30" customHeight="1" x14ac:dyDescent="0.25">
      <c r="A183" s="47">
        <v>46124</v>
      </c>
      <c r="B183" s="48" t="s">
        <v>18</v>
      </c>
      <c r="C183" s="48" t="s">
        <v>30</v>
      </c>
      <c r="D183" s="48" t="s">
        <v>31</v>
      </c>
      <c r="E183" s="49">
        <v>9000</v>
      </c>
      <c r="F183" s="76">
        <v>3796</v>
      </c>
      <c r="G183" s="49">
        <v>0</v>
      </c>
      <c r="H183" s="50">
        <f>IFERROR(Table1[Re-process (Kg)]/Table1[Actual Production (Kg)], "")</f>
        <v>0</v>
      </c>
      <c r="I183" s="49">
        <f>IFERROR(Table1[[#This Row],[Actual Production (Kg)]]-Table1[[#This Row],[Re-process (Kg)]], "")</f>
        <v>3796</v>
      </c>
      <c r="J183" s="49">
        <v>22</v>
      </c>
      <c r="K183" s="72">
        <v>0</v>
      </c>
      <c r="L183" s="49">
        <f>IF(Table1[[#This Row],[Target Time (Hours)]]="","",Table1[[#This Row],[Target Time (Hours)]]-Table1[[#This Row],[Downtime (Hours)]])</f>
        <v>22</v>
      </c>
      <c r="M183" s="49">
        <f>IFERROR(Table1[[#This Row],[Capacity (Kg)]]/Table1[[#This Row],[Target Time (Hours)]] * Table1[[#This Row],[Downtime (Hours)]], "")</f>
        <v>0</v>
      </c>
      <c r="N183" s="50">
        <f>IFERROR(Table1[[#This Row],[Running Time (hr)]]/Table1[Target Time (Hours)], "")</f>
        <v>1</v>
      </c>
      <c r="O183" s="50">
        <f>IFERROR(Table1[[#This Row],[Actual Production (Kg)]]/Table1[Capacity (Kg)], "")</f>
        <v>0.42177777777777775</v>
      </c>
      <c r="P183" s="50">
        <f>IFERROR(Table1[[#This Row],[Quality Pass Production]]/Table1[[#This Row],[Actual Production (Kg)]], "")</f>
        <v>1</v>
      </c>
      <c r="Q183" s="50">
        <f>IFERROR(Table1[[#This Row],[Utilization %]]*Table1[[#This Row],[Efficiency %]]*Table1[[#This Row],[Quality %]], "")</f>
        <v>0.42177777777777775</v>
      </c>
    </row>
    <row r="184" spans="1:18" ht="30" customHeight="1" x14ac:dyDescent="0.25">
      <c r="A184" s="26">
        <v>46124</v>
      </c>
      <c r="B184" s="27" t="s">
        <v>18</v>
      </c>
      <c r="C184" s="27" t="s">
        <v>32</v>
      </c>
      <c r="D184" s="27" t="s">
        <v>31</v>
      </c>
      <c r="E184" s="79">
        <f>Table1[[#This Row],[Actual Production (Kg)]]</f>
        <v>3796</v>
      </c>
      <c r="F184" s="79">
        <v>3796</v>
      </c>
      <c r="G184" s="79"/>
      <c r="H184" s="28"/>
      <c r="I184" s="79"/>
      <c r="J184" s="79"/>
      <c r="K184" s="27"/>
      <c r="L184" s="53" t="str">
        <f>IF(Table1[[#This Row],[Target Time (Hours)]]="","",Table1[[#This Row],[Target Time (Hours)]]-Table1[[#This Row],[Downtime (Hours)]])</f>
        <v/>
      </c>
      <c r="M184" s="79"/>
      <c r="N184" s="28"/>
      <c r="O184" s="28"/>
      <c r="P184" s="28"/>
      <c r="Q184" s="28"/>
      <c r="R184" s="27" t="s">
        <v>64</v>
      </c>
    </row>
    <row r="185" spans="1:18" ht="60" customHeight="1" x14ac:dyDescent="0.25">
      <c r="A185" s="47">
        <v>46124</v>
      </c>
      <c r="B185" s="48" t="s">
        <v>33</v>
      </c>
      <c r="C185" s="48" t="s">
        <v>34</v>
      </c>
      <c r="D185" s="48" t="s">
        <v>35</v>
      </c>
      <c r="E185" s="49">
        <v>9000</v>
      </c>
      <c r="F185" s="76">
        <v>5476</v>
      </c>
      <c r="G185" s="49">
        <v>0</v>
      </c>
      <c r="H185" s="50">
        <f>IFERROR(Table1[Re-process (Kg)]/Table1[Actual Production (Kg)], "")</f>
        <v>0</v>
      </c>
      <c r="I185" s="49">
        <f>IFERROR(Table1[[#This Row],[Actual Production (Kg)]]-Table1[[#This Row],[Re-process (Kg)]], "")</f>
        <v>5476</v>
      </c>
      <c r="J185" s="49">
        <v>22</v>
      </c>
      <c r="K185" s="72">
        <v>5</v>
      </c>
      <c r="L185" s="49">
        <f>IF(Table1[[#This Row],[Target Time (Hours)]]="","",Table1[[#This Row],[Target Time (Hours)]]-Table1[[#This Row],[Downtime (Hours)]])</f>
        <v>17</v>
      </c>
      <c r="M185" s="49">
        <f>IFERROR(Table1[[#This Row],[Capacity (Kg)]]/Table1[[#This Row],[Target Time (Hours)]] * Table1[[#This Row],[Downtime (Hours)]], "")</f>
        <v>2045.4545454545453</v>
      </c>
      <c r="N185" s="50">
        <f>IFERROR(Table1[[#This Row],[Running Time (hr)]]/Table1[Target Time (Hours)], "")</f>
        <v>0.77272727272727271</v>
      </c>
      <c r="O185" s="50">
        <f>IFERROR(Table1[[#This Row],[Actual Production (Kg)]]/Table1[Capacity (Kg)], "")</f>
        <v>0.60844444444444445</v>
      </c>
      <c r="P185" s="50">
        <f>IFERROR(Table1[[#This Row],[Quality Pass Production]]/Table1[[#This Row],[Actual Production (Kg)]], "")</f>
        <v>1</v>
      </c>
      <c r="Q185" s="50">
        <f>IFERROR(Table1[[#This Row],[Utilization %]]*Table1[[#This Row],[Efficiency %]]*Table1[[#This Row],[Quality %]], "")</f>
        <v>0.47016161616161617</v>
      </c>
      <c r="R185" s="48" t="s">
        <v>81</v>
      </c>
    </row>
    <row r="186" spans="1:18" x14ac:dyDescent="0.25">
      <c r="A186" s="47">
        <v>46124</v>
      </c>
      <c r="B186" s="48" t="s">
        <v>33</v>
      </c>
      <c r="C186" s="48" t="s">
        <v>36</v>
      </c>
      <c r="D186" s="48" t="s">
        <v>37</v>
      </c>
      <c r="E186" s="49">
        <v>8000</v>
      </c>
      <c r="F186" s="76">
        <v>3729</v>
      </c>
      <c r="G186" s="49">
        <v>0</v>
      </c>
      <c r="H186" s="50">
        <f>IFERROR(Table1[Re-process (Kg)]/Table1[Actual Production (Kg)], "")</f>
        <v>0</v>
      </c>
      <c r="I186" s="49">
        <f>IFERROR(Table1[[#This Row],[Actual Production (Kg)]]-Table1[[#This Row],[Re-process (Kg)]], "")</f>
        <v>3729</v>
      </c>
      <c r="J186" s="49">
        <v>22</v>
      </c>
      <c r="K186" s="72">
        <v>0</v>
      </c>
      <c r="L186" s="49">
        <f>IF(Table1[[#This Row],[Target Time (Hours)]]="","",Table1[[#This Row],[Target Time (Hours)]]-Table1[[#This Row],[Downtime (Hours)]])</f>
        <v>22</v>
      </c>
      <c r="M186" s="49">
        <f>IFERROR(Table1[[#This Row],[Capacity (Kg)]]/Table1[[#This Row],[Target Time (Hours)]] * Table1[[#This Row],[Downtime (Hours)]], "")</f>
        <v>0</v>
      </c>
      <c r="N186" s="50">
        <f>IFERROR(Table1[[#This Row],[Running Time (hr)]]/Table1[Target Time (Hours)], "")</f>
        <v>1</v>
      </c>
      <c r="O186" s="50">
        <f>IFERROR(Table1[[#This Row],[Actual Production (Kg)]]/Table1[Capacity (Kg)], "")</f>
        <v>0.46612500000000001</v>
      </c>
      <c r="P186" s="50">
        <f>IFERROR(Table1[[#This Row],[Quality Pass Production]]/Table1[[#This Row],[Actual Production (Kg)]], "")</f>
        <v>1</v>
      </c>
      <c r="Q186" s="50">
        <f>IFERROR(Table1[[#This Row],[Utilization %]]*Table1[[#This Row],[Efficiency %]]*Table1[[#This Row],[Quality %]], "")</f>
        <v>0.46612500000000001</v>
      </c>
      <c r="R186" s="48" t="s">
        <v>64</v>
      </c>
    </row>
    <row r="187" spans="1:18" ht="30" customHeight="1" x14ac:dyDescent="0.25">
      <c r="A187" s="47">
        <v>46124</v>
      </c>
      <c r="B187" s="48" t="s">
        <v>33</v>
      </c>
      <c r="C187" s="48" t="s">
        <v>39</v>
      </c>
      <c r="D187" s="48" t="s">
        <v>31</v>
      </c>
      <c r="E187" s="49">
        <v>6000</v>
      </c>
      <c r="F187" s="76">
        <v>3704</v>
      </c>
      <c r="G187" s="49">
        <v>0</v>
      </c>
      <c r="H187" s="50">
        <f>IFERROR(Table1[Re-process (Kg)]/Table1[Actual Production (Kg)], "")</f>
        <v>0</v>
      </c>
      <c r="I187" s="49">
        <f>IFERROR(Table1[[#This Row],[Actual Production (Kg)]]-Table1[[#This Row],[Re-process (Kg)]], "")</f>
        <v>3704</v>
      </c>
      <c r="J187" s="49">
        <v>22</v>
      </c>
      <c r="K187" s="72">
        <v>0</v>
      </c>
      <c r="L187" s="49">
        <f>IF(Table1[[#This Row],[Target Time (Hours)]]="","",Table1[[#This Row],[Target Time (Hours)]]-Table1[[#This Row],[Downtime (Hours)]])</f>
        <v>22</v>
      </c>
      <c r="M187" s="49">
        <f>IFERROR(Table1[[#This Row],[Capacity (Kg)]]/Table1[[#This Row],[Target Time (Hours)]] * Table1[[#This Row],[Downtime (Hours)]], "")</f>
        <v>0</v>
      </c>
      <c r="N187" s="50">
        <f>IFERROR(Table1[[#This Row],[Running Time (hr)]]/Table1[Target Time (Hours)], "")</f>
        <v>1</v>
      </c>
      <c r="O187" s="50">
        <f>IFERROR(Table1[[#This Row],[Actual Production (Kg)]]/Table1[Capacity (Kg)], "")</f>
        <v>0.61733333333333329</v>
      </c>
      <c r="P187" s="50">
        <f>IFERROR(Table1[[#This Row],[Quality Pass Production]]/Table1[[#This Row],[Actual Production (Kg)]], "")</f>
        <v>1</v>
      </c>
      <c r="Q187" s="50">
        <f>IFERROR(Table1[[#This Row],[Utilization %]]*Table1[[#This Row],[Efficiency %]]*Table1[[#This Row],[Quality %]], "")</f>
        <v>0.61733333333333329</v>
      </c>
      <c r="R187" s="48" t="s">
        <v>64</v>
      </c>
    </row>
    <row r="188" spans="1:18" ht="45" customHeight="1" x14ac:dyDescent="0.25">
      <c r="A188" s="54">
        <v>46124</v>
      </c>
      <c r="B188" s="55" t="s">
        <v>33</v>
      </c>
      <c r="C188" s="55" t="s">
        <v>40</v>
      </c>
      <c r="D188" s="55" t="s">
        <v>31</v>
      </c>
      <c r="E188" s="56">
        <v>5000</v>
      </c>
      <c r="F188" s="56">
        <v>8462</v>
      </c>
      <c r="G188" s="56">
        <v>0</v>
      </c>
      <c r="H188" s="58">
        <f>IFERROR(Table1[Re-process (Kg)]/Table1[Actual Production (Kg)], "")</f>
        <v>0</v>
      </c>
      <c r="I188" s="56">
        <f>IFERROR(Table1[[#This Row],[Actual Production (Kg)]]-Table1[[#This Row],[Re-process (Kg)]], "")</f>
        <v>8462</v>
      </c>
      <c r="J188" s="56">
        <v>22</v>
      </c>
      <c r="K188" s="55">
        <v>0</v>
      </c>
      <c r="L188" s="56">
        <f>IF(Table1[[#This Row],[Target Time (Hours)]]="","",Table1[[#This Row],[Target Time (Hours)]]-Table1[[#This Row],[Downtime (Hours)]])</f>
        <v>22</v>
      </c>
      <c r="M188" s="56">
        <f>IFERROR(Table1[[#This Row],[Capacity (Kg)]]/Table1[[#This Row],[Target Time (Hours)]] * Table1[[#This Row],[Downtime (Hours)]], "")</f>
        <v>0</v>
      </c>
      <c r="N188" s="58">
        <f>IFERROR(Table1[[#This Row],[Running Time (hr)]]/Table1[Target Time (Hours)], "")</f>
        <v>1</v>
      </c>
      <c r="O188" s="58">
        <f>IFERROR(Table1[[#This Row],[Actual Production (Kg)]]/Table1[Capacity (Kg)], "")</f>
        <v>1.6923999999999999</v>
      </c>
      <c r="P188" s="58">
        <f>IFERROR(Table1[[#This Row],[Quality Pass Production]]/Table1[[#This Row],[Actual Production (Kg)]], "")</f>
        <v>1</v>
      </c>
      <c r="Q188" s="58">
        <f>IFERROR(Table1[[#This Row],[Utilization %]]*Table1[[#This Row],[Efficiency %]]*Table1[[#This Row],[Quality %]], "")</f>
        <v>1.6923999999999999</v>
      </c>
      <c r="R188" s="55"/>
    </row>
    <row r="189" spans="1:18" ht="30" customHeight="1" x14ac:dyDescent="0.25">
      <c r="A189" s="47">
        <v>46125</v>
      </c>
      <c r="B189" s="48" t="s">
        <v>18</v>
      </c>
      <c r="C189" s="48" t="s">
        <v>19</v>
      </c>
      <c r="D189" s="48" t="s">
        <v>20</v>
      </c>
      <c r="E189" s="49">
        <v>10000</v>
      </c>
      <c r="F189" s="76">
        <v>3665</v>
      </c>
      <c r="G189" s="49">
        <v>0</v>
      </c>
      <c r="H189" s="50">
        <f>IFERROR(Table1[Re-process (Kg)]/Table1[Actual Production (Kg)], "")</f>
        <v>0</v>
      </c>
      <c r="I189" s="49">
        <f>IFERROR(Table1[[#This Row],[Actual Production (Kg)]]-Table1[[#This Row],[Re-process (Kg)]], "")</f>
        <v>3665</v>
      </c>
      <c r="J189" s="49">
        <v>22</v>
      </c>
      <c r="K189" s="72">
        <v>0</v>
      </c>
      <c r="L189" s="49">
        <f>IF(Table1[[#This Row],[Target Time (Hours)]]="","",Table1[[#This Row],[Target Time (Hours)]]-Table1[[#This Row],[Downtime (Hours)]])</f>
        <v>22</v>
      </c>
      <c r="M189" s="49">
        <f>IFERROR(Table1[[#This Row],[Capacity (Kg)]]/Table1[[#This Row],[Target Time (Hours)]] * Table1[[#This Row],[Downtime (Hours)]], "")</f>
        <v>0</v>
      </c>
      <c r="N189" s="50">
        <f>IFERROR(Table1[[#This Row],[Running Time (hr)]]/Table1[Target Time (Hours)], "")</f>
        <v>1</v>
      </c>
      <c r="O189" s="50">
        <f>IFERROR(Table1[[#This Row],[Actual Production (Kg)]]/Table1[Capacity (Kg)], "")</f>
        <v>0.36649999999999999</v>
      </c>
      <c r="P189" s="50">
        <f>IFERROR(Table1[[#This Row],[Quality Pass Production]]/Table1[[#This Row],[Actual Production (Kg)]], "")</f>
        <v>1</v>
      </c>
      <c r="Q189" s="50">
        <f>IFERROR(Table1[[#This Row],[Utilization %]]*Table1[[#This Row],[Efficiency %]]*Table1[[#This Row],[Quality %]], "")</f>
        <v>0.36649999999999999</v>
      </c>
    </row>
    <row r="190" spans="1:18" x14ac:dyDescent="0.25">
      <c r="A190" s="47">
        <v>46125</v>
      </c>
      <c r="B190" s="48" t="s">
        <v>18</v>
      </c>
      <c r="C190" s="48" t="s">
        <v>22</v>
      </c>
      <c r="D190" s="48" t="s">
        <v>23</v>
      </c>
      <c r="E190" s="49">
        <v>5000</v>
      </c>
      <c r="F190" s="76">
        <v>4921</v>
      </c>
      <c r="G190" s="49">
        <v>0</v>
      </c>
      <c r="H190" s="50">
        <f>IFERROR(Table1[Re-process (Kg)]/Table1[Actual Production (Kg)], "")</f>
        <v>0</v>
      </c>
      <c r="I190" s="49">
        <f>IFERROR(Table1[[#This Row],[Actual Production (Kg)]]-Table1[[#This Row],[Re-process (Kg)]], "")</f>
        <v>4921</v>
      </c>
      <c r="J190" s="49"/>
      <c r="K190" s="72"/>
      <c r="L190" s="49" t="str">
        <f>IF(Table1[[#This Row],[Target Time (Hours)]]="","",Table1[[#This Row],[Target Time (Hours)]]-Table1[[#This Row],[Downtime (Hours)]])</f>
        <v/>
      </c>
      <c r="M190" s="49" t="str">
        <f>IFERROR(Table1[[#This Row],[Capacity (Kg)]]/Table1[[#This Row],[Target Time (Hours)]] * Table1[[#This Row],[Downtime (Hours)]], "")</f>
        <v/>
      </c>
      <c r="N190" s="50" t="str">
        <f>IFERROR(Table1[[#This Row],[Running Time (hr)]]/Table1[Target Time (Hours)], "")</f>
        <v/>
      </c>
      <c r="O190" s="50">
        <f>IFERROR(Table1[[#This Row],[Actual Production (Kg)]]/Table1[Capacity (Kg)], "")</f>
        <v>0.98419999999999996</v>
      </c>
      <c r="P190" s="50">
        <f>IFERROR(Table1[[#This Row],[Quality Pass Production]]/Table1[[#This Row],[Actual Production (Kg)]], "")</f>
        <v>1</v>
      </c>
      <c r="Q190" s="50" t="str">
        <f>IFERROR(Table1[[#This Row],[Utilization %]]*Table1[[#This Row],[Efficiency %]]*Table1[[#This Row],[Quality %]], "")</f>
        <v/>
      </c>
    </row>
    <row r="191" spans="1:18" x14ac:dyDescent="0.25">
      <c r="A191" s="47">
        <v>46125</v>
      </c>
      <c r="B191" s="48" t="s">
        <v>18</v>
      </c>
      <c r="C191" s="48" t="s">
        <v>22</v>
      </c>
      <c r="D191" s="48" t="s">
        <v>25</v>
      </c>
      <c r="E191" s="49">
        <v>4000</v>
      </c>
      <c r="F191" s="76">
        <v>6961</v>
      </c>
      <c r="G191" s="49">
        <v>0</v>
      </c>
      <c r="H191" s="50">
        <f>IFERROR(Table1[Re-process (Kg)]/Table1[Actual Production (Kg)], "")</f>
        <v>0</v>
      </c>
      <c r="I191" s="49">
        <f>IFERROR(Table1[[#This Row],[Actual Production (Kg)]]-Table1[[#This Row],[Re-process (Kg)]], "")</f>
        <v>6961</v>
      </c>
      <c r="J191" s="49">
        <v>22</v>
      </c>
      <c r="K191" s="72">
        <v>0</v>
      </c>
      <c r="L191" s="49">
        <f>IF(Table1[[#This Row],[Target Time (Hours)]]="","",Table1[[#This Row],[Target Time (Hours)]]-Table1[[#This Row],[Downtime (Hours)]])</f>
        <v>22</v>
      </c>
      <c r="M191" s="49">
        <f>IFERROR(Table1[[#This Row],[Capacity (Kg)]]/Table1[[#This Row],[Target Time (Hours)]] * Table1[[#This Row],[Downtime (Hours)]], "")</f>
        <v>0</v>
      </c>
      <c r="N191" s="50">
        <f>IFERROR(Table1[[#This Row],[Running Time (hr)]]/Table1[Target Time (Hours)], "")</f>
        <v>1</v>
      </c>
      <c r="O191" s="50">
        <f>IFERROR(Table1[[#This Row],[Actual Production (Kg)]]/Table1[Capacity (Kg)], "")</f>
        <v>1.7402500000000001</v>
      </c>
      <c r="P191" s="50">
        <f>IFERROR(Table1[[#This Row],[Quality Pass Production]]/Table1[[#This Row],[Actual Production (Kg)]], "")</f>
        <v>1</v>
      </c>
      <c r="Q191" s="50">
        <f>IFERROR(Table1[[#This Row],[Utilization %]]*Table1[[#This Row],[Efficiency %]]*Table1[[#This Row],[Quality %]], "")</f>
        <v>1.7402500000000001</v>
      </c>
    </row>
    <row r="192" spans="1:18" x14ac:dyDescent="0.25">
      <c r="A192" s="47">
        <v>46125</v>
      </c>
      <c r="B192" s="48" t="s">
        <v>18</v>
      </c>
      <c r="C192" s="48" t="s">
        <v>26</v>
      </c>
      <c r="D192" s="48" t="s">
        <v>25</v>
      </c>
      <c r="E192" s="49">
        <v>7000</v>
      </c>
      <c r="F192" s="76"/>
      <c r="G192" s="49">
        <v>0</v>
      </c>
      <c r="H192" s="50" t="str">
        <f>IFERROR(Table1[Re-process (Kg)]/Table1[Actual Production (Kg)], "")</f>
        <v/>
      </c>
      <c r="I192" s="49">
        <f>IFERROR(Table1[[#This Row],[Actual Production (Kg)]]-Table1[[#This Row],[Re-process (Kg)]], "")</f>
        <v>0</v>
      </c>
      <c r="J192" s="49"/>
      <c r="K192" s="72"/>
      <c r="L192" s="49" t="str">
        <f>IF(Table1[[#This Row],[Target Time (Hours)]]="","",Table1[[#This Row],[Target Time (Hours)]]-Table1[[#This Row],[Downtime (Hours)]])</f>
        <v/>
      </c>
      <c r="M192" s="49" t="str">
        <f>IFERROR(Table1[[#This Row],[Capacity (Kg)]]/Table1[[#This Row],[Target Time (Hours)]] * Table1[[#This Row],[Downtime (Hours)]], "")</f>
        <v/>
      </c>
      <c r="N192" s="50" t="str">
        <f>IFERROR(Table1[[#This Row],[Running Time (hr)]]/Table1[Target Time (Hours)], "")</f>
        <v/>
      </c>
      <c r="O192" s="50">
        <f>IFERROR(Table1[[#This Row],[Actual Production (Kg)]]/Table1[Capacity (Kg)], "")</f>
        <v>0</v>
      </c>
      <c r="P192" s="50" t="str">
        <f>IFERROR(Table1[[#This Row],[Quality Pass Production]]/Table1[[#This Row],[Actual Production (Kg)]], "")</f>
        <v/>
      </c>
      <c r="Q192" s="50" t="str">
        <f>IFERROR(Table1[[#This Row],[Utilization %]]*Table1[[#This Row],[Efficiency %]]*Table1[[#This Row],[Quality %]], "")</f>
        <v/>
      </c>
    </row>
    <row r="193" spans="1:18" ht="30" customHeight="1" x14ac:dyDescent="0.25">
      <c r="A193" s="47">
        <v>46125</v>
      </c>
      <c r="B193" s="48" t="s">
        <v>18</v>
      </c>
      <c r="C193" s="48" t="s">
        <v>28</v>
      </c>
      <c r="D193" s="48" t="s">
        <v>29</v>
      </c>
      <c r="E193" s="49">
        <v>7800</v>
      </c>
      <c r="F193" s="76">
        <v>6918</v>
      </c>
      <c r="G193" s="49">
        <v>0</v>
      </c>
      <c r="H193" s="50">
        <f>IFERROR(Table1[Re-process (Kg)]/Table1[Actual Production (Kg)], "")</f>
        <v>0</v>
      </c>
      <c r="I193" s="49">
        <f>IFERROR(Table1[[#This Row],[Actual Production (Kg)]]-Table1[[#This Row],[Re-process (Kg)]], "")</f>
        <v>6918</v>
      </c>
      <c r="J193" s="49">
        <v>22</v>
      </c>
      <c r="K193" s="72">
        <v>0</v>
      </c>
      <c r="L193" s="49">
        <f>IF(Table1[[#This Row],[Target Time (Hours)]]="","",Table1[[#This Row],[Target Time (Hours)]]-Table1[[#This Row],[Downtime (Hours)]])</f>
        <v>22</v>
      </c>
      <c r="M193" s="49">
        <f>IFERROR(Table1[[#This Row],[Capacity (Kg)]]/Table1[[#This Row],[Target Time (Hours)]] * Table1[[#This Row],[Downtime (Hours)]], "")</f>
        <v>0</v>
      </c>
      <c r="N193" s="50">
        <f>IFERROR(Table1[[#This Row],[Running Time (hr)]]/Table1[Target Time (Hours)], "")</f>
        <v>1</v>
      </c>
      <c r="O193" s="50">
        <f>IFERROR(Table1[[#This Row],[Actual Production (Kg)]]/Table1[Capacity (Kg)], "")</f>
        <v>0.88692307692307693</v>
      </c>
      <c r="P193" s="50">
        <f>IFERROR(Table1[[#This Row],[Quality Pass Production]]/Table1[[#This Row],[Actual Production (Kg)]], "")</f>
        <v>1</v>
      </c>
      <c r="Q193" s="50">
        <f>IFERROR(Table1[[#This Row],[Utilization %]]*Table1[[#This Row],[Efficiency %]]*Table1[[#This Row],[Quality %]], "")</f>
        <v>0.88692307692307693</v>
      </c>
    </row>
    <row r="194" spans="1:18" ht="30" customHeight="1" x14ac:dyDescent="0.25">
      <c r="A194" s="47">
        <v>46125</v>
      </c>
      <c r="B194" s="48" t="s">
        <v>18</v>
      </c>
      <c r="C194" s="48" t="s">
        <v>30</v>
      </c>
      <c r="D194" s="48" t="s">
        <v>31</v>
      </c>
      <c r="E194" s="49">
        <v>9000</v>
      </c>
      <c r="F194" s="76">
        <v>0</v>
      </c>
      <c r="G194" s="49">
        <v>0</v>
      </c>
      <c r="H194" s="50" t="str">
        <f>IFERROR(Table1[Re-process (Kg)]/Table1[Actual Production (Kg)], "")</f>
        <v/>
      </c>
      <c r="I194" s="49">
        <f>IFERROR(Table1[[#This Row],[Actual Production (Kg)]]-Table1[[#This Row],[Re-process (Kg)]], "")</f>
        <v>0</v>
      </c>
      <c r="J194" s="49">
        <v>22</v>
      </c>
      <c r="K194" s="72">
        <v>0</v>
      </c>
      <c r="L194" s="49">
        <f>IF(Table1[[#This Row],[Target Time (Hours)]]="","",Table1[[#This Row],[Target Time (Hours)]]-Table1[[#This Row],[Downtime (Hours)]])</f>
        <v>22</v>
      </c>
      <c r="M194" s="49">
        <f>IFERROR(Table1[[#This Row],[Capacity (Kg)]]/Table1[[#This Row],[Target Time (Hours)]] * Table1[[#This Row],[Downtime (Hours)]], "")</f>
        <v>0</v>
      </c>
      <c r="N194" s="50">
        <f>IFERROR(Table1[[#This Row],[Running Time (hr)]]/Table1[Target Time (Hours)], "")</f>
        <v>1</v>
      </c>
      <c r="O194" s="50">
        <f>IFERROR(Table1[[#This Row],[Actual Production (Kg)]]/Table1[Capacity (Kg)], "")</f>
        <v>0</v>
      </c>
      <c r="P194" s="50" t="str">
        <f>IFERROR(Table1[[#This Row],[Quality Pass Production]]/Table1[[#This Row],[Actual Production (Kg)]], "")</f>
        <v/>
      </c>
      <c r="Q194" s="50" t="str">
        <f>IFERROR(Table1[[#This Row],[Utilization %]]*Table1[[#This Row],[Efficiency %]]*Table1[[#This Row],[Quality %]], "")</f>
        <v/>
      </c>
      <c r="R194" s="48" t="s">
        <v>82</v>
      </c>
    </row>
    <row r="195" spans="1:18" ht="30" customHeight="1" x14ac:dyDescent="0.25">
      <c r="A195" s="26">
        <v>46125</v>
      </c>
      <c r="B195" s="27" t="s">
        <v>18</v>
      </c>
      <c r="C195" s="27" t="s">
        <v>32</v>
      </c>
      <c r="D195" s="27" t="s">
        <v>31</v>
      </c>
      <c r="E195" s="79">
        <f>Table1[[#This Row],[Actual Production (Kg)]]</f>
        <v>0</v>
      </c>
      <c r="F195" s="79">
        <v>0</v>
      </c>
      <c r="G195" s="79"/>
      <c r="H195" s="28"/>
      <c r="I195" s="79"/>
      <c r="J195" s="79"/>
      <c r="K195" s="27"/>
      <c r="L195" s="53" t="str">
        <f>IF(Table1[[#This Row],[Target Time (Hours)]]="","",Table1[[#This Row],[Target Time (Hours)]]-Table1[[#This Row],[Downtime (Hours)]])</f>
        <v/>
      </c>
      <c r="M195" s="79"/>
      <c r="N195" s="28"/>
      <c r="O195" s="28"/>
      <c r="P195" s="28"/>
      <c r="Q195" s="28"/>
      <c r="R195" s="27" t="s">
        <v>83</v>
      </c>
    </row>
    <row r="196" spans="1:18" ht="60" customHeight="1" x14ac:dyDescent="0.25">
      <c r="A196" s="47">
        <v>46125</v>
      </c>
      <c r="B196" s="48" t="s">
        <v>33</v>
      </c>
      <c r="C196" s="48" t="s">
        <v>34</v>
      </c>
      <c r="D196" s="48" t="s">
        <v>35</v>
      </c>
      <c r="E196" s="49">
        <v>9000</v>
      </c>
      <c r="F196" s="76">
        <v>6808</v>
      </c>
      <c r="G196" s="49">
        <v>0</v>
      </c>
      <c r="H196" s="50">
        <f>IFERROR(Table1[Re-process (Kg)]/Table1[Actual Production (Kg)], "")</f>
        <v>0</v>
      </c>
      <c r="I196" s="49">
        <f>IFERROR(Table1[[#This Row],[Actual Production (Kg)]]-Table1[[#This Row],[Re-process (Kg)]], "")</f>
        <v>6808</v>
      </c>
      <c r="J196" s="49">
        <v>22</v>
      </c>
      <c r="K196" s="72">
        <v>2</v>
      </c>
      <c r="L196" s="49">
        <f>IF(Table1[[#This Row],[Target Time (Hours)]]="","",Table1[[#This Row],[Target Time (Hours)]]-Table1[[#This Row],[Downtime (Hours)]])</f>
        <v>20</v>
      </c>
      <c r="M196" s="49">
        <f>IFERROR(Table1[[#This Row],[Capacity (Kg)]]/Table1[[#This Row],[Target Time (Hours)]] * Table1[[#This Row],[Downtime (Hours)]], "")</f>
        <v>818.18181818181813</v>
      </c>
      <c r="N196" s="50">
        <f>IFERROR(Table1[[#This Row],[Running Time (hr)]]/Table1[Target Time (Hours)], "")</f>
        <v>0.90909090909090906</v>
      </c>
      <c r="O196" s="50">
        <f>IFERROR(Table1[[#This Row],[Actual Production (Kg)]]/Table1[Capacity (Kg)], "")</f>
        <v>0.75644444444444447</v>
      </c>
      <c r="P196" s="50">
        <f>IFERROR(Table1[[#This Row],[Quality Pass Production]]/Table1[[#This Row],[Actual Production (Kg)]], "")</f>
        <v>1</v>
      </c>
      <c r="Q196" s="50">
        <f>IFERROR(Table1[[#This Row],[Utilization %]]*Table1[[#This Row],[Efficiency %]]*Table1[[#This Row],[Quality %]], "")</f>
        <v>0.68767676767676766</v>
      </c>
      <c r="R196" s="48" t="s">
        <v>81</v>
      </c>
    </row>
    <row r="197" spans="1:18" x14ac:dyDescent="0.25">
      <c r="A197" s="47">
        <v>46125</v>
      </c>
      <c r="B197" s="48" t="s">
        <v>33</v>
      </c>
      <c r="C197" s="48" t="s">
        <v>36</v>
      </c>
      <c r="D197" s="48" t="s">
        <v>37</v>
      </c>
      <c r="E197" s="49">
        <v>8000</v>
      </c>
      <c r="F197" s="76">
        <v>4652</v>
      </c>
      <c r="G197" s="49">
        <v>0</v>
      </c>
      <c r="H197" s="50">
        <f>IFERROR(Table1[Re-process (Kg)]/Table1[Actual Production (Kg)], "")</f>
        <v>0</v>
      </c>
      <c r="I197" s="49">
        <f>IFERROR(Table1[[#This Row],[Actual Production (Kg)]]-Table1[[#This Row],[Re-process (Kg)]], "")</f>
        <v>4652</v>
      </c>
      <c r="J197" s="49">
        <v>22</v>
      </c>
      <c r="K197" s="72">
        <v>0</v>
      </c>
      <c r="L197" s="49">
        <f>IF(Table1[[#This Row],[Target Time (Hours)]]="","",Table1[[#This Row],[Target Time (Hours)]]-Table1[[#This Row],[Downtime (Hours)]])</f>
        <v>22</v>
      </c>
      <c r="M197" s="49">
        <f>IFERROR(Table1[[#This Row],[Capacity (Kg)]]/Table1[[#This Row],[Target Time (Hours)]] * Table1[[#This Row],[Downtime (Hours)]], "")</f>
        <v>0</v>
      </c>
      <c r="N197" s="50">
        <f>IFERROR(Table1[[#This Row],[Running Time (hr)]]/Table1[Target Time (Hours)], "")</f>
        <v>1</v>
      </c>
      <c r="O197" s="50">
        <f>IFERROR(Table1[[#This Row],[Actual Production (Kg)]]/Table1[Capacity (Kg)], "")</f>
        <v>0.58150000000000002</v>
      </c>
      <c r="P197" s="50">
        <f>IFERROR(Table1[[#This Row],[Quality Pass Production]]/Table1[[#This Row],[Actual Production (Kg)]], "")</f>
        <v>1</v>
      </c>
      <c r="Q197" s="50">
        <f>IFERROR(Table1[[#This Row],[Utilization %]]*Table1[[#This Row],[Efficiency %]]*Table1[[#This Row],[Quality %]], "")</f>
        <v>0.58150000000000002</v>
      </c>
      <c r="R197" s="48" t="s">
        <v>64</v>
      </c>
    </row>
    <row r="198" spans="1:18" ht="30" customHeight="1" x14ac:dyDescent="0.25">
      <c r="A198" s="47">
        <v>46125</v>
      </c>
      <c r="B198" s="48" t="s">
        <v>33</v>
      </c>
      <c r="C198" s="48" t="s">
        <v>39</v>
      </c>
      <c r="D198" s="48" t="s">
        <v>31</v>
      </c>
      <c r="E198" s="49">
        <v>6000</v>
      </c>
      <c r="F198" s="76">
        <v>1138</v>
      </c>
      <c r="G198" s="49">
        <v>0</v>
      </c>
      <c r="H198" s="50">
        <f>IFERROR(Table1[Re-process (Kg)]/Table1[Actual Production (Kg)], "")</f>
        <v>0</v>
      </c>
      <c r="I198" s="49">
        <f>IFERROR(Table1[[#This Row],[Actual Production (Kg)]]-Table1[[#This Row],[Re-process (Kg)]], "")</f>
        <v>1138</v>
      </c>
      <c r="J198" s="49">
        <v>22</v>
      </c>
      <c r="K198" s="72">
        <v>0</v>
      </c>
      <c r="L198" s="49">
        <f>IF(Table1[[#This Row],[Target Time (Hours)]]="","",Table1[[#This Row],[Target Time (Hours)]]-Table1[[#This Row],[Downtime (Hours)]])</f>
        <v>22</v>
      </c>
      <c r="M198" s="49">
        <f>IFERROR(Table1[[#This Row],[Capacity (Kg)]]/Table1[[#This Row],[Target Time (Hours)]] * Table1[[#This Row],[Downtime (Hours)]], "")</f>
        <v>0</v>
      </c>
      <c r="N198" s="50">
        <f>IFERROR(Table1[[#This Row],[Running Time (hr)]]/Table1[Target Time (Hours)], "")</f>
        <v>1</v>
      </c>
      <c r="O198" s="50">
        <f>IFERROR(Table1[[#This Row],[Actual Production (Kg)]]/Table1[Capacity (Kg)], "")</f>
        <v>0.18966666666666668</v>
      </c>
      <c r="P198" s="50">
        <f>IFERROR(Table1[[#This Row],[Quality Pass Production]]/Table1[[#This Row],[Actual Production (Kg)]], "")</f>
        <v>1</v>
      </c>
      <c r="Q198" s="50">
        <f>IFERROR(Table1[[#This Row],[Utilization %]]*Table1[[#This Row],[Efficiency %]]*Table1[[#This Row],[Quality %]], "")</f>
        <v>0.18966666666666668</v>
      </c>
      <c r="R198" s="48" t="s">
        <v>64</v>
      </c>
    </row>
    <row r="199" spans="1:18" ht="45" customHeight="1" x14ac:dyDescent="0.25">
      <c r="A199" s="54">
        <v>46125</v>
      </c>
      <c r="B199" s="55" t="s">
        <v>33</v>
      </c>
      <c r="C199" s="55" t="s">
        <v>40</v>
      </c>
      <c r="D199" s="55" t="s">
        <v>31</v>
      </c>
      <c r="E199" s="56">
        <v>5000</v>
      </c>
      <c r="F199" s="56">
        <v>8592</v>
      </c>
      <c r="G199" s="56">
        <v>0</v>
      </c>
      <c r="H199" s="58">
        <f>IFERROR(Table1[Re-process (Kg)]/Table1[Actual Production (Kg)], "")</f>
        <v>0</v>
      </c>
      <c r="I199" s="56">
        <f>IFERROR(Table1[[#This Row],[Actual Production (Kg)]]-Table1[[#This Row],[Re-process (Kg)]], "")</f>
        <v>8592</v>
      </c>
      <c r="J199" s="56">
        <v>22</v>
      </c>
      <c r="K199" s="55">
        <v>0</v>
      </c>
      <c r="L199" s="56">
        <f>IF(Table1[[#This Row],[Target Time (Hours)]]="","",Table1[[#This Row],[Target Time (Hours)]]-Table1[[#This Row],[Downtime (Hours)]])</f>
        <v>22</v>
      </c>
      <c r="M199" s="56">
        <f>IFERROR(Table1[[#This Row],[Capacity (Kg)]]/Table1[[#This Row],[Target Time (Hours)]] * Table1[[#This Row],[Downtime (Hours)]], "")</f>
        <v>0</v>
      </c>
      <c r="N199" s="58">
        <f>IFERROR(Table1[[#This Row],[Running Time (hr)]]/Table1[Target Time (Hours)], "")</f>
        <v>1</v>
      </c>
      <c r="O199" s="58">
        <f>IFERROR(Table1[[#This Row],[Actual Production (Kg)]]/Table1[Capacity (Kg)], "")</f>
        <v>1.7183999999999999</v>
      </c>
      <c r="P199" s="58">
        <f>IFERROR(Table1[[#This Row],[Quality Pass Production]]/Table1[[#This Row],[Actual Production (Kg)]], "")</f>
        <v>1</v>
      </c>
      <c r="Q199" s="58">
        <f>IFERROR(Table1[[#This Row],[Utilization %]]*Table1[[#This Row],[Efficiency %]]*Table1[[#This Row],[Quality %]], "")</f>
        <v>1.7183999999999999</v>
      </c>
      <c r="R199" s="55"/>
    </row>
    <row r="200" spans="1:18" ht="30" customHeight="1" x14ac:dyDescent="0.25">
      <c r="A200" s="47">
        <v>46127</v>
      </c>
      <c r="B200" s="48" t="s">
        <v>18</v>
      </c>
      <c r="C200" s="48" t="s">
        <v>19</v>
      </c>
      <c r="D200" s="48" t="s">
        <v>20</v>
      </c>
      <c r="E200" s="49">
        <v>10000</v>
      </c>
      <c r="F200" s="76">
        <v>6534</v>
      </c>
      <c r="G200" s="49">
        <v>0</v>
      </c>
      <c r="H200" s="50">
        <f>IFERROR(Table1[Re-process (Kg)]/Table1[Actual Production (Kg)], "")</f>
        <v>0</v>
      </c>
      <c r="I200" s="49">
        <f>IFERROR(Table1[[#This Row],[Actual Production (Kg)]]-Table1[[#This Row],[Re-process (Kg)]], "")</f>
        <v>6534</v>
      </c>
      <c r="J200" s="49">
        <v>22</v>
      </c>
      <c r="K200" s="72">
        <v>0</v>
      </c>
      <c r="L200" s="49">
        <f>IF(Table1[[#This Row],[Target Time (Hours)]]="","",Table1[[#This Row],[Target Time (Hours)]]-Table1[[#This Row],[Downtime (Hours)]])</f>
        <v>22</v>
      </c>
      <c r="M200" s="49">
        <f>IFERROR(Table1[[#This Row],[Capacity (Kg)]]/Table1[[#This Row],[Target Time (Hours)]] * Table1[[#This Row],[Downtime (Hours)]], "")</f>
        <v>0</v>
      </c>
      <c r="N200" s="50">
        <f>IFERROR(Table1[[#This Row],[Running Time (hr)]]/Table1[Target Time (Hours)], "")</f>
        <v>1</v>
      </c>
      <c r="O200" s="50">
        <f>IFERROR(Table1[[#This Row],[Actual Production (Kg)]]/Table1[Capacity (Kg)], "")</f>
        <v>0.65339999999999998</v>
      </c>
      <c r="P200" s="50">
        <f>IFERROR(Table1[[#This Row],[Quality Pass Production]]/Table1[[#This Row],[Actual Production (Kg)]], "")</f>
        <v>1</v>
      </c>
      <c r="Q200" s="50">
        <f>IFERROR(Table1[[#This Row],[Utilization %]]*Table1[[#This Row],[Efficiency %]]*Table1[[#This Row],[Quality %]], "")</f>
        <v>0.65339999999999998</v>
      </c>
    </row>
    <row r="201" spans="1:18" x14ac:dyDescent="0.25">
      <c r="A201" s="47">
        <v>46127</v>
      </c>
      <c r="B201" s="48" t="s">
        <v>18</v>
      </c>
      <c r="C201" s="48" t="s">
        <v>22</v>
      </c>
      <c r="D201" s="48" t="s">
        <v>23</v>
      </c>
      <c r="E201" s="49">
        <v>5000</v>
      </c>
      <c r="F201" s="76">
        <v>1087</v>
      </c>
      <c r="G201" s="49">
        <v>0</v>
      </c>
      <c r="H201" s="50">
        <f>IFERROR(Table1[Re-process (Kg)]/Table1[Actual Production (Kg)], "")</f>
        <v>0</v>
      </c>
      <c r="I201" s="49">
        <f>IFERROR(Table1[[#This Row],[Actual Production (Kg)]]-Table1[[#This Row],[Re-process (Kg)]], "")</f>
        <v>1087</v>
      </c>
      <c r="J201" s="49"/>
      <c r="K201" s="72"/>
      <c r="L201" s="49" t="str">
        <f>IF(Table1[[#This Row],[Target Time (Hours)]]="","",Table1[[#This Row],[Target Time (Hours)]]-Table1[[#This Row],[Downtime (Hours)]])</f>
        <v/>
      </c>
      <c r="M201" s="49" t="str">
        <f>IFERROR(Table1[[#This Row],[Capacity (Kg)]]/Table1[[#This Row],[Target Time (Hours)]] * Table1[[#This Row],[Downtime (Hours)]], "")</f>
        <v/>
      </c>
      <c r="N201" s="50" t="str">
        <f>IFERROR(Table1[[#This Row],[Running Time (hr)]]/Table1[Target Time (Hours)], "")</f>
        <v/>
      </c>
      <c r="O201" s="50">
        <f>IFERROR(Table1[[#This Row],[Actual Production (Kg)]]/Table1[Capacity (Kg)], "")</f>
        <v>0.21740000000000001</v>
      </c>
      <c r="P201" s="50">
        <f>IFERROR(Table1[[#This Row],[Quality Pass Production]]/Table1[[#This Row],[Actual Production (Kg)]], "")</f>
        <v>1</v>
      </c>
      <c r="Q201" s="50" t="str">
        <f>IFERROR(Table1[[#This Row],[Utilization %]]*Table1[[#This Row],[Efficiency %]]*Table1[[#This Row],[Quality %]], "")</f>
        <v/>
      </c>
    </row>
    <row r="202" spans="1:18" x14ac:dyDescent="0.25">
      <c r="A202" s="47">
        <v>46127</v>
      </c>
      <c r="B202" s="48" t="s">
        <v>18</v>
      </c>
      <c r="C202" s="48" t="s">
        <v>22</v>
      </c>
      <c r="D202" s="48" t="s">
        <v>25</v>
      </c>
      <c r="E202" s="49">
        <v>4000</v>
      </c>
      <c r="F202" s="76">
        <v>6989</v>
      </c>
      <c r="G202" s="49">
        <v>0</v>
      </c>
      <c r="H202" s="50">
        <f>IFERROR(Table1[Re-process (Kg)]/Table1[Actual Production (Kg)], "")</f>
        <v>0</v>
      </c>
      <c r="I202" s="49">
        <f>IFERROR(Table1[[#This Row],[Actual Production (Kg)]]-Table1[[#This Row],[Re-process (Kg)]], "")</f>
        <v>6989</v>
      </c>
      <c r="J202" s="49">
        <v>22</v>
      </c>
      <c r="K202" s="72">
        <v>0</v>
      </c>
      <c r="L202" s="49">
        <f>IF(Table1[[#This Row],[Target Time (Hours)]]="","",Table1[[#This Row],[Target Time (Hours)]]-Table1[[#This Row],[Downtime (Hours)]])</f>
        <v>22</v>
      </c>
      <c r="M202" s="49">
        <f>IFERROR(Table1[[#This Row],[Capacity (Kg)]]/Table1[[#This Row],[Target Time (Hours)]] * Table1[[#This Row],[Downtime (Hours)]], "")</f>
        <v>0</v>
      </c>
      <c r="N202" s="50">
        <f>IFERROR(Table1[[#This Row],[Running Time (hr)]]/Table1[Target Time (Hours)], "")</f>
        <v>1</v>
      </c>
      <c r="O202" s="50">
        <f>IFERROR(Table1[[#This Row],[Actual Production (Kg)]]/Table1[Capacity (Kg)], "")</f>
        <v>1.74725</v>
      </c>
      <c r="P202" s="50">
        <f>IFERROR(Table1[[#This Row],[Quality Pass Production]]/Table1[[#This Row],[Actual Production (Kg)]], "")</f>
        <v>1</v>
      </c>
      <c r="Q202" s="50">
        <f>IFERROR(Table1[[#This Row],[Utilization %]]*Table1[[#This Row],[Efficiency %]]*Table1[[#This Row],[Quality %]], "")</f>
        <v>1.74725</v>
      </c>
    </row>
    <row r="203" spans="1:18" x14ac:dyDescent="0.25">
      <c r="A203" s="47">
        <v>46127</v>
      </c>
      <c r="B203" s="48" t="s">
        <v>18</v>
      </c>
      <c r="C203" s="48" t="s">
        <v>26</v>
      </c>
      <c r="D203" s="48" t="s">
        <v>25</v>
      </c>
      <c r="E203" s="49">
        <v>7000</v>
      </c>
      <c r="F203" s="76"/>
      <c r="G203" s="49">
        <v>0</v>
      </c>
      <c r="H203" s="50" t="str">
        <f>IFERROR(Table1[Re-process (Kg)]/Table1[Actual Production (Kg)], "")</f>
        <v/>
      </c>
      <c r="I203" s="49">
        <f>IFERROR(Table1[[#This Row],[Actual Production (Kg)]]-Table1[[#This Row],[Re-process (Kg)]], "")</f>
        <v>0</v>
      </c>
      <c r="J203" s="49"/>
      <c r="K203" s="72"/>
      <c r="L203" s="49" t="str">
        <f>IF(Table1[[#This Row],[Target Time (Hours)]]="","",Table1[[#This Row],[Target Time (Hours)]]-Table1[[#This Row],[Downtime (Hours)]])</f>
        <v/>
      </c>
      <c r="M203" s="49" t="str">
        <f>IFERROR(Table1[[#This Row],[Capacity (Kg)]]/Table1[[#This Row],[Target Time (Hours)]] * Table1[[#This Row],[Downtime (Hours)]], "")</f>
        <v/>
      </c>
      <c r="N203" s="50" t="str">
        <f>IFERROR(Table1[[#This Row],[Running Time (hr)]]/Table1[Target Time (Hours)], "")</f>
        <v/>
      </c>
      <c r="O203" s="50">
        <f>IFERROR(Table1[[#This Row],[Actual Production (Kg)]]/Table1[Capacity (Kg)], "")</f>
        <v>0</v>
      </c>
      <c r="P203" s="50" t="str">
        <f>IFERROR(Table1[[#This Row],[Quality Pass Production]]/Table1[[#This Row],[Actual Production (Kg)]], "")</f>
        <v/>
      </c>
      <c r="Q203" s="50" t="str">
        <f>IFERROR(Table1[[#This Row],[Utilization %]]*Table1[[#This Row],[Efficiency %]]*Table1[[#This Row],[Quality %]], "")</f>
        <v/>
      </c>
    </row>
    <row r="204" spans="1:18" ht="30" customHeight="1" x14ac:dyDescent="0.25">
      <c r="A204" s="47">
        <v>46127</v>
      </c>
      <c r="B204" s="48" t="s">
        <v>18</v>
      </c>
      <c r="C204" s="48" t="s">
        <v>28</v>
      </c>
      <c r="D204" s="48" t="s">
        <v>29</v>
      </c>
      <c r="E204" s="49">
        <v>7800</v>
      </c>
      <c r="F204" s="76">
        <v>6703</v>
      </c>
      <c r="G204" s="49">
        <v>0</v>
      </c>
      <c r="H204" s="50">
        <f>IFERROR(Table1[Re-process (Kg)]/Table1[Actual Production (Kg)], "")</f>
        <v>0</v>
      </c>
      <c r="I204" s="49">
        <f>IFERROR(Table1[[#This Row],[Actual Production (Kg)]]-Table1[[#This Row],[Re-process (Kg)]], "")</f>
        <v>6703</v>
      </c>
      <c r="J204" s="49">
        <v>22</v>
      </c>
      <c r="K204" s="72">
        <v>0</v>
      </c>
      <c r="L204" s="49">
        <f>IF(Table1[[#This Row],[Target Time (Hours)]]="","",Table1[[#This Row],[Target Time (Hours)]]-Table1[[#This Row],[Downtime (Hours)]])</f>
        <v>22</v>
      </c>
      <c r="M204" s="49">
        <f>IFERROR(Table1[[#This Row],[Capacity (Kg)]]/Table1[[#This Row],[Target Time (Hours)]] * Table1[[#This Row],[Downtime (Hours)]], "")</f>
        <v>0</v>
      </c>
      <c r="N204" s="50">
        <f>IFERROR(Table1[[#This Row],[Running Time (hr)]]/Table1[Target Time (Hours)], "")</f>
        <v>1</v>
      </c>
      <c r="O204" s="50">
        <f>IFERROR(Table1[[#This Row],[Actual Production (Kg)]]/Table1[Capacity (Kg)], "")</f>
        <v>0.85935897435897435</v>
      </c>
      <c r="P204" s="50">
        <f>IFERROR(Table1[[#This Row],[Quality Pass Production]]/Table1[[#This Row],[Actual Production (Kg)]], "")</f>
        <v>1</v>
      </c>
      <c r="Q204" s="50">
        <f>IFERROR(Table1[[#This Row],[Utilization %]]*Table1[[#This Row],[Efficiency %]]*Table1[[#This Row],[Quality %]], "")</f>
        <v>0.85935897435897435</v>
      </c>
    </row>
    <row r="205" spans="1:18" ht="30" customHeight="1" x14ac:dyDescent="0.25">
      <c r="A205" s="47">
        <v>46127</v>
      </c>
      <c r="B205" s="48" t="s">
        <v>18</v>
      </c>
      <c r="C205" s="48" t="s">
        <v>30</v>
      </c>
      <c r="D205" s="48" t="s">
        <v>31</v>
      </c>
      <c r="E205" s="49">
        <v>9000</v>
      </c>
      <c r="F205" s="76">
        <v>0</v>
      </c>
      <c r="G205" s="49">
        <v>0</v>
      </c>
      <c r="H205" s="50" t="str">
        <f>IFERROR(Table1[Re-process (Kg)]/Table1[Actual Production (Kg)], "")</f>
        <v/>
      </c>
      <c r="I205" s="49">
        <f>IFERROR(Table1[[#This Row],[Actual Production (Kg)]]-Table1[[#This Row],[Re-process (Kg)]], "")</f>
        <v>0</v>
      </c>
      <c r="J205" s="49">
        <v>22</v>
      </c>
      <c r="K205" s="72">
        <v>0</v>
      </c>
      <c r="L205" s="49">
        <f>IF(Table1[[#This Row],[Target Time (Hours)]]="","",Table1[[#This Row],[Target Time (Hours)]]-Table1[[#This Row],[Downtime (Hours)]])</f>
        <v>22</v>
      </c>
      <c r="M205" s="49">
        <f>IFERROR(Table1[[#This Row],[Capacity (Kg)]]/Table1[[#This Row],[Target Time (Hours)]] * Table1[[#This Row],[Downtime (Hours)]], "")</f>
        <v>0</v>
      </c>
      <c r="N205" s="50">
        <f>IFERROR(Table1[[#This Row],[Running Time (hr)]]/Table1[Target Time (Hours)], "")</f>
        <v>1</v>
      </c>
      <c r="O205" s="50">
        <f>IFERROR(Table1[[#This Row],[Actual Production (Kg)]]/Table1[Capacity (Kg)], "")</f>
        <v>0</v>
      </c>
      <c r="P205" s="50" t="str">
        <f>IFERROR(Table1[[#This Row],[Quality Pass Production]]/Table1[[#This Row],[Actual Production (Kg)]], "")</f>
        <v/>
      </c>
      <c r="Q205" s="50" t="str">
        <f>IFERROR(Table1[[#This Row],[Utilization %]]*Table1[[#This Row],[Efficiency %]]*Table1[[#This Row],[Quality %]], "")</f>
        <v/>
      </c>
    </row>
    <row r="206" spans="1:18" ht="30" customHeight="1" x14ac:dyDescent="0.25">
      <c r="A206" s="26">
        <v>46127</v>
      </c>
      <c r="B206" s="27" t="s">
        <v>18</v>
      </c>
      <c r="C206" s="27" t="s">
        <v>32</v>
      </c>
      <c r="D206" s="27" t="s">
        <v>31</v>
      </c>
      <c r="E206" s="79">
        <f>Table1[[#This Row],[Actual Production (Kg)]]</f>
        <v>0</v>
      </c>
      <c r="F206" s="79">
        <v>0</v>
      </c>
      <c r="G206" s="79"/>
      <c r="H206" s="28"/>
      <c r="I206" s="79"/>
      <c r="J206" s="79"/>
      <c r="K206" s="27"/>
      <c r="L206" s="53" t="str">
        <f>IF(Table1[[#This Row],[Target Time (Hours)]]="","",Table1[[#This Row],[Target Time (Hours)]]-Table1[[#This Row],[Downtime (Hours)]])</f>
        <v/>
      </c>
      <c r="M206" s="79"/>
      <c r="N206" s="28"/>
      <c r="O206" s="28"/>
      <c r="P206" s="28"/>
      <c r="Q206" s="28"/>
      <c r="R206" s="27"/>
    </row>
    <row r="207" spans="1:18" ht="30" customHeight="1" x14ac:dyDescent="0.25">
      <c r="A207" s="47">
        <v>46127</v>
      </c>
      <c r="B207" s="48" t="s">
        <v>33</v>
      </c>
      <c r="C207" s="48" t="s">
        <v>34</v>
      </c>
      <c r="D207" s="48" t="s">
        <v>35</v>
      </c>
      <c r="E207" s="49">
        <v>9000</v>
      </c>
      <c r="F207" s="76">
        <v>7086</v>
      </c>
      <c r="G207" s="49">
        <v>0</v>
      </c>
      <c r="H207" s="50">
        <f>IFERROR(Table1[Re-process (Kg)]/Table1[Actual Production (Kg)], "")</f>
        <v>0</v>
      </c>
      <c r="I207" s="49">
        <f>IFERROR(Table1[[#This Row],[Actual Production (Kg)]]-Table1[[#This Row],[Re-process (Kg)]], "")</f>
        <v>7086</v>
      </c>
      <c r="J207" s="49">
        <v>22</v>
      </c>
      <c r="K207" s="72">
        <v>2</v>
      </c>
      <c r="L207" s="49">
        <f>IF(Table1[[#This Row],[Target Time (Hours)]]="","",Table1[[#This Row],[Target Time (Hours)]]-Table1[[#This Row],[Downtime (Hours)]])</f>
        <v>20</v>
      </c>
      <c r="M207" s="49">
        <f>IFERROR(Table1[[#This Row],[Capacity (Kg)]]/Table1[[#This Row],[Target Time (Hours)]] * Table1[[#This Row],[Downtime (Hours)]], "")</f>
        <v>818.18181818181813</v>
      </c>
      <c r="N207" s="50">
        <f>IFERROR(Table1[[#This Row],[Running Time (hr)]]/Table1[Target Time (Hours)], "")</f>
        <v>0.90909090909090906</v>
      </c>
      <c r="O207" s="50">
        <f>IFERROR(Table1[[#This Row],[Actual Production (Kg)]]/Table1[Capacity (Kg)], "")</f>
        <v>0.78733333333333333</v>
      </c>
      <c r="P207" s="50">
        <f>IFERROR(Table1[[#This Row],[Quality Pass Production]]/Table1[[#This Row],[Actual Production (Kg)]], "")</f>
        <v>1</v>
      </c>
      <c r="Q207" s="50">
        <f>IFERROR(Table1[[#This Row],[Utilization %]]*Table1[[#This Row],[Efficiency %]]*Table1[[#This Row],[Quality %]], "")</f>
        <v>0.7157575757575757</v>
      </c>
    </row>
    <row r="208" spans="1:18" x14ac:dyDescent="0.25">
      <c r="A208" s="47">
        <v>46127</v>
      </c>
      <c r="B208" s="48" t="s">
        <v>33</v>
      </c>
      <c r="C208" s="48" t="s">
        <v>36</v>
      </c>
      <c r="D208" s="48" t="s">
        <v>37</v>
      </c>
      <c r="E208" s="49">
        <v>8000</v>
      </c>
      <c r="F208" s="76">
        <v>4284</v>
      </c>
      <c r="G208" s="49">
        <v>0</v>
      </c>
      <c r="H208" s="50">
        <f>IFERROR(Table1[Re-process (Kg)]/Table1[Actual Production (Kg)], "")</f>
        <v>0</v>
      </c>
      <c r="I208" s="49">
        <f>IFERROR(Table1[[#This Row],[Actual Production (Kg)]]-Table1[[#This Row],[Re-process (Kg)]], "")</f>
        <v>4284</v>
      </c>
      <c r="J208" s="49">
        <v>22</v>
      </c>
      <c r="K208" s="72">
        <v>0</v>
      </c>
      <c r="L208" s="49">
        <f>IF(Table1[[#This Row],[Target Time (Hours)]]="","",Table1[[#This Row],[Target Time (Hours)]]-Table1[[#This Row],[Downtime (Hours)]])</f>
        <v>22</v>
      </c>
      <c r="M208" s="49">
        <f>IFERROR(Table1[[#This Row],[Capacity (Kg)]]/Table1[[#This Row],[Target Time (Hours)]] * Table1[[#This Row],[Downtime (Hours)]], "")</f>
        <v>0</v>
      </c>
      <c r="N208" s="50">
        <f>IFERROR(Table1[[#This Row],[Running Time (hr)]]/Table1[Target Time (Hours)], "")</f>
        <v>1</v>
      </c>
      <c r="O208" s="50">
        <f>IFERROR(Table1[[#This Row],[Actual Production (Kg)]]/Table1[Capacity (Kg)], "")</f>
        <v>0.53549999999999998</v>
      </c>
      <c r="P208" s="50">
        <f>IFERROR(Table1[[#This Row],[Quality Pass Production]]/Table1[[#This Row],[Actual Production (Kg)]], "")</f>
        <v>1</v>
      </c>
      <c r="Q208" s="50">
        <f>IFERROR(Table1[[#This Row],[Utilization %]]*Table1[[#This Row],[Efficiency %]]*Table1[[#This Row],[Quality %]], "")</f>
        <v>0.53549999999999998</v>
      </c>
    </row>
    <row r="209" spans="1:18" ht="30" customHeight="1" x14ac:dyDescent="0.25">
      <c r="A209" s="47">
        <v>46127</v>
      </c>
      <c r="B209" s="48" t="s">
        <v>33</v>
      </c>
      <c r="C209" s="48" t="s">
        <v>39</v>
      </c>
      <c r="D209" s="48" t="s">
        <v>31</v>
      </c>
      <c r="E209" s="49">
        <v>6000</v>
      </c>
      <c r="F209" s="76">
        <v>2218</v>
      </c>
      <c r="G209" s="49">
        <v>0</v>
      </c>
      <c r="H209" s="50">
        <f>IFERROR(Table1[Re-process (Kg)]/Table1[Actual Production (Kg)], "")</f>
        <v>0</v>
      </c>
      <c r="I209" s="49">
        <f>IFERROR(Table1[[#This Row],[Actual Production (Kg)]]-Table1[[#This Row],[Re-process (Kg)]], "")</f>
        <v>2218</v>
      </c>
      <c r="J209" s="49">
        <v>22</v>
      </c>
      <c r="K209" s="72">
        <v>0</v>
      </c>
      <c r="L209" s="49">
        <f>IF(Table1[[#This Row],[Target Time (Hours)]]="","",Table1[[#This Row],[Target Time (Hours)]]-Table1[[#This Row],[Downtime (Hours)]])</f>
        <v>22</v>
      </c>
      <c r="M209" s="49">
        <f>IFERROR(Table1[[#This Row],[Capacity (Kg)]]/Table1[[#This Row],[Target Time (Hours)]] * Table1[[#This Row],[Downtime (Hours)]], "")</f>
        <v>0</v>
      </c>
      <c r="N209" s="50">
        <f>IFERROR(Table1[[#This Row],[Running Time (hr)]]/Table1[Target Time (Hours)], "")</f>
        <v>1</v>
      </c>
      <c r="O209" s="50">
        <f>IFERROR(Table1[[#This Row],[Actual Production (Kg)]]/Table1[Capacity (Kg)], "")</f>
        <v>0.36966666666666664</v>
      </c>
      <c r="P209" s="50">
        <f>IFERROR(Table1[[#This Row],[Quality Pass Production]]/Table1[[#This Row],[Actual Production (Kg)]], "")</f>
        <v>1</v>
      </c>
      <c r="Q209" s="50">
        <f>IFERROR(Table1[[#This Row],[Utilization %]]*Table1[[#This Row],[Efficiency %]]*Table1[[#This Row],[Quality %]], "")</f>
        <v>0.36966666666666664</v>
      </c>
      <c r="R209" s="48" t="s">
        <v>64</v>
      </c>
    </row>
    <row r="210" spans="1:18" ht="45" customHeight="1" x14ac:dyDescent="0.25">
      <c r="A210" s="54">
        <v>46127</v>
      </c>
      <c r="B210" s="55" t="s">
        <v>33</v>
      </c>
      <c r="C210" s="55" t="s">
        <v>40</v>
      </c>
      <c r="D210" s="55" t="s">
        <v>31</v>
      </c>
      <c r="E210" s="56">
        <v>5000</v>
      </c>
      <c r="F210" s="56">
        <v>9079</v>
      </c>
      <c r="G210" s="56">
        <v>0</v>
      </c>
      <c r="H210" s="58">
        <f>IFERROR(Table1[Re-process (Kg)]/Table1[Actual Production (Kg)], "")</f>
        <v>0</v>
      </c>
      <c r="I210" s="56">
        <f>IFERROR(Table1[[#This Row],[Actual Production (Kg)]]-Table1[[#This Row],[Re-process (Kg)]], "")</f>
        <v>9079</v>
      </c>
      <c r="J210" s="56">
        <v>22</v>
      </c>
      <c r="K210" s="55">
        <v>0</v>
      </c>
      <c r="L210" s="56">
        <f>IF(Table1[[#This Row],[Target Time (Hours)]]="","",Table1[[#This Row],[Target Time (Hours)]]-Table1[[#This Row],[Downtime (Hours)]])</f>
        <v>22</v>
      </c>
      <c r="M210" s="56">
        <f>IFERROR(Table1[[#This Row],[Capacity (Kg)]]/Table1[[#This Row],[Target Time (Hours)]] * Table1[[#This Row],[Downtime (Hours)]], "")</f>
        <v>0</v>
      </c>
      <c r="N210" s="58">
        <f>IFERROR(Table1[[#This Row],[Running Time (hr)]]/Table1[Target Time (Hours)], "")</f>
        <v>1</v>
      </c>
      <c r="O210" s="58">
        <f>IFERROR(Table1[[#This Row],[Actual Production (Kg)]]/Table1[Capacity (Kg)], "")</f>
        <v>1.8158000000000001</v>
      </c>
      <c r="P210" s="58">
        <f>IFERROR(Table1[[#This Row],[Quality Pass Production]]/Table1[[#This Row],[Actual Production (Kg)]], "")</f>
        <v>1</v>
      </c>
      <c r="Q210" s="58">
        <f>IFERROR(Table1[[#This Row],[Utilization %]]*Table1[[#This Row],[Efficiency %]]*Table1[[#This Row],[Quality %]], "")</f>
        <v>1.8158000000000001</v>
      </c>
      <c r="R210" s="55"/>
    </row>
    <row r="211" spans="1:18" ht="30" customHeight="1" x14ac:dyDescent="0.25">
      <c r="A211" s="47">
        <v>46128</v>
      </c>
      <c r="B211" s="48" t="s">
        <v>18</v>
      </c>
      <c r="C211" s="48" t="s">
        <v>19</v>
      </c>
      <c r="D211" s="48" t="s">
        <v>20</v>
      </c>
      <c r="E211" s="49">
        <v>10000</v>
      </c>
      <c r="F211" s="76">
        <v>4283</v>
      </c>
      <c r="G211" s="49">
        <v>0</v>
      </c>
      <c r="H211" s="50">
        <f>IFERROR(Table1[Re-process (Kg)]/Table1[Actual Production (Kg)], "")</f>
        <v>0</v>
      </c>
      <c r="I211" s="49">
        <f>IFERROR(Table1[[#This Row],[Actual Production (Kg)]]-Table1[[#This Row],[Re-process (Kg)]], "")</f>
        <v>4283</v>
      </c>
      <c r="J211" s="49">
        <v>22</v>
      </c>
      <c r="K211" s="72">
        <v>0</v>
      </c>
      <c r="L211" s="49">
        <f>IF(Table1[[#This Row],[Target Time (Hours)]]="","",Table1[[#This Row],[Target Time (Hours)]]-Table1[[#This Row],[Downtime (Hours)]])</f>
        <v>22</v>
      </c>
      <c r="M211" s="49">
        <f>IFERROR(Table1[[#This Row],[Capacity (Kg)]]/Table1[[#This Row],[Target Time (Hours)]] * Table1[[#This Row],[Downtime (Hours)]], "")</f>
        <v>0</v>
      </c>
      <c r="N211" s="50">
        <f>IFERROR(Table1[[#This Row],[Running Time (hr)]]/Table1[Target Time (Hours)], "")</f>
        <v>1</v>
      </c>
      <c r="O211" s="50">
        <f>IFERROR(Table1[[#This Row],[Actual Production (Kg)]]/Table1[Capacity (Kg)], "")</f>
        <v>0.42830000000000001</v>
      </c>
      <c r="P211" s="50">
        <f>IFERROR(Table1[[#This Row],[Quality Pass Production]]/Table1[[#This Row],[Actual Production (Kg)]], "")</f>
        <v>1</v>
      </c>
      <c r="Q211" s="50">
        <f>IFERROR(Table1[[#This Row],[Utilization %]]*Table1[[#This Row],[Efficiency %]]*Table1[[#This Row],[Quality %]], "")</f>
        <v>0.42830000000000001</v>
      </c>
    </row>
    <row r="212" spans="1:18" x14ac:dyDescent="0.25">
      <c r="A212" s="47">
        <v>46128</v>
      </c>
      <c r="B212" s="48" t="s">
        <v>18</v>
      </c>
      <c r="C212" s="48" t="s">
        <v>22</v>
      </c>
      <c r="D212" s="48" t="s">
        <v>23</v>
      </c>
      <c r="E212" s="49">
        <v>5000</v>
      </c>
      <c r="F212" s="76">
        <v>4730</v>
      </c>
      <c r="G212" s="49">
        <v>0</v>
      </c>
      <c r="H212" s="50">
        <f>IFERROR(Table1[Re-process (Kg)]/Table1[Actual Production (Kg)], "")</f>
        <v>0</v>
      </c>
      <c r="I212" s="49">
        <f>IFERROR(Table1[[#This Row],[Actual Production (Kg)]]-Table1[[#This Row],[Re-process (Kg)]], "")</f>
        <v>4730</v>
      </c>
      <c r="J212" s="49"/>
      <c r="K212" s="72"/>
      <c r="L212" s="49" t="str">
        <f>IF(Table1[[#This Row],[Target Time (Hours)]]="","",Table1[[#This Row],[Target Time (Hours)]]-Table1[[#This Row],[Downtime (Hours)]])</f>
        <v/>
      </c>
      <c r="M212" s="49" t="str">
        <f>IFERROR(Table1[[#This Row],[Capacity (Kg)]]/Table1[[#This Row],[Target Time (Hours)]] * Table1[[#This Row],[Downtime (Hours)]], "")</f>
        <v/>
      </c>
      <c r="N212" s="50" t="str">
        <f>IFERROR(Table1[[#This Row],[Running Time (hr)]]/Table1[Target Time (Hours)], "")</f>
        <v/>
      </c>
      <c r="O212" s="50">
        <f>IFERROR(Table1[[#This Row],[Actual Production (Kg)]]/Table1[Capacity (Kg)], "")</f>
        <v>0.94599999999999995</v>
      </c>
      <c r="P212" s="50">
        <f>IFERROR(Table1[[#This Row],[Quality Pass Production]]/Table1[[#This Row],[Actual Production (Kg)]], "")</f>
        <v>1</v>
      </c>
      <c r="Q212" s="50" t="str">
        <f>IFERROR(Table1[[#This Row],[Utilization %]]*Table1[[#This Row],[Efficiency %]]*Table1[[#This Row],[Quality %]], "")</f>
        <v/>
      </c>
    </row>
    <row r="213" spans="1:18" x14ac:dyDescent="0.25">
      <c r="A213" s="47">
        <v>46128</v>
      </c>
      <c r="B213" s="48" t="s">
        <v>18</v>
      </c>
      <c r="C213" s="48" t="s">
        <v>22</v>
      </c>
      <c r="D213" s="48" t="s">
        <v>25</v>
      </c>
      <c r="E213" s="49">
        <v>4000</v>
      </c>
      <c r="F213" s="76">
        <v>7441</v>
      </c>
      <c r="G213" s="49">
        <v>0</v>
      </c>
      <c r="H213" s="50">
        <f>IFERROR(Table1[Re-process (Kg)]/Table1[Actual Production (Kg)], "")</f>
        <v>0</v>
      </c>
      <c r="I213" s="49">
        <f>IFERROR(Table1[[#This Row],[Actual Production (Kg)]]-Table1[[#This Row],[Re-process (Kg)]], "")</f>
        <v>7441</v>
      </c>
      <c r="J213" s="49">
        <v>22</v>
      </c>
      <c r="K213" s="72">
        <v>0</v>
      </c>
      <c r="L213" s="49">
        <f>IF(Table1[[#This Row],[Target Time (Hours)]]="","",Table1[[#This Row],[Target Time (Hours)]]-Table1[[#This Row],[Downtime (Hours)]])</f>
        <v>22</v>
      </c>
      <c r="M213" s="49">
        <f>IFERROR(Table1[[#This Row],[Capacity (Kg)]]/Table1[[#This Row],[Target Time (Hours)]] * Table1[[#This Row],[Downtime (Hours)]], "")</f>
        <v>0</v>
      </c>
      <c r="N213" s="50">
        <f>IFERROR(Table1[[#This Row],[Running Time (hr)]]/Table1[Target Time (Hours)], "")</f>
        <v>1</v>
      </c>
      <c r="O213" s="50">
        <f>IFERROR(Table1[[#This Row],[Actual Production (Kg)]]/Table1[Capacity (Kg)], "")</f>
        <v>1.86025</v>
      </c>
      <c r="P213" s="50">
        <f>IFERROR(Table1[[#This Row],[Quality Pass Production]]/Table1[[#This Row],[Actual Production (Kg)]], "")</f>
        <v>1</v>
      </c>
      <c r="Q213" s="50">
        <f>IFERROR(Table1[[#This Row],[Utilization %]]*Table1[[#This Row],[Efficiency %]]*Table1[[#This Row],[Quality %]], "")</f>
        <v>1.86025</v>
      </c>
    </row>
    <row r="214" spans="1:18" x14ac:dyDescent="0.25">
      <c r="A214" s="47">
        <v>46128</v>
      </c>
      <c r="B214" s="48" t="s">
        <v>18</v>
      </c>
      <c r="C214" s="48" t="s">
        <v>26</v>
      </c>
      <c r="D214" s="48" t="s">
        <v>25</v>
      </c>
      <c r="E214" s="49">
        <v>7000</v>
      </c>
      <c r="F214" s="76"/>
      <c r="G214" s="49">
        <v>0</v>
      </c>
      <c r="H214" s="50" t="str">
        <f>IFERROR(Table1[Re-process (Kg)]/Table1[Actual Production (Kg)], "")</f>
        <v/>
      </c>
      <c r="I214" s="49">
        <f>IFERROR(Table1[[#This Row],[Actual Production (Kg)]]-Table1[[#This Row],[Re-process (Kg)]], "")</f>
        <v>0</v>
      </c>
      <c r="J214" s="49"/>
      <c r="K214" s="72"/>
      <c r="L214" s="49" t="str">
        <f>IF(Table1[[#This Row],[Target Time (Hours)]]="","",Table1[[#This Row],[Target Time (Hours)]]-Table1[[#This Row],[Downtime (Hours)]])</f>
        <v/>
      </c>
      <c r="M214" s="49" t="str">
        <f>IFERROR(Table1[[#This Row],[Capacity (Kg)]]/Table1[[#This Row],[Target Time (Hours)]] * Table1[[#This Row],[Downtime (Hours)]], "")</f>
        <v/>
      </c>
      <c r="N214" s="50" t="str">
        <f>IFERROR(Table1[[#This Row],[Running Time (hr)]]/Table1[Target Time (Hours)], "")</f>
        <v/>
      </c>
      <c r="O214" s="50">
        <f>IFERROR(Table1[[#This Row],[Actual Production (Kg)]]/Table1[Capacity (Kg)], "")</f>
        <v>0</v>
      </c>
      <c r="P214" s="50" t="str">
        <f>IFERROR(Table1[[#This Row],[Quality Pass Production]]/Table1[[#This Row],[Actual Production (Kg)]], "")</f>
        <v/>
      </c>
      <c r="Q214" s="50" t="str">
        <f>IFERROR(Table1[[#This Row],[Utilization %]]*Table1[[#This Row],[Efficiency %]]*Table1[[#This Row],[Quality %]], "")</f>
        <v/>
      </c>
    </row>
    <row r="215" spans="1:18" ht="30" customHeight="1" x14ac:dyDescent="0.25">
      <c r="A215" s="47">
        <v>46128</v>
      </c>
      <c r="B215" s="48" t="s">
        <v>18</v>
      </c>
      <c r="C215" s="48" t="s">
        <v>28</v>
      </c>
      <c r="D215" s="48" t="s">
        <v>29</v>
      </c>
      <c r="E215" s="49">
        <v>7800</v>
      </c>
      <c r="F215" s="76">
        <v>6640</v>
      </c>
      <c r="G215" s="49">
        <v>0</v>
      </c>
      <c r="H215" s="50">
        <f>IFERROR(Table1[Re-process (Kg)]/Table1[Actual Production (Kg)], "")</f>
        <v>0</v>
      </c>
      <c r="I215" s="49">
        <f>IFERROR(Table1[[#This Row],[Actual Production (Kg)]]-Table1[[#This Row],[Re-process (Kg)]], "")</f>
        <v>6640</v>
      </c>
      <c r="J215" s="49">
        <v>22</v>
      </c>
      <c r="K215" s="72">
        <v>3</v>
      </c>
      <c r="L215" s="49">
        <f>IF(Table1[[#This Row],[Target Time (Hours)]]="","",Table1[[#This Row],[Target Time (Hours)]]-Table1[[#This Row],[Downtime (Hours)]])</f>
        <v>19</v>
      </c>
      <c r="M215" s="49">
        <f>IFERROR(Table1[[#This Row],[Capacity (Kg)]]/Table1[[#This Row],[Target Time (Hours)]] * Table1[[#This Row],[Downtime (Hours)]], "")</f>
        <v>1063.6363636363637</v>
      </c>
      <c r="N215" s="50">
        <f>IFERROR(Table1[[#This Row],[Running Time (hr)]]/Table1[Target Time (Hours)], "")</f>
        <v>0.86363636363636365</v>
      </c>
      <c r="O215" s="50">
        <f>IFERROR(Table1[[#This Row],[Actual Production (Kg)]]/Table1[Capacity (Kg)], "")</f>
        <v>0.85128205128205126</v>
      </c>
      <c r="P215" s="50">
        <f>IFERROR(Table1[[#This Row],[Quality Pass Production]]/Table1[[#This Row],[Actual Production (Kg)]], "")</f>
        <v>1</v>
      </c>
      <c r="Q215" s="50">
        <f>IFERROR(Table1[[#This Row],[Utilization %]]*Table1[[#This Row],[Efficiency %]]*Table1[[#This Row],[Quality %]], "")</f>
        <v>0.73519813519813515</v>
      </c>
      <c r="R215" s="48" t="s">
        <v>84</v>
      </c>
    </row>
    <row r="216" spans="1:18" ht="30" customHeight="1" x14ac:dyDescent="0.25">
      <c r="A216" s="47">
        <v>46128</v>
      </c>
      <c r="B216" s="48" t="s">
        <v>18</v>
      </c>
      <c r="C216" s="48" t="s">
        <v>30</v>
      </c>
      <c r="D216" s="48" t="s">
        <v>31</v>
      </c>
      <c r="E216" s="49">
        <v>9000</v>
      </c>
      <c r="F216" s="76">
        <v>0</v>
      </c>
      <c r="G216" s="49">
        <v>0</v>
      </c>
      <c r="H216" s="50" t="str">
        <f>IFERROR(Table1[Re-process (Kg)]/Table1[Actual Production (Kg)], "")</f>
        <v/>
      </c>
      <c r="I216" s="49">
        <f>IFERROR(Table1[[#This Row],[Actual Production (Kg)]]-Table1[[#This Row],[Re-process (Kg)]], "")</f>
        <v>0</v>
      </c>
      <c r="J216" s="49">
        <v>22</v>
      </c>
      <c r="K216" s="72">
        <v>0</v>
      </c>
      <c r="L216" s="49">
        <f>IF(Table1[[#This Row],[Target Time (Hours)]]="","",Table1[[#This Row],[Target Time (Hours)]]-Table1[[#This Row],[Downtime (Hours)]])</f>
        <v>22</v>
      </c>
      <c r="M216" s="49">
        <f>IFERROR(Table1[[#This Row],[Capacity (Kg)]]/Table1[[#This Row],[Target Time (Hours)]] * Table1[[#This Row],[Downtime (Hours)]], "")</f>
        <v>0</v>
      </c>
      <c r="N216" s="50">
        <f>IFERROR(Table1[[#This Row],[Running Time (hr)]]/Table1[Target Time (Hours)], "")</f>
        <v>1</v>
      </c>
      <c r="O216" s="50">
        <f>IFERROR(Table1[[#This Row],[Actual Production (Kg)]]/Table1[Capacity (Kg)], "")</f>
        <v>0</v>
      </c>
      <c r="P216" s="50" t="str">
        <f>IFERROR(Table1[[#This Row],[Quality Pass Production]]/Table1[[#This Row],[Actual Production (Kg)]], "")</f>
        <v/>
      </c>
      <c r="Q216" s="50" t="str">
        <f>IFERROR(Table1[[#This Row],[Utilization %]]*Table1[[#This Row],[Efficiency %]]*Table1[[#This Row],[Quality %]], "")</f>
        <v/>
      </c>
    </row>
    <row r="217" spans="1:18" ht="30" customHeight="1" x14ac:dyDescent="0.25">
      <c r="A217" s="26">
        <v>46128</v>
      </c>
      <c r="B217" s="27" t="s">
        <v>18</v>
      </c>
      <c r="C217" s="27" t="s">
        <v>32</v>
      </c>
      <c r="D217" s="27" t="s">
        <v>31</v>
      </c>
      <c r="E217" s="79">
        <f>Table1[[#This Row],[Actual Production (Kg)]]</f>
        <v>0</v>
      </c>
      <c r="F217" s="79">
        <v>0</v>
      </c>
      <c r="G217" s="79"/>
      <c r="H217" s="28"/>
      <c r="I217" s="79"/>
      <c r="J217" s="79"/>
      <c r="K217" s="27"/>
      <c r="L217" s="53" t="str">
        <f>IF(Table1[[#This Row],[Target Time (Hours)]]="","",Table1[[#This Row],[Target Time (Hours)]]-Table1[[#This Row],[Downtime (Hours)]])</f>
        <v/>
      </c>
      <c r="M217" s="79"/>
      <c r="N217" s="28"/>
      <c r="O217" s="28"/>
      <c r="P217" s="28"/>
      <c r="Q217" s="28"/>
      <c r="R217" s="27" t="s">
        <v>64</v>
      </c>
    </row>
    <row r="218" spans="1:18" ht="30" customHeight="1" x14ac:dyDescent="0.25">
      <c r="A218" s="47">
        <v>46128</v>
      </c>
      <c r="B218" s="48" t="s">
        <v>33</v>
      </c>
      <c r="C218" s="48" t="s">
        <v>34</v>
      </c>
      <c r="D218" s="48" t="s">
        <v>35</v>
      </c>
      <c r="E218" s="49">
        <v>9000</v>
      </c>
      <c r="F218" s="76">
        <v>4901</v>
      </c>
      <c r="G218" s="49">
        <v>0</v>
      </c>
      <c r="H218" s="50">
        <f>IFERROR(Table1[Re-process (Kg)]/Table1[Actual Production (Kg)], "")</f>
        <v>0</v>
      </c>
      <c r="I218" s="49">
        <f>IFERROR(Table1[[#This Row],[Actual Production (Kg)]]-Table1[[#This Row],[Re-process (Kg)]], "")</f>
        <v>4901</v>
      </c>
      <c r="J218" s="49">
        <v>22</v>
      </c>
      <c r="K218" s="72">
        <v>2</v>
      </c>
      <c r="L218" s="49">
        <f>IF(Table1[[#This Row],[Target Time (Hours)]]="","",Table1[[#This Row],[Target Time (Hours)]]-Table1[[#This Row],[Downtime (Hours)]])</f>
        <v>20</v>
      </c>
      <c r="M218" s="49">
        <f>IFERROR(Table1[[#This Row],[Capacity (Kg)]]/Table1[[#This Row],[Target Time (Hours)]] * Table1[[#This Row],[Downtime (Hours)]], "")</f>
        <v>818.18181818181813</v>
      </c>
      <c r="N218" s="50">
        <f>IFERROR(Table1[[#This Row],[Running Time (hr)]]/Table1[Target Time (Hours)], "")</f>
        <v>0.90909090909090906</v>
      </c>
      <c r="O218" s="50">
        <f>IFERROR(Table1[[#This Row],[Actual Production (Kg)]]/Table1[Capacity (Kg)], "")</f>
        <v>0.54455555555555557</v>
      </c>
      <c r="P218" s="50">
        <f>IFERROR(Table1[[#This Row],[Quality Pass Production]]/Table1[[#This Row],[Actual Production (Kg)]], "")</f>
        <v>1</v>
      </c>
      <c r="Q218" s="50">
        <f>IFERROR(Table1[[#This Row],[Utilization %]]*Table1[[#This Row],[Efficiency %]]*Table1[[#This Row],[Quality %]], "")</f>
        <v>0.49505050505050507</v>
      </c>
      <c r="R218" s="48" t="s">
        <v>64</v>
      </c>
    </row>
    <row r="219" spans="1:18" ht="30" customHeight="1" x14ac:dyDescent="0.25">
      <c r="A219" s="47">
        <v>46128</v>
      </c>
      <c r="B219" s="48" t="s">
        <v>33</v>
      </c>
      <c r="C219" s="48" t="s">
        <v>36</v>
      </c>
      <c r="D219" s="48" t="s">
        <v>37</v>
      </c>
      <c r="E219" s="49">
        <v>8000</v>
      </c>
      <c r="F219" s="76">
        <v>2620</v>
      </c>
      <c r="G219" s="49">
        <v>0</v>
      </c>
      <c r="H219" s="50">
        <f>IFERROR(Table1[Re-process (Kg)]/Table1[Actual Production (Kg)], "")</f>
        <v>0</v>
      </c>
      <c r="I219" s="49">
        <f>IFERROR(Table1[[#This Row],[Actual Production (Kg)]]-Table1[[#This Row],[Re-process (Kg)]], "")</f>
        <v>2620</v>
      </c>
      <c r="J219" s="49">
        <v>22</v>
      </c>
      <c r="K219" s="72">
        <v>11</v>
      </c>
      <c r="L219" s="49">
        <f>IF(Table1[[#This Row],[Target Time (Hours)]]="","",Table1[[#This Row],[Target Time (Hours)]]-Table1[[#This Row],[Downtime (Hours)]])</f>
        <v>11</v>
      </c>
      <c r="M219" s="49">
        <f>IFERROR(Table1[[#This Row],[Capacity (Kg)]]/Table1[[#This Row],[Target Time (Hours)]] * Table1[[#This Row],[Downtime (Hours)]], "")</f>
        <v>4000</v>
      </c>
      <c r="N219" s="50">
        <f>IFERROR(Table1[[#This Row],[Running Time (hr)]]/Table1[Target Time (Hours)], "")</f>
        <v>0.5</v>
      </c>
      <c r="O219" s="50">
        <f>IFERROR(Table1[[#This Row],[Actual Production (Kg)]]/Table1[Capacity (Kg)], "")</f>
        <v>0.32750000000000001</v>
      </c>
      <c r="P219" s="50">
        <f>IFERROR(Table1[[#This Row],[Quality Pass Production]]/Table1[[#This Row],[Actual Production (Kg)]], "")</f>
        <v>1</v>
      </c>
      <c r="Q219" s="50">
        <f>IFERROR(Table1[[#This Row],[Utilization %]]*Table1[[#This Row],[Efficiency %]]*Table1[[#This Row],[Quality %]], "")</f>
        <v>0.16375000000000001</v>
      </c>
      <c r="R219" s="48" t="s">
        <v>85</v>
      </c>
    </row>
    <row r="220" spans="1:18" ht="30" customHeight="1" x14ac:dyDescent="0.25">
      <c r="A220" s="47">
        <v>46128</v>
      </c>
      <c r="B220" s="48" t="s">
        <v>33</v>
      </c>
      <c r="C220" s="48" t="s">
        <v>39</v>
      </c>
      <c r="D220" s="48" t="s">
        <v>31</v>
      </c>
      <c r="E220" s="49">
        <v>6000</v>
      </c>
      <c r="F220" s="76">
        <v>1795</v>
      </c>
      <c r="G220" s="49">
        <v>0</v>
      </c>
      <c r="H220" s="50">
        <f>IFERROR(Table1[Re-process (Kg)]/Table1[Actual Production (Kg)], "")</f>
        <v>0</v>
      </c>
      <c r="I220" s="49">
        <f>IFERROR(Table1[[#This Row],[Actual Production (Kg)]]-Table1[[#This Row],[Re-process (Kg)]], "")</f>
        <v>1795</v>
      </c>
      <c r="J220" s="49">
        <v>22</v>
      </c>
      <c r="K220" s="72">
        <v>11</v>
      </c>
      <c r="L220" s="49">
        <f>IF(Table1[[#This Row],[Target Time (Hours)]]="","",Table1[[#This Row],[Target Time (Hours)]]-Table1[[#This Row],[Downtime (Hours)]])</f>
        <v>11</v>
      </c>
      <c r="M220" s="49">
        <f>IFERROR(Table1[[#This Row],[Capacity (Kg)]]/Table1[[#This Row],[Target Time (Hours)]] * Table1[[#This Row],[Downtime (Hours)]], "")</f>
        <v>3000</v>
      </c>
      <c r="N220" s="50">
        <f>IFERROR(Table1[[#This Row],[Running Time (hr)]]/Table1[Target Time (Hours)], "")</f>
        <v>0.5</v>
      </c>
      <c r="O220" s="50">
        <f>IFERROR(Table1[[#This Row],[Actual Production (Kg)]]/Table1[Capacity (Kg)], "")</f>
        <v>0.29916666666666669</v>
      </c>
      <c r="P220" s="50">
        <f>IFERROR(Table1[[#This Row],[Quality Pass Production]]/Table1[[#This Row],[Actual Production (Kg)]], "")</f>
        <v>1</v>
      </c>
      <c r="Q220" s="50">
        <f>IFERROR(Table1[[#This Row],[Utilization %]]*Table1[[#This Row],[Efficiency %]]*Table1[[#This Row],[Quality %]], "")</f>
        <v>0.14958333333333335</v>
      </c>
      <c r="R220" s="48" t="s">
        <v>86</v>
      </c>
    </row>
    <row r="221" spans="1:18" ht="45" customHeight="1" x14ac:dyDescent="0.25">
      <c r="A221" s="54">
        <v>46128</v>
      </c>
      <c r="B221" s="55" t="s">
        <v>33</v>
      </c>
      <c r="C221" s="55" t="s">
        <v>40</v>
      </c>
      <c r="D221" s="55" t="s">
        <v>31</v>
      </c>
      <c r="E221" s="56">
        <v>5000</v>
      </c>
      <c r="F221" s="56">
        <v>4331</v>
      </c>
      <c r="G221" s="56">
        <v>0</v>
      </c>
      <c r="H221" s="58">
        <f>IFERROR(Table1[Re-process (Kg)]/Table1[Actual Production (Kg)], "")</f>
        <v>0</v>
      </c>
      <c r="I221" s="56">
        <f>IFERROR(Table1[[#This Row],[Actual Production (Kg)]]-Table1[[#This Row],[Re-process (Kg)]], "")</f>
        <v>4331</v>
      </c>
      <c r="J221" s="56">
        <v>11</v>
      </c>
      <c r="K221" s="55">
        <v>0</v>
      </c>
      <c r="L221" s="56">
        <f>IF(Table1[[#This Row],[Target Time (Hours)]]="","",Table1[[#This Row],[Target Time (Hours)]]-Table1[[#This Row],[Downtime (Hours)]])</f>
        <v>11</v>
      </c>
      <c r="M221" s="56">
        <f>IFERROR(Table1[[#This Row],[Capacity (Kg)]]/Table1[[#This Row],[Target Time (Hours)]] * Table1[[#This Row],[Downtime (Hours)]], "")</f>
        <v>0</v>
      </c>
      <c r="N221" s="58">
        <f>IFERROR(Table1[[#This Row],[Running Time (hr)]]/Table1[Target Time (Hours)], "")</f>
        <v>1</v>
      </c>
      <c r="O221" s="58">
        <f>IFERROR(Table1[[#This Row],[Actual Production (Kg)]]/Table1[Capacity (Kg)], "")</f>
        <v>0.86619999999999997</v>
      </c>
      <c r="P221" s="58">
        <f>IFERROR(Table1[[#This Row],[Quality Pass Production]]/Table1[[#This Row],[Actual Production (Kg)]], "")</f>
        <v>1</v>
      </c>
      <c r="Q221" s="58">
        <f>IFERROR(Table1[[#This Row],[Utilization %]]*Table1[[#This Row],[Efficiency %]]*Table1[[#This Row],[Quality %]], "")</f>
        <v>0.86619999999999997</v>
      </c>
      <c r="R221" s="55" t="s">
        <v>87</v>
      </c>
    </row>
    <row r="222" spans="1:18" ht="30" customHeight="1" x14ac:dyDescent="0.25">
      <c r="A222" s="47">
        <v>46129</v>
      </c>
      <c r="B222" s="48" t="s">
        <v>18</v>
      </c>
      <c r="C222" s="48" t="s">
        <v>19</v>
      </c>
      <c r="D222" s="48" t="s">
        <v>20</v>
      </c>
      <c r="E222" s="49">
        <v>10000</v>
      </c>
      <c r="F222" s="76">
        <v>3659</v>
      </c>
      <c r="G222" s="49">
        <v>0</v>
      </c>
      <c r="H222" s="50">
        <f>IFERROR(Table1[Re-process (Kg)]/Table1[Actual Production (Kg)], "")</f>
        <v>0</v>
      </c>
      <c r="I222" s="49">
        <f>IFERROR(Table1[[#This Row],[Actual Production (Kg)]]-Table1[[#This Row],[Re-process (Kg)]], "")</f>
        <v>3659</v>
      </c>
      <c r="J222" s="49">
        <v>11</v>
      </c>
      <c r="K222" s="72">
        <v>0</v>
      </c>
      <c r="L222" s="49">
        <f>IF(Table1[[#This Row],[Target Time (Hours)]]="","",Table1[[#This Row],[Target Time (Hours)]]-Table1[[#This Row],[Downtime (Hours)]])</f>
        <v>11</v>
      </c>
      <c r="M222" s="49">
        <f>IFERROR(Table1[[#This Row],[Capacity (Kg)]]/Table1[[#This Row],[Target Time (Hours)]] * Table1[[#This Row],[Downtime (Hours)]], "")</f>
        <v>0</v>
      </c>
      <c r="N222" s="50">
        <f>IFERROR(Table1[[#This Row],[Running Time (hr)]]/Table1[Target Time (Hours)], "")</f>
        <v>1</v>
      </c>
      <c r="O222" s="50">
        <f>IFERROR(Table1[[#This Row],[Actual Production (Kg)]]/Table1[Capacity (Kg)], "")</f>
        <v>0.3659</v>
      </c>
      <c r="P222" s="50">
        <f>IFERROR(Table1[[#This Row],[Quality Pass Production]]/Table1[[#This Row],[Actual Production (Kg)]], "")</f>
        <v>1</v>
      </c>
      <c r="Q222" s="50">
        <f>IFERROR(Table1[[#This Row],[Utilization %]]*Table1[[#This Row],[Efficiency %]]*Table1[[#This Row],[Quality %]], "")</f>
        <v>0.3659</v>
      </c>
    </row>
    <row r="223" spans="1:18" x14ac:dyDescent="0.25">
      <c r="A223" s="47">
        <v>46129</v>
      </c>
      <c r="B223" s="48" t="s">
        <v>18</v>
      </c>
      <c r="C223" s="48" t="s">
        <v>22</v>
      </c>
      <c r="D223" s="48" t="s">
        <v>23</v>
      </c>
      <c r="E223" s="49">
        <v>5000</v>
      </c>
      <c r="F223" s="76">
        <v>0</v>
      </c>
      <c r="G223" s="49">
        <v>0</v>
      </c>
      <c r="H223" s="50" t="str">
        <f>IFERROR(Table1[Re-process (Kg)]/Table1[Actual Production (Kg)], "")</f>
        <v/>
      </c>
      <c r="I223" s="49">
        <f>IFERROR(Table1[[#This Row],[Actual Production (Kg)]]-Table1[[#This Row],[Re-process (Kg)]], "")</f>
        <v>0</v>
      </c>
      <c r="J223" s="49"/>
      <c r="K223" s="72"/>
      <c r="L223" s="49" t="str">
        <f>IF(Table1[[#This Row],[Target Time (Hours)]]="","",Table1[[#This Row],[Target Time (Hours)]]-Table1[[#This Row],[Downtime (Hours)]])</f>
        <v/>
      </c>
      <c r="M223" s="49" t="str">
        <f>IFERROR(Table1[[#This Row],[Capacity (Kg)]]/Table1[[#This Row],[Target Time (Hours)]] * Table1[[#This Row],[Downtime (Hours)]], "")</f>
        <v/>
      </c>
      <c r="N223" s="50" t="str">
        <f>IFERROR(Table1[[#This Row],[Running Time (hr)]]/Table1[Target Time (Hours)], "")</f>
        <v/>
      </c>
      <c r="O223" s="50">
        <f>IFERROR(Table1[[#This Row],[Actual Production (Kg)]]/Table1[Capacity (Kg)], "")</f>
        <v>0</v>
      </c>
      <c r="P223" s="50" t="str">
        <f>IFERROR(Table1[[#This Row],[Quality Pass Production]]/Table1[[#This Row],[Actual Production (Kg)]], "")</f>
        <v/>
      </c>
      <c r="Q223" s="50" t="str">
        <f>IFERROR(Table1[[#This Row],[Utilization %]]*Table1[[#This Row],[Efficiency %]]*Table1[[#This Row],[Quality %]], "")</f>
        <v/>
      </c>
    </row>
    <row r="224" spans="1:18" x14ac:dyDescent="0.25">
      <c r="A224" s="47">
        <v>46129</v>
      </c>
      <c r="B224" s="48" t="s">
        <v>18</v>
      </c>
      <c r="C224" s="48" t="s">
        <v>22</v>
      </c>
      <c r="D224" s="48" t="s">
        <v>25</v>
      </c>
      <c r="E224" s="49">
        <v>4000</v>
      </c>
      <c r="F224" s="76">
        <v>3411</v>
      </c>
      <c r="G224" s="49">
        <v>0</v>
      </c>
      <c r="H224" s="50">
        <f>IFERROR(Table1[Re-process (Kg)]/Table1[Actual Production (Kg)], "")</f>
        <v>0</v>
      </c>
      <c r="I224" s="49">
        <f>IFERROR(Table1[[#This Row],[Actual Production (Kg)]]-Table1[[#This Row],[Re-process (Kg)]], "")</f>
        <v>3411</v>
      </c>
      <c r="J224" s="49">
        <v>11</v>
      </c>
      <c r="K224" s="72">
        <v>0</v>
      </c>
      <c r="L224" s="49">
        <f>IF(Table1[[#This Row],[Target Time (Hours)]]="","",Table1[[#This Row],[Target Time (Hours)]]-Table1[[#This Row],[Downtime (Hours)]])</f>
        <v>11</v>
      </c>
      <c r="M224" s="49">
        <f>IFERROR(Table1[[#This Row],[Capacity (Kg)]]/Table1[[#This Row],[Target Time (Hours)]] * Table1[[#This Row],[Downtime (Hours)]], "")</f>
        <v>0</v>
      </c>
      <c r="N224" s="50">
        <f>IFERROR(Table1[[#This Row],[Running Time (hr)]]/Table1[Target Time (Hours)], "")</f>
        <v>1</v>
      </c>
      <c r="O224" s="50">
        <f>IFERROR(Table1[[#This Row],[Actual Production (Kg)]]/Table1[Capacity (Kg)], "")</f>
        <v>0.85275000000000001</v>
      </c>
      <c r="P224" s="50">
        <f>IFERROR(Table1[[#This Row],[Quality Pass Production]]/Table1[[#This Row],[Actual Production (Kg)]], "")</f>
        <v>1</v>
      </c>
      <c r="Q224" s="50">
        <f>IFERROR(Table1[[#This Row],[Utilization %]]*Table1[[#This Row],[Efficiency %]]*Table1[[#This Row],[Quality %]], "")</f>
        <v>0.85275000000000001</v>
      </c>
    </row>
    <row r="225" spans="1:18" x14ac:dyDescent="0.25">
      <c r="A225" s="47">
        <v>46129</v>
      </c>
      <c r="B225" s="48" t="s">
        <v>18</v>
      </c>
      <c r="C225" s="48" t="s">
        <v>26</v>
      </c>
      <c r="D225" s="48" t="s">
        <v>25</v>
      </c>
      <c r="E225" s="49">
        <v>7000</v>
      </c>
      <c r="F225" s="76"/>
      <c r="G225" s="49">
        <v>0</v>
      </c>
      <c r="H225" s="50" t="str">
        <f>IFERROR(Table1[Re-process (Kg)]/Table1[Actual Production (Kg)], "")</f>
        <v/>
      </c>
      <c r="I225" s="49">
        <f>IFERROR(Table1[[#This Row],[Actual Production (Kg)]]-Table1[[#This Row],[Re-process (Kg)]], "")</f>
        <v>0</v>
      </c>
      <c r="J225" s="49"/>
      <c r="K225" s="72"/>
      <c r="L225" s="49" t="str">
        <f>IF(Table1[[#This Row],[Target Time (Hours)]]="","",Table1[[#This Row],[Target Time (Hours)]]-Table1[[#This Row],[Downtime (Hours)]])</f>
        <v/>
      </c>
      <c r="M225" s="49" t="str">
        <f>IFERROR(Table1[[#This Row],[Capacity (Kg)]]/Table1[[#This Row],[Target Time (Hours)]] * Table1[[#This Row],[Downtime (Hours)]], "")</f>
        <v/>
      </c>
      <c r="N225" s="50" t="str">
        <f>IFERROR(Table1[[#This Row],[Running Time (hr)]]/Table1[Target Time (Hours)], "")</f>
        <v/>
      </c>
      <c r="O225" s="50">
        <f>IFERROR(Table1[[#This Row],[Actual Production (Kg)]]/Table1[Capacity (Kg)], "")</f>
        <v>0</v>
      </c>
      <c r="P225" s="50" t="str">
        <f>IFERROR(Table1[[#This Row],[Quality Pass Production]]/Table1[[#This Row],[Actual Production (Kg)]], "")</f>
        <v/>
      </c>
      <c r="Q225" s="50" t="str">
        <f>IFERROR(Table1[[#This Row],[Utilization %]]*Table1[[#This Row],[Efficiency %]]*Table1[[#This Row],[Quality %]], "")</f>
        <v/>
      </c>
    </row>
    <row r="226" spans="1:18" ht="30" customHeight="1" x14ac:dyDescent="0.25">
      <c r="A226" s="47">
        <v>46129</v>
      </c>
      <c r="B226" s="48" t="s">
        <v>18</v>
      </c>
      <c r="C226" s="48" t="s">
        <v>28</v>
      </c>
      <c r="D226" s="48" t="s">
        <v>29</v>
      </c>
      <c r="E226" s="49">
        <v>7800</v>
      </c>
      <c r="F226" s="76">
        <v>3955</v>
      </c>
      <c r="G226" s="49">
        <v>0</v>
      </c>
      <c r="H226" s="50">
        <f>IFERROR(Table1[Re-process (Kg)]/Table1[Actual Production (Kg)], "")</f>
        <v>0</v>
      </c>
      <c r="I226" s="49">
        <f>IFERROR(Table1[[#This Row],[Actual Production (Kg)]]-Table1[[#This Row],[Re-process (Kg)]], "")</f>
        <v>3955</v>
      </c>
      <c r="J226" s="49">
        <v>11</v>
      </c>
      <c r="K226" s="72">
        <v>0</v>
      </c>
      <c r="L226" s="49">
        <f>IF(Table1[[#This Row],[Target Time (Hours)]]="","",Table1[[#This Row],[Target Time (Hours)]]-Table1[[#This Row],[Downtime (Hours)]])</f>
        <v>11</v>
      </c>
      <c r="M226" s="49">
        <f>IFERROR(Table1[[#This Row],[Capacity (Kg)]]/Table1[[#This Row],[Target Time (Hours)]] * Table1[[#This Row],[Downtime (Hours)]], "")</f>
        <v>0</v>
      </c>
      <c r="N226" s="50">
        <f>IFERROR(Table1[[#This Row],[Running Time (hr)]]/Table1[Target Time (Hours)], "")</f>
        <v>1</v>
      </c>
      <c r="O226" s="50">
        <f>IFERROR(Table1[[#This Row],[Actual Production (Kg)]]/Table1[Capacity (Kg)], "")</f>
        <v>0.50705128205128203</v>
      </c>
      <c r="P226" s="50">
        <f>IFERROR(Table1[[#This Row],[Quality Pass Production]]/Table1[[#This Row],[Actual Production (Kg)]], "")</f>
        <v>1</v>
      </c>
      <c r="Q226" s="50">
        <f>IFERROR(Table1[[#This Row],[Utilization %]]*Table1[[#This Row],[Efficiency %]]*Table1[[#This Row],[Quality %]], "")</f>
        <v>0.50705128205128203</v>
      </c>
    </row>
    <row r="227" spans="1:18" ht="30" customHeight="1" x14ac:dyDescent="0.25">
      <c r="A227" s="47">
        <v>46129</v>
      </c>
      <c r="B227" s="48" t="s">
        <v>18</v>
      </c>
      <c r="C227" s="48" t="s">
        <v>30</v>
      </c>
      <c r="D227" s="48" t="s">
        <v>31</v>
      </c>
      <c r="E227" s="49">
        <v>9000</v>
      </c>
      <c r="F227" s="76">
        <v>0</v>
      </c>
      <c r="G227" s="49">
        <v>0</v>
      </c>
      <c r="H227" s="50" t="str">
        <f>IFERROR(Table1[Re-process (Kg)]/Table1[Actual Production (Kg)], "")</f>
        <v/>
      </c>
      <c r="I227" s="49">
        <f>IFERROR(Table1[[#This Row],[Actual Production (Kg)]]-Table1[[#This Row],[Re-process (Kg)]], "")</f>
        <v>0</v>
      </c>
      <c r="J227" s="49">
        <v>11</v>
      </c>
      <c r="K227" s="72">
        <v>0</v>
      </c>
      <c r="L227" s="49">
        <f>IF(Table1[[#This Row],[Target Time (Hours)]]="","",Table1[[#This Row],[Target Time (Hours)]]-Table1[[#This Row],[Downtime (Hours)]])</f>
        <v>11</v>
      </c>
      <c r="M227" s="49">
        <f>IFERROR(Table1[[#This Row],[Capacity (Kg)]]/Table1[[#This Row],[Target Time (Hours)]] * Table1[[#This Row],[Downtime (Hours)]], "")</f>
        <v>0</v>
      </c>
      <c r="N227" s="50">
        <f>IFERROR(Table1[[#This Row],[Running Time (hr)]]/Table1[Target Time (Hours)], "")</f>
        <v>1</v>
      </c>
      <c r="O227" s="50">
        <f>IFERROR(Table1[[#This Row],[Actual Production (Kg)]]/Table1[Capacity (Kg)], "")</f>
        <v>0</v>
      </c>
      <c r="P227" s="50" t="str">
        <f>IFERROR(Table1[[#This Row],[Quality Pass Production]]/Table1[[#This Row],[Actual Production (Kg)]], "")</f>
        <v/>
      </c>
      <c r="Q227" s="50" t="str">
        <f>IFERROR(Table1[[#This Row],[Utilization %]]*Table1[[#This Row],[Efficiency %]]*Table1[[#This Row],[Quality %]], "")</f>
        <v/>
      </c>
      <c r="R227" s="48" t="s">
        <v>82</v>
      </c>
    </row>
    <row r="228" spans="1:18" ht="30" customHeight="1" x14ac:dyDescent="0.25">
      <c r="A228" s="26">
        <v>46129</v>
      </c>
      <c r="B228" s="27" t="s">
        <v>18</v>
      </c>
      <c r="C228" s="27" t="s">
        <v>32</v>
      </c>
      <c r="D228" s="27" t="s">
        <v>31</v>
      </c>
      <c r="E228" s="79">
        <f>Table1[[#This Row],[Actual Production (Kg)]]</f>
        <v>0</v>
      </c>
      <c r="F228" s="79">
        <v>0</v>
      </c>
      <c r="G228" s="79"/>
      <c r="H228" s="28"/>
      <c r="I228" s="79"/>
      <c r="J228" s="79"/>
      <c r="K228" s="27"/>
      <c r="L228" s="53" t="str">
        <f>IF(Table1[[#This Row],[Target Time (Hours)]]="","",Table1[[#This Row],[Target Time (Hours)]]-Table1[[#This Row],[Downtime (Hours)]])</f>
        <v/>
      </c>
      <c r="M228" s="79"/>
      <c r="N228" s="28"/>
      <c r="O228" s="28"/>
      <c r="P228" s="28"/>
      <c r="Q228" s="28"/>
      <c r="R228" s="27" t="s">
        <v>64</v>
      </c>
    </row>
    <row r="229" spans="1:18" ht="30" customHeight="1" x14ac:dyDescent="0.25">
      <c r="A229" s="47">
        <v>46129</v>
      </c>
      <c r="B229" s="48" t="s">
        <v>33</v>
      </c>
      <c r="C229" s="48" t="s">
        <v>34</v>
      </c>
      <c r="D229" s="48" t="s">
        <v>35</v>
      </c>
      <c r="E229" s="49">
        <v>9000</v>
      </c>
      <c r="F229" s="76">
        <v>2744</v>
      </c>
      <c r="G229" s="49">
        <v>0</v>
      </c>
      <c r="H229" s="50">
        <f>IFERROR(Table1[Re-process (Kg)]/Table1[Actual Production (Kg)], "")</f>
        <v>0</v>
      </c>
      <c r="I229" s="49">
        <f>IFERROR(Table1[[#This Row],[Actual Production (Kg)]]-Table1[[#This Row],[Re-process (Kg)]], "")</f>
        <v>2744</v>
      </c>
      <c r="J229" s="49">
        <v>11</v>
      </c>
      <c r="K229" s="72">
        <v>0</v>
      </c>
      <c r="L229" s="49">
        <f>IF(Table1[[#This Row],[Target Time (Hours)]]="","",Table1[[#This Row],[Target Time (Hours)]]-Table1[[#This Row],[Downtime (Hours)]])</f>
        <v>11</v>
      </c>
      <c r="M229" s="49">
        <f>IFERROR(Table1[[#This Row],[Capacity (Kg)]]/Table1[[#This Row],[Target Time (Hours)]] * Table1[[#This Row],[Downtime (Hours)]], "")</f>
        <v>0</v>
      </c>
      <c r="N229" s="50">
        <f>IFERROR(Table1[[#This Row],[Running Time (hr)]]/Table1[Target Time (Hours)], "")</f>
        <v>1</v>
      </c>
      <c r="O229" s="50">
        <f>IFERROR(Table1[[#This Row],[Actual Production (Kg)]]/Table1[Capacity (Kg)], "")</f>
        <v>0.30488888888888888</v>
      </c>
      <c r="P229" s="50">
        <f>IFERROR(Table1[[#This Row],[Quality Pass Production]]/Table1[[#This Row],[Actual Production (Kg)]], "")</f>
        <v>1</v>
      </c>
      <c r="Q229" s="50">
        <f>IFERROR(Table1[[#This Row],[Utilization %]]*Table1[[#This Row],[Efficiency %]]*Table1[[#This Row],[Quality %]], "")</f>
        <v>0.30488888888888888</v>
      </c>
      <c r="R229" s="48" t="s">
        <v>64</v>
      </c>
    </row>
    <row r="230" spans="1:18" x14ac:dyDescent="0.25">
      <c r="A230" s="47">
        <v>46129</v>
      </c>
      <c r="B230" s="48" t="s">
        <v>33</v>
      </c>
      <c r="C230" s="48" t="s">
        <v>36</v>
      </c>
      <c r="D230" s="48" t="s">
        <v>37</v>
      </c>
      <c r="E230" s="49">
        <v>8000</v>
      </c>
      <c r="F230" s="76">
        <v>0</v>
      </c>
      <c r="G230" s="49">
        <v>0</v>
      </c>
      <c r="H230" s="50" t="str">
        <f>IFERROR(Table1[Re-process (Kg)]/Table1[Actual Production (Kg)], "")</f>
        <v/>
      </c>
      <c r="I230" s="49">
        <f>IFERROR(Table1[[#This Row],[Actual Production (Kg)]]-Table1[[#This Row],[Re-process (Kg)]], "")</f>
        <v>0</v>
      </c>
      <c r="J230" s="49">
        <v>11</v>
      </c>
      <c r="K230" s="72">
        <v>11</v>
      </c>
      <c r="L230" s="49">
        <f>IF(Table1[[#This Row],[Target Time (Hours)]]="","",Table1[[#This Row],[Target Time (Hours)]]-Table1[[#This Row],[Downtime (Hours)]])</f>
        <v>0</v>
      </c>
      <c r="M230" s="49">
        <f>IFERROR(Table1[[#This Row],[Capacity (Kg)]]/Table1[[#This Row],[Target Time (Hours)]] * Table1[[#This Row],[Downtime (Hours)]], "")</f>
        <v>8000</v>
      </c>
      <c r="N230" s="50">
        <f>IFERROR(Table1[[#This Row],[Running Time (hr)]]/Table1[Target Time (Hours)], "")</f>
        <v>0</v>
      </c>
      <c r="O230" s="50">
        <f>IFERROR(Table1[[#This Row],[Actual Production (Kg)]]/Table1[Capacity (Kg)], "")</f>
        <v>0</v>
      </c>
      <c r="P230" s="50" t="str">
        <f>IFERROR(Table1[[#This Row],[Quality Pass Production]]/Table1[[#This Row],[Actual Production (Kg)]], "")</f>
        <v/>
      </c>
      <c r="Q230" s="50" t="str">
        <f>IFERROR(Table1[[#This Row],[Utilization %]]*Table1[[#This Row],[Efficiency %]]*Table1[[#This Row],[Quality %]], "")</f>
        <v/>
      </c>
      <c r="R230" s="48" t="s">
        <v>88</v>
      </c>
    </row>
    <row r="231" spans="1:18" ht="30" customHeight="1" x14ac:dyDescent="0.25">
      <c r="A231" s="47">
        <v>46129</v>
      </c>
      <c r="B231" s="48" t="s">
        <v>33</v>
      </c>
      <c r="C231" s="48" t="s">
        <v>39</v>
      </c>
      <c r="D231" s="48" t="s">
        <v>31</v>
      </c>
      <c r="E231" s="49">
        <v>6000</v>
      </c>
      <c r="F231" s="76">
        <v>0</v>
      </c>
      <c r="G231" s="49">
        <v>0</v>
      </c>
      <c r="H231" s="50" t="str">
        <f>IFERROR(Table1[Re-process (Kg)]/Table1[Actual Production (Kg)], "")</f>
        <v/>
      </c>
      <c r="I231" s="49">
        <f>IFERROR(Table1[[#This Row],[Actual Production (Kg)]]-Table1[[#This Row],[Re-process (Kg)]], "")</f>
        <v>0</v>
      </c>
      <c r="J231" s="49">
        <v>11</v>
      </c>
      <c r="K231" s="72">
        <v>11</v>
      </c>
      <c r="L231" s="49">
        <f>IF(Table1[[#This Row],[Target Time (Hours)]]="","",Table1[[#This Row],[Target Time (Hours)]]-Table1[[#This Row],[Downtime (Hours)]])</f>
        <v>0</v>
      </c>
      <c r="M231" s="49">
        <f>IFERROR(Table1[[#This Row],[Capacity (Kg)]]/Table1[[#This Row],[Target Time (Hours)]] * Table1[[#This Row],[Downtime (Hours)]], "")</f>
        <v>6000</v>
      </c>
      <c r="N231" s="50">
        <f>IFERROR(Table1[[#This Row],[Running Time (hr)]]/Table1[Target Time (Hours)], "")</f>
        <v>0</v>
      </c>
      <c r="O231" s="50">
        <f>IFERROR(Table1[[#This Row],[Actual Production (Kg)]]/Table1[Capacity (Kg)], "")</f>
        <v>0</v>
      </c>
      <c r="P231" s="50" t="str">
        <f>IFERROR(Table1[[#This Row],[Quality Pass Production]]/Table1[[#This Row],[Actual Production (Kg)]], "")</f>
        <v/>
      </c>
      <c r="Q231" s="50" t="str">
        <f>IFERROR(Table1[[#This Row],[Utilization %]]*Table1[[#This Row],[Efficiency %]]*Table1[[#This Row],[Quality %]], "")</f>
        <v/>
      </c>
    </row>
    <row r="232" spans="1:18" ht="45" customHeight="1" x14ac:dyDescent="0.25">
      <c r="A232" s="54">
        <v>46129</v>
      </c>
      <c r="B232" s="55" t="s">
        <v>33</v>
      </c>
      <c r="C232" s="55" t="s">
        <v>40</v>
      </c>
      <c r="D232" s="55" t="s">
        <v>31</v>
      </c>
      <c r="E232" s="56">
        <v>5000</v>
      </c>
      <c r="F232" s="56">
        <v>8233</v>
      </c>
      <c r="G232" s="56">
        <v>0</v>
      </c>
      <c r="H232" s="58">
        <f>IFERROR(Table1[Re-process (Kg)]/Table1[Actual Production (Kg)], "")</f>
        <v>0</v>
      </c>
      <c r="I232" s="56">
        <f>IFERROR(Table1[[#This Row],[Actual Production (Kg)]]-Table1[[#This Row],[Re-process (Kg)]], "")</f>
        <v>8233</v>
      </c>
      <c r="J232" s="56">
        <v>22</v>
      </c>
      <c r="K232" s="55">
        <v>0</v>
      </c>
      <c r="L232" s="56">
        <f>IF(Table1[[#This Row],[Target Time (Hours)]]="","",Table1[[#This Row],[Target Time (Hours)]]-Table1[[#This Row],[Downtime (Hours)]])</f>
        <v>22</v>
      </c>
      <c r="M232" s="56">
        <f>IFERROR(Table1[[#This Row],[Capacity (Kg)]]/Table1[[#This Row],[Target Time (Hours)]] * Table1[[#This Row],[Downtime (Hours)]], "")</f>
        <v>0</v>
      </c>
      <c r="N232" s="58">
        <f>IFERROR(Table1[[#This Row],[Running Time (hr)]]/Table1[Target Time (Hours)], "")</f>
        <v>1</v>
      </c>
      <c r="O232" s="58">
        <f>IFERROR(Table1[[#This Row],[Actual Production (Kg)]]/Table1[Capacity (Kg)], "")</f>
        <v>1.6466000000000001</v>
      </c>
      <c r="P232" s="58">
        <f>IFERROR(Table1[[#This Row],[Quality Pass Production]]/Table1[[#This Row],[Actual Production (Kg)]], "")</f>
        <v>1</v>
      </c>
      <c r="Q232" s="58">
        <f>IFERROR(Table1[[#This Row],[Utilization %]]*Table1[[#This Row],[Efficiency %]]*Table1[[#This Row],[Quality %]], "")</f>
        <v>1.6466000000000001</v>
      </c>
      <c r="R232" s="55" t="s">
        <v>89</v>
      </c>
    </row>
    <row r="233" spans="1:18" ht="30" customHeight="1" x14ac:dyDescent="0.25">
      <c r="A233" s="47">
        <v>46130</v>
      </c>
      <c r="B233" s="48" t="s">
        <v>18</v>
      </c>
      <c r="C233" s="48" t="s">
        <v>19</v>
      </c>
      <c r="D233" s="48" t="s">
        <v>20</v>
      </c>
      <c r="E233" s="49">
        <v>10000</v>
      </c>
      <c r="F233" s="76">
        <v>4909</v>
      </c>
      <c r="G233" s="49">
        <v>0</v>
      </c>
      <c r="H233" s="50">
        <f>IFERROR(Table1[Re-process (Kg)]/Table1[Actual Production (Kg)], "")</f>
        <v>0</v>
      </c>
      <c r="I233" s="49">
        <f>IFERROR(Table1[[#This Row],[Actual Production (Kg)]]-Table1[[#This Row],[Re-process (Kg)]], "")</f>
        <v>4909</v>
      </c>
      <c r="J233" s="49">
        <v>22</v>
      </c>
      <c r="K233" s="72">
        <v>0</v>
      </c>
      <c r="L233" s="49">
        <f>IF(Table1[[#This Row],[Target Time (Hours)]]="","",Table1[[#This Row],[Target Time (Hours)]]-Table1[[#This Row],[Downtime (Hours)]])</f>
        <v>22</v>
      </c>
      <c r="M233" s="49">
        <f>IFERROR(Table1[[#This Row],[Capacity (Kg)]]/Table1[[#This Row],[Target Time (Hours)]] * Table1[[#This Row],[Downtime (Hours)]], "")</f>
        <v>0</v>
      </c>
      <c r="N233" s="50">
        <f>IFERROR(Table1[[#This Row],[Running Time (hr)]]/Table1[Target Time (Hours)], "")</f>
        <v>1</v>
      </c>
      <c r="O233" s="50">
        <f>IFERROR(Table1[[#This Row],[Actual Production (Kg)]]/Table1[Capacity (Kg)], "")</f>
        <v>0.4909</v>
      </c>
      <c r="P233" s="50">
        <f>IFERROR(Table1[[#This Row],[Quality Pass Production]]/Table1[[#This Row],[Actual Production (Kg)]], "")</f>
        <v>1</v>
      </c>
      <c r="Q233" s="50">
        <f>IFERROR(Table1[[#This Row],[Utilization %]]*Table1[[#This Row],[Efficiency %]]*Table1[[#This Row],[Quality %]], "")</f>
        <v>0.4909</v>
      </c>
      <c r="R233" s="48" t="s">
        <v>89</v>
      </c>
    </row>
    <row r="234" spans="1:18" x14ac:dyDescent="0.25">
      <c r="A234" s="47">
        <v>46130</v>
      </c>
      <c r="B234" s="48" t="s">
        <v>18</v>
      </c>
      <c r="C234" s="48" t="s">
        <v>22</v>
      </c>
      <c r="D234" s="48" t="s">
        <v>23</v>
      </c>
      <c r="E234" s="49">
        <v>5000</v>
      </c>
      <c r="F234" s="76">
        <v>3728</v>
      </c>
      <c r="G234" s="49">
        <v>0</v>
      </c>
      <c r="H234" s="50">
        <f>IFERROR(Table1[Re-process (Kg)]/Table1[Actual Production (Kg)], "")</f>
        <v>0</v>
      </c>
      <c r="I234" s="49">
        <f>IFERROR(Table1[[#This Row],[Actual Production (Kg)]]-Table1[[#This Row],[Re-process (Kg)]], "")</f>
        <v>3728</v>
      </c>
      <c r="J234" s="49"/>
      <c r="K234" s="72"/>
      <c r="L234" s="49" t="str">
        <f>IF(Table1[[#This Row],[Target Time (Hours)]]="","",Table1[[#This Row],[Target Time (Hours)]]-Table1[[#This Row],[Downtime (Hours)]])</f>
        <v/>
      </c>
      <c r="M234" s="49" t="str">
        <f>IFERROR(Table1[[#This Row],[Capacity (Kg)]]/Table1[[#This Row],[Target Time (Hours)]] * Table1[[#This Row],[Downtime (Hours)]], "")</f>
        <v/>
      </c>
      <c r="N234" s="50" t="str">
        <f>IFERROR(Table1[[#This Row],[Running Time (hr)]]/Table1[Target Time (Hours)], "")</f>
        <v/>
      </c>
      <c r="O234" s="50">
        <f>IFERROR(Table1[[#This Row],[Actual Production (Kg)]]/Table1[Capacity (Kg)], "")</f>
        <v>0.74560000000000004</v>
      </c>
      <c r="P234" s="50">
        <f>IFERROR(Table1[[#This Row],[Quality Pass Production]]/Table1[[#This Row],[Actual Production (Kg)]], "")</f>
        <v>1</v>
      </c>
      <c r="Q234" s="50" t="str">
        <f>IFERROR(Table1[[#This Row],[Utilization %]]*Table1[[#This Row],[Efficiency %]]*Table1[[#This Row],[Quality %]], "")</f>
        <v/>
      </c>
      <c r="R234" s="48" t="s">
        <v>89</v>
      </c>
    </row>
    <row r="235" spans="1:18" x14ac:dyDescent="0.25">
      <c r="A235" s="47">
        <v>46130</v>
      </c>
      <c r="B235" s="48" t="s">
        <v>18</v>
      </c>
      <c r="C235" s="48" t="s">
        <v>22</v>
      </c>
      <c r="D235" s="48" t="s">
        <v>25</v>
      </c>
      <c r="E235" s="49">
        <v>4000</v>
      </c>
      <c r="F235" s="76">
        <v>7188</v>
      </c>
      <c r="G235" s="49">
        <v>0</v>
      </c>
      <c r="H235" s="50">
        <f>IFERROR(Table1[Re-process (Kg)]/Table1[Actual Production (Kg)], "")</f>
        <v>0</v>
      </c>
      <c r="I235" s="49">
        <f>IFERROR(Table1[[#This Row],[Actual Production (Kg)]]-Table1[[#This Row],[Re-process (Kg)]], "")</f>
        <v>7188</v>
      </c>
      <c r="J235" s="49">
        <v>22</v>
      </c>
      <c r="K235" s="72">
        <v>0</v>
      </c>
      <c r="L235" s="49">
        <f>IF(Table1[[#This Row],[Target Time (Hours)]]="","",Table1[[#This Row],[Target Time (Hours)]]-Table1[[#This Row],[Downtime (Hours)]])</f>
        <v>22</v>
      </c>
      <c r="M235" s="49">
        <f>IFERROR(Table1[[#This Row],[Capacity (Kg)]]/Table1[[#This Row],[Target Time (Hours)]] * Table1[[#This Row],[Downtime (Hours)]], "")</f>
        <v>0</v>
      </c>
      <c r="N235" s="50">
        <f>IFERROR(Table1[[#This Row],[Running Time (hr)]]/Table1[Target Time (Hours)], "")</f>
        <v>1</v>
      </c>
      <c r="O235" s="50">
        <f>IFERROR(Table1[[#This Row],[Actual Production (Kg)]]/Table1[Capacity (Kg)], "")</f>
        <v>1.7969999999999999</v>
      </c>
      <c r="P235" s="50">
        <f>IFERROR(Table1[[#This Row],[Quality Pass Production]]/Table1[[#This Row],[Actual Production (Kg)]], "")</f>
        <v>1</v>
      </c>
      <c r="Q235" s="50">
        <f>IFERROR(Table1[[#This Row],[Utilization %]]*Table1[[#This Row],[Efficiency %]]*Table1[[#This Row],[Quality %]], "")</f>
        <v>1.7969999999999999</v>
      </c>
      <c r="R235" s="48" t="s">
        <v>89</v>
      </c>
    </row>
    <row r="236" spans="1:18" x14ac:dyDescent="0.25">
      <c r="A236" s="47">
        <v>46130</v>
      </c>
      <c r="B236" s="48" t="s">
        <v>18</v>
      </c>
      <c r="C236" s="48" t="s">
        <v>26</v>
      </c>
      <c r="D236" s="48" t="s">
        <v>25</v>
      </c>
      <c r="E236" s="49">
        <v>7000</v>
      </c>
      <c r="F236" s="76"/>
      <c r="G236" s="49">
        <v>0</v>
      </c>
      <c r="H236" s="50" t="str">
        <f>IFERROR(Table1[Re-process (Kg)]/Table1[Actual Production (Kg)], "")</f>
        <v/>
      </c>
      <c r="I236" s="49">
        <f>IFERROR(Table1[[#This Row],[Actual Production (Kg)]]-Table1[[#This Row],[Re-process (Kg)]], "")</f>
        <v>0</v>
      </c>
      <c r="J236" s="49"/>
      <c r="K236" s="72"/>
      <c r="L236" s="49" t="str">
        <f>IF(Table1[[#This Row],[Target Time (Hours)]]="","",Table1[[#This Row],[Target Time (Hours)]]-Table1[[#This Row],[Downtime (Hours)]])</f>
        <v/>
      </c>
      <c r="M236" s="49" t="str">
        <f>IFERROR(Table1[[#This Row],[Capacity (Kg)]]/Table1[[#This Row],[Target Time (Hours)]] * Table1[[#This Row],[Downtime (Hours)]], "")</f>
        <v/>
      </c>
      <c r="N236" s="50" t="str">
        <f>IFERROR(Table1[[#This Row],[Running Time (hr)]]/Table1[Target Time (Hours)], "")</f>
        <v/>
      </c>
      <c r="O236" s="50">
        <f>IFERROR(Table1[[#This Row],[Actual Production (Kg)]]/Table1[Capacity (Kg)], "")</f>
        <v>0</v>
      </c>
      <c r="P236" s="50" t="str">
        <f>IFERROR(Table1[[#This Row],[Quality Pass Production]]/Table1[[#This Row],[Actual Production (Kg)]], "")</f>
        <v/>
      </c>
      <c r="Q236" s="50" t="str">
        <f>IFERROR(Table1[[#This Row],[Utilization %]]*Table1[[#This Row],[Efficiency %]]*Table1[[#This Row],[Quality %]], "")</f>
        <v/>
      </c>
    </row>
    <row r="237" spans="1:18" ht="30" customHeight="1" x14ac:dyDescent="0.25">
      <c r="A237" s="47">
        <v>46130</v>
      </c>
      <c r="B237" s="48" t="s">
        <v>18</v>
      </c>
      <c r="C237" s="48" t="s">
        <v>28</v>
      </c>
      <c r="D237" s="48" t="s">
        <v>29</v>
      </c>
      <c r="E237" s="49">
        <v>7800</v>
      </c>
      <c r="F237" s="76">
        <v>6950</v>
      </c>
      <c r="G237" s="49">
        <v>0</v>
      </c>
      <c r="H237" s="50">
        <f>IFERROR(Table1[Re-process (Kg)]/Table1[Actual Production (Kg)], "")</f>
        <v>0</v>
      </c>
      <c r="I237" s="49">
        <f>IFERROR(Table1[[#This Row],[Actual Production (Kg)]]-Table1[[#This Row],[Re-process (Kg)]], "")</f>
        <v>6950</v>
      </c>
      <c r="J237" s="49">
        <v>22</v>
      </c>
      <c r="K237" s="72">
        <v>3</v>
      </c>
      <c r="L237" s="49">
        <f>IF(Table1[[#This Row],[Target Time (Hours)]]="","",Table1[[#This Row],[Target Time (Hours)]]-Table1[[#This Row],[Downtime (Hours)]])</f>
        <v>19</v>
      </c>
      <c r="M237" s="49">
        <f>IFERROR(Table1[[#This Row],[Capacity (Kg)]]/Table1[[#This Row],[Target Time (Hours)]] * Table1[[#This Row],[Downtime (Hours)]], "")</f>
        <v>1063.6363636363637</v>
      </c>
      <c r="N237" s="50">
        <f>IFERROR(Table1[[#This Row],[Running Time (hr)]]/Table1[Target Time (Hours)], "")</f>
        <v>0.86363636363636365</v>
      </c>
      <c r="O237" s="50">
        <f>IFERROR(Table1[[#This Row],[Actual Production (Kg)]]/Table1[Capacity (Kg)], "")</f>
        <v>0.89102564102564108</v>
      </c>
      <c r="P237" s="50">
        <f>IFERROR(Table1[[#This Row],[Quality Pass Production]]/Table1[[#This Row],[Actual Production (Kg)]], "")</f>
        <v>1</v>
      </c>
      <c r="Q237" s="50">
        <f>IFERROR(Table1[[#This Row],[Utilization %]]*Table1[[#This Row],[Efficiency %]]*Table1[[#This Row],[Quality %]], "")</f>
        <v>0.76952214452214462</v>
      </c>
      <c r="R237" s="48" t="s">
        <v>89</v>
      </c>
    </row>
    <row r="238" spans="1:18" ht="30" customHeight="1" x14ac:dyDescent="0.25">
      <c r="A238" s="47">
        <v>46130</v>
      </c>
      <c r="B238" s="48" t="s">
        <v>18</v>
      </c>
      <c r="C238" s="48" t="s">
        <v>30</v>
      </c>
      <c r="D238" s="48" t="s">
        <v>31</v>
      </c>
      <c r="E238" s="49">
        <v>9000</v>
      </c>
      <c r="F238" s="76">
        <v>0</v>
      </c>
      <c r="G238" s="49">
        <v>0</v>
      </c>
      <c r="H238" s="50" t="str">
        <f>IFERROR(Table1[Re-process (Kg)]/Table1[Actual Production (Kg)], "")</f>
        <v/>
      </c>
      <c r="I238" s="49">
        <f>IFERROR(Table1[[#This Row],[Actual Production (Kg)]]-Table1[[#This Row],[Re-process (Kg)]], "")</f>
        <v>0</v>
      </c>
      <c r="J238" s="49">
        <v>22</v>
      </c>
      <c r="K238" s="72">
        <v>0</v>
      </c>
      <c r="L238" s="49">
        <f>IF(Table1[[#This Row],[Target Time (Hours)]]="","",Table1[[#This Row],[Target Time (Hours)]]-Table1[[#This Row],[Downtime (Hours)]])</f>
        <v>22</v>
      </c>
      <c r="M238" s="49">
        <f>IFERROR(Table1[[#This Row],[Capacity (Kg)]]/Table1[[#This Row],[Target Time (Hours)]] * Table1[[#This Row],[Downtime (Hours)]], "")</f>
        <v>0</v>
      </c>
      <c r="N238" s="50">
        <f>IFERROR(Table1[[#This Row],[Running Time (hr)]]/Table1[Target Time (Hours)], "")</f>
        <v>1</v>
      </c>
      <c r="O238" s="50">
        <f>IFERROR(Table1[[#This Row],[Actual Production (Kg)]]/Table1[Capacity (Kg)], "")</f>
        <v>0</v>
      </c>
      <c r="P238" s="50" t="str">
        <f>IFERROR(Table1[[#This Row],[Quality Pass Production]]/Table1[[#This Row],[Actual Production (Kg)]], "")</f>
        <v/>
      </c>
      <c r="Q238" s="50" t="str">
        <f>IFERROR(Table1[[#This Row],[Utilization %]]*Table1[[#This Row],[Efficiency %]]*Table1[[#This Row],[Quality %]], "")</f>
        <v/>
      </c>
      <c r="R238" s="48" t="s">
        <v>89</v>
      </c>
    </row>
    <row r="239" spans="1:18" ht="30" customHeight="1" x14ac:dyDescent="0.25">
      <c r="A239" s="26">
        <v>46130</v>
      </c>
      <c r="B239" s="27" t="s">
        <v>18</v>
      </c>
      <c r="C239" s="27" t="s">
        <v>32</v>
      </c>
      <c r="D239" s="27" t="s">
        <v>31</v>
      </c>
      <c r="E239" s="79">
        <f>Table1[[#This Row],[Actual Production (Kg)]]</f>
        <v>0</v>
      </c>
      <c r="F239" s="79">
        <v>0</v>
      </c>
      <c r="G239" s="79"/>
      <c r="H239" s="28"/>
      <c r="I239" s="79"/>
      <c r="J239" s="79"/>
      <c r="K239" s="27"/>
      <c r="L239" s="53" t="str">
        <f>IF(Table1[[#This Row],[Target Time (Hours)]]="","",Table1[[#This Row],[Target Time (Hours)]]-Table1[[#This Row],[Downtime (Hours)]])</f>
        <v/>
      </c>
      <c r="M239" s="79"/>
      <c r="N239" s="28"/>
      <c r="O239" s="28"/>
      <c r="P239" s="28"/>
      <c r="Q239" s="28"/>
      <c r="R239" s="27" t="s">
        <v>64</v>
      </c>
    </row>
    <row r="240" spans="1:18" ht="30" customHeight="1" x14ac:dyDescent="0.25">
      <c r="A240" s="47">
        <v>46130</v>
      </c>
      <c r="B240" s="48" t="s">
        <v>33</v>
      </c>
      <c r="C240" s="48" t="s">
        <v>34</v>
      </c>
      <c r="D240" s="48" t="s">
        <v>35</v>
      </c>
      <c r="E240" s="49">
        <v>9000</v>
      </c>
      <c r="F240" s="76">
        <v>5619</v>
      </c>
      <c r="G240" s="49">
        <v>0</v>
      </c>
      <c r="H240" s="50">
        <f>IFERROR(Table1[Re-process (Kg)]/Table1[Actual Production (Kg)], "")</f>
        <v>0</v>
      </c>
      <c r="I240" s="49">
        <f>IFERROR(Table1[[#This Row],[Actual Production (Kg)]]-Table1[[#This Row],[Re-process (Kg)]], "")</f>
        <v>5619</v>
      </c>
      <c r="J240" s="49">
        <v>22</v>
      </c>
      <c r="K240" s="72">
        <v>3</v>
      </c>
      <c r="L240" s="49">
        <f>IF(Table1[[#This Row],[Target Time (Hours)]]="","",Table1[[#This Row],[Target Time (Hours)]]-Table1[[#This Row],[Downtime (Hours)]])</f>
        <v>19</v>
      </c>
      <c r="M240" s="49">
        <f>IFERROR(Table1[[#This Row],[Capacity (Kg)]]/Table1[[#This Row],[Target Time (Hours)]] * Table1[[#This Row],[Downtime (Hours)]], "")</f>
        <v>1227.2727272727273</v>
      </c>
      <c r="N240" s="50">
        <f>IFERROR(Table1[[#This Row],[Running Time (hr)]]/Table1[Target Time (Hours)], "")</f>
        <v>0.86363636363636365</v>
      </c>
      <c r="O240" s="50">
        <f>IFERROR(Table1[[#This Row],[Actual Production (Kg)]]/Table1[Capacity (Kg)], "")</f>
        <v>0.6243333333333333</v>
      </c>
      <c r="P240" s="50">
        <f>IFERROR(Table1[[#This Row],[Quality Pass Production]]/Table1[[#This Row],[Actual Production (Kg)]], "")</f>
        <v>1</v>
      </c>
      <c r="Q240" s="50">
        <f>IFERROR(Table1[[#This Row],[Utilization %]]*Table1[[#This Row],[Efficiency %]]*Table1[[#This Row],[Quality %]], "")</f>
        <v>0.53919696969696962</v>
      </c>
      <c r="R240" s="48" t="s">
        <v>90</v>
      </c>
    </row>
    <row r="241" spans="1:18" x14ac:dyDescent="0.25">
      <c r="A241" s="47">
        <v>46130</v>
      </c>
      <c r="B241" s="48" t="s">
        <v>33</v>
      </c>
      <c r="C241" s="48" t="s">
        <v>36</v>
      </c>
      <c r="D241" s="48" t="s">
        <v>37</v>
      </c>
      <c r="E241" s="49">
        <v>8000</v>
      </c>
      <c r="F241" s="76">
        <v>3938</v>
      </c>
      <c r="G241" s="49">
        <v>0</v>
      </c>
      <c r="H241" s="50">
        <f>IFERROR(Table1[Re-process (Kg)]/Table1[Actual Production (Kg)], "")</f>
        <v>0</v>
      </c>
      <c r="I241" s="49">
        <f>IFERROR(Table1[[#This Row],[Actual Production (Kg)]]-Table1[[#This Row],[Re-process (Kg)]], "")</f>
        <v>3938</v>
      </c>
      <c r="J241" s="49">
        <v>22</v>
      </c>
      <c r="K241" s="72">
        <v>0</v>
      </c>
      <c r="L241" s="49">
        <f>IF(Table1[[#This Row],[Target Time (Hours)]]="","",Table1[[#This Row],[Target Time (Hours)]]-Table1[[#This Row],[Downtime (Hours)]])</f>
        <v>22</v>
      </c>
      <c r="M241" s="49">
        <f>IFERROR(Table1[[#This Row],[Capacity (Kg)]]/Table1[[#This Row],[Target Time (Hours)]] * Table1[[#This Row],[Downtime (Hours)]], "")</f>
        <v>0</v>
      </c>
      <c r="N241" s="50">
        <f>IFERROR(Table1[[#This Row],[Running Time (hr)]]/Table1[Target Time (Hours)], "")</f>
        <v>1</v>
      </c>
      <c r="O241" s="50">
        <f>IFERROR(Table1[[#This Row],[Actual Production (Kg)]]/Table1[Capacity (Kg)], "")</f>
        <v>0.49225000000000002</v>
      </c>
      <c r="P241" s="50">
        <f>IFERROR(Table1[[#This Row],[Quality Pass Production]]/Table1[[#This Row],[Actual Production (Kg)]], "")</f>
        <v>1</v>
      </c>
      <c r="Q241" s="50">
        <f>IFERROR(Table1[[#This Row],[Utilization %]]*Table1[[#This Row],[Efficiency %]]*Table1[[#This Row],[Quality %]], "")</f>
        <v>0.49225000000000002</v>
      </c>
      <c r="R241" s="48" t="s">
        <v>64</v>
      </c>
    </row>
    <row r="242" spans="1:18" ht="30" customHeight="1" x14ac:dyDescent="0.25">
      <c r="A242" s="47">
        <v>46130</v>
      </c>
      <c r="B242" s="48" t="s">
        <v>33</v>
      </c>
      <c r="C242" s="48" t="s">
        <v>39</v>
      </c>
      <c r="D242" s="48" t="s">
        <v>31</v>
      </c>
      <c r="E242" s="49">
        <v>6000</v>
      </c>
      <c r="F242" s="76">
        <v>3137</v>
      </c>
      <c r="G242" s="49">
        <v>0</v>
      </c>
      <c r="H242" s="50">
        <f>IFERROR(Table1[Re-process (Kg)]/Table1[Actual Production (Kg)], "")</f>
        <v>0</v>
      </c>
      <c r="I242" s="49">
        <f>IFERROR(Table1[[#This Row],[Actual Production (Kg)]]-Table1[[#This Row],[Re-process (Kg)]], "")</f>
        <v>3137</v>
      </c>
      <c r="J242" s="49">
        <v>22</v>
      </c>
      <c r="K242" s="72">
        <v>8</v>
      </c>
      <c r="L242" s="49">
        <f>IF(Table1[[#This Row],[Target Time (Hours)]]="","",Table1[[#This Row],[Target Time (Hours)]]-Table1[[#This Row],[Downtime (Hours)]])</f>
        <v>14</v>
      </c>
      <c r="M242" s="49">
        <f>IFERROR(Table1[[#This Row],[Capacity (Kg)]]/Table1[[#This Row],[Target Time (Hours)]] * Table1[[#This Row],[Downtime (Hours)]], "")</f>
        <v>2181.818181818182</v>
      </c>
      <c r="N242" s="50">
        <f>IFERROR(Table1[[#This Row],[Running Time (hr)]]/Table1[Target Time (Hours)], "")</f>
        <v>0.63636363636363635</v>
      </c>
      <c r="O242" s="50">
        <f>IFERROR(Table1[[#This Row],[Actual Production (Kg)]]/Table1[Capacity (Kg)], "")</f>
        <v>0.52283333333333337</v>
      </c>
      <c r="P242" s="50">
        <f>IFERROR(Table1[[#This Row],[Quality Pass Production]]/Table1[[#This Row],[Actual Production (Kg)]], "")</f>
        <v>1</v>
      </c>
      <c r="Q242" s="50">
        <f>IFERROR(Table1[[#This Row],[Utilization %]]*Table1[[#This Row],[Efficiency %]]*Table1[[#This Row],[Quality %]], "")</f>
        <v>0.33271212121212124</v>
      </c>
      <c r="R242" s="48" t="s">
        <v>91</v>
      </c>
    </row>
    <row r="243" spans="1:18" ht="45" customHeight="1" x14ac:dyDescent="0.25">
      <c r="A243" s="54">
        <v>46130</v>
      </c>
      <c r="B243" s="55" t="s">
        <v>33</v>
      </c>
      <c r="C243" s="55" t="s">
        <v>40</v>
      </c>
      <c r="D243" s="55" t="s">
        <v>31</v>
      </c>
      <c r="E243" s="56">
        <v>5000</v>
      </c>
      <c r="F243" s="56">
        <v>9623</v>
      </c>
      <c r="G243" s="56">
        <v>0</v>
      </c>
      <c r="H243" s="58">
        <f>IFERROR(Table1[Re-process (Kg)]/Table1[Actual Production (Kg)], "")</f>
        <v>0</v>
      </c>
      <c r="I243" s="56">
        <f>IFERROR(Table1[[#This Row],[Actual Production (Kg)]]-Table1[[#This Row],[Re-process (Kg)]], "")</f>
        <v>9623</v>
      </c>
      <c r="J243" s="56">
        <v>22</v>
      </c>
      <c r="K243" s="55">
        <v>0</v>
      </c>
      <c r="L243" s="56">
        <f>IF(Table1[[#This Row],[Target Time (Hours)]]="","",Table1[[#This Row],[Target Time (Hours)]]-Table1[[#This Row],[Downtime (Hours)]])</f>
        <v>22</v>
      </c>
      <c r="M243" s="56">
        <f>IFERROR(Table1[[#This Row],[Capacity (Kg)]]/Table1[[#This Row],[Target Time (Hours)]] * Table1[[#This Row],[Downtime (Hours)]], "")</f>
        <v>0</v>
      </c>
      <c r="N243" s="58">
        <f>IFERROR(Table1[[#This Row],[Running Time (hr)]]/Table1[Target Time (Hours)], "")</f>
        <v>1</v>
      </c>
      <c r="O243" s="58">
        <f>IFERROR(Table1[[#This Row],[Actual Production (Kg)]]/Table1[Capacity (Kg)], "")</f>
        <v>1.9246000000000001</v>
      </c>
      <c r="P243" s="58">
        <f>IFERROR(Table1[[#This Row],[Quality Pass Production]]/Table1[[#This Row],[Actual Production (Kg)]], "")</f>
        <v>1</v>
      </c>
      <c r="Q243" s="58">
        <f>IFERROR(Table1[[#This Row],[Utilization %]]*Table1[[#This Row],[Efficiency %]]*Table1[[#This Row],[Quality %]], "")</f>
        <v>1.9246000000000001</v>
      </c>
      <c r="R243" s="55" t="s">
        <v>89</v>
      </c>
    </row>
    <row r="244" spans="1:18" ht="30" customHeight="1" x14ac:dyDescent="0.25">
      <c r="A244" s="47">
        <v>46131</v>
      </c>
      <c r="B244" s="48" t="s">
        <v>18</v>
      </c>
      <c r="C244" s="48" t="s">
        <v>19</v>
      </c>
      <c r="D244" s="48" t="s">
        <v>20</v>
      </c>
      <c r="E244" s="49">
        <v>10000</v>
      </c>
      <c r="F244" s="76">
        <v>2816</v>
      </c>
      <c r="G244" s="49">
        <v>0</v>
      </c>
      <c r="H244" s="50">
        <f>IFERROR(Table1[Re-process (Kg)]/Table1[Actual Production (Kg)], "")</f>
        <v>0</v>
      </c>
      <c r="I244" s="49">
        <f>IFERROR(Table1[[#This Row],[Actual Production (Kg)]]-Table1[[#This Row],[Re-process (Kg)]], "")</f>
        <v>2816</v>
      </c>
      <c r="J244" s="49">
        <v>22</v>
      </c>
      <c r="K244" s="72">
        <v>0</v>
      </c>
      <c r="L244" s="49">
        <f>IF(Table1[[#This Row],[Target Time (Hours)]]="","",Table1[[#This Row],[Target Time (Hours)]]-Table1[[#This Row],[Downtime (Hours)]])</f>
        <v>22</v>
      </c>
      <c r="M244" s="49">
        <f>IFERROR(Table1[[#This Row],[Capacity (Kg)]]/Table1[[#This Row],[Target Time (Hours)]] * Table1[[#This Row],[Downtime (Hours)]], "")</f>
        <v>0</v>
      </c>
      <c r="N244" s="50">
        <f>IFERROR(Table1[[#This Row],[Running Time (hr)]]/Table1[Target Time (Hours)], "")</f>
        <v>1</v>
      </c>
      <c r="O244" s="50">
        <f>IFERROR(Table1[[#This Row],[Actual Production (Kg)]]/Table1[Capacity (Kg)], "")</f>
        <v>0.28160000000000002</v>
      </c>
      <c r="P244" s="50">
        <f>IFERROR(Table1[[#This Row],[Quality Pass Production]]/Table1[[#This Row],[Actual Production (Kg)]], "")</f>
        <v>1</v>
      </c>
      <c r="Q244" s="50">
        <f>IFERROR(Table1[[#This Row],[Utilization %]]*Table1[[#This Row],[Efficiency %]]*Table1[[#This Row],[Quality %]], "")</f>
        <v>0.28160000000000002</v>
      </c>
      <c r="R244" s="48" t="s">
        <v>89</v>
      </c>
    </row>
    <row r="245" spans="1:18" x14ac:dyDescent="0.25">
      <c r="A245" s="47">
        <v>46131</v>
      </c>
      <c r="B245" s="48" t="s">
        <v>18</v>
      </c>
      <c r="C245" s="48" t="s">
        <v>22</v>
      </c>
      <c r="D245" s="48" t="s">
        <v>23</v>
      </c>
      <c r="E245" s="49">
        <v>5000</v>
      </c>
      <c r="F245" s="76">
        <v>5466</v>
      </c>
      <c r="G245" s="49">
        <v>0</v>
      </c>
      <c r="H245" s="50">
        <f>IFERROR(Table1[Re-process (Kg)]/Table1[Actual Production (Kg)], "")</f>
        <v>0</v>
      </c>
      <c r="I245" s="49">
        <f>IFERROR(Table1[[#This Row],[Actual Production (Kg)]]-Table1[[#This Row],[Re-process (Kg)]], "")</f>
        <v>5466</v>
      </c>
      <c r="J245" s="49"/>
      <c r="K245" s="72"/>
      <c r="L245" s="49" t="str">
        <f>IF(Table1[[#This Row],[Target Time (Hours)]]="","",Table1[[#This Row],[Target Time (Hours)]]-Table1[[#This Row],[Downtime (Hours)]])</f>
        <v/>
      </c>
      <c r="M245" s="49" t="str">
        <f>IFERROR(Table1[[#This Row],[Capacity (Kg)]]/Table1[[#This Row],[Target Time (Hours)]] * Table1[[#This Row],[Downtime (Hours)]], "")</f>
        <v/>
      </c>
      <c r="N245" s="50" t="str">
        <f>IFERROR(Table1[[#This Row],[Running Time (hr)]]/Table1[Target Time (Hours)], "")</f>
        <v/>
      </c>
      <c r="O245" s="50">
        <f>IFERROR(Table1[[#This Row],[Actual Production (Kg)]]/Table1[Capacity (Kg)], "")</f>
        <v>1.0931999999999999</v>
      </c>
      <c r="P245" s="50">
        <f>IFERROR(Table1[[#This Row],[Quality Pass Production]]/Table1[[#This Row],[Actual Production (Kg)]], "")</f>
        <v>1</v>
      </c>
      <c r="Q245" s="50" t="str">
        <f>IFERROR(Table1[[#This Row],[Utilization %]]*Table1[[#This Row],[Efficiency %]]*Table1[[#This Row],[Quality %]], "")</f>
        <v/>
      </c>
      <c r="R245" s="48" t="s">
        <v>89</v>
      </c>
    </row>
    <row r="246" spans="1:18" x14ac:dyDescent="0.25">
      <c r="A246" s="47">
        <v>46131</v>
      </c>
      <c r="B246" s="48" t="s">
        <v>18</v>
      </c>
      <c r="C246" s="48" t="s">
        <v>22</v>
      </c>
      <c r="D246" s="48" t="s">
        <v>25</v>
      </c>
      <c r="E246" s="49">
        <v>4000</v>
      </c>
      <c r="F246" s="76">
        <v>7522</v>
      </c>
      <c r="G246" s="49">
        <v>0</v>
      </c>
      <c r="H246" s="50">
        <f>IFERROR(Table1[Re-process (Kg)]/Table1[Actual Production (Kg)], "")</f>
        <v>0</v>
      </c>
      <c r="I246" s="49">
        <f>IFERROR(Table1[[#This Row],[Actual Production (Kg)]]-Table1[[#This Row],[Re-process (Kg)]], "")</f>
        <v>7522</v>
      </c>
      <c r="J246" s="49">
        <v>22</v>
      </c>
      <c r="K246" s="72">
        <v>0</v>
      </c>
      <c r="L246" s="49">
        <f>IF(Table1[[#This Row],[Target Time (Hours)]]="","",Table1[[#This Row],[Target Time (Hours)]]-Table1[[#This Row],[Downtime (Hours)]])</f>
        <v>22</v>
      </c>
      <c r="M246" s="49">
        <f>IFERROR(Table1[[#This Row],[Capacity (Kg)]]/Table1[[#This Row],[Target Time (Hours)]] * Table1[[#This Row],[Downtime (Hours)]], "")</f>
        <v>0</v>
      </c>
      <c r="N246" s="50">
        <f>IFERROR(Table1[[#This Row],[Running Time (hr)]]/Table1[Target Time (Hours)], "")</f>
        <v>1</v>
      </c>
      <c r="O246" s="50">
        <f>IFERROR(Table1[[#This Row],[Actual Production (Kg)]]/Table1[Capacity (Kg)], "")</f>
        <v>1.8805000000000001</v>
      </c>
      <c r="P246" s="50">
        <f>IFERROR(Table1[[#This Row],[Quality Pass Production]]/Table1[[#This Row],[Actual Production (Kg)]], "")</f>
        <v>1</v>
      </c>
      <c r="Q246" s="50">
        <f>IFERROR(Table1[[#This Row],[Utilization %]]*Table1[[#This Row],[Efficiency %]]*Table1[[#This Row],[Quality %]], "")</f>
        <v>1.8805000000000001</v>
      </c>
      <c r="R246" s="48" t="s">
        <v>89</v>
      </c>
    </row>
    <row r="247" spans="1:18" x14ac:dyDescent="0.25">
      <c r="A247" s="47">
        <v>46131</v>
      </c>
      <c r="B247" s="48" t="s">
        <v>18</v>
      </c>
      <c r="C247" s="48" t="s">
        <v>26</v>
      </c>
      <c r="D247" s="48" t="s">
        <v>25</v>
      </c>
      <c r="E247" s="49">
        <v>7000</v>
      </c>
      <c r="F247" s="76"/>
      <c r="G247" s="49">
        <v>0</v>
      </c>
      <c r="H247" s="50" t="str">
        <f>IFERROR(Table1[Re-process (Kg)]/Table1[Actual Production (Kg)], "")</f>
        <v/>
      </c>
      <c r="I247" s="49">
        <f>IFERROR(Table1[[#This Row],[Actual Production (Kg)]]-Table1[[#This Row],[Re-process (Kg)]], "")</f>
        <v>0</v>
      </c>
      <c r="J247" s="49"/>
      <c r="K247" s="72"/>
      <c r="L247" s="49" t="str">
        <f>IF(Table1[[#This Row],[Target Time (Hours)]]="","",Table1[[#This Row],[Target Time (Hours)]]-Table1[[#This Row],[Downtime (Hours)]])</f>
        <v/>
      </c>
      <c r="M247" s="49" t="str">
        <f>IFERROR(Table1[[#This Row],[Capacity (Kg)]]/Table1[[#This Row],[Target Time (Hours)]] * Table1[[#This Row],[Downtime (Hours)]], "")</f>
        <v/>
      </c>
      <c r="N247" s="50" t="str">
        <f>IFERROR(Table1[[#This Row],[Running Time (hr)]]/Table1[Target Time (Hours)], "")</f>
        <v/>
      </c>
      <c r="O247" s="50">
        <f>IFERROR(Table1[[#This Row],[Actual Production (Kg)]]/Table1[Capacity (Kg)], "")</f>
        <v>0</v>
      </c>
      <c r="P247" s="50" t="str">
        <f>IFERROR(Table1[[#This Row],[Quality Pass Production]]/Table1[[#This Row],[Actual Production (Kg)]], "")</f>
        <v/>
      </c>
      <c r="Q247" s="50" t="str">
        <f>IFERROR(Table1[[#This Row],[Utilization %]]*Table1[[#This Row],[Efficiency %]]*Table1[[#This Row],[Quality %]], "")</f>
        <v/>
      </c>
    </row>
    <row r="248" spans="1:18" ht="30" customHeight="1" x14ac:dyDescent="0.25">
      <c r="A248" s="47">
        <v>46131</v>
      </c>
      <c r="B248" s="48" t="s">
        <v>18</v>
      </c>
      <c r="C248" s="48" t="s">
        <v>28</v>
      </c>
      <c r="D248" s="48" t="s">
        <v>29</v>
      </c>
      <c r="E248" s="49">
        <v>7800</v>
      </c>
      <c r="F248" s="76">
        <v>8006</v>
      </c>
      <c r="G248" s="49">
        <v>0</v>
      </c>
      <c r="H248" s="50">
        <f>IFERROR(Table1[Re-process (Kg)]/Table1[Actual Production (Kg)], "")</f>
        <v>0</v>
      </c>
      <c r="I248" s="49">
        <f>IFERROR(Table1[[#This Row],[Actual Production (Kg)]]-Table1[[#This Row],[Re-process (Kg)]], "")</f>
        <v>8006</v>
      </c>
      <c r="J248" s="49">
        <v>22</v>
      </c>
      <c r="K248" s="72">
        <v>3</v>
      </c>
      <c r="L248" s="49">
        <f>IF(Table1[[#This Row],[Target Time (Hours)]]="","",Table1[[#This Row],[Target Time (Hours)]]-Table1[[#This Row],[Downtime (Hours)]])</f>
        <v>19</v>
      </c>
      <c r="M248" s="49">
        <f>IFERROR(Table1[[#This Row],[Capacity (Kg)]]/Table1[[#This Row],[Target Time (Hours)]] * Table1[[#This Row],[Downtime (Hours)]], "")</f>
        <v>1063.6363636363637</v>
      </c>
      <c r="N248" s="50">
        <f>IFERROR(Table1[[#This Row],[Running Time (hr)]]/Table1[Target Time (Hours)], "")</f>
        <v>0.86363636363636365</v>
      </c>
      <c r="O248" s="50">
        <f>IFERROR(Table1[[#This Row],[Actual Production (Kg)]]/Table1[Capacity (Kg)], "")</f>
        <v>1.0264102564102564</v>
      </c>
      <c r="P248" s="50">
        <f>IFERROR(Table1[[#This Row],[Quality Pass Production]]/Table1[[#This Row],[Actual Production (Kg)]], "")</f>
        <v>1</v>
      </c>
      <c r="Q248" s="50">
        <f>IFERROR(Table1[[#This Row],[Utilization %]]*Table1[[#This Row],[Efficiency %]]*Table1[[#This Row],[Quality %]], "")</f>
        <v>0.88644522144522142</v>
      </c>
      <c r="R248" s="48" t="s">
        <v>92</v>
      </c>
    </row>
    <row r="249" spans="1:18" ht="30" customHeight="1" x14ac:dyDescent="0.25">
      <c r="A249" s="47">
        <v>46131</v>
      </c>
      <c r="B249" s="48" t="s">
        <v>18</v>
      </c>
      <c r="C249" s="48" t="s">
        <v>30</v>
      </c>
      <c r="D249" s="48" t="s">
        <v>31</v>
      </c>
      <c r="E249" s="49">
        <v>9000</v>
      </c>
      <c r="F249" s="76">
        <v>0</v>
      </c>
      <c r="G249" s="49">
        <v>0</v>
      </c>
      <c r="H249" s="50" t="str">
        <f>IFERROR(Table1[Re-process (Kg)]/Table1[Actual Production (Kg)], "")</f>
        <v/>
      </c>
      <c r="I249" s="49">
        <f>IFERROR(Table1[[#This Row],[Actual Production (Kg)]]-Table1[[#This Row],[Re-process (Kg)]], "")</f>
        <v>0</v>
      </c>
      <c r="J249" s="49">
        <v>22</v>
      </c>
      <c r="K249" s="72">
        <v>0</v>
      </c>
      <c r="L249" s="49">
        <f>IF(Table1[[#This Row],[Target Time (Hours)]]="","",Table1[[#This Row],[Target Time (Hours)]]-Table1[[#This Row],[Downtime (Hours)]])</f>
        <v>22</v>
      </c>
      <c r="M249" s="49">
        <f>IFERROR(Table1[[#This Row],[Capacity (Kg)]]/Table1[[#This Row],[Target Time (Hours)]] * Table1[[#This Row],[Downtime (Hours)]], "")</f>
        <v>0</v>
      </c>
      <c r="N249" s="50">
        <f>IFERROR(Table1[[#This Row],[Running Time (hr)]]/Table1[Target Time (Hours)], "")</f>
        <v>1</v>
      </c>
      <c r="O249" s="50">
        <f>IFERROR(Table1[[#This Row],[Actual Production (Kg)]]/Table1[Capacity (Kg)], "")</f>
        <v>0</v>
      </c>
      <c r="P249" s="50" t="str">
        <f>IFERROR(Table1[[#This Row],[Quality Pass Production]]/Table1[[#This Row],[Actual Production (Kg)]], "")</f>
        <v/>
      </c>
      <c r="Q249" s="50" t="str">
        <f>IFERROR(Table1[[#This Row],[Utilization %]]*Table1[[#This Row],[Efficiency %]]*Table1[[#This Row],[Quality %]], "")</f>
        <v/>
      </c>
      <c r="R249" s="48" t="s">
        <v>89</v>
      </c>
    </row>
    <row r="250" spans="1:18" ht="30" customHeight="1" x14ac:dyDescent="0.25">
      <c r="A250" s="26">
        <v>46131</v>
      </c>
      <c r="B250" s="27" t="s">
        <v>18</v>
      </c>
      <c r="C250" s="27" t="s">
        <v>32</v>
      </c>
      <c r="D250" s="27" t="s">
        <v>31</v>
      </c>
      <c r="E250" s="79">
        <f>Table1[[#This Row],[Actual Production (Kg)]]</f>
        <v>0</v>
      </c>
      <c r="F250" s="79">
        <v>0</v>
      </c>
      <c r="G250" s="79"/>
      <c r="H250" s="28"/>
      <c r="I250" s="79"/>
      <c r="J250" s="79"/>
      <c r="K250" s="27"/>
      <c r="L250" s="53" t="str">
        <f>IF(Table1[[#This Row],[Target Time (Hours)]]="","",Table1[[#This Row],[Target Time (Hours)]]-Table1[[#This Row],[Downtime (Hours)]])</f>
        <v/>
      </c>
      <c r="M250" s="79"/>
      <c r="N250" s="28"/>
      <c r="O250" s="28"/>
      <c r="P250" s="28"/>
      <c r="Q250" s="28"/>
      <c r="R250" s="27" t="s">
        <v>64</v>
      </c>
    </row>
    <row r="251" spans="1:18" ht="45" customHeight="1" x14ac:dyDescent="0.25">
      <c r="A251" s="47">
        <v>46131</v>
      </c>
      <c r="B251" s="48" t="s">
        <v>33</v>
      </c>
      <c r="C251" s="48" t="s">
        <v>34</v>
      </c>
      <c r="D251" s="48" t="s">
        <v>35</v>
      </c>
      <c r="E251" s="49">
        <v>9000</v>
      </c>
      <c r="F251" s="76">
        <v>4664</v>
      </c>
      <c r="G251" s="49">
        <v>0</v>
      </c>
      <c r="H251" s="50">
        <f>IFERROR(Table1[Re-process (Kg)]/Table1[Actual Production (Kg)], "")</f>
        <v>0</v>
      </c>
      <c r="I251" s="49">
        <f>IFERROR(Table1[[#This Row],[Actual Production (Kg)]]-Table1[[#This Row],[Re-process (Kg)]], "")</f>
        <v>4664</v>
      </c>
      <c r="J251" s="49">
        <v>22</v>
      </c>
      <c r="K251" s="72">
        <v>7</v>
      </c>
      <c r="L251" s="49">
        <f>IF(Table1[[#This Row],[Target Time (Hours)]]="","",Table1[[#This Row],[Target Time (Hours)]]-Table1[[#This Row],[Downtime (Hours)]])</f>
        <v>15</v>
      </c>
      <c r="M251" s="49">
        <f>IFERROR(Table1[[#This Row],[Capacity (Kg)]]/Table1[[#This Row],[Target Time (Hours)]] * Table1[[#This Row],[Downtime (Hours)]], "")</f>
        <v>2863.6363636363635</v>
      </c>
      <c r="N251" s="50">
        <f>IFERROR(Table1[[#This Row],[Running Time (hr)]]/Table1[Target Time (Hours)], "")</f>
        <v>0.68181818181818177</v>
      </c>
      <c r="O251" s="50">
        <f>IFERROR(Table1[[#This Row],[Actual Production (Kg)]]/Table1[Capacity (Kg)], "")</f>
        <v>0.51822222222222225</v>
      </c>
      <c r="P251" s="50">
        <f>IFERROR(Table1[[#This Row],[Quality Pass Production]]/Table1[[#This Row],[Actual Production (Kg)]], "")</f>
        <v>1</v>
      </c>
      <c r="Q251" s="50">
        <f>IFERROR(Table1[[#This Row],[Utilization %]]*Table1[[#This Row],[Efficiency %]]*Table1[[#This Row],[Quality %]], "")</f>
        <v>0.35333333333333333</v>
      </c>
      <c r="R251" s="48" t="s">
        <v>93</v>
      </c>
    </row>
    <row r="252" spans="1:18" x14ac:dyDescent="0.25">
      <c r="A252" s="47">
        <v>46131</v>
      </c>
      <c r="B252" s="48" t="s">
        <v>33</v>
      </c>
      <c r="C252" s="48" t="s">
        <v>36</v>
      </c>
      <c r="D252" s="48" t="s">
        <v>37</v>
      </c>
      <c r="E252" s="49">
        <v>8000</v>
      </c>
      <c r="F252" s="76">
        <v>3306</v>
      </c>
      <c r="G252" s="49">
        <v>0</v>
      </c>
      <c r="H252" s="50">
        <f>IFERROR(Table1[Re-process (Kg)]/Table1[Actual Production (Kg)], "")</f>
        <v>0</v>
      </c>
      <c r="I252" s="49">
        <f>IFERROR(Table1[[#This Row],[Actual Production (Kg)]]-Table1[[#This Row],[Re-process (Kg)]], "")</f>
        <v>3306</v>
      </c>
      <c r="J252" s="49">
        <v>22</v>
      </c>
      <c r="K252" s="72">
        <v>0</v>
      </c>
      <c r="L252" s="49">
        <f>IF(Table1[[#This Row],[Target Time (Hours)]]="","",Table1[[#This Row],[Target Time (Hours)]]-Table1[[#This Row],[Downtime (Hours)]])</f>
        <v>22</v>
      </c>
      <c r="M252" s="49">
        <f>IFERROR(Table1[[#This Row],[Capacity (Kg)]]/Table1[[#This Row],[Target Time (Hours)]] * Table1[[#This Row],[Downtime (Hours)]], "")</f>
        <v>0</v>
      </c>
      <c r="N252" s="50">
        <f>IFERROR(Table1[[#This Row],[Running Time (hr)]]/Table1[Target Time (Hours)], "")</f>
        <v>1</v>
      </c>
      <c r="O252" s="50">
        <f>IFERROR(Table1[[#This Row],[Actual Production (Kg)]]/Table1[Capacity (Kg)], "")</f>
        <v>0.41325000000000001</v>
      </c>
      <c r="P252" s="50">
        <f>IFERROR(Table1[[#This Row],[Quality Pass Production]]/Table1[[#This Row],[Actual Production (Kg)]], "")</f>
        <v>1</v>
      </c>
      <c r="Q252" s="50">
        <f>IFERROR(Table1[[#This Row],[Utilization %]]*Table1[[#This Row],[Efficiency %]]*Table1[[#This Row],[Quality %]], "")</f>
        <v>0.41325000000000001</v>
      </c>
      <c r="R252" s="48" t="s">
        <v>64</v>
      </c>
    </row>
    <row r="253" spans="1:18" ht="30" customHeight="1" x14ac:dyDescent="0.25">
      <c r="A253" s="47">
        <v>46131</v>
      </c>
      <c r="B253" s="48" t="s">
        <v>33</v>
      </c>
      <c r="C253" s="48" t="s">
        <v>39</v>
      </c>
      <c r="D253" s="48" t="s">
        <v>31</v>
      </c>
      <c r="E253" s="49">
        <v>6000</v>
      </c>
      <c r="F253" s="76">
        <v>2858</v>
      </c>
      <c r="G253" s="49">
        <v>0</v>
      </c>
      <c r="H253" s="50">
        <f>IFERROR(Table1[Re-process (Kg)]/Table1[Actual Production (Kg)], "")</f>
        <v>0</v>
      </c>
      <c r="I253" s="49">
        <f>IFERROR(Table1[[#This Row],[Actual Production (Kg)]]-Table1[[#This Row],[Re-process (Kg)]], "")</f>
        <v>2858</v>
      </c>
      <c r="J253" s="49">
        <v>22</v>
      </c>
      <c r="K253" s="72">
        <v>8</v>
      </c>
      <c r="L253" s="49">
        <f>IF(Table1[[#This Row],[Target Time (Hours)]]="","",Table1[[#This Row],[Target Time (Hours)]]-Table1[[#This Row],[Downtime (Hours)]])</f>
        <v>14</v>
      </c>
      <c r="M253" s="49">
        <f>IFERROR(Table1[[#This Row],[Capacity (Kg)]]/Table1[[#This Row],[Target Time (Hours)]] * Table1[[#This Row],[Downtime (Hours)]], "")</f>
        <v>2181.818181818182</v>
      </c>
      <c r="N253" s="50">
        <f>IFERROR(Table1[[#This Row],[Running Time (hr)]]/Table1[Target Time (Hours)], "")</f>
        <v>0.63636363636363635</v>
      </c>
      <c r="O253" s="50">
        <f>IFERROR(Table1[[#This Row],[Actual Production (Kg)]]/Table1[Capacity (Kg)], "")</f>
        <v>0.47633333333333333</v>
      </c>
      <c r="P253" s="50">
        <f>IFERROR(Table1[[#This Row],[Quality Pass Production]]/Table1[[#This Row],[Actual Production (Kg)]], "")</f>
        <v>1</v>
      </c>
      <c r="Q253" s="50">
        <f>IFERROR(Table1[[#This Row],[Utilization %]]*Table1[[#This Row],[Efficiency %]]*Table1[[#This Row],[Quality %]], "")</f>
        <v>0.30312121212121212</v>
      </c>
      <c r="R253" s="48" t="s">
        <v>64</v>
      </c>
    </row>
    <row r="254" spans="1:18" ht="45" customHeight="1" x14ac:dyDescent="0.25">
      <c r="A254" s="54">
        <v>46131</v>
      </c>
      <c r="B254" s="55" t="s">
        <v>33</v>
      </c>
      <c r="C254" s="55" t="s">
        <v>40</v>
      </c>
      <c r="D254" s="55" t="s">
        <v>31</v>
      </c>
      <c r="E254" s="56">
        <v>5000</v>
      </c>
      <c r="F254" s="56">
        <v>7848</v>
      </c>
      <c r="G254" s="56">
        <v>0</v>
      </c>
      <c r="H254" s="58">
        <f>IFERROR(Table1[Re-process (Kg)]/Table1[Actual Production (Kg)], "")</f>
        <v>0</v>
      </c>
      <c r="I254" s="56">
        <f>IFERROR(Table1[[#This Row],[Actual Production (Kg)]]-Table1[[#This Row],[Re-process (Kg)]], "")</f>
        <v>7848</v>
      </c>
      <c r="J254" s="56">
        <v>22</v>
      </c>
      <c r="K254" s="55">
        <v>0</v>
      </c>
      <c r="L254" s="56">
        <f>IF(Table1[[#This Row],[Target Time (Hours)]]="","",Table1[[#This Row],[Target Time (Hours)]]-Table1[[#This Row],[Downtime (Hours)]])</f>
        <v>22</v>
      </c>
      <c r="M254" s="56">
        <f>IFERROR(Table1[[#This Row],[Capacity (Kg)]]/Table1[[#This Row],[Target Time (Hours)]] * Table1[[#This Row],[Downtime (Hours)]], "")</f>
        <v>0</v>
      </c>
      <c r="N254" s="58">
        <f>IFERROR(Table1[[#This Row],[Running Time (hr)]]/Table1[Target Time (Hours)], "")</f>
        <v>1</v>
      </c>
      <c r="O254" s="58">
        <f>IFERROR(Table1[[#This Row],[Actual Production (Kg)]]/Table1[Capacity (Kg)], "")</f>
        <v>1.5696000000000001</v>
      </c>
      <c r="P254" s="58">
        <f>IFERROR(Table1[[#This Row],[Quality Pass Production]]/Table1[[#This Row],[Actual Production (Kg)]], "")</f>
        <v>1</v>
      </c>
      <c r="Q254" s="58">
        <f>IFERROR(Table1[[#This Row],[Utilization %]]*Table1[[#This Row],[Efficiency %]]*Table1[[#This Row],[Quality %]], "")</f>
        <v>1.5696000000000001</v>
      </c>
      <c r="R254" s="55" t="s">
        <v>89</v>
      </c>
    </row>
    <row r="255" spans="1:18" ht="30" customHeight="1" x14ac:dyDescent="0.25">
      <c r="A255" s="47">
        <v>46132</v>
      </c>
      <c r="B255" s="48" t="s">
        <v>18</v>
      </c>
      <c r="C255" s="48" t="s">
        <v>19</v>
      </c>
      <c r="D255" s="48" t="s">
        <v>20</v>
      </c>
      <c r="E255" s="49">
        <v>10000</v>
      </c>
      <c r="F255" s="76">
        <v>4641</v>
      </c>
      <c r="G255" s="49">
        <v>0</v>
      </c>
      <c r="H255" s="50">
        <f>IFERROR(Table1[Re-process (Kg)]/Table1[Actual Production (Kg)], "")</f>
        <v>0</v>
      </c>
      <c r="I255" s="49">
        <f>IFERROR(Table1[[#This Row],[Actual Production (Kg)]]-Table1[[#This Row],[Re-process (Kg)]], "")</f>
        <v>4641</v>
      </c>
      <c r="J255" s="49">
        <v>22</v>
      </c>
      <c r="K255" s="72">
        <v>0</v>
      </c>
      <c r="L255" s="49">
        <f>IF(Table1[[#This Row],[Target Time (Hours)]]="","",Table1[[#This Row],[Target Time (Hours)]]-Table1[[#This Row],[Downtime (Hours)]])</f>
        <v>22</v>
      </c>
      <c r="M255" s="49">
        <f>IFERROR(Table1[[#This Row],[Capacity (Kg)]]/Table1[[#This Row],[Target Time (Hours)]] * Table1[[#This Row],[Downtime (Hours)]], "")</f>
        <v>0</v>
      </c>
      <c r="N255" s="50">
        <f>IFERROR(Table1[[#This Row],[Running Time (hr)]]/Table1[Target Time (Hours)], "")</f>
        <v>1</v>
      </c>
      <c r="O255" s="50">
        <f>IFERROR(Table1[[#This Row],[Actual Production (Kg)]]/Table1[Capacity (Kg)], "")</f>
        <v>0.46410000000000001</v>
      </c>
      <c r="P255" s="50">
        <f>IFERROR(Table1[[#This Row],[Quality Pass Production]]/Table1[[#This Row],[Actual Production (Kg)]], "")</f>
        <v>1</v>
      </c>
      <c r="Q255" s="50">
        <f>IFERROR(Table1[[#This Row],[Utilization %]]*Table1[[#This Row],[Efficiency %]]*Table1[[#This Row],[Quality %]], "")</f>
        <v>0.46410000000000001</v>
      </c>
      <c r="R255" s="48" t="s">
        <v>89</v>
      </c>
    </row>
    <row r="256" spans="1:18" x14ac:dyDescent="0.25">
      <c r="A256" s="47">
        <v>46132</v>
      </c>
      <c r="B256" s="48" t="s">
        <v>18</v>
      </c>
      <c r="C256" s="48" t="s">
        <v>22</v>
      </c>
      <c r="D256" s="48" t="s">
        <v>23</v>
      </c>
      <c r="E256" s="49">
        <v>5000</v>
      </c>
      <c r="F256" s="76">
        <v>2896</v>
      </c>
      <c r="G256" s="49">
        <v>0</v>
      </c>
      <c r="H256" s="50">
        <f>IFERROR(Table1[Re-process (Kg)]/Table1[Actual Production (Kg)], "")</f>
        <v>0</v>
      </c>
      <c r="I256" s="49">
        <f>IFERROR(Table1[[#This Row],[Actual Production (Kg)]]-Table1[[#This Row],[Re-process (Kg)]], "")</f>
        <v>2896</v>
      </c>
      <c r="J256" s="49"/>
      <c r="K256" s="72"/>
      <c r="L256" s="49" t="str">
        <f>IF(Table1[[#This Row],[Target Time (Hours)]]="","",Table1[[#This Row],[Target Time (Hours)]]-Table1[[#This Row],[Downtime (Hours)]])</f>
        <v/>
      </c>
      <c r="M256" s="49" t="str">
        <f>IFERROR(Table1[[#This Row],[Capacity (Kg)]]/Table1[[#This Row],[Target Time (Hours)]] * Table1[[#This Row],[Downtime (Hours)]], "")</f>
        <v/>
      </c>
      <c r="N256" s="50" t="str">
        <f>IFERROR(Table1[[#This Row],[Running Time (hr)]]/Table1[Target Time (Hours)], "")</f>
        <v/>
      </c>
      <c r="O256" s="50">
        <f>IFERROR(Table1[[#This Row],[Actual Production (Kg)]]/Table1[Capacity (Kg)], "")</f>
        <v>0.57920000000000005</v>
      </c>
      <c r="P256" s="50">
        <f>IFERROR(Table1[[#This Row],[Quality Pass Production]]/Table1[[#This Row],[Actual Production (Kg)]], "")</f>
        <v>1</v>
      </c>
      <c r="Q256" s="50" t="str">
        <f>IFERROR(Table1[[#This Row],[Utilization %]]*Table1[[#This Row],[Efficiency %]]*Table1[[#This Row],[Quality %]], "")</f>
        <v/>
      </c>
    </row>
    <row r="257" spans="1:18" x14ac:dyDescent="0.25">
      <c r="A257" s="47">
        <v>46132</v>
      </c>
      <c r="B257" s="48" t="s">
        <v>18</v>
      </c>
      <c r="C257" s="48" t="s">
        <v>22</v>
      </c>
      <c r="D257" s="48" t="s">
        <v>25</v>
      </c>
      <c r="E257" s="49">
        <v>4000</v>
      </c>
      <c r="F257" s="76">
        <v>7240</v>
      </c>
      <c r="G257" s="49">
        <v>0</v>
      </c>
      <c r="H257" s="50">
        <f>IFERROR(Table1[Re-process (Kg)]/Table1[Actual Production (Kg)], "")</f>
        <v>0</v>
      </c>
      <c r="I257" s="49">
        <f>IFERROR(Table1[[#This Row],[Actual Production (Kg)]]-Table1[[#This Row],[Re-process (Kg)]], "")</f>
        <v>7240</v>
      </c>
      <c r="J257" s="49">
        <v>22</v>
      </c>
      <c r="K257" s="72">
        <v>0</v>
      </c>
      <c r="L257" s="49">
        <f>IF(Table1[[#This Row],[Target Time (Hours)]]="","",Table1[[#This Row],[Target Time (Hours)]]-Table1[[#This Row],[Downtime (Hours)]])</f>
        <v>22</v>
      </c>
      <c r="M257" s="49">
        <f>IFERROR(Table1[[#This Row],[Capacity (Kg)]]/Table1[[#This Row],[Target Time (Hours)]] * Table1[[#This Row],[Downtime (Hours)]], "")</f>
        <v>0</v>
      </c>
      <c r="N257" s="50">
        <f>IFERROR(Table1[[#This Row],[Running Time (hr)]]/Table1[Target Time (Hours)], "")</f>
        <v>1</v>
      </c>
      <c r="O257" s="50">
        <f>IFERROR(Table1[[#This Row],[Actual Production (Kg)]]/Table1[Capacity (Kg)], "")</f>
        <v>1.81</v>
      </c>
      <c r="P257" s="50">
        <f>IFERROR(Table1[[#This Row],[Quality Pass Production]]/Table1[[#This Row],[Actual Production (Kg)]], "")</f>
        <v>1</v>
      </c>
      <c r="Q257" s="50">
        <f>IFERROR(Table1[[#This Row],[Utilization %]]*Table1[[#This Row],[Efficiency %]]*Table1[[#This Row],[Quality %]], "")</f>
        <v>1.81</v>
      </c>
      <c r="R257" s="48" t="s">
        <v>89</v>
      </c>
    </row>
    <row r="258" spans="1:18" x14ac:dyDescent="0.25">
      <c r="A258" s="47">
        <v>46132</v>
      </c>
      <c r="B258" s="48" t="s">
        <v>18</v>
      </c>
      <c r="C258" s="48" t="s">
        <v>26</v>
      </c>
      <c r="D258" s="48" t="s">
        <v>25</v>
      </c>
      <c r="E258" s="49">
        <v>7000</v>
      </c>
      <c r="F258" s="76"/>
      <c r="G258" s="49">
        <v>0</v>
      </c>
      <c r="H258" s="50" t="str">
        <f>IFERROR(Table1[Re-process (Kg)]/Table1[Actual Production (Kg)], "")</f>
        <v/>
      </c>
      <c r="I258" s="49">
        <f>IFERROR(Table1[[#This Row],[Actual Production (Kg)]]-Table1[[#This Row],[Re-process (Kg)]], "")</f>
        <v>0</v>
      </c>
      <c r="J258" s="49"/>
      <c r="K258" s="72"/>
      <c r="L258" s="49" t="str">
        <f>IF(Table1[[#This Row],[Target Time (Hours)]]="","",Table1[[#This Row],[Target Time (Hours)]]-Table1[[#This Row],[Downtime (Hours)]])</f>
        <v/>
      </c>
      <c r="M258" s="49" t="str">
        <f>IFERROR(Table1[[#This Row],[Capacity (Kg)]]/Table1[[#This Row],[Target Time (Hours)]] * Table1[[#This Row],[Downtime (Hours)]], "")</f>
        <v/>
      </c>
      <c r="N258" s="50" t="str">
        <f>IFERROR(Table1[[#This Row],[Running Time (hr)]]/Table1[Target Time (Hours)], "")</f>
        <v/>
      </c>
      <c r="O258" s="50">
        <f>IFERROR(Table1[[#This Row],[Actual Production (Kg)]]/Table1[Capacity (Kg)], "")</f>
        <v>0</v>
      </c>
      <c r="P258" s="50" t="str">
        <f>IFERROR(Table1[[#This Row],[Quality Pass Production]]/Table1[[#This Row],[Actual Production (Kg)]], "")</f>
        <v/>
      </c>
      <c r="Q258" s="50" t="str">
        <f>IFERROR(Table1[[#This Row],[Utilization %]]*Table1[[#This Row],[Efficiency %]]*Table1[[#This Row],[Quality %]], "")</f>
        <v/>
      </c>
    </row>
    <row r="259" spans="1:18" ht="30" customHeight="1" x14ac:dyDescent="0.25">
      <c r="A259" s="47">
        <v>46132</v>
      </c>
      <c r="B259" s="48" t="s">
        <v>18</v>
      </c>
      <c r="C259" s="48" t="s">
        <v>28</v>
      </c>
      <c r="D259" s="48" t="s">
        <v>29</v>
      </c>
      <c r="E259" s="49">
        <v>7800</v>
      </c>
      <c r="F259" s="76">
        <v>7820</v>
      </c>
      <c r="G259" s="49">
        <v>0</v>
      </c>
      <c r="H259" s="50">
        <f>IFERROR(Table1[Re-process (Kg)]/Table1[Actual Production (Kg)], "")</f>
        <v>0</v>
      </c>
      <c r="I259" s="49">
        <f>IFERROR(Table1[[#This Row],[Actual Production (Kg)]]-Table1[[#This Row],[Re-process (Kg)]], "")</f>
        <v>7820</v>
      </c>
      <c r="J259" s="49">
        <v>22</v>
      </c>
      <c r="K259" s="72">
        <v>3</v>
      </c>
      <c r="L259" s="49">
        <f>IF(Table1[[#This Row],[Target Time (Hours)]]="","",Table1[[#This Row],[Target Time (Hours)]]-Table1[[#This Row],[Downtime (Hours)]])</f>
        <v>19</v>
      </c>
      <c r="M259" s="49">
        <f>IFERROR(Table1[[#This Row],[Capacity (Kg)]]/Table1[[#This Row],[Target Time (Hours)]] * Table1[[#This Row],[Downtime (Hours)]], "")</f>
        <v>1063.6363636363637</v>
      </c>
      <c r="N259" s="50">
        <f>IFERROR(Table1[[#This Row],[Running Time (hr)]]/Table1[Target Time (Hours)], "")</f>
        <v>0.86363636363636365</v>
      </c>
      <c r="O259" s="50">
        <f>IFERROR(Table1[[#This Row],[Actual Production (Kg)]]/Table1[Capacity (Kg)], "")</f>
        <v>1.0025641025641026</v>
      </c>
      <c r="P259" s="50">
        <f>IFERROR(Table1[[#This Row],[Quality Pass Production]]/Table1[[#This Row],[Actual Production (Kg)]], "")</f>
        <v>1</v>
      </c>
      <c r="Q259" s="50">
        <f>IFERROR(Table1[[#This Row],[Utilization %]]*Table1[[#This Row],[Efficiency %]]*Table1[[#This Row],[Quality %]], "")</f>
        <v>0.8658508158508158</v>
      </c>
      <c r="R259" s="48" t="s">
        <v>94</v>
      </c>
    </row>
    <row r="260" spans="1:18" ht="30" customHeight="1" x14ac:dyDescent="0.25">
      <c r="A260" s="47">
        <v>46132</v>
      </c>
      <c r="B260" s="48" t="s">
        <v>18</v>
      </c>
      <c r="C260" s="48" t="s">
        <v>30</v>
      </c>
      <c r="D260" s="48" t="s">
        <v>31</v>
      </c>
      <c r="E260" s="49">
        <v>9000</v>
      </c>
      <c r="F260" s="76">
        <v>0</v>
      </c>
      <c r="G260" s="49">
        <v>0</v>
      </c>
      <c r="H260" s="50" t="str">
        <f>IFERROR(Table1[Re-process (Kg)]/Table1[Actual Production (Kg)], "")</f>
        <v/>
      </c>
      <c r="I260" s="49">
        <f>IFERROR(Table1[[#This Row],[Actual Production (Kg)]]-Table1[[#This Row],[Re-process (Kg)]], "")</f>
        <v>0</v>
      </c>
      <c r="J260" s="49">
        <v>22</v>
      </c>
      <c r="K260" s="72">
        <v>0</v>
      </c>
      <c r="L260" s="49">
        <f>IF(Table1[[#This Row],[Target Time (Hours)]]="","",Table1[[#This Row],[Target Time (Hours)]]-Table1[[#This Row],[Downtime (Hours)]])</f>
        <v>22</v>
      </c>
      <c r="M260" s="49">
        <f>IFERROR(Table1[[#This Row],[Capacity (Kg)]]/Table1[[#This Row],[Target Time (Hours)]] * Table1[[#This Row],[Downtime (Hours)]], "")</f>
        <v>0</v>
      </c>
      <c r="N260" s="50">
        <f>IFERROR(Table1[[#This Row],[Running Time (hr)]]/Table1[Target Time (Hours)], "")</f>
        <v>1</v>
      </c>
      <c r="O260" s="50">
        <f>IFERROR(Table1[[#This Row],[Actual Production (Kg)]]/Table1[Capacity (Kg)], "")</f>
        <v>0</v>
      </c>
      <c r="P260" s="50" t="str">
        <f>IFERROR(Table1[[#This Row],[Quality Pass Production]]/Table1[[#This Row],[Actual Production (Kg)]], "")</f>
        <v/>
      </c>
      <c r="Q260" s="50" t="str">
        <f>IFERROR(Table1[[#This Row],[Utilization %]]*Table1[[#This Row],[Efficiency %]]*Table1[[#This Row],[Quality %]], "")</f>
        <v/>
      </c>
      <c r="R260" s="48" t="s">
        <v>89</v>
      </c>
    </row>
    <row r="261" spans="1:18" ht="30" customHeight="1" x14ac:dyDescent="0.25">
      <c r="A261" s="26">
        <v>46132</v>
      </c>
      <c r="B261" s="27" t="s">
        <v>18</v>
      </c>
      <c r="C261" s="27" t="s">
        <v>32</v>
      </c>
      <c r="D261" s="27" t="s">
        <v>31</v>
      </c>
      <c r="E261" s="79">
        <f>Table1[[#This Row],[Actual Production (Kg)]]</f>
        <v>0</v>
      </c>
      <c r="F261" s="79">
        <v>0</v>
      </c>
      <c r="G261" s="79"/>
      <c r="H261" s="28"/>
      <c r="I261" s="79"/>
      <c r="J261" s="79"/>
      <c r="K261" s="27"/>
      <c r="L261" s="53" t="str">
        <f>IF(Table1[[#This Row],[Target Time (Hours)]]="","",Table1[[#This Row],[Target Time (Hours)]]-Table1[[#This Row],[Downtime (Hours)]])</f>
        <v/>
      </c>
      <c r="M261" s="79"/>
      <c r="N261" s="28"/>
      <c r="O261" s="28"/>
      <c r="P261" s="28"/>
      <c r="Q261" s="28"/>
      <c r="R261" s="27"/>
    </row>
    <row r="262" spans="1:18" ht="30" customHeight="1" x14ac:dyDescent="0.25">
      <c r="A262" s="47">
        <v>46132</v>
      </c>
      <c r="B262" s="48" t="s">
        <v>33</v>
      </c>
      <c r="C262" s="48" t="s">
        <v>34</v>
      </c>
      <c r="D262" s="48" t="s">
        <v>35</v>
      </c>
      <c r="E262" s="49">
        <v>9000</v>
      </c>
      <c r="F262" s="76">
        <v>7482</v>
      </c>
      <c r="G262" s="49">
        <v>0</v>
      </c>
      <c r="H262" s="50">
        <f>IFERROR(Table1[Re-process (Kg)]/Table1[Actual Production (Kg)], "")</f>
        <v>0</v>
      </c>
      <c r="I262" s="49">
        <f>IFERROR(Table1[[#This Row],[Actual Production (Kg)]]-Table1[[#This Row],[Re-process (Kg)]], "")</f>
        <v>7482</v>
      </c>
      <c r="J262" s="49">
        <v>22</v>
      </c>
      <c r="K262" s="72">
        <v>0</v>
      </c>
      <c r="L262" s="49">
        <f>IF(Table1[[#This Row],[Target Time (Hours)]]="","",Table1[[#This Row],[Target Time (Hours)]]-Table1[[#This Row],[Downtime (Hours)]])</f>
        <v>22</v>
      </c>
      <c r="M262" s="49">
        <f>IFERROR(Table1[[#This Row],[Capacity (Kg)]]/Table1[[#This Row],[Target Time (Hours)]] * Table1[[#This Row],[Downtime (Hours)]], "")</f>
        <v>0</v>
      </c>
      <c r="N262" s="50">
        <f>IFERROR(Table1[[#This Row],[Running Time (hr)]]/Table1[Target Time (Hours)], "")</f>
        <v>1</v>
      </c>
      <c r="O262" s="50">
        <f>IFERROR(Table1[[#This Row],[Actual Production (Kg)]]/Table1[Capacity (Kg)], "")</f>
        <v>0.83133333333333337</v>
      </c>
      <c r="P262" s="50">
        <f>IFERROR(Table1[[#This Row],[Quality Pass Production]]/Table1[[#This Row],[Actual Production (Kg)]], "")</f>
        <v>1</v>
      </c>
      <c r="Q262" s="50">
        <f>IFERROR(Table1[[#This Row],[Utilization %]]*Table1[[#This Row],[Efficiency %]]*Table1[[#This Row],[Quality %]], "")</f>
        <v>0.83133333333333337</v>
      </c>
      <c r="R262" s="48" t="s">
        <v>64</v>
      </c>
    </row>
    <row r="263" spans="1:18" ht="30" customHeight="1" x14ac:dyDescent="0.25">
      <c r="A263" s="47">
        <v>46132</v>
      </c>
      <c r="B263" s="48" t="s">
        <v>33</v>
      </c>
      <c r="C263" s="48" t="s">
        <v>36</v>
      </c>
      <c r="D263" s="48" t="s">
        <v>37</v>
      </c>
      <c r="E263" s="49">
        <v>8000</v>
      </c>
      <c r="F263" s="76">
        <v>6793</v>
      </c>
      <c r="G263" s="49">
        <v>0</v>
      </c>
      <c r="H263" s="50">
        <f>IFERROR(Table1[Re-process (Kg)]/Table1[Actual Production (Kg)], "")</f>
        <v>0</v>
      </c>
      <c r="I263" s="49">
        <f>IFERROR(Table1[[#This Row],[Actual Production (Kg)]]-Table1[[#This Row],[Re-process (Kg)]], "")</f>
        <v>6793</v>
      </c>
      <c r="J263" s="49">
        <v>22</v>
      </c>
      <c r="K263" s="72">
        <v>7</v>
      </c>
      <c r="L263" s="49">
        <f>IF(Table1[[#This Row],[Target Time (Hours)]]="","",Table1[[#This Row],[Target Time (Hours)]]-Table1[[#This Row],[Downtime (Hours)]])</f>
        <v>15</v>
      </c>
      <c r="M263" s="49">
        <f>IFERROR(Table1[[#This Row],[Capacity (Kg)]]/Table1[[#This Row],[Target Time (Hours)]] * Table1[[#This Row],[Downtime (Hours)]], "")</f>
        <v>2545.4545454545455</v>
      </c>
      <c r="N263" s="50">
        <f>IFERROR(Table1[[#This Row],[Running Time (hr)]]/Table1[Target Time (Hours)], "")</f>
        <v>0.68181818181818177</v>
      </c>
      <c r="O263" s="50">
        <f>IFERROR(Table1[[#This Row],[Actual Production (Kg)]]/Table1[Capacity (Kg)], "")</f>
        <v>0.84912500000000002</v>
      </c>
      <c r="P263" s="50">
        <f>IFERROR(Table1[[#This Row],[Quality Pass Production]]/Table1[[#This Row],[Actual Production (Kg)]], "")</f>
        <v>1</v>
      </c>
      <c r="Q263" s="50">
        <f>IFERROR(Table1[[#This Row],[Utilization %]]*Table1[[#This Row],[Efficiency %]]*Table1[[#This Row],[Quality %]], "")</f>
        <v>0.57894886363636355</v>
      </c>
      <c r="R263" s="48" t="s">
        <v>95</v>
      </c>
    </row>
    <row r="264" spans="1:18" ht="30" customHeight="1" x14ac:dyDescent="0.25">
      <c r="A264" s="47">
        <v>46132</v>
      </c>
      <c r="B264" s="48" t="s">
        <v>33</v>
      </c>
      <c r="C264" s="48" t="s">
        <v>39</v>
      </c>
      <c r="D264" s="48" t="s">
        <v>31</v>
      </c>
      <c r="E264" s="49">
        <v>6000</v>
      </c>
      <c r="F264" s="76">
        <v>3635</v>
      </c>
      <c r="G264" s="49">
        <v>0</v>
      </c>
      <c r="H264" s="50">
        <f>IFERROR(Table1[Re-process (Kg)]/Table1[Actual Production (Kg)], "")</f>
        <v>0</v>
      </c>
      <c r="I264" s="49">
        <f>IFERROR(Table1[[#This Row],[Actual Production (Kg)]]-Table1[[#This Row],[Re-process (Kg)]], "")</f>
        <v>3635</v>
      </c>
      <c r="J264" s="49">
        <v>22</v>
      </c>
      <c r="K264" s="72">
        <v>0</v>
      </c>
      <c r="L264" s="49">
        <f>IF(Table1[[#This Row],[Target Time (Hours)]]="","",Table1[[#This Row],[Target Time (Hours)]]-Table1[[#This Row],[Downtime (Hours)]])</f>
        <v>22</v>
      </c>
      <c r="M264" s="49">
        <f>IFERROR(Table1[[#This Row],[Capacity (Kg)]]/Table1[[#This Row],[Target Time (Hours)]] * Table1[[#This Row],[Downtime (Hours)]], "")</f>
        <v>0</v>
      </c>
      <c r="N264" s="50">
        <f>IFERROR(Table1[[#This Row],[Running Time (hr)]]/Table1[Target Time (Hours)], "")</f>
        <v>1</v>
      </c>
      <c r="O264" s="50">
        <f>IFERROR(Table1[[#This Row],[Actual Production (Kg)]]/Table1[Capacity (Kg)], "")</f>
        <v>0.60583333333333333</v>
      </c>
      <c r="P264" s="50">
        <f>IFERROR(Table1[[#This Row],[Quality Pass Production]]/Table1[[#This Row],[Actual Production (Kg)]], "")</f>
        <v>1</v>
      </c>
      <c r="Q264" s="50">
        <f>IFERROR(Table1[[#This Row],[Utilization %]]*Table1[[#This Row],[Efficiency %]]*Table1[[#This Row],[Quality %]], "")</f>
        <v>0.60583333333333333</v>
      </c>
      <c r="R264" s="48" t="s">
        <v>64</v>
      </c>
    </row>
    <row r="265" spans="1:18" ht="45" customHeight="1" x14ac:dyDescent="0.25">
      <c r="A265" s="54">
        <v>46132</v>
      </c>
      <c r="B265" s="55" t="s">
        <v>33</v>
      </c>
      <c r="C265" s="55" t="s">
        <v>40</v>
      </c>
      <c r="D265" s="55" t="s">
        <v>31</v>
      </c>
      <c r="E265" s="56">
        <v>5000</v>
      </c>
      <c r="F265" s="56">
        <v>1643</v>
      </c>
      <c r="G265" s="56">
        <v>0</v>
      </c>
      <c r="H265" s="58">
        <f>IFERROR(Table1[Re-process (Kg)]/Table1[Actual Production (Kg)], "")</f>
        <v>0</v>
      </c>
      <c r="I265" s="56">
        <f>IFERROR(Table1[[#This Row],[Actual Production (Kg)]]-Table1[[#This Row],[Re-process (Kg)]], "")</f>
        <v>1643</v>
      </c>
      <c r="J265" s="56">
        <v>22</v>
      </c>
      <c r="K265" s="55">
        <v>8</v>
      </c>
      <c r="L265" s="56">
        <f>IF(Table1[[#This Row],[Target Time (Hours)]]="","",Table1[[#This Row],[Target Time (Hours)]]-Table1[[#This Row],[Downtime (Hours)]])</f>
        <v>14</v>
      </c>
      <c r="M265" s="56">
        <f>IFERROR(Table1[[#This Row],[Capacity (Kg)]]/Table1[[#This Row],[Target Time (Hours)]] * Table1[[#This Row],[Downtime (Hours)]], "")</f>
        <v>1818.1818181818182</v>
      </c>
      <c r="N265" s="58">
        <f>IFERROR(Table1[[#This Row],[Running Time (hr)]]/Table1[Target Time (Hours)], "")</f>
        <v>0.63636363636363635</v>
      </c>
      <c r="O265" s="58">
        <f>IFERROR(Table1[[#This Row],[Actual Production (Kg)]]/Table1[Capacity (Kg)], "")</f>
        <v>0.3286</v>
      </c>
      <c r="P265" s="58">
        <f>IFERROR(Table1[[#This Row],[Quality Pass Production]]/Table1[[#This Row],[Actual Production (Kg)]], "")</f>
        <v>1</v>
      </c>
      <c r="Q265" s="58">
        <f>IFERROR(Table1[[#This Row],[Utilization %]]*Table1[[#This Row],[Efficiency %]]*Table1[[#This Row],[Quality %]], "")</f>
        <v>0.20910909090909091</v>
      </c>
      <c r="R265" s="55" t="s">
        <v>64</v>
      </c>
    </row>
    <row r="266" spans="1:18" ht="30" customHeight="1" x14ac:dyDescent="0.25">
      <c r="A266" s="47">
        <v>46133</v>
      </c>
      <c r="B266" s="48" t="s">
        <v>18</v>
      </c>
      <c r="C266" s="48" t="s">
        <v>19</v>
      </c>
      <c r="D266" s="48" t="s">
        <v>20</v>
      </c>
      <c r="E266" s="49">
        <v>10000</v>
      </c>
      <c r="F266" s="76">
        <v>7353</v>
      </c>
      <c r="G266" s="49">
        <v>0</v>
      </c>
      <c r="H266" s="50">
        <f>IFERROR(Table1[Re-process (Kg)]/Table1[Actual Production (Kg)], "")</f>
        <v>0</v>
      </c>
      <c r="I266" s="49">
        <f>IFERROR(Table1[[#This Row],[Actual Production (Kg)]]-Table1[[#This Row],[Re-process (Kg)]], "")</f>
        <v>7353</v>
      </c>
      <c r="J266" s="49">
        <v>22</v>
      </c>
      <c r="K266" s="72">
        <v>2</v>
      </c>
      <c r="L266" s="49">
        <f>IF(Table1[[#This Row],[Target Time (Hours)]]="","",Table1[[#This Row],[Target Time (Hours)]]-Table1[[#This Row],[Downtime (Hours)]])</f>
        <v>20</v>
      </c>
      <c r="M266" s="49">
        <f>IFERROR(Table1[[#This Row],[Capacity (Kg)]]/Table1[[#This Row],[Target Time (Hours)]] * Table1[[#This Row],[Downtime (Hours)]], "")</f>
        <v>909.09090909090912</v>
      </c>
      <c r="N266" s="50">
        <f>IFERROR(Table1[[#This Row],[Running Time (hr)]]/Table1[Target Time (Hours)], "")</f>
        <v>0.90909090909090906</v>
      </c>
      <c r="O266" s="50">
        <f>IFERROR(Table1[[#This Row],[Actual Production (Kg)]]/Table1[Capacity (Kg)], "")</f>
        <v>0.73529999999999995</v>
      </c>
      <c r="P266" s="50">
        <f>IFERROR(Table1[[#This Row],[Quality Pass Production]]/Table1[[#This Row],[Actual Production (Kg)]], "")</f>
        <v>1</v>
      </c>
      <c r="Q266" s="50">
        <f>IFERROR(Table1[[#This Row],[Utilization %]]*Table1[[#This Row],[Efficiency %]]*Table1[[#This Row],[Quality %]], "")</f>
        <v>0.66845454545454541</v>
      </c>
      <c r="R266" s="48" t="s">
        <v>96</v>
      </c>
    </row>
    <row r="267" spans="1:18" x14ac:dyDescent="0.25">
      <c r="A267" s="47">
        <v>46133</v>
      </c>
      <c r="B267" s="48" t="s">
        <v>18</v>
      </c>
      <c r="C267" s="48" t="s">
        <v>22</v>
      </c>
      <c r="D267" s="48" t="s">
        <v>23</v>
      </c>
      <c r="E267" s="49">
        <v>5000</v>
      </c>
      <c r="F267" s="76">
        <v>6004</v>
      </c>
      <c r="G267" s="49">
        <v>0</v>
      </c>
      <c r="H267" s="50">
        <f>IFERROR(Table1[Re-process (Kg)]/Table1[Actual Production (Kg)], "")</f>
        <v>0</v>
      </c>
      <c r="I267" s="49">
        <f>IFERROR(Table1[[#This Row],[Actual Production (Kg)]]-Table1[[#This Row],[Re-process (Kg)]], "")</f>
        <v>6004</v>
      </c>
      <c r="J267" s="49">
        <v>22</v>
      </c>
      <c r="K267" s="72">
        <v>0</v>
      </c>
      <c r="L267" s="49">
        <f>IF(Table1[[#This Row],[Target Time (Hours)]]="","",Table1[[#This Row],[Target Time (Hours)]]-Table1[[#This Row],[Downtime (Hours)]])</f>
        <v>22</v>
      </c>
      <c r="M267" s="49">
        <f>IFERROR(Table1[[#This Row],[Capacity (Kg)]]/Table1[[#This Row],[Target Time (Hours)]] * Table1[[#This Row],[Downtime (Hours)]], "")</f>
        <v>0</v>
      </c>
      <c r="N267" s="50">
        <f>IFERROR(Table1[[#This Row],[Running Time (hr)]]/Table1[Target Time (Hours)], "")</f>
        <v>1</v>
      </c>
      <c r="O267" s="50">
        <f>IFERROR(Table1[[#This Row],[Actual Production (Kg)]]/Table1[Capacity (Kg)], "")</f>
        <v>1.2008000000000001</v>
      </c>
      <c r="P267" s="50">
        <f>IFERROR(Table1[[#This Row],[Quality Pass Production]]/Table1[[#This Row],[Actual Production (Kg)]], "")</f>
        <v>1</v>
      </c>
      <c r="Q267" s="50">
        <f>IFERROR(Table1[[#This Row],[Utilization %]]*Table1[[#This Row],[Efficiency %]]*Table1[[#This Row],[Quality %]], "")</f>
        <v>1.2008000000000001</v>
      </c>
      <c r="R267" s="48" t="s">
        <v>89</v>
      </c>
    </row>
    <row r="268" spans="1:18" x14ac:dyDescent="0.25">
      <c r="A268" s="47">
        <v>46133</v>
      </c>
      <c r="B268" s="48" t="s">
        <v>18</v>
      </c>
      <c r="C268" s="48" t="s">
        <v>22</v>
      </c>
      <c r="D268" s="48" t="s">
        <v>25</v>
      </c>
      <c r="E268" s="49">
        <v>4000</v>
      </c>
      <c r="F268" s="76">
        <v>2425</v>
      </c>
      <c r="G268" s="49">
        <v>0</v>
      </c>
      <c r="H268" s="50">
        <f>IFERROR(Table1[Re-process (Kg)]/Table1[Actual Production (Kg)], "")</f>
        <v>0</v>
      </c>
      <c r="I268" s="49">
        <f>IFERROR(Table1[[#This Row],[Actual Production (Kg)]]-Table1[[#This Row],[Re-process (Kg)]], "")</f>
        <v>2425</v>
      </c>
      <c r="J268" s="49"/>
      <c r="K268" s="72"/>
      <c r="L268" s="49" t="str">
        <f>IF(Table1[[#This Row],[Target Time (Hours)]]="","",Table1[[#This Row],[Target Time (Hours)]]-Table1[[#This Row],[Downtime (Hours)]])</f>
        <v/>
      </c>
      <c r="M268" s="49" t="str">
        <f>IFERROR(Table1[[#This Row],[Capacity (Kg)]]/Table1[[#This Row],[Target Time (Hours)]] * Table1[[#This Row],[Downtime (Hours)]], "")</f>
        <v/>
      </c>
      <c r="N268" s="50" t="str">
        <f>IFERROR(Table1[[#This Row],[Running Time (hr)]]/Table1[Target Time (Hours)], "")</f>
        <v/>
      </c>
      <c r="O268" s="50">
        <f>IFERROR(Table1[[#This Row],[Actual Production (Kg)]]/Table1[Capacity (Kg)], "")</f>
        <v>0.60624999999999996</v>
      </c>
      <c r="P268" s="50">
        <f>IFERROR(Table1[[#This Row],[Quality Pass Production]]/Table1[[#This Row],[Actual Production (Kg)]], "")</f>
        <v>1</v>
      </c>
      <c r="Q268" s="50" t="str">
        <f>IFERROR(Table1[[#This Row],[Utilization %]]*Table1[[#This Row],[Efficiency %]]*Table1[[#This Row],[Quality %]], "")</f>
        <v/>
      </c>
    </row>
    <row r="269" spans="1:18" x14ac:dyDescent="0.25">
      <c r="A269" s="47">
        <v>46133</v>
      </c>
      <c r="B269" s="48" t="s">
        <v>18</v>
      </c>
      <c r="C269" s="48" t="s">
        <v>26</v>
      </c>
      <c r="D269" s="48" t="s">
        <v>25</v>
      </c>
      <c r="E269" s="49">
        <v>7000</v>
      </c>
      <c r="F269" s="76">
        <v>7268</v>
      </c>
      <c r="G269" s="49">
        <v>0</v>
      </c>
      <c r="H269" s="50">
        <f>IFERROR(Table1[Re-process (Kg)]/Table1[Actual Production (Kg)], "")</f>
        <v>0</v>
      </c>
      <c r="I269" s="49">
        <f>IFERROR(Table1[[#This Row],[Actual Production (Kg)]]-Table1[[#This Row],[Re-process (Kg)]], "")</f>
        <v>7268</v>
      </c>
      <c r="J269" s="49">
        <v>22</v>
      </c>
      <c r="K269" s="72">
        <v>0</v>
      </c>
      <c r="L269" s="49">
        <f>IF(Table1[[#This Row],[Target Time (Hours)]]="","",Table1[[#This Row],[Target Time (Hours)]]-Table1[[#This Row],[Downtime (Hours)]])</f>
        <v>22</v>
      </c>
      <c r="M269" s="49">
        <f>IFERROR(Table1[[#This Row],[Capacity (Kg)]]/Table1[[#This Row],[Target Time (Hours)]] * Table1[[#This Row],[Downtime (Hours)]], "")</f>
        <v>0</v>
      </c>
      <c r="N269" s="50">
        <f>IFERROR(Table1[[#This Row],[Running Time (hr)]]/Table1[Target Time (Hours)], "")</f>
        <v>1</v>
      </c>
      <c r="O269" s="50">
        <f>IFERROR(Table1[[#This Row],[Actual Production (Kg)]]/Table1[Capacity (Kg)], "")</f>
        <v>1.0382857142857143</v>
      </c>
      <c r="P269" s="50">
        <f>IFERROR(Table1[[#This Row],[Quality Pass Production]]/Table1[[#This Row],[Actual Production (Kg)]], "")</f>
        <v>1</v>
      </c>
      <c r="Q269" s="50">
        <f>IFERROR(Table1[[#This Row],[Utilization %]]*Table1[[#This Row],[Efficiency %]]*Table1[[#This Row],[Quality %]], "")</f>
        <v>1.0382857142857143</v>
      </c>
      <c r="R269" s="48" t="s">
        <v>89</v>
      </c>
    </row>
    <row r="270" spans="1:18" ht="30" customHeight="1" x14ac:dyDescent="0.25">
      <c r="A270" s="47">
        <v>46133</v>
      </c>
      <c r="B270" s="48" t="s">
        <v>18</v>
      </c>
      <c r="C270" s="48" t="s">
        <v>28</v>
      </c>
      <c r="D270" s="48" t="s">
        <v>29</v>
      </c>
      <c r="E270" s="49"/>
      <c r="F270" s="76"/>
      <c r="G270" s="49">
        <v>0</v>
      </c>
      <c r="H270" s="50" t="str">
        <f>IFERROR(Table1[Re-process (Kg)]/Table1[Actual Production (Kg)], "")</f>
        <v/>
      </c>
      <c r="I270" s="49">
        <f>IFERROR(Table1[[#This Row],[Actual Production (Kg)]]-Table1[[#This Row],[Re-process (Kg)]], "")</f>
        <v>0</v>
      </c>
      <c r="J270" s="49"/>
      <c r="K270" s="72"/>
      <c r="L270" s="49" t="str">
        <f>IF(Table1[[#This Row],[Target Time (Hours)]]="","",Table1[[#This Row],[Target Time (Hours)]]-Table1[[#This Row],[Downtime (Hours)]])</f>
        <v/>
      </c>
      <c r="M270" s="49" t="str">
        <f>IFERROR(Table1[[#This Row],[Capacity (Kg)]]/Table1[[#This Row],[Target Time (Hours)]] * Table1[[#This Row],[Downtime (Hours)]], "")</f>
        <v/>
      </c>
      <c r="N270" s="50" t="str">
        <f>IFERROR(Table1[[#This Row],[Running Time (hr)]]/Table1[Target Time (Hours)], "")</f>
        <v/>
      </c>
      <c r="O270" s="50" t="str">
        <f>IFERROR(Table1[[#This Row],[Actual Production (Kg)]]/Table1[Capacity (Kg)], "")</f>
        <v/>
      </c>
      <c r="P270" s="50" t="str">
        <f>IFERROR(Table1[[#This Row],[Quality Pass Production]]/Table1[[#This Row],[Actual Production (Kg)]], "")</f>
        <v/>
      </c>
      <c r="Q270" s="50" t="str">
        <f>IFERROR(Table1[[#This Row],[Utilization %]]*Table1[[#This Row],[Efficiency %]]*Table1[[#This Row],[Quality %]], "")</f>
        <v/>
      </c>
    </row>
    <row r="271" spans="1:18" ht="30" customHeight="1" x14ac:dyDescent="0.25">
      <c r="A271" s="47">
        <v>46133</v>
      </c>
      <c r="B271" s="48" t="s">
        <v>18</v>
      </c>
      <c r="C271" s="48" t="s">
        <v>30</v>
      </c>
      <c r="D271" s="48" t="s">
        <v>31</v>
      </c>
      <c r="E271" s="49">
        <v>9000</v>
      </c>
      <c r="F271" s="76">
        <v>7160</v>
      </c>
      <c r="G271" s="49">
        <v>0</v>
      </c>
      <c r="H271" s="50">
        <f>IFERROR(Table1[Re-process (Kg)]/Table1[Actual Production (Kg)], "")</f>
        <v>0</v>
      </c>
      <c r="I271" s="49">
        <f>IFERROR(Table1[[#This Row],[Actual Production (Kg)]]-Table1[[#This Row],[Re-process (Kg)]], "")</f>
        <v>7160</v>
      </c>
      <c r="J271" s="49">
        <v>22</v>
      </c>
      <c r="K271" s="72">
        <v>3</v>
      </c>
      <c r="L271" s="49">
        <f>IF(Table1[[#This Row],[Target Time (Hours)]]="","",Table1[[#This Row],[Target Time (Hours)]]-Table1[[#This Row],[Downtime (Hours)]])</f>
        <v>19</v>
      </c>
      <c r="M271" s="49">
        <f>IFERROR(Table1[[#This Row],[Capacity (Kg)]]/Table1[[#This Row],[Target Time (Hours)]] * Table1[[#This Row],[Downtime (Hours)]], "")</f>
        <v>1227.2727272727273</v>
      </c>
      <c r="N271" s="50">
        <f>IFERROR(Table1[[#This Row],[Running Time (hr)]]/Table1[Target Time (Hours)], "")</f>
        <v>0.86363636363636365</v>
      </c>
      <c r="O271" s="50">
        <f>IFERROR(Table1[[#This Row],[Actual Production (Kg)]]/Table1[Capacity (Kg)], "")</f>
        <v>0.79555555555555557</v>
      </c>
      <c r="P271" s="50">
        <f>IFERROR(Table1[[#This Row],[Quality Pass Production]]/Table1[[#This Row],[Actual Production (Kg)]], "")</f>
        <v>1</v>
      </c>
      <c r="Q271" s="50">
        <f>IFERROR(Table1[[#This Row],[Utilization %]]*Table1[[#This Row],[Efficiency %]]*Table1[[#This Row],[Quality %]], "")</f>
        <v>0.68707070707070705</v>
      </c>
      <c r="R271" s="48" t="s">
        <v>89</v>
      </c>
    </row>
    <row r="272" spans="1:18" ht="30" customHeight="1" x14ac:dyDescent="0.25">
      <c r="A272" s="26">
        <v>46133</v>
      </c>
      <c r="B272" s="27" t="s">
        <v>18</v>
      </c>
      <c r="C272" s="27" t="s">
        <v>32</v>
      </c>
      <c r="D272" s="27" t="s">
        <v>31</v>
      </c>
      <c r="E272" s="79">
        <f>Table1[[#This Row],[Actual Production (Kg)]]</f>
        <v>0</v>
      </c>
      <c r="F272" s="79">
        <v>0</v>
      </c>
      <c r="G272" s="79"/>
      <c r="H272" s="28"/>
      <c r="I272" s="79"/>
      <c r="J272" s="79"/>
      <c r="K272" s="27"/>
      <c r="L272" s="53" t="str">
        <f>IF(Table1[[#This Row],[Target Time (Hours)]]="","",Table1[[#This Row],[Target Time (Hours)]]-Table1[[#This Row],[Downtime (Hours)]])</f>
        <v/>
      </c>
      <c r="M272" s="79"/>
      <c r="N272" s="28"/>
      <c r="O272" s="28"/>
      <c r="P272" s="28"/>
      <c r="Q272" s="28"/>
      <c r="R272" s="27" t="s">
        <v>82</v>
      </c>
    </row>
    <row r="273" spans="1:18" ht="30" customHeight="1" x14ac:dyDescent="0.25">
      <c r="A273" s="47">
        <v>46133</v>
      </c>
      <c r="B273" s="48" t="s">
        <v>33</v>
      </c>
      <c r="C273" s="48" t="s">
        <v>34</v>
      </c>
      <c r="D273" s="48" t="s">
        <v>35</v>
      </c>
      <c r="E273" s="49">
        <v>9000</v>
      </c>
      <c r="F273" s="76">
        <v>6879</v>
      </c>
      <c r="G273" s="49">
        <v>0</v>
      </c>
      <c r="H273" s="50">
        <f>IFERROR(Table1[Re-process (Kg)]/Table1[Actual Production (Kg)], "")</f>
        <v>0</v>
      </c>
      <c r="I273" s="49">
        <f>IFERROR(Table1[[#This Row],[Actual Production (Kg)]]-Table1[[#This Row],[Re-process (Kg)]], "")</f>
        <v>6879</v>
      </c>
      <c r="J273" s="49">
        <v>22</v>
      </c>
      <c r="K273" s="72">
        <v>0</v>
      </c>
      <c r="L273" s="49">
        <f>IF(Table1[[#This Row],[Target Time (Hours)]]="","",Table1[[#This Row],[Target Time (Hours)]]-Table1[[#This Row],[Downtime (Hours)]])</f>
        <v>22</v>
      </c>
      <c r="M273" s="49">
        <f>IFERROR(Table1[[#This Row],[Capacity (Kg)]]/Table1[[#This Row],[Target Time (Hours)]] * Table1[[#This Row],[Downtime (Hours)]], "")</f>
        <v>0</v>
      </c>
      <c r="N273" s="50">
        <f>IFERROR(Table1[[#This Row],[Running Time (hr)]]/Table1[Target Time (Hours)], "")</f>
        <v>1</v>
      </c>
      <c r="O273" s="50">
        <f>IFERROR(Table1[[#This Row],[Actual Production (Kg)]]/Table1[Capacity (Kg)], "")</f>
        <v>0.76433333333333331</v>
      </c>
      <c r="P273" s="50">
        <f>IFERROR(Table1[[#This Row],[Quality Pass Production]]/Table1[[#This Row],[Actual Production (Kg)]], "")</f>
        <v>1</v>
      </c>
      <c r="Q273" s="50">
        <f>IFERROR(Table1[[#This Row],[Utilization %]]*Table1[[#This Row],[Efficiency %]]*Table1[[#This Row],[Quality %]], "")</f>
        <v>0.76433333333333331</v>
      </c>
      <c r="R273" s="48" t="s">
        <v>64</v>
      </c>
    </row>
    <row r="274" spans="1:18" x14ac:dyDescent="0.25">
      <c r="A274" s="47">
        <v>46133</v>
      </c>
      <c r="B274" s="48" t="s">
        <v>33</v>
      </c>
      <c r="C274" s="48" t="s">
        <v>36</v>
      </c>
      <c r="D274" s="48" t="s">
        <v>37</v>
      </c>
      <c r="E274" s="49">
        <v>8000</v>
      </c>
      <c r="F274" s="76">
        <v>7317</v>
      </c>
      <c r="G274" s="49">
        <v>0</v>
      </c>
      <c r="H274" s="50">
        <f>IFERROR(Table1[Re-process (Kg)]/Table1[Actual Production (Kg)], "")</f>
        <v>0</v>
      </c>
      <c r="I274" s="49">
        <f>IFERROR(Table1[[#This Row],[Actual Production (Kg)]]-Table1[[#This Row],[Re-process (Kg)]], "")</f>
        <v>7317</v>
      </c>
      <c r="J274" s="49">
        <v>22</v>
      </c>
      <c r="K274" s="72">
        <v>7</v>
      </c>
      <c r="L274" s="49">
        <f>IF(Table1[[#This Row],[Target Time (Hours)]]="","",Table1[[#This Row],[Target Time (Hours)]]-Table1[[#This Row],[Downtime (Hours)]])</f>
        <v>15</v>
      </c>
      <c r="M274" s="49">
        <f>IFERROR(Table1[[#This Row],[Capacity (Kg)]]/Table1[[#This Row],[Target Time (Hours)]] * Table1[[#This Row],[Downtime (Hours)]], "")</f>
        <v>2545.4545454545455</v>
      </c>
      <c r="N274" s="50">
        <f>IFERROR(Table1[[#This Row],[Running Time (hr)]]/Table1[Target Time (Hours)], "")</f>
        <v>0.68181818181818177</v>
      </c>
      <c r="O274" s="50">
        <f>IFERROR(Table1[[#This Row],[Actual Production (Kg)]]/Table1[Capacity (Kg)], "")</f>
        <v>0.91462500000000002</v>
      </c>
      <c r="P274" s="50">
        <f>IFERROR(Table1[[#This Row],[Quality Pass Production]]/Table1[[#This Row],[Actual Production (Kg)]], "")</f>
        <v>1</v>
      </c>
      <c r="Q274" s="50">
        <f>IFERROR(Table1[[#This Row],[Utilization %]]*Table1[[#This Row],[Efficiency %]]*Table1[[#This Row],[Quality %]], "")</f>
        <v>0.62360795454545448</v>
      </c>
      <c r="R274" s="48" t="s">
        <v>97</v>
      </c>
    </row>
    <row r="275" spans="1:18" ht="30" customHeight="1" x14ac:dyDescent="0.25">
      <c r="A275" s="47">
        <v>46133</v>
      </c>
      <c r="B275" s="48" t="s">
        <v>33</v>
      </c>
      <c r="C275" s="48" t="s">
        <v>39</v>
      </c>
      <c r="D275" s="48" t="s">
        <v>31</v>
      </c>
      <c r="E275" s="49">
        <v>6000</v>
      </c>
      <c r="F275" s="76">
        <v>3227</v>
      </c>
      <c r="G275" s="49">
        <v>0</v>
      </c>
      <c r="H275" s="50">
        <f>IFERROR(Table1[Re-process (Kg)]/Table1[Actual Production (Kg)], "")</f>
        <v>0</v>
      </c>
      <c r="I275" s="49">
        <f>IFERROR(Table1[[#This Row],[Actual Production (Kg)]]-Table1[[#This Row],[Re-process (Kg)]], "")</f>
        <v>3227</v>
      </c>
      <c r="J275" s="49">
        <v>22</v>
      </c>
      <c r="K275" s="72">
        <v>0</v>
      </c>
      <c r="L275" s="49">
        <f>IF(Table1[[#This Row],[Target Time (Hours)]]="","",Table1[[#This Row],[Target Time (Hours)]]-Table1[[#This Row],[Downtime (Hours)]])</f>
        <v>22</v>
      </c>
      <c r="M275" s="49">
        <f>IFERROR(Table1[[#This Row],[Capacity (Kg)]]/Table1[[#This Row],[Target Time (Hours)]] * Table1[[#This Row],[Downtime (Hours)]], "")</f>
        <v>0</v>
      </c>
      <c r="N275" s="50">
        <f>IFERROR(Table1[[#This Row],[Running Time (hr)]]/Table1[Target Time (Hours)], "")</f>
        <v>1</v>
      </c>
      <c r="O275" s="50">
        <f>IFERROR(Table1[[#This Row],[Actual Production (Kg)]]/Table1[Capacity (Kg)], "")</f>
        <v>0.53783333333333339</v>
      </c>
      <c r="P275" s="50">
        <f>IFERROR(Table1[[#This Row],[Quality Pass Production]]/Table1[[#This Row],[Actual Production (Kg)]], "")</f>
        <v>1</v>
      </c>
      <c r="Q275" s="50">
        <f>IFERROR(Table1[[#This Row],[Utilization %]]*Table1[[#This Row],[Efficiency %]]*Table1[[#This Row],[Quality %]], "")</f>
        <v>0.53783333333333339</v>
      </c>
      <c r="R275" s="48" t="s">
        <v>64</v>
      </c>
    </row>
    <row r="276" spans="1:18" ht="45" customHeight="1" x14ac:dyDescent="0.25">
      <c r="A276" s="54">
        <v>46133</v>
      </c>
      <c r="B276" s="55" t="s">
        <v>33</v>
      </c>
      <c r="C276" s="55" t="s">
        <v>40</v>
      </c>
      <c r="D276" s="55" t="s">
        <v>31</v>
      </c>
      <c r="E276" s="56">
        <v>5000</v>
      </c>
      <c r="F276" s="56">
        <v>2417</v>
      </c>
      <c r="G276" s="56">
        <v>0</v>
      </c>
      <c r="H276" s="58">
        <f>IFERROR(Table1[Re-process (Kg)]/Table1[Actual Production (Kg)], "")</f>
        <v>0</v>
      </c>
      <c r="I276" s="56">
        <f>IFERROR(Table1[[#This Row],[Actual Production (Kg)]]-Table1[[#This Row],[Re-process (Kg)]], "")</f>
        <v>2417</v>
      </c>
      <c r="J276" s="56">
        <v>22</v>
      </c>
      <c r="K276" s="55">
        <v>8</v>
      </c>
      <c r="L276" s="56">
        <f>IF(Table1[[#This Row],[Target Time (Hours)]]="","",Table1[[#This Row],[Target Time (Hours)]]-Table1[[#This Row],[Downtime (Hours)]])</f>
        <v>14</v>
      </c>
      <c r="M276" s="56">
        <f>IFERROR(Table1[[#This Row],[Capacity (Kg)]]/Table1[[#This Row],[Target Time (Hours)]] * Table1[[#This Row],[Downtime (Hours)]], "")</f>
        <v>1818.1818181818182</v>
      </c>
      <c r="N276" s="58">
        <f>IFERROR(Table1[[#This Row],[Running Time (hr)]]/Table1[Target Time (Hours)], "")</f>
        <v>0.63636363636363635</v>
      </c>
      <c r="O276" s="58">
        <f>IFERROR(Table1[[#This Row],[Actual Production (Kg)]]/Table1[Capacity (Kg)], "")</f>
        <v>0.4834</v>
      </c>
      <c r="P276" s="58">
        <f>IFERROR(Table1[[#This Row],[Quality Pass Production]]/Table1[[#This Row],[Actual Production (Kg)]], "")</f>
        <v>1</v>
      </c>
      <c r="Q276" s="58">
        <f>IFERROR(Table1[[#This Row],[Utilization %]]*Table1[[#This Row],[Efficiency %]]*Table1[[#This Row],[Quality %]], "")</f>
        <v>0.30761818181818179</v>
      </c>
      <c r="R276" s="55" t="s">
        <v>64</v>
      </c>
    </row>
    <row r="277" spans="1:18" ht="30" customHeight="1" x14ac:dyDescent="0.25">
      <c r="A277" s="47">
        <v>46134</v>
      </c>
      <c r="B277" s="48" t="s">
        <v>18</v>
      </c>
      <c r="C277" s="48" t="s">
        <v>19</v>
      </c>
      <c r="D277" s="48" t="s">
        <v>20</v>
      </c>
      <c r="E277" s="49">
        <v>10000</v>
      </c>
      <c r="F277" s="76">
        <v>7672</v>
      </c>
      <c r="G277" s="49">
        <v>0</v>
      </c>
      <c r="H277" s="50">
        <f>IFERROR(Table1[Re-process (Kg)]/Table1[Actual Production (Kg)], "")</f>
        <v>0</v>
      </c>
      <c r="I277" s="49">
        <f>IFERROR(Table1[[#This Row],[Actual Production (Kg)]]-Table1[[#This Row],[Re-process (Kg)]], "")</f>
        <v>7672</v>
      </c>
      <c r="J277" s="49">
        <v>22</v>
      </c>
      <c r="K277" s="72">
        <v>0</v>
      </c>
      <c r="L277" s="49">
        <f>IF(Table1[[#This Row],[Target Time (Hours)]]="","",Table1[[#This Row],[Target Time (Hours)]]-Table1[[#This Row],[Downtime (Hours)]])</f>
        <v>22</v>
      </c>
      <c r="M277" s="49">
        <f>IFERROR(Table1[[#This Row],[Capacity (Kg)]]/Table1[[#This Row],[Target Time (Hours)]] * Table1[[#This Row],[Downtime (Hours)]], "")</f>
        <v>0</v>
      </c>
      <c r="N277" s="50">
        <f>IFERROR(Table1[[#This Row],[Running Time (hr)]]/Table1[Target Time (Hours)], "")</f>
        <v>1</v>
      </c>
      <c r="O277" s="50">
        <f>IFERROR(Table1[[#This Row],[Actual Production (Kg)]]/Table1[Capacity (Kg)], "")</f>
        <v>0.76719999999999999</v>
      </c>
      <c r="P277" s="50">
        <f>IFERROR(Table1[[#This Row],[Quality Pass Production]]/Table1[[#This Row],[Actual Production (Kg)]], "")</f>
        <v>1</v>
      </c>
      <c r="Q277" s="50">
        <f>IFERROR(Table1[[#This Row],[Utilization %]]*Table1[[#This Row],[Efficiency %]]*Table1[[#This Row],[Quality %]], "")</f>
        <v>0.76719999999999999</v>
      </c>
      <c r="R277" s="48" t="s">
        <v>89</v>
      </c>
    </row>
    <row r="278" spans="1:18" x14ac:dyDescent="0.25">
      <c r="A278" s="47">
        <v>46134</v>
      </c>
      <c r="B278" s="48" t="s">
        <v>18</v>
      </c>
      <c r="C278" s="48" t="s">
        <v>22</v>
      </c>
      <c r="D278" s="48" t="s">
        <v>23</v>
      </c>
      <c r="E278" s="49">
        <v>5000</v>
      </c>
      <c r="F278" s="76">
        <v>4202</v>
      </c>
      <c r="G278" s="49">
        <v>0</v>
      </c>
      <c r="H278" s="50">
        <f>IFERROR(Table1[Re-process (Kg)]/Table1[Actual Production (Kg)], "")</f>
        <v>0</v>
      </c>
      <c r="I278" s="49">
        <f>IFERROR(Table1[[#This Row],[Actual Production (Kg)]]-Table1[[#This Row],[Re-process (Kg)]], "")</f>
        <v>4202</v>
      </c>
      <c r="J278" s="49">
        <v>22</v>
      </c>
      <c r="K278" s="72">
        <v>0</v>
      </c>
      <c r="L278" s="49">
        <f>IF(Table1[[#This Row],[Target Time (Hours)]]="","",Table1[[#This Row],[Target Time (Hours)]]-Table1[[#This Row],[Downtime (Hours)]])</f>
        <v>22</v>
      </c>
      <c r="M278" s="49">
        <f>IFERROR(Table1[[#This Row],[Capacity (Kg)]]/Table1[[#This Row],[Target Time (Hours)]] * Table1[[#This Row],[Downtime (Hours)]], "")</f>
        <v>0</v>
      </c>
      <c r="N278" s="50">
        <f>IFERROR(Table1[[#This Row],[Running Time (hr)]]/Table1[Target Time (Hours)], "")</f>
        <v>1</v>
      </c>
      <c r="O278" s="50">
        <f>IFERROR(Table1[[#This Row],[Actual Production (Kg)]]/Table1[Capacity (Kg)], "")</f>
        <v>0.84040000000000004</v>
      </c>
      <c r="P278" s="50">
        <f>IFERROR(Table1[[#This Row],[Quality Pass Production]]/Table1[[#This Row],[Actual Production (Kg)]], "")</f>
        <v>1</v>
      </c>
      <c r="Q278" s="50">
        <f>IFERROR(Table1[[#This Row],[Utilization %]]*Table1[[#This Row],[Efficiency %]]*Table1[[#This Row],[Quality %]], "")</f>
        <v>0.84040000000000004</v>
      </c>
      <c r="R278" s="48" t="s">
        <v>89</v>
      </c>
    </row>
    <row r="279" spans="1:18" x14ac:dyDescent="0.25">
      <c r="A279" s="47">
        <v>46134</v>
      </c>
      <c r="B279" s="48" t="s">
        <v>18</v>
      </c>
      <c r="C279" s="48" t="s">
        <v>22</v>
      </c>
      <c r="D279" s="48" t="s">
        <v>25</v>
      </c>
      <c r="E279" s="49">
        <v>4000</v>
      </c>
      <c r="F279" s="76">
        <v>4373</v>
      </c>
      <c r="G279" s="49">
        <v>0</v>
      </c>
      <c r="H279" s="50">
        <f>IFERROR(Table1[Re-process (Kg)]/Table1[Actual Production (Kg)], "")</f>
        <v>0</v>
      </c>
      <c r="I279" s="49">
        <f>IFERROR(Table1[[#This Row],[Actual Production (Kg)]]-Table1[[#This Row],[Re-process (Kg)]], "")</f>
        <v>4373</v>
      </c>
      <c r="J279" s="49"/>
      <c r="K279" s="72"/>
      <c r="L279" s="49" t="str">
        <f>IF(Table1[[#This Row],[Target Time (Hours)]]="","",Table1[[#This Row],[Target Time (Hours)]]-Table1[[#This Row],[Downtime (Hours)]])</f>
        <v/>
      </c>
      <c r="M279" s="49" t="str">
        <f>IFERROR(Table1[[#This Row],[Capacity (Kg)]]/Table1[[#This Row],[Target Time (Hours)]] * Table1[[#This Row],[Downtime (Hours)]], "")</f>
        <v/>
      </c>
      <c r="N279" s="50" t="str">
        <f>IFERROR(Table1[[#This Row],[Running Time (hr)]]/Table1[Target Time (Hours)], "")</f>
        <v/>
      </c>
      <c r="O279" s="50">
        <f>IFERROR(Table1[[#This Row],[Actual Production (Kg)]]/Table1[Capacity (Kg)], "")</f>
        <v>1.0932500000000001</v>
      </c>
      <c r="P279" s="50">
        <f>IFERROR(Table1[[#This Row],[Quality Pass Production]]/Table1[[#This Row],[Actual Production (Kg)]], "")</f>
        <v>1</v>
      </c>
      <c r="Q279" s="50" t="str">
        <f>IFERROR(Table1[[#This Row],[Utilization %]]*Table1[[#This Row],[Efficiency %]]*Table1[[#This Row],[Quality %]], "")</f>
        <v/>
      </c>
    </row>
    <row r="280" spans="1:18" x14ac:dyDescent="0.25">
      <c r="A280" s="47">
        <v>46134</v>
      </c>
      <c r="B280" s="48" t="s">
        <v>18</v>
      </c>
      <c r="C280" s="48" t="s">
        <v>26</v>
      </c>
      <c r="D280" s="48" t="s">
        <v>25</v>
      </c>
      <c r="E280" s="49">
        <v>7000</v>
      </c>
      <c r="F280" s="76">
        <v>7323</v>
      </c>
      <c r="G280" s="49">
        <v>0</v>
      </c>
      <c r="H280" s="50">
        <f>IFERROR(Table1[Re-process (Kg)]/Table1[Actual Production (Kg)], "")</f>
        <v>0</v>
      </c>
      <c r="I280" s="49">
        <f>IFERROR(Table1[[#This Row],[Actual Production (Kg)]]-Table1[[#This Row],[Re-process (Kg)]], "")</f>
        <v>7323</v>
      </c>
      <c r="J280" s="49">
        <v>22</v>
      </c>
      <c r="K280" s="72">
        <v>0</v>
      </c>
      <c r="L280" s="49">
        <f>IF(Table1[[#This Row],[Target Time (Hours)]]="","",Table1[[#This Row],[Target Time (Hours)]]-Table1[[#This Row],[Downtime (Hours)]])</f>
        <v>22</v>
      </c>
      <c r="M280" s="49">
        <f>IFERROR(Table1[[#This Row],[Capacity (Kg)]]/Table1[[#This Row],[Target Time (Hours)]] * Table1[[#This Row],[Downtime (Hours)]], "")</f>
        <v>0</v>
      </c>
      <c r="N280" s="50">
        <f>IFERROR(Table1[[#This Row],[Running Time (hr)]]/Table1[Target Time (Hours)], "")</f>
        <v>1</v>
      </c>
      <c r="O280" s="50">
        <f>IFERROR(Table1[[#This Row],[Actual Production (Kg)]]/Table1[Capacity (Kg)], "")</f>
        <v>1.046142857142857</v>
      </c>
      <c r="P280" s="50">
        <f>IFERROR(Table1[[#This Row],[Quality Pass Production]]/Table1[[#This Row],[Actual Production (Kg)]], "")</f>
        <v>1</v>
      </c>
      <c r="Q280" s="50">
        <f>IFERROR(Table1[[#This Row],[Utilization %]]*Table1[[#This Row],[Efficiency %]]*Table1[[#This Row],[Quality %]], "")</f>
        <v>1.046142857142857</v>
      </c>
      <c r="R280" s="48" t="s">
        <v>89</v>
      </c>
    </row>
    <row r="281" spans="1:18" ht="30" customHeight="1" x14ac:dyDescent="0.25">
      <c r="A281" s="47">
        <v>46134</v>
      </c>
      <c r="B281" s="48" t="s">
        <v>18</v>
      </c>
      <c r="C281" s="48" t="s">
        <v>28</v>
      </c>
      <c r="D281" s="48" t="s">
        <v>29</v>
      </c>
      <c r="E281" s="49"/>
      <c r="F281" s="76"/>
      <c r="G281" s="49">
        <v>0</v>
      </c>
      <c r="H281" s="50" t="str">
        <f>IFERROR(Table1[Re-process (Kg)]/Table1[Actual Production (Kg)], "")</f>
        <v/>
      </c>
      <c r="I281" s="49">
        <f>IFERROR(Table1[[#This Row],[Actual Production (Kg)]]-Table1[[#This Row],[Re-process (Kg)]], "")</f>
        <v>0</v>
      </c>
      <c r="J281" s="49"/>
      <c r="K281" s="72"/>
      <c r="L281" s="49" t="str">
        <f>IF(Table1[[#This Row],[Target Time (Hours)]]="","",Table1[[#This Row],[Target Time (Hours)]]-Table1[[#This Row],[Downtime (Hours)]])</f>
        <v/>
      </c>
      <c r="M281" s="49" t="str">
        <f>IFERROR(Table1[[#This Row],[Capacity (Kg)]]/Table1[[#This Row],[Target Time (Hours)]] * Table1[[#This Row],[Downtime (Hours)]], "")</f>
        <v/>
      </c>
      <c r="N281" s="50" t="str">
        <f>IFERROR(Table1[[#This Row],[Running Time (hr)]]/Table1[Target Time (Hours)], "")</f>
        <v/>
      </c>
      <c r="O281" s="50" t="str">
        <f>IFERROR(Table1[[#This Row],[Actual Production (Kg)]]/Table1[Capacity (Kg)], "")</f>
        <v/>
      </c>
      <c r="P281" s="50" t="str">
        <f>IFERROR(Table1[[#This Row],[Quality Pass Production]]/Table1[[#This Row],[Actual Production (Kg)]], "")</f>
        <v/>
      </c>
      <c r="Q281" s="50" t="str">
        <f>IFERROR(Table1[[#This Row],[Utilization %]]*Table1[[#This Row],[Efficiency %]]*Table1[[#This Row],[Quality %]], "")</f>
        <v/>
      </c>
    </row>
    <row r="282" spans="1:18" ht="30" customHeight="1" x14ac:dyDescent="0.25">
      <c r="A282" s="47">
        <v>46134</v>
      </c>
      <c r="B282" s="48" t="s">
        <v>18</v>
      </c>
      <c r="C282" s="48" t="s">
        <v>30</v>
      </c>
      <c r="D282" s="48" t="s">
        <v>31</v>
      </c>
      <c r="E282" s="49">
        <v>9000</v>
      </c>
      <c r="F282" s="76">
        <v>8089</v>
      </c>
      <c r="G282" s="49">
        <v>0</v>
      </c>
      <c r="H282" s="50">
        <f>IFERROR(Table1[Re-process (Kg)]/Table1[Actual Production (Kg)], "")</f>
        <v>0</v>
      </c>
      <c r="I282" s="49">
        <f>IFERROR(Table1[[#This Row],[Actual Production (Kg)]]-Table1[[#This Row],[Re-process (Kg)]], "")</f>
        <v>8089</v>
      </c>
      <c r="J282" s="49">
        <v>22</v>
      </c>
      <c r="K282" s="72">
        <v>0</v>
      </c>
      <c r="L282" s="49">
        <f>IF(Table1[[#This Row],[Target Time (Hours)]]="","",Table1[[#This Row],[Target Time (Hours)]]-Table1[[#This Row],[Downtime (Hours)]])</f>
        <v>22</v>
      </c>
      <c r="M282" s="49">
        <f>IFERROR(Table1[[#This Row],[Capacity (Kg)]]/Table1[[#This Row],[Target Time (Hours)]] * Table1[[#This Row],[Downtime (Hours)]], "")</f>
        <v>0</v>
      </c>
      <c r="N282" s="50">
        <f>IFERROR(Table1[[#This Row],[Running Time (hr)]]/Table1[Target Time (Hours)], "")</f>
        <v>1</v>
      </c>
      <c r="O282" s="50">
        <f>IFERROR(Table1[[#This Row],[Actual Production (Kg)]]/Table1[Capacity (Kg)], "")</f>
        <v>0.89877777777777779</v>
      </c>
      <c r="P282" s="50">
        <f>IFERROR(Table1[[#This Row],[Quality Pass Production]]/Table1[[#This Row],[Actual Production (Kg)]], "")</f>
        <v>1</v>
      </c>
      <c r="Q282" s="50">
        <f>IFERROR(Table1[[#This Row],[Utilization %]]*Table1[[#This Row],[Efficiency %]]*Table1[[#This Row],[Quality %]], "")</f>
        <v>0.89877777777777779</v>
      </c>
      <c r="R282" s="48" t="s">
        <v>89</v>
      </c>
    </row>
    <row r="283" spans="1:18" ht="30" customHeight="1" x14ac:dyDescent="0.25">
      <c r="A283" s="26">
        <v>46134</v>
      </c>
      <c r="B283" s="27" t="s">
        <v>18</v>
      </c>
      <c r="C283" s="27" t="s">
        <v>32</v>
      </c>
      <c r="D283" s="27" t="s">
        <v>31</v>
      </c>
      <c r="E283" s="79">
        <f>Table1[[#This Row],[Actual Production (Kg)]]</f>
        <v>0</v>
      </c>
      <c r="F283" s="79">
        <v>0</v>
      </c>
      <c r="G283" s="79"/>
      <c r="H283" s="28"/>
      <c r="I283" s="79"/>
      <c r="J283" s="79"/>
      <c r="K283" s="27"/>
      <c r="L283" s="53" t="str">
        <f>IF(Table1[[#This Row],[Target Time (Hours)]]="","",Table1[[#This Row],[Target Time (Hours)]]-Table1[[#This Row],[Downtime (Hours)]])</f>
        <v/>
      </c>
      <c r="M283" s="79"/>
      <c r="N283" s="28"/>
      <c r="O283" s="28"/>
      <c r="P283" s="28"/>
      <c r="Q283" s="28"/>
      <c r="R283" s="27" t="s">
        <v>82</v>
      </c>
    </row>
    <row r="284" spans="1:18" ht="30" customHeight="1" x14ac:dyDescent="0.25">
      <c r="A284" s="47">
        <v>46134</v>
      </c>
      <c r="B284" s="48" t="s">
        <v>33</v>
      </c>
      <c r="C284" s="48" t="s">
        <v>34</v>
      </c>
      <c r="D284" s="48" t="s">
        <v>35</v>
      </c>
      <c r="E284" s="49">
        <v>9000</v>
      </c>
      <c r="F284" s="76">
        <v>4648</v>
      </c>
      <c r="G284" s="49">
        <v>0</v>
      </c>
      <c r="H284" s="50">
        <f>IFERROR(Table1[Re-process (Kg)]/Table1[Actual Production (Kg)], "")</f>
        <v>0</v>
      </c>
      <c r="I284" s="49">
        <f>IFERROR(Table1[[#This Row],[Actual Production (Kg)]]-Table1[[#This Row],[Re-process (Kg)]], "")</f>
        <v>4648</v>
      </c>
      <c r="J284" s="49">
        <v>22</v>
      </c>
      <c r="K284" s="72">
        <v>0</v>
      </c>
      <c r="L284" s="49">
        <f>IF(Table1[[#This Row],[Target Time (Hours)]]="","",Table1[[#This Row],[Target Time (Hours)]]-Table1[[#This Row],[Downtime (Hours)]])</f>
        <v>22</v>
      </c>
      <c r="M284" s="49">
        <f>IFERROR(Table1[[#This Row],[Capacity (Kg)]]/Table1[[#This Row],[Target Time (Hours)]] * Table1[[#This Row],[Downtime (Hours)]], "")</f>
        <v>0</v>
      </c>
      <c r="N284" s="50">
        <f>IFERROR(Table1[[#This Row],[Running Time (hr)]]/Table1[Target Time (Hours)], "")</f>
        <v>1</v>
      </c>
      <c r="O284" s="50">
        <f>IFERROR(Table1[[#This Row],[Actual Production (Kg)]]/Table1[Capacity (Kg)], "")</f>
        <v>0.51644444444444448</v>
      </c>
      <c r="P284" s="50">
        <f>IFERROR(Table1[[#This Row],[Quality Pass Production]]/Table1[[#This Row],[Actual Production (Kg)]], "")</f>
        <v>1</v>
      </c>
      <c r="Q284" s="50">
        <f>IFERROR(Table1[[#This Row],[Utilization %]]*Table1[[#This Row],[Efficiency %]]*Table1[[#This Row],[Quality %]], "")</f>
        <v>0.51644444444444448</v>
      </c>
      <c r="R284" s="48" t="s">
        <v>98</v>
      </c>
    </row>
    <row r="285" spans="1:18" ht="45" customHeight="1" x14ac:dyDescent="0.25">
      <c r="A285" s="47">
        <v>46134</v>
      </c>
      <c r="B285" s="48" t="s">
        <v>33</v>
      </c>
      <c r="C285" s="48" t="s">
        <v>36</v>
      </c>
      <c r="D285" s="48" t="s">
        <v>37</v>
      </c>
      <c r="E285" s="49">
        <v>8000</v>
      </c>
      <c r="F285" s="76">
        <v>4318</v>
      </c>
      <c r="G285" s="49">
        <v>0</v>
      </c>
      <c r="H285" s="50">
        <f>IFERROR(Table1[Re-process (Kg)]/Table1[Actual Production (Kg)], "")</f>
        <v>0</v>
      </c>
      <c r="I285" s="49">
        <f>IFERROR(Table1[[#This Row],[Actual Production (Kg)]]-Table1[[#This Row],[Re-process (Kg)]], "")</f>
        <v>4318</v>
      </c>
      <c r="J285" s="49">
        <v>22</v>
      </c>
      <c r="K285" s="72">
        <v>9</v>
      </c>
      <c r="L285" s="49">
        <f>IF(Table1[[#This Row],[Target Time (Hours)]]="","",Table1[[#This Row],[Target Time (Hours)]]-Table1[[#This Row],[Downtime (Hours)]])</f>
        <v>13</v>
      </c>
      <c r="M285" s="49">
        <f>IFERROR(Table1[[#This Row],[Capacity (Kg)]]/Table1[[#This Row],[Target Time (Hours)]] * Table1[[#This Row],[Downtime (Hours)]], "")</f>
        <v>3272.7272727272725</v>
      </c>
      <c r="N285" s="50">
        <f>IFERROR(Table1[[#This Row],[Running Time (hr)]]/Table1[Target Time (Hours)], "")</f>
        <v>0.59090909090909094</v>
      </c>
      <c r="O285" s="50">
        <f>IFERROR(Table1[[#This Row],[Actual Production (Kg)]]/Table1[Capacity (Kg)], "")</f>
        <v>0.53974999999999995</v>
      </c>
      <c r="P285" s="50">
        <f>IFERROR(Table1[[#This Row],[Quality Pass Production]]/Table1[[#This Row],[Actual Production (Kg)]], "")</f>
        <v>1</v>
      </c>
      <c r="Q285" s="50">
        <f>IFERROR(Table1[[#This Row],[Utilization %]]*Table1[[#This Row],[Efficiency %]]*Table1[[#This Row],[Quality %]], "")</f>
        <v>0.31894318181818182</v>
      </c>
      <c r="R285" s="48" t="s">
        <v>99</v>
      </c>
    </row>
    <row r="286" spans="1:18" ht="30" customHeight="1" x14ac:dyDescent="0.25">
      <c r="A286" s="47">
        <v>46134</v>
      </c>
      <c r="B286" s="48" t="s">
        <v>33</v>
      </c>
      <c r="C286" s="48" t="s">
        <v>39</v>
      </c>
      <c r="D286" s="48" t="s">
        <v>31</v>
      </c>
      <c r="E286" s="49">
        <v>6000</v>
      </c>
      <c r="F286" s="76">
        <v>3528</v>
      </c>
      <c r="G286" s="49">
        <v>0</v>
      </c>
      <c r="H286" s="50">
        <f>IFERROR(Table1[Re-process (Kg)]/Table1[Actual Production (Kg)], "")</f>
        <v>0</v>
      </c>
      <c r="I286" s="49">
        <f>IFERROR(Table1[[#This Row],[Actual Production (Kg)]]-Table1[[#This Row],[Re-process (Kg)]], "")</f>
        <v>3528</v>
      </c>
      <c r="J286" s="49">
        <v>22</v>
      </c>
      <c r="K286" s="72">
        <v>0</v>
      </c>
      <c r="L286" s="49">
        <f>IF(Table1[[#This Row],[Target Time (Hours)]]="","",Table1[[#This Row],[Target Time (Hours)]]-Table1[[#This Row],[Downtime (Hours)]])</f>
        <v>22</v>
      </c>
      <c r="M286" s="49">
        <f>IFERROR(Table1[[#This Row],[Capacity (Kg)]]/Table1[[#This Row],[Target Time (Hours)]] * Table1[[#This Row],[Downtime (Hours)]], "")</f>
        <v>0</v>
      </c>
      <c r="N286" s="50">
        <f>IFERROR(Table1[[#This Row],[Running Time (hr)]]/Table1[Target Time (Hours)], "")</f>
        <v>1</v>
      </c>
      <c r="O286" s="50">
        <f>IFERROR(Table1[[#This Row],[Actual Production (Kg)]]/Table1[Capacity (Kg)], "")</f>
        <v>0.58799999999999997</v>
      </c>
      <c r="P286" s="50">
        <f>IFERROR(Table1[[#This Row],[Quality Pass Production]]/Table1[[#This Row],[Actual Production (Kg)]], "")</f>
        <v>1</v>
      </c>
      <c r="Q286" s="50">
        <f>IFERROR(Table1[[#This Row],[Utilization %]]*Table1[[#This Row],[Efficiency %]]*Table1[[#This Row],[Quality %]], "")</f>
        <v>0.58799999999999997</v>
      </c>
      <c r="R286" s="48" t="s">
        <v>98</v>
      </c>
    </row>
    <row r="287" spans="1:18" ht="45" customHeight="1" x14ac:dyDescent="0.25">
      <c r="A287" s="54">
        <v>46134</v>
      </c>
      <c r="B287" s="55" t="s">
        <v>33</v>
      </c>
      <c r="C287" s="55" t="s">
        <v>40</v>
      </c>
      <c r="D287" s="55" t="s">
        <v>31</v>
      </c>
      <c r="E287" s="56">
        <v>5000</v>
      </c>
      <c r="F287" s="56">
        <v>3548</v>
      </c>
      <c r="G287" s="56">
        <v>0</v>
      </c>
      <c r="H287" s="58">
        <f>IFERROR(Table1[Re-process (Kg)]/Table1[Actual Production (Kg)], "")</f>
        <v>0</v>
      </c>
      <c r="I287" s="56">
        <f>IFERROR(Table1[[#This Row],[Actual Production (Kg)]]-Table1[[#This Row],[Re-process (Kg)]], "")</f>
        <v>3548</v>
      </c>
      <c r="J287" s="56">
        <v>22</v>
      </c>
      <c r="K287" s="55">
        <v>0</v>
      </c>
      <c r="L287" s="56">
        <f>IF(Table1[[#This Row],[Target Time (Hours)]]="","",Table1[[#This Row],[Target Time (Hours)]]-Table1[[#This Row],[Downtime (Hours)]])</f>
        <v>22</v>
      </c>
      <c r="M287" s="56">
        <f>IFERROR(Table1[[#This Row],[Capacity (Kg)]]/Table1[[#This Row],[Target Time (Hours)]] * Table1[[#This Row],[Downtime (Hours)]], "")</f>
        <v>0</v>
      </c>
      <c r="N287" s="58">
        <f>IFERROR(Table1[[#This Row],[Running Time (hr)]]/Table1[Target Time (Hours)], "")</f>
        <v>1</v>
      </c>
      <c r="O287" s="58">
        <f>IFERROR(Table1[[#This Row],[Actual Production (Kg)]]/Table1[Capacity (Kg)], "")</f>
        <v>0.70960000000000001</v>
      </c>
      <c r="P287" s="58">
        <f>IFERROR(Table1[[#This Row],[Quality Pass Production]]/Table1[[#This Row],[Actual Production (Kg)]], "")</f>
        <v>1</v>
      </c>
      <c r="Q287" s="58">
        <f>IFERROR(Table1[[#This Row],[Utilization %]]*Table1[[#This Row],[Efficiency %]]*Table1[[#This Row],[Quality %]], "")</f>
        <v>0.70960000000000001</v>
      </c>
      <c r="R287" s="55" t="s">
        <v>98</v>
      </c>
    </row>
    <row r="288" spans="1:18" ht="30" customHeight="1" x14ac:dyDescent="0.25">
      <c r="A288" s="47">
        <v>46135</v>
      </c>
      <c r="B288" s="48" t="s">
        <v>18</v>
      </c>
      <c r="C288" s="48" t="s">
        <v>19</v>
      </c>
      <c r="D288" s="48" t="s">
        <v>20</v>
      </c>
      <c r="E288" s="49">
        <v>10000</v>
      </c>
      <c r="F288" s="76">
        <v>6948</v>
      </c>
      <c r="G288" s="49">
        <v>0</v>
      </c>
      <c r="H288" s="50">
        <f>IFERROR(Table1[Re-process (Kg)]/Table1[Actual Production (Kg)], "")</f>
        <v>0</v>
      </c>
      <c r="I288" s="49">
        <f>IFERROR(Table1[[#This Row],[Actual Production (Kg)]]-Table1[[#This Row],[Re-process (Kg)]], "")</f>
        <v>6948</v>
      </c>
      <c r="J288" s="49">
        <v>22</v>
      </c>
      <c r="K288" s="72">
        <v>2</v>
      </c>
      <c r="L288" s="49">
        <f>IF(Table1[[#This Row],[Target Time (Hours)]]="","",Table1[[#This Row],[Target Time (Hours)]]-Table1[[#This Row],[Downtime (Hours)]])</f>
        <v>20</v>
      </c>
      <c r="M288" s="49">
        <f>IFERROR(Table1[[#This Row],[Capacity (Kg)]]/Table1[[#This Row],[Target Time (Hours)]] * Table1[[#This Row],[Downtime (Hours)]], "")</f>
        <v>909.09090909090912</v>
      </c>
      <c r="N288" s="50">
        <f>IFERROR(Table1[[#This Row],[Running Time (hr)]]/Table1[Target Time (Hours)], "")</f>
        <v>0.90909090909090906</v>
      </c>
      <c r="O288" s="50">
        <f>IFERROR(Table1[[#This Row],[Actual Production (Kg)]]/Table1[Capacity (Kg)], "")</f>
        <v>0.69479999999999997</v>
      </c>
      <c r="P288" s="50">
        <f>IFERROR(Table1[[#This Row],[Quality Pass Production]]/Table1[[#This Row],[Actual Production (Kg)]], "")</f>
        <v>1</v>
      </c>
      <c r="Q288" s="50">
        <f>IFERROR(Table1[[#This Row],[Utilization %]]*Table1[[#This Row],[Efficiency %]]*Table1[[#This Row],[Quality %]], "")</f>
        <v>0.63163636363636355</v>
      </c>
      <c r="R288" s="48" t="s">
        <v>100</v>
      </c>
    </row>
    <row r="289" spans="1:18" ht="30" customHeight="1" x14ac:dyDescent="0.25">
      <c r="A289" s="47">
        <v>46135</v>
      </c>
      <c r="B289" s="48" t="s">
        <v>18</v>
      </c>
      <c r="C289" s="48" t="s">
        <v>22</v>
      </c>
      <c r="D289" s="48" t="s">
        <v>23</v>
      </c>
      <c r="E289" s="49">
        <v>5000</v>
      </c>
      <c r="F289" s="76">
        <v>3934</v>
      </c>
      <c r="G289" s="49">
        <v>0</v>
      </c>
      <c r="H289" s="50">
        <f>IFERROR(Table1[Re-process (Kg)]/Table1[Actual Production (Kg)], "")</f>
        <v>0</v>
      </c>
      <c r="I289" s="49">
        <f>IFERROR(Table1[[#This Row],[Actual Production (Kg)]]-Table1[[#This Row],[Re-process (Kg)]], "")</f>
        <v>3934</v>
      </c>
      <c r="J289" s="49">
        <v>22</v>
      </c>
      <c r="K289" s="72">
        <v>3</v>
      </c>
      <c r="L289" s="49">
        <f>IF(Table1[[#This Row],[Target Time (Hours)]]="","",Table1[[#This Row],[Target Time (Hours)]]-Table1[[#This Row],[Downtime (Hours)]])</f>
        <v>19</v>
      </c>
      <c r="M289" s="49">
        <f>IFERROR(Table1[[#This Row],[Capacity (Kg)]]/Table1[[#This Row],[Target Time (Hours)]] * Table1[[#This Row],[Downtime (Hours)]], "")</f>
        <v>681.81818181818187</v>
      </c>
      <c r="N289" s="50">
        <f>IFERROR(Table1[[#This Row],[Running Time (hr)]]/Table1[Target Time (Hours)], "")</f>
        <v>0.86363636363636365</v>
      </c>
      <c r="O289" s="50">
        <f>IFERROR(Table1[[#This Row],[Actual Production (Kg)]]/Table1[Capacity (Kg)], "")</f>
        <v>0.78680000000000005</v>
      </c>
      <c r="P289" s="50">
        <f>IFERROR(Table1[[#This Row],[Quality Pass Production]]/Table1[[#This Row],[Actual Production (Kg)]], "")</f>
        <v>1</v>
      </c>
      <c r="Q289" s="50">
        <f>IFERROR(Table1[[#This Row],[Utilization %]]*Table1[[#This Row],[Efficiency %]]*Table1[[#This Row],[Quality %]], "")</f>
        <v>0.67950909090909095</v>
      </c>
      <c r="R289" s="48" t="s">
        <v>101</v>
      </c>
    </row>
    <row r="290" spans="1:18" x14ac:dyDescent="0.25">
      <c r="A290" s="47">
        <v>46135</v>
      </c>
      <c r="B290" s="48" t="s">
        <v>18</v>
      </c>
      <c r="C290" s="48" t="s">
        <v>22</v>
      </c>
      <c r="D290" s="48" t="s">
        <v>25</v>
      </c>
      <c r="E290" s="49">
        <v>4000</v>
      </c>
      <c r="F290" s="76">
        <v>3348</v>
      </c>
      <c r="G290" s="49">
        <v>0</v>
      </c>
      <c r="H290" s="50">
        <f>IFERROR(Table1[Re-process (Kg)]/Table1[Actual Production (Kg)], "")</f>
        <v>0</v>
      </c>
      <c r="I290" s="49">
        <f>IFERROR(Table1[[#This Row],[Actual Production (Kg)]]-Table1[[#This Row],[Re-process (Kg)]], "")</f>
        <v>3348</v>
      </c>
      <c r="J290" s="49"/>
      <c r="K290" s="72"/>
      <c r="L290" s="49" t="str">
        <f>IF(Table1[[#This Row],[Target Time (Hours)]]="","",Table1[[#This Row],[Target Time (Hours)]]-Table1[[#This Row],[Downtime (Hours)]])</f>
        <v/>
      </c>
      <c r="M290" s="49" t="str">
        <f>IFERROR(Table1[[#This Row],[Capacity (Kg)]]/Table1[[#This Row],[Target Time (Hours)]] * Table1[[#This Row],[Downtime (Hours)]], "")</f>
        <v/>
      </c>
      <c r="N290" s="50" t="str">
        <f>IFERROR(Table1[[#This Row],[Running Time (hr)]]/Table1[Target Time (Hours)], "")</f>
        <v/>
      </c>
      <c r="O290" s="50">
        <f>IFERROR(Table1[[#This Row],[Actual Production (Kg)]]/Table1[Capacity (Kg)], "")</f>
        <v>0.83699999999999997</v>
      </c>
      <c r="P290" s="50">
        <f>IFERROR(Table1[[#This Row],[Quality Pass Production]]/Table1[[#This Row],[Actual Production (Kg)]], "")</f>
        <v>1</v>
      </c>
      <c r="Q290" s="50" t="str">
        <f>IFERROR(Table1[[#This Row],[Utilization %]]*Table1[[#This Row],[Efficiency %]]*Table1[[#This Row],[Quality %]], "")</f>
        <v/>
      </c>
    </row>
    <row r="291" spans="1:18" ht="30" customHeight="1" x14ac:dyDescent="0.25">
      <c r="A291" s="47">
        <v>46135</v>
      </c>
      <c r="B291" s="48" t="s">
        <v>18</v>
      </c>
      <c r="C291" s="48" t="s">
        <v>26</v>
      </c>
      <c r="D291" s="48" t="s">
        <v>25</v>
      </c>
      <c r="E291" s="49">
        <v>7000</v>
      </c>
      <c r="F291" s="76">
        <v>6160</v>
      </c>
      <c r="G291" s="49">
        <v>0</v>
      </c>
      <c r="H291" s="50">
        <f>IFERROR(Table1[Re-process (Kg)]/Table1[Actual Production (Kg)], "")</f>
        <v>0</v>
      </c>
      <c r="I291" s="49">
        <f>IFERROR(Table1[[#This Row],[Actual Production (Kg)]]-Table1[[#This Row],[Re-process (Kg)]], "")</f>
        <v>6160</v>
      </c>
      <c r="J291" s="49">
        <v>22</v>
      </c>
      <c r="K291" s="72">
        <v>3</v>
      </c>
      <c r="L291" s="49">
        <f>IF(Table1[[#This Row],[Target Time (Hours)]]="","",Table1[[#This Row],[Target Time (Hours)]]-Table1[[#This Row],[Downtime (Hours)]])</f>
        <v>19</v>
      </c>
      <c r="M291" s="49">
        <f>IFERROR(Table1[[#This Row],[Capacity (Kg)]]/Table1[[#This Row],[Target Time (Hours)]] * Table1[[#This Row],[Downtime (Hours)]], "")</f>
        <v>954.5454545454545</v>
      </c>
      <c r="N291" s="50">
        <f>IFERROR(Table1[[#This Row],[Running Time (hr)]]/Table1[Target Time (Hours)], "")</f>
        <v>0.86363636363636365</v>
      </c>
      <c r="O291" s="50">
        <f>IFERROR(Table1[[#This Row],[Actual Production (Kg)]]/Table1[Capacity (Kg)], "")</f>
        <v>0.88</v>
      </c>
      <c r="P291" s="50">
        <f>IFERROR(Table1[[#This Row],[Quality Pass Production]]/Table1[[#This Row],[Actual Production (Kg)]], "")</f>
        <v>1</v>
      </c>
      <c r="Q291" s="50">
        <f>IFERROR(Table1[[#This Row],[Utilization %]]*Table1[[#This Row],[Efficiency %]]*Table1[[#This Row],[Quality %]], "")</f>
        <v>0.76</v>
      </c>
      <c r="R291" s="48" t="s">
        <v>101</v>
      </c>
    </row>
    <row r="292" spans="1:18" ht="30" customHeight="1" x14ac:dyDescent="0.25">
      <c r="A292" s="47">
        <v>46135</v>
      </c>
      <c r="B292" s="48" t="s">
        <v>18</v>
      </c>
      <c r="C292" s="48" t="s">
        <v>28</v>
      </c>
      <c r="D292" s="48" t="s">
        <v>29</v>
      </c>
      <c r="E292" s="49"/>
      <c r="F292" s="76"/>
      <c r="G292" s="49">
        <v>0</v>
      </c>
      <c r="H292" s="50" t="str">
        <f>IFERROR(Table1[Re-process (Kg)]/Table1[Actual Production (Kg)], "")</f>
        <v/>
      </c>
      <c r="I292" s="49">
        <f>IFERROR(Table1[[#This Row],[Actual Production (Kg)]]-Table1[[#This Row],[Re-process (Kg)]], "")</f>
        <v>0</v>
      </c>
      <c r="J292" s="49"/>
      <c r="K292" s="72"/>
      <c r="L292" s="49" t="str">
        <f>IF(Table1[[#This Row],[Target Time (Hours)]]="","",Table1[[#This Row],[Target Time (Hours)]]-Table1[[#This Row],[Downtime (Hours)]])</f>
        <v/>
      </c>
      <c r="M292" s="49" t="str">
        <f>IFERROR(Table1[[#This Row],[Capacity (Kg)]]/Table1[[#This Row],[Target Time (Hours)]] * Table1[[#This Row],[Downtime (Hours)]], "")</f>
        <v/>
      </c>
      <c r="N292" s="50" t="str">
        <f>IFERROR(Table1[[#This Row],[Running Time (hr)]]/Table1[Target Time (Hours)], "")</f>
        <v/>
      </c>
      <c r="O292" s="50" t="str">
        <f>IFERROR(Table1[[#This Row],[Actual Production (Kg)]]/Table1[Capacity (Kg)], "")</f>
        <v/>
      </c>
      <c r="P292" s="50" t="str">
        <f>IFERROR(Table1[[#This Row],[Quality Pass Production]]/Table1[[#This Row],[Actual Production (Kg)]], "")</f>
        <v/>
      </c>
      <c r="Q292" s="50" t="str">
        <f>IFERROR(Table1[[#This Row],[Utilization %]]*Table1[[#This Row],[Efficiency %]]*Table1[[#This Row],[Quality %]], "")</f>
        <v/>
      </c>
    </row>
    <row r="293" spans="1:18" ht="30" customHeight="1" x14ac:dyDescent="0.25">
      <c r="A293" s="47">
        <v>46135</v>
      </c>
      <c r="B293" s="48" t="s">
        <v>18</v>
      </c>
      <c r="C293" s="48" t="s">
        <v>30</v>
      </c>
      <c r="D293" s="48" t="s">
        <v>31</v>
      </c>
      <c r="E293" s="49">
        <v>9000</v>
      </c>
      <c r="F293" s="76">
        <v>6950</v>
      </c>
      <c r="G293" s="49">
        <v>0</v>
      </c>
      <c r="H293" s="50">
        <f>IFERROR(Table1[Re-process (Kg)]/Table1[Actual Production (Kg)], "")</f>
        <v>0</v>
      </c>
      <c r="I293" s="49">
        <f>IFERROR(Table1[[#This Row],[Actual Production (Kg)]]-Table1[[#This Row],[Re-process (Kg)]], "")</f>
        <v>6950</v>
      </c>
      <c r="J293" s="49">
        <v>22</v>
      </c>
      <c r="K293" s="72">
        <v>2</v>
      </c>
      <c r="L293" s="49">
        <f>IF(Table1[[#This Row],[Target Time (Hours)]]="","",Table1[[#This Row],[Target Time (Hours)]]-Table1[[#This Row],[Downtime (Hours)]])</f>
        <v>20</v>
      </c>
      <c r="M293" s="49">
        <f>IFERROR(Table1[[#This Row],[Capacity (Kg)]]/Table1[[#This Row],[Target Time (Hours)]] * Table1[[#This Row],[Downtime (Hours)]], "")</f>
        <v>818.18181818181813</v>
      </c>
      <c r="N293" s="50">
        <f>IFERROR(Table1[[#This Row],[Running Time (hr)]]/Table1[Target Time (Hours)], "")</f>
        <v>0.90909090909090906</v>
      </c>
      <c r="O293" s="50">
        <f>IFERROR(Table1[[#This Row],[Actual Production (Kg)]]/Table1[Capacity (Kg)], "")</f>
        <v>0.77222222222222225</v>
      </c>
      <c r="P293" s="50">
        <f>IFERROR(Table1[[#This Row],[Quality Pass Production]]/Table1[[#This Row],[Actual Production (Kg)]], "")</f>
        <v>1</v>
      </c>
      <c r="Q293" s="50">
        <f>IFERROR(Table1[[#This Row],[Utilization %]]*Table1[[#This Row],[Efficiency %]]*Table1[[#This Row],[Quality %]], "")</f>
        <v>0.70202020202020199</v>
      </c>
      <c r="R293" s="48" t="s">
        <v>100</v>
      </c>
    </row>
    <row r="294" spans="1:18" ht="30" customHeight="1" x14ac:dyDescent="0.25">
      <c r="A294" s="26">
        <v>46135</v>
      </c>
      <c r="B294" s="27" t="s">
        <v>18</v>
      </c>
      <c r="C294" s="27" t="s">
        <v>32</v>
      </c>
      <c r="D294" s="27" t="s">
        <v>31</v>
      </c>
      <c r="E294" s="79">
        <f>Table1[[#This Row],[Actual Production (Kg)]]</f>
        <v>1603</v>
      </c>
      <c r="F294" s="79">
        <v>1603</v>
      </c>
      <c r="G294" s="79"/>
      <c r="H294" s="28"/>
      <c r="I294" s="79"/>
      <c r="J294" s="79"/>
      <c r="K294" s="27"/>
      <c r="L294" s="53" t="str">
        <f>IF(Table1[[#This Row],[Target Time (Hours)]]="","",Table1[[#This Row],[Target Time (Hours)]]-Table1[[#This Row],[Downtime (Hours)]])</f>
        <v/>
      </c>
      <c r="M294" s="79"/>
      <c r="N294" s="28"/>
      <c r="O294" s="28"/>
      <c r="P294" s="28"/>
      <c r="Q294" s="28"/>
      <c r="R294" s="27" t="s">
        <v>89</v>
      </c>
    </row>
    <row r="295" spans="1:18" ht="30" customHeight="1" x14ac:dyDescent="0.25">
      <c r="A295" s="47">
        <v>46135</v>
      </c>
      <c r="B295" s="48" t="s">
        <v>33</v>
      </c>
      <c r="C295" s="48" t="s">
        <v>34</v>
      </c>
      <c r="D295" s="48" t="s">
        <v>35</v>
      </c>
      <c r="E295" s="49">
        <v>9000</v>
      </c>
      <c r="F295" s="76"/>
      <c r="G295" s="49">
        <v>0</v>
      </c>
      <c r="H295" s="50" t="str">
        <f>IFERROR(Table1[Re-process (Kg)]/Table1[Actual Production (Kg)], "")</f>
        <v/>
      </c>
      <c r="I295" s="49">
        <f>IFERROR(Table1[[#This Row],[Actual Production (Kg)]]-Table1[[#This Row],[Re-process (Kg)]], "")</f>
        <v>0</v>
      </c>
      <c r="J295" s="49"/>
      <c r="K295" s="72"/>
      <c r="L295" s="49" t="str">
        <f>IF(Table1[[#This Row],[Target Time (Hours)]]="","",Table1[[#This Row],[Target Time (Hours)]]-Table1[[#This Row],[Downtime (Hours)]])</f>
        <v/>
      </c>
      <c r="M295" s="49" t="str">
        <f>IFERROR(Table1[[#This Row],[Capacity (Kg)]]/Table1[[#This Row],[Target Time (Hours)]] * Table1[[#This Row],[Downtime (Hours)]], "")</f>
        <v/>
      </c>
      <c r="N295" s="50" t="str">
        <f>IFERROR(Table1[[#This Row],[Running Time (hr)]]/Table1[Target Time (Hours)], "")</f>
        <v/>
      </c>
      <c r="O295" s="50">
        <f>IFERROR(Table1[[#This Row],[Actual Production (Kg)]]/Table1[Capacity (Kg)], "")</f>
        <v>0</v>
      </c>
      <c r="P295" s="50" t="str">
        <f>IFERROR(Table1[[#This Row],[Quality Pass Production]]/Table1[[#This Row],[Actual Production (Kg)]], "")</f>
        <v/>
      </c>
      <c r="Q295" s="50" t="str">
        <f>IFERROR(Table1[[#This Row],[Utilization %]]*Table1[[#This Row],[Efficiency %]]*Table1[[#This Row],[Quality %]], "")</f>
        <v/>
      </c>
    </row>
    <row r="296" spans="1:18" x14ac:dyDescent="0.25">
      <c r="A296" s="47">
        <v>46135</v>
      </c>
      <c r="B296" s="48" t="s">
        <v>33</v>
      </c>
      <c r="C296" s="48" t="s">
        <v>36</v>
      </c>
      <c r="D296" s="48" t="s">
        <v>37</v>
      </c>
      <c r="E296" s="49">
        <v>8000</v>
      </c>
      <c r="F296" s="76">
        <v>7011</v>
      </c>
      <c r="G296" s="49">
        <v>0</v>
      </c>
      <c r="H296" s="50">
        <f>IFERROR(Table1[Re-process (Kg)]/Table1[Actual Production (Kg)], "")</f>
        <v>0</v>
      </c>
      <c r="I296" s="49">
        <f>IFERROR(Table1[[#This Row],[Actual Production (Kg)]]-Table1[[#This Row],[Re-process (Kg)]], "")</f>
        <v>7011</v>
      </c>
      <c r="J296" s="49">
        <v>22</v>
      </c>
      <c r="K296" s="72">
        <v>2</v>
      </c>
      <c r="L296" s="49">
        <f>IF(Table1[[#This Row],[Target Time (Hours)]]="","",Table1[[#This Row],[Target Time (Hours)]]-Table1[[#This Row],[Downtime (Hours)]])</f>
        <v>20</v>
      </c>
      <c r="M296" s="49">
        <f>IFERROR(Table1[[#This Row],[Capacity (Kg)]]/Table1[[#This Row],[Target Time (Hours)]] * Table1[[#This Row],[Downtime (Hours)]], "")</f>
        <v>727.27272727272725</v>
      </c>
      <c r="N296" s="50">
        <f>IFERROR(Table1[[#This Row],[Running Time (hr)]]/Table1[Target Time (Hours)], "")</f>
        <v>0.90909090909090906</v>
      </c>
      <c r="O296" s="50">
        <f>IFERROR(Table1[[#This Row],[Actual Production (Kg)]]/Table1[Capacity (Kg)], "")</f>
        <v>0.87637500000000002</v>
      </c>
      <c r="P296" s="50">
        <f>IFERROR(Table1[[#This Row],[Quality Pass Production]]/Table1[[#This Row],[Actual Production (Kg)]], "")</f>
        <v>1</v>
      </c>
      <c r="Q296" s="50">
        <f>IFERROR(Table1[[#This Row],[Utilization %]]*Table1[[#This Row],[Efficiency %]]*Table1[[#This Row],[Quality %]], "")</f>
        <v>0.79670454545454539</v>
      </c>
      <c r="R296" s="48" t="s">
        <v>100</v>
      </c>
    </row>
    <row r="297" spans="1:18" ht="45" customHeight="1" x14ac:dyDescent="0.25">
      <c r="A297" s="47">
        <v>46135</v>
      </c>
      <c r="B297" s="48" t="s">
        <v>33</v>
      </c>
      <c r="C297" s="48" t="s">
        <v>39</v>
      </c>
      <c r="D297" s="48" t="s">
        <v>31</v>
      </c>
      <c r="E297" s="49">
        <v>6000</v>
      </c>
      <c r="F297" s="76">
        <v>6930</v>
      </c>
      <c r="G297" s="49">
        <v>0</v>
      </c>
      <c r="H297" s="50">
        <f>IFERROR(Table1[Re-process (Kg)]/Table1[Actual Production (Kg)], "")</f>
        <v>0</v>
      </c>
      <c r="I297" s="49">
        <f>IFERROR(Table1[[#This Row],[Actual Production (Kg)]]-Table1[[#This Row],[Re-process (Kg)]], "")</f>
        <v>6930</v>
      </c>
      <c r="J297" s="49">
        <v>22</v>
      </c>
      <c r="K297" s="72">
        <v>7</v>
      </c>
      <c r="L297" s="49">
        <f>IF(Table1[[#This Row],[Target Time (Hours)]]="","",Table1[[#This Row],[Target Time (Hours)]]-Table1[[#This Row],[Downtime (Hours)]])</f>
        <v>15</v>
      </c>
      <c r="M297" s="49">
        <f>IFERROR(Table1[[#This Row],[Capacity (Kg)]]/Table1[[#This Row],[Target Time (Hours)]] * Table1[[#This Row],[Downtime (Hours)]], "")</f>
        <v>1909.0909090909092</v>
      </c>
      <c r="N297" s="50">
        <f>IFERROR(Table1[[#This Row],[Running Time (hr)]]/Table1[Target Time (Hours)], "")</f>
        <v>0.68181818181818177</v>
      </c>
      <c r="O297" s="50">
        <f>IFERROR(Table1[[#This Row],[Actual Production (Kg)]]/Table1[Capacity (Kg)], "")</f>
        <v>1.155</v>
      </c>
      <c r="P297" s="50">
        <f>IFERROR(Table1[[#This Row],[Quality Pass Production]]/Table1[[#This Row],[Actual Production (Kg)]], "")</f>
        <v>1</v>
      </c>
      <c r="Q297" s="50">
        <f>IFERROR(Table1[[#This Row],[Utilization %]]*Table1[[#This Row],[Efficiency %]]*Table1[[#This Row],[Quality %]], "")</f>
        <v>0.78749999999999998</v>
      </c>
      <c r="R297" s="48" t="s">
        <v>102</v>
      </c>
    </row>
    <row r="298" spans="1:18" ht="45" customHeight="1" x14ac:dyDescent="0.25">
      <c r="A298" s="54">
        <v>46135</v>
      </c>
      <c r="B298" s="55" t="s">
        <v>33</v>
      </c>
      <c r="C298" s="55" t="s">
        <v>40</v>
      </c>
      <c r="D298" s="55" t="s">
        <v>31</v>
      </c>
      <c r="E298" s="56">
        <v>5000</v>
      </c>
      <c r="F298" s="56">
        <v>3605</v>
      </c>
      <c r="G298" s="56">
        <v>0</v>
      </c>
      <c r="H298" s="58">
        <f>IFERROR(Table1[Re-process (Kg)]/Table1[Actual Production (Kg)], "")</f>
        <v>0</v>
      </c>
      <c r="I298" s="56">
        <f>IFERROR(Table1[[#This Row],[Actual Production (Kg)]]-Table1[[#This Row],[Re-process (Kg)]], "")</f>
        <v>3605</v>
      </c>
      <c r="J298" s="56">
        <v>22</v>
      </c>
      <c r="K298" s="55">
        <v>2</v>
      </c>
      <c r="L298" s="56">
        <f>IF(Table1[[#This Row],[Target Time (Hours)]]="","",Table1[[#This Row],[Target Time (Hours)]]-Table1[[#This Row],[Downtime (Hours)]])</f>
        <v>20</v>
      </c>
      <c r="M298" s="56">
        <f>IFERROR(Table1[[#This Row],[Capacity (Kg)]]/Table1[[#This Row],[Target Time (Hours)]] * Table1[[#This Row],[Downtime (Hours)]], "")</f>
        <v>454.54545454545456</v>
      </c>
      <c r="N298" s="58">
        <f>IFERROR(Table1[[#This Row],[Running Time (hr)]]/Table1[Target Time (Hours)], "")</f>
        <v>0.90909090909090906</v>
      </c>
      <c r="O298" s="58">
        <f>IFERROR(Table1[[#This Row],[Actual Production (Kg)]]/Table1[Capacity (Kg)], "")</f>
        <v>0.72099999999999997</v>
      </c>
      <c r="P298" s="58">
        <f>IFERROR(Table1[[#This Row],[Quality Pass Production]]/Table1[[#This Row],[Actual Production (Kg)]], "")</f>
        <v>1</v>
      </c>
      <c r="Q298" s="58">
        <f>IFERROR(Table1[[#This Row],[Utilization %]]*Table1[[#This Row],[Efficiency %]]*Table1[[#This Row],[Quality %]], "")</f>
        <v>0.6554545454545454</v>
      </c>
      <c r="R298" s="55" t="s">
        <v>103</v>
      </c>
    </row>
    <row r="299" spans="1:18" ht="30" customHeight="1" x14ac:dyDescent="0.25">
      <c r="A299" s="47">
        <v>46136</v>
      </c>
      <c r="B299" s="48" t="s">
        <v>18</v>
      </c>
      <c r="C299" s="48" t="s">
        <v>19</v>
      </c>
      <c r="D299" s="48" t="s">
        <v>20</v>
      </c>
      <c r="E299" s="49">
        <v>10000</v>
      </c>
      <c r="F299" s="76">
        <v>1770</v>
      </c>
      <c r="G299" s="49">
        <v>0</v>
      </c>
      <c r="H299" s="50">
        <f>IFERROR(Table1[Re-process (Kg)]/Table1[Actual Production (Kg)], "")</f>
        <v>0</v>
      </c>
      <c r="I299" s="49">
        <f>IFERROR(Table1[[#This Row],[Actual Production (Kg)]]-Table1[[#This Row],[Re-process (Kg)]], "")</f>
        <v>1770</v>
      </c>
      <c r="J299" s="49">
        <v>22</v>
      </c>
      <c r="K299" s="72">
        <v>2</v>
      </c>
      <c r="L299" s="49">
        <f>IF(Table1[[#This Row],[Target Time (Hours)]]="","",Table1[[#This Row],[Target Time (Hours)]]-Table1[[#This Row],[Downtime (Hours)]])</f>
        <v>20</v>
      </c>
      <c r="M299" s="49">
        <f>IFERROR(Table1[[#This Row],[Capacity (Kg)]]/Table1[[#This Row],[Target Time (Hours)]] * Table1[[#This Row],[Downtime (Hours)]], "")</f>
        <v>909.09090909090912</v>
      </c>
      <c r="N299" s="50">
        <f>IFERROR(Table1[[#This Row],[Running Time (hr)]]/Table1[Target Time (Hours)], "")</f>
        <v>0.90909090909090906</v>
      </c>
      <c r="O299" s="50">
        <f>IFERROR(Table1[[#This Row],[Actual Production (Kg)]]/Table1[Capacity (Kg)], "")</f>
        <v>0.17699999999999999</v>
      </c>
      <c r="P299" s="50">
        <f>IFERROR(Table1[[#This Row],[Quality Pass Production]]/Table1[[#This Row],[Actual Production (Kg)]], "")</f>
        <v>1</v>
      </c>
      <c r="Q299" s="50">
        <f>IFERROR(Table1[[#This Row],[Utilization %]]*Table1[[#This Row],[Efficiency %]]*Table1[[#This Row],[Quality %]], "")</f>
        <v>0.16090909090909089</v>
      </c>
      <c r="R299" s="48" t="s">
        <v>104</v>
      </c>
    </row>
    <row r="300" spans="1:18" x14ac:dyDescent="0.25">
      <c r="A300" s="47">
        <v>46136</v>
      </c>
      <c r="B300" s="48" t="s">
        <v>18</v>
      </c>
      <c r="C300" s="48" t="s">
        <v>22</v>
      </c>
      <c r="D300" s="48" t="s">
        <v>23</v>
      </c>
      <c r="E300" s="49">
        <v>5000</v>
      </c>
      <c r="F300" s="76">
        <v>6628</v>
      </c>
      <c r="G300" s="49">
        <v>0</v>
      </c>
      <c r="H300" s="50">
        <f>IFERROR(Table1[Re-process (Kg)]/Table1[Actual Production (Kg)], "")</f>
        <v>0</v>
      </c>
      <c r="I300" s="49">
        <f>IFERROR(Table1[[#This Row],[Actual Production (Kg)]]-Table1[[#This Row],[Re-process (Kg)]], "")</f>
        <v>6628</v>
      </c>
      <c r="J300" s="49">
        <v>16</v>
      </c>
      <c r="K300" s="72">
        <v>0</v>
      </c>
      <c r="L300" s="49">
        <f>IF(Table1[[#This Row],[Target Time (Hours)]]="","",Table1[[#This Row],[Target Time (Hours)]]-Table1[[#This Row],[Downtime (Hours)]])</f>
        <v>16</v>
      </c>
      <c r="M300" s="49">
        <f>IFERROR(Table1[[#This Row],[Capacity (Kg)]]/Table1[[#This Row],[Target Time (Hours)]] * Table1[[#This Row],[Downtime (Hours)]], "")</f>
        <v>0</v>
      </c>
      <c r="N300" s="50">
        <f>IFERROR(Table1[[#This Row],[Running Time (hr)]]/Table1[Target Time (Hours)], "")</f>
        <v>1</v>
      </c>
      <c r="O300" s="50">
        <f>IFERROR(Table1[[#This Row],[Actual Production (Kg)]]/Table1[Capacity (Kg)], "")</f>
        <v>1.3255999999999999</v>
      </c>
      <c r="P300" s="50">
        <f>IFERROR(Table1[[#This Row],[Quality Pass Production]]/Table1[[#This Row],[Actual Production (Kg)]], "")</f>
        <v>1</v>
      </c>
      <c r="Q300" s="50">
        <f>IFERROR(Table1[[#This Row],[Utilization %]]*Table1[[#This Row],[Efficiency %]]*Table1[[#This Row],[Quality %]], "")</f>
        <v>1.3255999999999999</v>
      </c>
      <c r="R300" s="48" t="s">
        <v>89</v>
      </c>
    </row>
    <row r="301" spans="1:18" x14ac:dyDescent="0.25">
      <c r="A301" s="47">
        <v>46136</v>
      </c>
      <c r="B301" s="48" t="s">
        <v>18</v>
      </c>
      <c r="C301" s="48" t="s">
        <v>22</v>
      </c>
      <c r="D301" s="48" t="s">
        <v>25</v>
      </c>
      <c r="E301" s="49">
        <v>4000</v>
      </c>
      <c r="F301" s="76">
        <v>1000</v>
      </c>
      <c r="G301" s="49">
        <v>0</v>
      </c>
      <c r="H301" s="50">
        <f>IFERROR(Table1[Re-process (Kg)]/Table1[Actual Production (Kg)], "")</f>
        <v>0</v>
      </c>
      <c r="I301" s="49">
        <f>IFERROR(Table1[[#This Row],[Actual Production (Kg)]]-Table1[[#This Row],[Re-process (Kg)]], "")</f>
        <v>1000</v>
      </c>
      <c r="J301" s="49">
        <v>16</v>
      </c>
      <c r="K301" s="72">
        <v>0</v>
      </c>
      <c r="L301" s="49">
        <f>IF(Table1[[#This Row],[Target Time (Hours)]]="","",Table1[[#This Row],[Target Time (Hours)]]-Table1[[#This Row],[Downtime (Hours)]])</f>
        <v>16</v>
      </c>
      <c r="M301" s="49">
        <f>IFERROR(Table1[[#This Row],[Capacity (Kg)]]/Table1[[#This Row],[Target Time (Hours)]] * Table1[[#This Row],[Downtime (Hours)]], "")</f>
        <v>0</v>
      </c>
      <c r="N301" s="50">
        <f>IFERROR(Table1[[#This Row],[Running Time (hr)]]/Table1[Target Time (Hours)], "")</f>
        <v>1</v>
      </c>
      <c r="O301" s="50">
        <f>IFERROR(Table1[[#This Row],[Actual Production (Kg)]]/Table1[Capacity (Kg)], "")</f>
        <v>0.25</v>
      </c>
      <c r="P301" s="50">
        <f>IFERROR(Table1[[#This Row],[Quality Pass Production]]/Table1[[#This Row],[Actual Production (Kg)]], "")</f>
        <v>1</v>
      </c>
      <c r="Q301" s="50">
        <f>IFERROR(Table1[[#This Row],[Utilization %]]*Table1[[#This Row],[Efficiency %]]*Table1[[#This Row],[Quality %]], "")</f>
        <v>0.25</v>
      </c>
      <c r="R301" s="48" t="s">
        <v>89</v>
      </c>
    </row>
    <row r="302" spans="1:18" x14ac:dyDescent="0.25">
      <c r="A302" s="47">
        <v>46136</v>
      </c>
      <c r="B302" s="48" t="s">
        <v>18</v>
      </c>
      <c r="C302" s="48" t="s">
        <v>26</v>
      </c>
      <c r="D302" s="48" t="s">
        <v>25</v>
      </c>
      <c r="E302" s="49">
        <v>7000</v>
      </c>
      <c r="F302" s="76">
        <v>4492</v>
      </c>
      <c r="G302" s="49">
        <v>0</v>
      </c>
      <c r="H302" s="50">
        <f>IFERROR(Table1[Re-process (Kg)]/Table1[Actual Production (Kg)], "")</f>
        <v>0</v>
      </c>
      <c r="I302" s="49">
        <f>IFERROR(Table1[[#This Row],[Actual Production (Kg)]]-Table1[[#This Row],[Re-process (Kg)]], "")</f>
        <v>4492</v>
      </c>
      <c r="J302" s="49"/>
      <c r="K302" s="72"/>
      <c r="L302" s="49" t="str">
        <f>IF(Table1[[#This Row],[Target Time (Hours)]]="","",Table1[[#This Row],[Target Time (Hours)]]-Table1[[#This Row],[Downtime (Hours)]])</f>
        <v/>
      </c>
      <c r="M302" s="49" t="str">
        <f>IFERROR(Table1[[#This Row],[Capacity (Kg)]]/Table1[[#This Row],[Target Time (Hours)]] * Table1[[#This Row],[Downtime (Hours)]], "")</f>
        <v/>
      </c>
      <c r="N302" s="50" t="str">
        <f>IFERROR(Table1[[#This Row],[Running Time (hr)]]/Table1[Target Time (Hours)], "")</f>
        <v/>
      </c>
      <c r="O302" s="50">
        <f>IFERROR(Table1[[#This Row],[Actual Production (Kg)]]/Table1[Capacity (Kg)], "")</f>
        <v>0.64171428571428568</v>
      </c>
      <c r="P302" s="50">
        <f>IFERROR(Table1[[#This Row],[Quality Pass Production]]/Table1[[#This Row],[Actual Production (Kg)]], "")</f>
        <v>1</v>
      </c>
      <c r="Q302" s="50" t="str">
        <f>IFERROR(Table1[[#This Row],[Utilization %]]*Table1[[#This Row],[Efficiency %]]*Table1[[#This Row],[Quality %]], "")</f>
        <v/>
      </c>
    </row>
    <row r="303" spans="1:18" ht="30" customHeight="1" x14ac:dyDescent="0.25">
      <c r="A303" s="47">
        <v>46136</v>
      </c>
      <c r="B303" s="48" t="s">
        <v>18</v>
      </c>
      <c r="C303" s="48" t="s">
        <v>28</v>
      </c>
      <c r="D303" s="48" t="s">
        <v>29</v>
      </c>
      <c r="E303" s="49">
        <v>7800</v>
      </c>
      <c r="F303" s="76">
        <v>4729</v>
      </c>
      <c r="G303" s="49">
        <v>0</v>
      </c>
      <c r="H303" s="50">
        <f>IFERROR(Table1[Re-process (Kg)]/Table1[Actual Production (Kg)], "")</f>
        <v>0</v>
      </c>
      <c r="I303" s="49">
        <f>IFERROR(Table1[[#This Row],[Actual Production (Kg)]]-Table1[[#This Row],[Re-process (Kg)]], "")</f>
        <v>4729</v>
      </c>
      <c r="J303" s="49">
        <v>16</v>
      </c>
      <c r="K303" s="72">
        <v>0</v>
      </c>
      <c r="L303" s="49">
        <f>IF(Table1[[#This Row],[Target Time (Hours)]]="","",Table1[[#This Row],[Target Time (Hours)]]-Table1[[#This Row],[Downtime (Hours)]])</f>
        <v>16</v>
      </c>
      <c r="M303" s="49">
        <f>IFERROR(Table1[[#This Row],[Capacity (Kg)]]/Table1[[#This Row],[Target Time (Hours)]] * Table1[[#This Row],[Downtime (Hours)]], "")</f>
        <v>0</v>
      </c>
      <c r="N303" s="50">
        <f>IFERROR(Table1[[#This Row],[Running Time (hr)]]/Table1[Target Time (Hours)], "")</f>
        <v>1</v>
      </c>
      <c r="O303" s="50">
        <f>IFERROR(Table1[[#This Row],[Actual Production (Kg)]]/Table1[Capacity (Kg)], "")</f>
        <v>0.60628205128205126</v>
      </c>
      <c r="P303" s="50">
        <f>IFERROR(Table1[[#This Row],[Quality Pass Production]]/Table1[[#This Row],[Actual Production (Kg)]], "")</f>
        <v>1</v>
      </c>
      <c r="Q303" s="50">
        <f>IFERROR(Table1[[#This Row],[Utilization %]]*Table1[[#This Row],[Efficiency %]]*Table1[[#This Row],[Quality %]], "")</f>
        <v>0.60628205128205126</v>
      </c>
      <c r="R303" s="48" t="s">
        <v>89</v>
      </c>
    </row>
    <row r="304" spans="1:18" ht="30" customHeight="1" x14ac:dyDescent="0.25">
      <c r="A304" s="47">
        <v>46136</v>
      </c>
      <c r="B304" s="48" t="s">
        <v>18</v>
      </c>
      <c r="C304" s="48" t="s">
        <v>30</v>
      </c>
      <c r="D304" s="48" t="s">
        <v>31</v>
      </c>
      <c r="E304" s="49">
        <v>9000</v>
      </c>
      <c r="F304" s="76"/>
      <c r="G304" s="49">
        <v>0</v>
      </c>
      <c r="H304" s="50" t="str">
        <f>IFERROR(Table1[Re-process (Kg)]/Table1[Actual Production (Kg)], "")</f>
        <v/>
      </c>
      <c r="I304" s="49">
        <f>IFERROR(Table1[[#This Row],[Actual Production (Kg)]]-Table1[[#This Row],[Re-process (Kg)]], "")</f>
        <v>0</v>
      </c>
      <c r="J304" s="49"/>
      <c r="K304" s="72"/>
      <c r="L304" s="49" t="str">
        <f>IF(Table1[[#This Row],[Target Time (Hours)]]="","",Table1[[#This Row],[Target Time (Hours)]]-Table1[[#This Row],[Downtime (Hours)]])</f>
        <v/>
      </c>
      <c r="M304" s="49" t="str">
        <f>IFERROR(Table1[[#This Row],[Capacity (Kg)]]/Table1[[#This Row],[Target Time (Hours)]] * Table1[[#This Row],[Downtime (Hours)]], "")</f>
        <v/>
      </c>
      <c r="N304" s="50" t="str">
        <f>IFERROR(Table1[[#This Row],[Running Time (hr)]]/Table1[Target Time (Hours)], "")</f>
        <v/>
      </c>
      <c r="O304" s="50">
        <f>IFERROR(Table1[[#This Row],[Actual Production (Kg)]]/Table1[Capacity (Kg)], "")</f>
        <v>0</v>
      </c>
      <c r="P304" s="50" t="str">
        <f>IFERROR(Table1[[#This Row],[Quality Pass Production]]/Table1[[#This Row],[Actual Production (Kg)]], "")</f>
        <v/>
      </c>
      <c r="Q304" s="50" t="str">
        <f>IFERROR(Table1[[#This Row],[Utilization %]]*Table1[[#This Row],[Efficiency %]]*Table1[[#This Row],[Quality %]], "")</f>
        <v/>
      </c>
    </row>
    <row r="305" spans="1:18" ht="30" customHeight="1" x14ac:dyDescent="0.25">
      <c r="A305" s="26">
        <v>46136</v>
      </c>
      <c r="B305" s="27" t="s">
        <v>18</v>
      </c>
      <c r="C305" s="27" t="s">
        <v>32</v>
      </c>
      <c r="D305" s="27" t="s">
        <v>31</v>
      </c>
      <c r="E305" s="79">
        <f>Table1[[#This Row],[Actual Production (Kg)]]</f>
        <v>0</v>
      </c>
      <c r="F305" s="79">
        <v>0</v>
      </c>
      <c r="G305" s="79"/>
      <c r="H305" s="28"/>
      <c r="I305" s="79"/>
      <c r="J305" s="79"/>
      <c r="K305" s="27"/>
      <c r="L305" s="53" t="str">
        <f>IF(Table1[[#This Row],[Target Time (Hours)]]="","",Table1[[#This Row],[Target Time (Hours)]]-Table1[[#This Row],[Downtime (Hours)]])</f>
        <v/>
      </c>
      <c r="M305" s="79"/>
      <c r="N305" s="28"/>
      <c r="O305" s="28"/>
      <c r="P305" s="28"/>
      <c r="Q305" s="28"/>
      <c r="R305" s="27" t="s">
        <v>89</v>
      </c>
    </row>
    <row r="306" spans="1:18" ht="30" customHeight="1" x14ac:dyDescent="0.25">
      <c r="A306" s="47">
        <v>46136</v>
      </c>
      <c r="B306" s="48" t="s">
        <v>33</v>
      </c>
      <c r="C306" s="48" t="s">
        <v>34</v>
      </c>
      <c r="D306" s="48" t="s">
        <v>35</v>
      </c>
      <c r="E306" s="49">
        <v>9000</v>
      </c>
      <c r="F306" s="76">
        <v>0</v>
      </c>
      <c r="G306" s="49">
        <v>0</v>
      </c>
      <c r="H306" s="50" t="str">
        <f>IFERROR(Table1[Re-process (Kg)]/Table1[Actual Production (Kg)], "")</f>
        <v/>
      </c>
      <c r="I306" s="49">
        <f>IFERROR(Table1[[#This Row],[Actual Production (Kg)]]-Table1[[#This Row],[Re-process (Kg)]], "")</f>
        <v>0</v>
      </c>
      <c r="J306" s="49">
        <v>16</v>
      </c>
      <c r="K306" s="72">
        <v>0</v>
      </c>
      <c r="L306" s="49">
        <f>IF(Table1[[#This Row],[Target Time (Hours)]]="","",Table1[[#This Row],[Target Time (Hours)]]-Table1[[#This Row],[Downtime (Hours)]])</f>
        <v>16</v>
      </c>
      <c r="M306" s="49">
        <f>IFERROR(Table1[[#This Row],[Capacity (Kg)]]/Table1[[#This Row],[Target Time (Hours)]] * Table1[[#This Row],[Downtime (Hours)]], "")</f>
        <v>0</v>
      </c>
      <c r="N306" s="50">
        <f>IFERROR(Table1[[#This Row],[Running Time (hr)]]/Table1[Target Time (Hours)], "")</f>
        <v>1</v>
      </c>
      <c r="O306" s="50">
        <f>IFERROR(Table1[[#This Row],[Actual Production (Kg)]]/Table1[Capacity (Kg)], "")</f>
        <v>0</v>
      </c>
      <c r="P306" s="50" t="str">
        <f>IFERROR(Table1[[#This Row],[Quality Pass Production]]/Table1[[#This Row],[Actual Production (Kg)]], "")</f>
        <v/>
      </c>
      <c r="Q306" s="50" t="str">
        <f>IFERROR(Table1[[#This Row],[Utilization %]]*Table1[[#This Row],[Efficiency %]]*Table1[[#This Row],[Quality %]], "")</f>
        <v/>
      </c>
      <c r="R306" s="48" t="s">
        <v>82</v>
      </c>
    </row>
    <row r="307" spans="1:18" x14ac:dyDescent="0.25">
      <c r="A307" s="47">
        <v>46136</v>
      </c>
      <c r="B307" s="48" t="s">
        <v>33</v>
      </c>
      <c r="C307" s="48" t="s">
        <v>36</v>
      </c>
      <c r="D307" s="48" t="s">
        <v>37</v>
      </c>
      <c r="E307" s="49">
        <v>8000</v>
      </c>
      <c r="F307" s="76">
        <v>5279</v>
      </c>
      <c r="G307" s="49">
        <v>0</v>
      </c>
      <c r="H307" s="50">
        <f>IFERROR(Table1[Re-process (Kg)]/Table1[Actual Production (Kg)], "")</f>
        <v>0</v>
      </c>
      <c r="I307" s="49">
        <f>IFERROR(Table1[[#This Row],[Actual Production (Kg)]]-Table1[[#This Row],[Re-process (Kg)]], "")</f>
        <v>5279</v>
      </c>
      <c r="J307" s="49">
        <v>16</v>
      </c>
      <c r="K307" s="72">
        <v>0</v>
      </c>
      <c r="L307" s="49">
        <f>IF(Table1[[#This Row],[Target Time (Hours)]]="","",Table1[[#This Row],[Target Time (Hours)]]-Table1[[#This Row],[Downtime (Hours)]])</f>
        <v>16</v>
      </c>
      <c r="M307" s="49">
        <f>IFERROR(Table1[[#This Row],[Capacity (Kg)]]/Table1[[#This Row],[Target Time (Hours)]] * Table1[[#This Row],[Downtime (Hours)]], "")</f>
        <v>0</v>
      </c>
      <c r="N307" s="50">
        <f>IFERROR(Table1[[#This Row],[Running Time (hr)]]/Table1[Target Time (Hours)], "")</f>
        <v>1</v>
      </c>
      <c r="O307" s="50">
        <f>IFERROR(Table1[[#This Row],[Actual Production (Kg)]]/Table1[Capacity (Kg)], "")</f>
        <v>0.65987499999999999</v>
      </c>
      <c r="P307" s="50">
        <f>IFERROR(Table1[[#This Row],[Quality Pass Production]]/Table1[[#This Row],[Actual Production (Kg)]], "")</f>
        <v>1</v>
      </c>
      <c r="Q307" s="50">
        <f>IFERROR(Table1[[#This Row],[Utilization %]]*Table1[[#This Row],[Efficiency %]]*Table1[[#This Row],[Quality %]], "")</f>
        <v>0.65987499999999999</v>
      </c>
      <c r="R307" s="48" t="s">
        <v>64</v>
      </c>
    </row>
    <row r="308" spans="1:18" ht="45" customHeight="1" x14ac:dyDescent="0.25">
      <c r="A308" s="47">
        <v>46136</v>
      </c>
      <c r="B308" s="48" t="s">
        <v>33</v>
      </c>
      <c r="C308" s="48" t="s">
        <v>39</v>
      </c>
      <c r="D308" s="48" t="s">
        <v>31</v>
      </c>
      <c r="E308" s="49">
        <v>6000</v>
      </c>
      <c r="F308" s="76">
        <v>4803</v>
      </c>
      <c r="G308" s="49">
        <v>0</v>
      </c>
      <c r="H308" s="50">
        <f>IFERROR(Table1[Re-process (Kg)]/Table1[Actual Production (Kg)], "")</f>
        <v>0</v>
      </c>
      <c r="I308" s="49">
        <f>IFERROR(Table1[[#This Row],[Actual Production (Kg)]]-Table1[[#This Row],[Re-process (Kg)]], "")</f>
        <v>4803</v>
      </c>
      <c r="J308" s="49">
        <v>16</v>
      </c>
      <c r="K308" s="72">
        <v>2</v>
      </c>
      <c r="L308" s="49">
        <f>IF(Table1[[#This Row],[Target Time (Hours)]]="","",Table1[[#This Row],[Target Time (Hours)]]-Table1[[#This Row],[Downtime (Hours)]])</f>
        <v>14</v>
      </c>
      <c r="M308" s="49">
        <f>IFERROR(Table1[[#This Row],[Capacity (Kg)]]/Table1[[#This Row],[Target Time (Hours)]] * Table1[[#This Row],[Downtime (Hours)]], "")</f>
        <v>750</v>
      </c>
      <c r="N308" s="50">
        <f>IFERROR(Table1[[#This Row],[Running Time (hr)]]/Table1[Target Time (Hours)], "")</f>
        <v>0.875</v>
      </c>
      <c r="O308" s="50">
        <f>IFERROR(Table1[[#This Row],[Actual Production (Kg)]]/Table1[Capacity (Kg)], "")</f>
        <v>0.80049999999999999</v>
      </c>
      <c r="P308" s="50">
        <f>IFERROR(Table1[[#This Row],[Quality Pass Production]]/Table1[[#This Row],[Actual Production (Kg)]], "")</f>
        <v>1</v>
      </c>
      <c r="Q308" s="50">
        <f>IFERROR(Table1[[#This Row],[Utilization %]]*Table1[[#This Row],[Efficiency %]]*Table1[[#This Row],[Quality %]], "")</f>
        <v>0.70043750000000005</v>
      </c>
      <c r="R308" s="48" t="s">
        <v>77</v>
      </c>
    </row>
    <row r="309" spans="1:18" ht="45" customHeight="1" x14ac:dyDescent="0.25">
      <c r="A309" s="54">
        <v>46136</v>
      </c>
      <c r="B309" s="55" t="s">
        <v>33</v>
      </c>
      <c r="C309" s="55" t="s">
        <v>40</v>
      </c>
      <c r="D309" s="55" t="s">
        <v>31</v>
      </c>
      <c r="E309" s="56">
        <v>5000</v>
      </c>
      <c r="F309" s="56">
        <v>1832</v>
      </c>
      <c r="G309" s="56">
        <v>0</v>
      </c>
      <c r="H309" s="58">
        <f>IFERROR(Table1[Re-process (Kg)]/Table1[Actual Production (Kg)], "")</f>
        <v>0</v>
      </c>
      <c r="I309" s="56">
        <f>IFERROR(Table1[[#This Row],[Actual Production (Kg)]]-Table1[[#This Row],[Re-process (Kg)]], "")</f>
        <v>1832</v>
      </c>
      <c r="J309" s="56">
        <v>16</v>
      </c>
      <c r="K309" s="55">
        <v>0</v>
      </c>
      <c r="L309" s="56">
        <f>IF(Table1[[#This Row],[Target Time (Hours)]]="","",Table1[[#This Row],[Target Time (Hours)]]-Table1[[#This Row],[Downtime (Hours)]])</f>
        <v>16</v>
      </c>
      <c r="M309" s="56">
        <f>IFERROR(Table1[[#This Row],[Capacity (Kg)]]/Table1[[#This Row],[Target Time (Hours)]] * Table1[[#This Row],[Downtime (Hours)]], "")</f>
        <v>0</v>
      </c>
      <c r="N309" s="58">
        <f>IFERROR(Table1[[#This Row],[Running Time (hr)]]/Table1[Target Time (Hours)], "")</f>
        <v>1</v>
      </c>
      <c r="O309" s="58">
        <f>IFERROR(Table1[[#This Row],[Actual Production (Kg)]]/Table1[Capacity (Kg)], "")</f>
        <v>0.3664</v>
      </c>
      <c r="P309" s="58">
        <f>IFERROR(Table1[[#This Row],[Quality Pass Production]]/Table1[[#This Row],[Actual Production (Kg)]], "")</f>
        <v>1</v>
      </c>
      <c r="Q309" s="58">
        <f>IFERROR(Table1[[#This Row],[Utilization %]]*Table1[[#This Row],[Efficiency %]]*Table1[[#This Row],[Quality %]], "")</f>
        <v>0.3664</v>
      </c>
      <c r="R309" s="55" t="s">
        <v>64</v>
      </c>
    </row>
    <row r="310" spans="1:18" ht="30" customHeight="1" x14ac:dyDescent="0.25">
      <c r="A310" s="47">
        <v>46137</v>
      </c>
      <c r="B310" s="48" t="s">
        <v>18</v>
      </c>
      <c r="C310" s="48" t="s">
        <v>19</v>
      </c>
      <c r="D310" s="48" t="s">
        <v>20</v>
      </c>
      <c r="E310" s="49">
        <v>10000</v>
      </c>
      <c r="F310" s="76">
        <v>2054</v>
      </c>
      <c r="G310" s="49">
        <v>0</v>
      </c>
      <c r="H310" s="50">
        <f>IFERROR(Table1[Re-process (Kg)]/Table1[Actual Production (Kg)], "")</f>
        <v>0</v>
      </c>
      <c r="I310" s="49">
        <f>IFERROR(Table1[[#This Row],[Actual Production (Kg)]]-Table1[[#This Row],[Re-process (Kg)]], "")</f>
        <v>2054</v>
      </c>
      <c r="J310" s="49">
        <v>16</v>
      </c>
      <c r="K310" s="72">
        <v>0</v>
      </c>
      <c r="L310" s="49">
        <f>IF(Table1[[#This Row],[Target Time (Hours)]]="","",Table1[[#This Row],[Target Time (Hours)]]-Table1[[#This Row],[Downtime (Hours)]])</f>
        <v>16</v>
      </c>
      <c r="M310" s="49">
        <f>IFERROR(Table1[[#This Row],[Capacity (Kg)]]/Table1[[#This Row],[Target Time (Hours)]] * Table1[[#This Row],[Downtime (Hours)]], "")</f>
        <v>0</v>
      </c>
      <c r="N310" s="50">
        <f>IFERROR(Table1[[#This Row],[Running Time (hr)]]/Table1[Target Time (Hours)], "")</f>
        <v>1</v>
      </c>
      <c r="O310" s="50">
        <f>IFERROR(Table1[[#This Row],[Actual Production (Kg)]]/Table1[Capacity (Kg)], "")</f>
        <v>0.2054</v>
      </c>
      <c r="P310" s="50">
        <f>IFERROR(Table1[[#This Row],[Quality Pass Production]]/Table1[[#This Row],[Actual Production (Kg)]], "")</f>
        <v>1</v>
      </c>
      <c r="Q310" s="50">
        <f>IFERROR(Table1[[#This Row],[Utilization %]]*Table1[[#This Row],[Efficiency %]]*Table1[[#This Row],[Quality %]], "")</f>
        <v>0.2054</v>
      </c>
      <c r="R310" s="48" t="s">
        <v>64</v>
      </c>
    </row>
    <row r="311" spans="1:18" x14ac:dyDescent="0.25">
      <c r="A311" s="47">
        <v>46137</v>
      </c>
      <c r="B311" s="48" t="s">
        <v>18</v>
      </c>
      <c r="C311" s="48" t="s">
        <v>22</v>
      </c>
      <c r="D311" s="48" t="s">
        <v>23</v>
      </c>
      <c r="E311" s="49">
        <v>5000</v>
      </c>
      <c r="F311" s="76">
        <v>9482</v>
      </c>
      <c r="G311" s="49">
        <v>0</v>
      </c>
      <c r="H311" s="50">
        <f>IFERROR(Table1[Re-process (Kg)]/Table1[Actual Production (Kg)], "")</f>
        <v>0</v>
      </c>
      <c r="I311" s="49">
        <f>IFERROR(Table1[[#This Row],[Actual Production (Kg)]]-Table1[[#This Row],[Re-process (Kg)]], "")</f>
        <v>9482</v>
      </c>
      <c r="J311" s="49">
        <v>22</v>
      </c>
      <c r="K311" s="72">
        <v>2</v>
      </c>
      <c r="L311" s="49">
        <f>IF(Table1[[#This Row],[Target Time (Hours)]]="","",Table1[[#This Row],[Target Time (Hours)]]-Table1[[#This Row],[Downtime (Hours)]])</f>
        <v>20</v>
      </c>
      <c r="M311" s="49">
        <f>IFERROR(Table1[[#This Row],[Capacity (Kg)]]/Table1[[#This Row],[Target Time (Hours)]] * Table1[[#This Row],[Downtime (Hours)]], "")</f>
        <v>454.54545454545456</v>
      </c>
      <c r="N311" s="50">
        <f>IFERROR(Table1[[#This Row],[Running Time (hr)]]/Table1[Target Time (Hours)], "")</f>
        <v>0.90909090909090906</v>
      </c>
      <c r="O311" s="50">
        <f>IFERROR(Table1[[#This Row],[Actual Production (Kg)]]/Table1[Capacity (Kg)], "")</f>
        <v>1.8964000000000001</v>
      </c>
      <c r="P311" s="50">
        <f>IFERROR(Table1[[#This Row],[Quality Pass Production]]/Table1[[#This Row],[Actual Production (Kg)]], "")</f>
        <v>1</v>
      </c>
      <c r="Q311" s="50">
        <f>IFERROR(Table1[[#This Row],[Utilization %]]*Table1[[#This Row],[Efficiency %]]*Table1[[#This Row],[Quality %]], "")</f>
        <v>1.724</v>
      </c>
      <c r="R311" s="48" t="s">
        <v>105</v>
      </c>
    </row>
    <row r="312" spans="1:18" x14ac:dyDescent="0.25">
      <c r="A312" s="47">
        <v>46137</v>
      </c>
      <c r="B312" s="48" t="s">
        <v>18</v>
      </c>
      <c r="C312" s="48" t="s">
        <v>22</v>
      </c>
      <c r="D312" s="48" t="s">
        <v>25</v>
      </c>
      <c r="E312" s="49">
        <v>4000</v>
      </c>
      <c r="F312" s="76">
        <v>4581</v>
      </c>
      <c r="G312" s="49">
        <v>0</v>
      </c>
      <c r="H312" s="50">
        <f>IFERROR(Table1[Re-process (Kg)]/Table1[Actual Production (Kg)], "")</f>
        <v>0</v>
      </c>
      <c r="I312" s="49">
        <f>IFERROR(Table1[[#This Row],[Actual Production (Kg)]]-Table1[[#This Row],[Re-process (Kg)]], "")</f>
        <v>4581</v>
      </c>
      <c r="J312" s="49">
        <v>22</v>
      </c>
      <c r="K312" s="72">
        <v>2</v>
      </c>
      <c r="L312" s="49">
        <f>IF(Table1[[#This Row],[Target Time (Hours)]]="","",Table1[[#This Row],[Target Time (Hours)]]-Table1[[#This Row],[Downtime (Hours)]])</f>
        <v>20</v>
      </c>
      <c r="M312" s="49">
        <f>IFERROR(Table1[[#This Row],[Capacity (Kg)]]/Table1[[#This Row],[Target Time (Hours)]] * Table1[[#This Row],[Downtime (Hours)]], "")</f>
        <v>363.63636363636363</v>
      </c>
      <c r="N312" s="50">
        <f>IFERROR(Table1[[#This Row],[Running Time (hr)]]/Table1[Target Time (Hours)], "")</f>
        <v>0.90909090909090906</v>
      </c>
      <c r="O312" s="50">
        <f>IFERROR(Table1[[#This Row],[Actual Production (Kg)]]/Table1[Capacity (Kg)], "")</f>
        <v>1.1452500000000001</v>
      </c>
      <c r="P312" s="50">
        <f>IFERROR(Table1[[#This Row],[Quality Pass Production]]/Table1[[#This Row],[Actual Production (Kg)]], "")</f>
        <v>1</v>
      </c>
      <c r="Q312" s="50">
        <f>IFERROR(Table1[[#This Row],[Utilization %]]*Table1[[#This Row],[Efficiency %]]*Table1[[#This Row],[Quality %]], "")</f>
        <v>1.0411363636363637</v>
      </c>
      <c r="R312" s="48" t="s">
        <v>105</v>
      </c>
    </row>
    <row r="313" spans="1:18" x14ac:dyDescent="0.25">
      <c r="A313" s="47">
        <v>46137</v>
      </c>
      <c r="B313" s="48" t="s">
        <v>18</v>
      </c>
      <c r="C313" s="48" t="s">
        <v>26</v>
      </c>
      <c r="D313" s="48" t="s">
        <v>25</v>
      </c>
      <c r="E313" s="49">
        <v>7000</v>
      </c>
      <c r="F313" s="76">
        <v>3708</v>
      </c>
      <c r="G313" s="49">
        <v>0</v>
      </c>
      <c r="H313" s="50">
        <f>IFERROR(Table1[Re-process (Kg)]/Table1[Actual Production (Kg)], "")</f>
        <v>0</v>
      </c>
      <c r="I313" s="49">
        <f>IFERROR(Table1[[#This Row],[Actual Production (Kg)]]-Table1[[#This Row],[Re-process (Kg)]], "")</f>
        <v>3708</v>
      </c>
      <c r="J313" s="49"/>
      <c r="K313" s="72"/>
      <c r="L313" s="49" t="str">
        <f>IF(Table1[[#This Row],[Target Time (Hours)]]="","",Table1[[#This Row],[Target Time (Hours)]]-Table1[[#This Row],[Downtime (Hours)]])</f>
        <v/>
      </c>
      <c r="M313" s="49" t="str">
        <f>IFERROR(Table1[[#This Row],[Capacity (Kg)]]/Table1[[#This Row],[Target Time (Hours)]] * Table1[[#This Row],[Downtime (Hours)]], "")</f>
        <v/>
      </c>
      <c r="N313" s="50" t="str">
        <f>IFERROR(Table1[[#This Row],[Running Time (hr)]]/Table1[Target Time (Hours)], "")</f>
        <v/>
      </c>
      <c r="O313" s="50">
        <f>IFERROR(Table1[[#This Row],[Actual Production (Kg)]]/Table1[Capacity (Kg)], "")</f>
        <v>0.52971428571428569</v>
      </c>
      <c r="P313" s="50">
        <f>IFERROR(Table1[[#This Row],[Quality Pass Production]]/Table1[[#This Row],[Actual Production (Kg)]], "")</f>
        <v>1</v>
      </c>
      <c r="Q313" s="50" t="str">
        <f>IFERROR(Table1[[#This Row],[Utilization %]]*Table1[[#This Row],[Efficiency %]]*Table1[[#This Row],[Quality %]], "")</f>
        <v/>
      </c>
    </row>
    <row r="314" spans="1:18" ht="30" customHeight="1" x14ac:dyDescent="0.25">
      <c r="A314" s="47">
        <v>46137</v>
      </c>
      <c r="B314" s="48" t="s">
        <v>18</v>
      </c>
      <c r="C314" s="48" t="s">
        <v>28</v>
      </c>
      <c r="D314" s="48" t="s">
        <v>29</v>
      </c>
      <c r="E314" s="49">
        <v>7800</v>
      </c>
      <c r="F314" s="76">
        <v>7491</v>
      </c>
      <c r="G314" s="49">
        <v>0</v>
      </c>
      <c r="H314" s="50">
        <f>IFERROR(Table1[Re-process (Kg)]/Table1[Actual Production (Kg)], "")</f>
        <v>0</v>
      </c>
      <c r="I314" s="49">
        <f>IFERROR(Table1[[#This Row],[Actual Production (Kg)]]-Table1[[#This Row],[Re-process (Kg)]], "")</f>
        <v>7491</v>
      </c>
      <c r="J314" s="49">
        <v>22</v>
      </c>
      <c r="K314" s="72">
        <v>2</v>
      </c>
      <c r="L314" s="49">
        <f>IF(Table1[[#This Row],[Target Time (Hours)]]="","",Table1[[#This Row],[Target Time (Hours)]]-Table1[[#This Row],[Downtime (Hours)]])</f>
        <v>20</v>
      </c>
      <c r="M314" s="49">
        <f>IFERROR(Table1[[#This Row],[Capacity (Kg)]]/Table1[[#This Row],[Target Time (Hours)]] * Table1[[#This Row],[Downtime (Hours)]], "")</f>
        <v>709.09090909090912</v>
      </c>
      <c r="N314" s="50">
        <f>IFERROR(Table1[[#This Row],[Running Time (hr)]]/Table1[Target Time (Hours)], "")</f>
        <v>0.90909090909090906</v>
      </c>
      <c r="O314" s="50">
        <f>IFERROR(Table1[[#This Row],[Actual Production (Kg)]]/Table1[Capacity (Kg)], "")</f>
        <v>0.96038461538461539</v>
      </c>
      <c r="P314" s="50">
        <f>IFERROR(Table1[[#This Row],[Quality Pass Production]]/Table1[[#This Row],[Actual Production (Kg)]], "")</f>
        <v>1</v>
      </c>
      <c r="Q314" s="50">
        <f>IFERROR(Table1[[#This Row],[Utilization %]]*Table1[[#This Row],[Efficiency %]]*Table1[[#This Row],[Quality %]], "")</f>
        <v>0.87307692307692308</v>
      </c>
      <c r="R314" s="48" t="s">
        <v>105</v>
      </c>
    </row>
    <row r="315" spans="1:18" ht="30" customHeight="1" x14ac:dyDescent="0.25">
      <c r="A315" s="47">
        <v>46137</v>
      </c>
      <c r="B315" s="48" t="s">
        <v>18</v>
      </c>
      <c r="C315" s="48" t="s">
        <v>30</v>
      </c>
      <c r="D315" s="48" t="s">
        <v>31</v>
      </c>
      <c r="E315" s="49">
        <v>9000</v>
      </c>
      <c r="F315" s="76"/>
      <c r="G315" s="49">
        <v>0</v>
      </c>
      <c r="H315" s="50" t="str">
        <f>IFERROR(Table1[Re-process (Kg)]/Table1[Actual Production (Kg)], "")</f>
        <v/>
      </c>
      <c r="I315" s="49">
        <f>IFERROR(Table1[[#This Row],[Actual Production (Kg)]]-Table1[[#This Row],[Re-process (Kg)]], "")</f>
        <v>0</v>
      </c>
      <c r="J315" s="49"/>
      <c r="K315" s="72"/>
      <c r="L315" s="49" t="str">
        <f>IF(Table1[[#This Row],[Target Time (Hours)]]="","",Table1[[#This Row],[Target Time (Hours)]]-Table1[[#This Row],[Downtime (Hours)]])</f>
        <v/>
      </c>
      <c r="M315" s="49" t="str">
        <f>IFERROR(Table1[[#This Row],[Capacity (Kg)]]/Table1[[#This Row],[Target Time (Hours)]] * Table1[[#This Row],[Downtime (Hours)]], "")</f>
        <v/>
      </c>
      <c r="N315" s="50" t="str">
        <f>IFERROR(Table1[[#This Row],[Running Time (hr)]]/Table1[Target Time (Hours)], "")</f>
        <v/>
      </c>
      <c r="O315" s="50">
        <f>IFERROR(Table1[[#This Row],[Actual Production (Kg)]]/Table1[Capacity (Kg)], "")</f>
        <v>0</v>
      </c>
      <c r="P315" s="50" t="str">
        <f>IFERROR(Table1[[#This Row],[Quality Pass Production]]/Table1[[#This Row],[Actual Production (Kg)]], "")</f>
        <v/>
      </c>
      <c r="Q315" s="50" t="str">
        <f>IFERROR(Table1[[#This Row],[Utilization %]]*Table1[[#This Row],[Efficiency %]]*Table1[[#This Row],[Quality %]], "")</f>
        <v/>
      </c>
    </row>
    <row r="316" spans="1:18" ht="30" customHeight="1" x14ac:dyDescent="0.25">
      <c r="A316" s="26">
        <v>46137</v>
      </c>
      <c r="B316" s="27" t="s">
        <v>18</v>
      </c>
      <c r="C316" s="27" t="s">
        <v>32</v>
      </c>
      <c r="D316" s="27" t="s">
        <v>31</v>
      </c>
      <c r="E316" s="79">
        <f>Table1[[#This Row],[Actual Production (Kg)]]</f>
        <v>2435</v>
      </c>
      <c r="F316" s="79">
        <v>2435</v>
      </c>
      <c r="G316" s="79"/>
      <c r="H316" s="28"/>
      <c r="I316" s="79"/>
      <c r="J316" s="79"/>
      <c r="K316" s="27"/>
      <c r="L316" s="53" t="str">
        <f>IF(Table1[[#This Row],[Target Time (Hours)]]="","",Table1[[#This Row],[Target Time (Hours)]]-Table1[[#This Row],[Downtime (Hours)]])</f>
        <v/>
      </c>
      <c r="M316" s="79"/>
      <c r="N316" s="28"/>
      <c r="O316" s="28"/>
      <c r="P316" s="28"/>
      <c r="Q316" s="28"/>
      <c r="R316" s="27" t="s">
        <v>89</v>
      </c>
    </row>
    <row r="317" spans="1:18" ht="30" customHeight="1" x14ac:dyDescent="0.25">
      <c r="A317" s="47">
        <v>46137</v>
      </c>
      <c r="B317" s="48" t="s">
        <v>33</v>
      </c>
      <c r="C317" s="48" t="s">
        <v>34</v>
      </c>
      <c r="D317" s="48" t="s">
        <v>35</v>
      </c>
      <c r="E317" s="49">
        <v>9000</v>
      </c>
      <c r="F317" s="76">
        <v>2435</v>
      </c>
      <c r="G317" s="49">
        <v>0</v>
      </c>
      <c r="H317" s="50">
        <f>IFERROR(Table1[Re-process (Kg)]/Table1[Actual Production (Kg)], "")</f>
        <v>0</v>
      </c>
      <c r="I317" s="49">
        <f>IFERROR(Table1[[#This Row],[Actual Production (Kg)]]-Table1[[#This Row],[Re-process (Kg)]], "")</f>
        <v>2435</v>
      </c>
      <c r="J317" s="49">
        <v>22</v>
      </c>
      <c r="K317" s="72">
        <v>0</v>
      </c>
      <c r="L317" s="49">
        <f>IF(Table1[[#This Row],[Target Time (Hours)]]="","",Table1[[#This Row],[Target Time (Hours)]]-Table1[[#This Row],[Downtime (Hours)]])</f>
        <v>22</v>
      </c>
      <c r="M317" s="49">
        <f>IFERROR(Table1[[#This Row],[Capacity (Kg)]]/Table1[[#This Row],[Target Time (Hours)]] * Table1[[#This Row],[Downtime (Hours)]], "")</f>
        <v>0</v>
      </c>
      <c r="N317" s="50">
        <f>IFERROR(Table1[[#This Row],[Running Time (hr)]]/Table1[Target Time (Hours)], "")</f>
        <v>1</v>
      </c>
      <c r="O317" s="50">
        <f>IFERROR(Table1[[#This Row],[Actual Production (Kg)]]/Table1[Capacity (Kg)], "")</f>
        <v>0.27055555555555555</v>
      </c>
      <c r="P317" s="50">
        <f>IFERROR(Table1[[#This Row],[Quality Pass Production]]/Table1[[#This Row],[Actual Production (Kg)]], "")</f>
        <v>1</v>
      </c>
      <c r="Q317" s="50">
        <f>IFERROR(Table1[[#This Row],[Utilization %]]*Table1[[#This Row],[Efficiency %]]*Table1[[#This Row],[Quality %]], "")</f>
        <v>0.27055555555555555</v>
      </c>
      <c r="R317" s="48" t="s">
        <v>89</v>
      </c>
    </row>
    <row r="318" spans="1:18" x14ac:dyDescent="0.25">
      <c r="A318" s="47">
        <v>46137</v>
      </c>
      <c r="B318" s="48" t="s">
        <v>33</v>
      </c>
      <c r="C318" s="48" t="s">
        <v>36</v>
      </c>
      <c r="D318" s="48" t="s">
        <v>37</v>
      </c>
      <c r="E318" s="49">
        <v>8000</v>
      </c>
      <c r="F318" s="76">
        <v>4564</v>
      </c>
      <c r="G318" s="49">
        <v>0</v>
      </c>
      <c r="H318" s="50">
        <f>IFERROR(Table1[Re-process (Kg)]/Table1[Actual Production (Kg)], "")</f>
        <v>0</v>
      </c>
      <c r="I318" s="49">
        <f>IFERROR(Table1[[#This Row],[Actual Production (Kg)]]-Table1[[#This Row],[Re-process (Kg)]], "")</f>
        <v>4564</v>
      </c>
      <c r="J318" s="49">
        <v>22</v>
      </c>
      <c r="K318" s="72">
        <v>0</v>
      </c>
      <c r="L318" s="49">
        <f>IF(Table1[[#This Row],[Target Time (Hours)]]="","",Table1[[#This Row],[Target Time (Hours)]]-Table1[[#This Row],[Downtime (Hours)]])</f>
        <v>22</v>
      </c>
      <c r="M318" s="49">
        <f>IFERROR(Table1[[#This Row],[Capacity (Kg)]]/Table1[[#This Row],[Target Time (Hours)]] * Table1[[#This Row],[Downtime (Hours)]], "")</f>
        <v>0</v>
      </c>
      <c r="N318" s="50">
        <f>IFERROR(Table1[[#This Row],[Running Time (hr)]]/Table1[Target Time (Hours)], "")</f>
        <v>1</v>
      </c>
      <c r="O318" s="50">
        <f>IFERROR(Table1[[#This Row],[Actual Production (Kg)]]/Table1[Capacity (Kg)], "")</f>
        <v>0.57050000000000001</v>
      </c>
      <c r="P318" s="50">
        <f>IFERROR(Table1[[#This Row],[Quality Pass Production]]/Table1[[#This Row],[Actual Production (Kg)]], "")</f>
        <v>1</v>
      </c>
      <c r="Q318" s="50">
        <f>IFERROR(Table1[[#This Row],[Utilization %]]*Table1[[#This Row],[Efficiency %]]*Table1[[#This Row],[Quality %]], "")</f>
        <v>0.57050000000000001</v>
      </c>
      <c r="R318" s="48" t="s">
        <v>106</v>
      </c>
    </row>
    <row r="319" spans="1:18" ht="30" customHeight="1" x14ac:dyDescent="0.25">
      <c r="A319" s="47">
        <v>46137</v>
      </c>
      <c r="B319" s="48" t="s">
        <v>33</v>
      </c>
      <c r="C319" s="48" t="s">
        <v>39</v>
      </c>
      <c r="D319" s="48" t="s">
        <v>31</v>
      </c>
      <c r="E319" s="49">
        <v>6000</v>
      </c>
      <c r="F319" s="76">
        <v>4843</v>
      </c>
      <c r="G319" s="49">
        <v>0</v>
      </c>
      <c r="H319" s="50">
        <f>IFERROR(Table1[Re-process (Kg)]/Table1[Actual Production (Kg)], "")</f>
        <v>0</v>
      </c>
      <c r="I319" s="49">
        <f>IFERROR(Table1[[#This Row],[Actual Production (Kg)]]-Table1[[#This Row],[Re-process (Kg)]], "")</f>
        <v>4843</v>
      </c>
      <c r="J319" s="49">
        <v>22</v>
      </c>
      <c r="K319" s="72">
        <v>5</v>
      </c>
      <c r="L319" s="49">
        <f>IF(Table1[[#This Row],[Target Time (Hours)]]="","",Table1[[#This Row],[Target Time (Hours)]]-Table1[[#This Row],[Downtime (Hours)]])</f>
        <v>17</v>
      </c>
      <c r="M319" s="49">
        <f>IFERROR(Table1[[#This Row],[Capacity (Kg)]]/Table1[[#This Row],[Target Time (Hours)]] * Table1[[#This Row],[Downtime (Hours)]], "")</f>
        <v>1363.6363636363637</v>
      </c>
      <c r="N319" s="50">
        <f>IFERROR(Table1[[#This Row],[Running Time (hr)]]/Table1[Target Time (Hours)], "")</f>
        <v>0.77272727272727271</v>
      </c>
      <c r="O319" s="50">
        <f>IFERROR(Table1[[#This Row],[Actual Production (Kg)]]/Table1[Capacity (Kg)], "")</f>
        <v>0.8071666666666667</v>
      </c>
      <c r="P319" s="50">
        <f>IFERROR(Table1[[#This Row],[Quality Pass Production]]/Table1[[#This Row],[Actual Production (Kg)]], "")</f>
        <v>1</v>
      </c>
      <c r="Q319" s="50">
        <f>IFERROR(Table1[[#This Row],[Utilization %]]*Table1[[#This Row],[Efficiency %]]*Table1[[#This Row],[Quality %]], "")</f>
        <v>0.62371969696969698</v>
      </c>
      <c r="R319" s="48" t="s">
        <v>107</v>
      </c>
    </row>
    <row r="320" spans="1:18" ht="45" customHeight="1" x14ac:dyDescent="0.25">
      <c r="A320" s="54">
        <v>46137</v>
      </c>
      <c r="B320" s="55" t="s">
        <v>33</v>
      </c>
      <c r="C320" s="55" t="s">
        <v>40</v>
      </c>
      <c r="D320" s="55" t="s">
        <v>31</v>
      </c>
      <c r="E320" s="56">
        <v>5000</v>
      </c>
      <c r="F320" s="56">
        <v>2668</v>
      </c>
      <c r="G320" s="56">
        <v>0</v>
      </c>
      <c r="H320" s="58">
        <f>IFERROR(Table1[Re-process (Kg)]/Table1[Actual Production (Kg)], "")</f>
        <v>0</v>
      </c>
      <c r="I320" s="56">
        <f>IFERROR(Table1[[#This Row],[Actual Production (Kg)]]-Table1[[#This Row],[Re-process (Kg)]], "")</f>
        <v>2668</v>
      </c>
      <c r="J320" s="56">
        <v>22</v>
      </c>
      <c r="K320" s="55">
        <v>0</v>
      </c>
      <c r="L320" s="56">
        <f>IF(Table1[[#This Row],[Target Time (Hours)]]="","",Table1[[#This Row],[Target Time (Hours)]]-Table1[[#This Row],[Downtime (Hours)]])</f>
        <v>22</v>
      </c>
      <c r="M320" s="56">
        <f>IFERROR(Table1[[#This Row],[Capacity (Kg)]]/Table1[[#This Row],[Target Time (Hours)]] * Table1[[#This Row],[Downtime (Hours)]], "")</f>
        <v>0</v>
      </c>
      <c r="N320" s="58">
        <f>IFERROR(Table1[[#This Row],[Running Time (hr)]]/Table1[Target Time (Hours)], "")</f>
        <v>1</v>
      </c>
      <c r="O320" s="58">
        <f>IFERROR(Table1[[#This Row],[Actual Production (Kg)]]/Table1[Capacity (Kg)], "")</f>
        <v>0.53359999999999996</v>
      </c>
      <c r="P320" s="58">
        <f>IFERROR(Table1[[#This Row],[Quality Pass Production]]/Table1[[#This Row],[Actual Production (Kg)]], "")</f>
        <v>1</v>
      </c>
      <c r="Q320" s="58">
        <f>IFERROR(Table1[[#This Row],[Utilization %]]*Table1[[#This Row],[Efficiency %]]*Table1[[#This Row],[Quality %]], "")</f>
        <v>0.53359999999999996</v>
      </c>
      <c r="R320" s="55" t="s">
        <v>106</v>
      </c>
    </row>
    <row r="321" spans="1:18" ht="30" customHeight="1" x14ac:dyDescent="0.25">
      <c r="A321" s="47">
        <v>46138</v>
      </c>
      <c r="B321" s="48" t="s">
        <v>18</v>
      </c>
      <c r="C321" s="48" t="s">
        <v>19</v>
      </c>
      <c r="D321" s="48" t="s">
        <v>20</v>
      </c>
      <c r="E321" s="49">
        <v>10000</v>
      </c>
      <c r="F321" s="76">
        <v>2019</v>
      </c>
      <c r="G321" s="49">
        <v>0</v>
      </c>
      <c r="H321" s="50">
        <f>IFERROR(Table1[Re-process (Kg)]/Table1[Actual Production (Kg)], "")</f>
        <v>0</v>
      </c>
      <c r="I321" s="49">
        <f>IFERROR(Table1[[#This Row],[Actual Production (Kg)]]-Table1[[#This Row],[Re-process (Kg)]], "")</f>
        <v>2019</v>
      </c>
      <c r="J321" s="49">
        <v>22</v>
      </c>
      <c r="K321" s="72">
        <v>0</v>
      </c>
      <c r="L321" s="49">
        <f>IF(Table1[[#This Row],[Target Time (Hours)]]="","",Table1[[#This Row],[Target Time (Hours)]]-Table1[[#This Row],[Downtime (Hours)]])</f>
        <v>22</v>
      </c>
      <c r="M321" s="49">
        <f>IFERROR(Table1[[#This Row],[Capacity (Kg)]]/Table1[[#This Row],[Target Time (Hours)]] * Table1[[#This Row],[Downtime (Hours)]], "")</f>
        <v>0</v>
      </c>
      <c r="N321" s="50">
        <f>IFERROR(Table1[[#This Row],[Running Time (hr)]]/Table1[Target Time (Hours)], "")</f>
        <v>1</v>
      </c>
      <c r="O321" s="50">
        <f>IFERROR(Table1[[#This Row],[Actual Production (Kg)]]/Table1[Capacity (Kg)], "")</f>
        <v>0.2019</v>
      </c>
      <c r="P321" s="50">
        <f>IFERROR(Table1[[#This Row],[Quality Pass Production]]/Table1[[#This Row],[Actual Production (Kg)]], "")</f>
        <v>1</v>
      </c>
      <c r="Q321" s="50">
        <f>IFERROR(Table1[[#This Row],[Utilization %]]*Table1[[#This Row],[Efficiency %]]*Table1[[#This Row],[Quality %]], "")</f>
        <v>0.2019</v>
      </c>
      <c r="R321" s="48" t="s">
        <v>106</v>
      </c>
    </row>
    <row r="322" spans="1:18" x14ac:dyDescent="0.25">
      <c r="A322" s="47">
        <v>46138</v>
      </c>
      <c r="B322" s="48" t="s">
        <v>18</v>
      </c>
      <c r="C322" s="48" t="s">
        <v>22</v>
      </c>
      <c r="D322" s="48" t="s">
        <v>23</v>
      </c>
      <c r="E322" s="49">
        <v>5000</v>
      </c>
      <c r="F322" s="76">
        <v>8936</v>
      </c>
      <c r="G322" s="49">
        <v>0</v>
      </c>
      <c r="H322" s="50">
        <f>IFERROR(Table1[Re-process (Kg)]/Table1[Actual Production (Kg)], "")</f>
        <v>0</v>
      </c>
      <c r="I322" s="49">
        <f>IFERROR(Table1[[#This Row],[Actual Production (Kg)]]-Table1[[#This Row],[Re-process (Kg)]], "")</f>
        <v>8936</v>
      </c>
      <c r="J322" s="49">
        <v>22</v>
      </c>
      <c r="K322" s="72">
        <v>0</v>
      </c>
      <c r="L322" s="49">
        <f>IF(Table1[[#This Row],[Target Time (Hours)]]="","",Table1[[#This Row],[Target Time (Hours)]]-Table1[[#This Row],[Downtime (Hours)]])</f>
        <v>22</v>
      </c>
      <c r="M322" s="49">
        <f>IFERROR(Table1[[#This Row],[Capacity (Kg)]]/Table1[[#This Row],[Target Time (Hours)]] * Table1[[#This Row],[Downtime (Hours)]], "")</f>
        <v>0</v>
      </c>
      <c r="N322" s="50">
        <f>IFERROR(Table1[[#This Row],[Running Time (hr)]]/Table1[Target Time (Hours)], "")</f>
        <v>1</v>
      </c>
      <c r="O322" s="50">
        <f>IFERROR(Table1[[#This Row],[Actual Production (Kg)]]/Table1[Capacity (Kg)], "")</f>
        <v>1.7871999999999999</v>
      </c>
      <c r="P322" s="50">
        <f>IFERROR(Table1[[#This Row],[Quality Pass Production]]/Table1[[#This Row],[Actual Production (Kg)]], "")</f>
        <v>1</v>
      </c>
      <c r="Q322" s="50">
        <f>IFERROR(Table1[[#This Row],[Utilization %]]*Table1[[#This Row],[Efficiency %]]*Table1[[#This Row],[Quality %]], "")</f>
        <v>1.7871999999999999</v>
      </c>
      <c r="R322" s="48" t="s">
        <v>89</v>
      </c>
    </row>
    <row r="323" spans="1:18" x14ac:dyDescent="0.25">
      <c r="A323" s="47">
        <v>46138</v>
      </c>
      <c r="B323" s="48" t="s">
        <v>18</v>
      </c>
      <c r="C323" s="48" t="s">
        <v>22</v>
      </c>
      <c r="D323" s="48" t="s">
        <v>25</v>
      </c>
      <c r="E323" s="49">
        <v>4000</v>
      </c>
      <c r="F323" s="76">
        <v>6041</v>
      </c>
      <c r="G323" s="49">
        <v>0</v>
      </c>
      <c r="H323" s="50">
        <f>IFERROR(Table1[Re-process (Kg)]/Table1[Actual Production (Kg)], "")</f>
        <v>0</v>
      </c>
      <c r="I323" s="49">
        <f>IFERROR(Table1[[#This Row],[Actual Production (Kg)]]-Table1[[#This Row],[Re-process (Kg)]], "")</f>
        <v>6041</v>
      </c>
      <c r="J323" s="49">
        <v>22</v>
      </c>
      <c r="K323" s="72">
        <v>0</v>
      </c>
      <c r="L323" s="49">
        <f>IF(Table1[[#This Row],[Target Time (Hours)]]="","",Table1[[#This Row],[Target Time (Hours)]]-Table1[[#This Row],[Downtime (Hours)]])</f>
        <v>22</v>
      </c>
      <c r="M323" s="49">
        <f>IFERROR(Table1[[#This Row],[Capacity (Kg)]]/Table1[[#This Row],[Target Time (Hours)]] * Table1[[#This Row],[Downtime (Hours)]], "")</f>
        <v>0</v>
      </c>
      <c r="N323" s="50">
        <f>IFERROR(Table1[[#This Row],[Running Time (hr)]]/Table1[Target Time (Hours)], "")</f>
        <v>1</v>
      </c>
      <c r="O323" s="50">
        <f>IFERROR(Table1[[#This Row],[Actual Production (Kg)]]/Table1[Capacity (Kg)], "")</f>
        <v>1.5102500000000001</v>
      </c>
      <c r="P323" s="50">
        <f>IFERROR(Table1[[#This Row],[Quality Pass Production]]/Table1[[#This Row],[Actual Production (Kg)]], "")</f>
        <v>1</v>
      </c>
      <c r="Q323" s="50">
        <f>IFERROR(Table1[[#This Row],[Utilization %]]*Table1[[#This Row],[Efficiency %]]*Table1[[#This Row],[Quality %]], "")</f>
        <v>1.5102500000000001</v>
      </c>
      <c r="R323" s="48" t="s">
        <v>89</v>
      </c>
    </row>
    <row r="324" spans="1:18" x14ac:dyDescent="0.25">
      <c r="A324" s="47">
        <v>46138</v>
      </c>
      <c r="B324" s="48" t="s">
        <v>18</v>
      </c>
      <c r="C324" s="48" t="s">
        <v>26</v>
      </c>
      <c r="D324" s="48" t="s">
        <v>25</v>
      </c>
      <c r="E324" s="49">
        <v>7000</v>
      </c>
      <c r="F324" s="76">
        <v>2906</v>
      </c>
      <c r="G324" s="49">
        <v>0</v>
      </c>
      <c r="H324" s="50">
        <f>IFERROR(Table1[Re-process (Kg)]/Table1[Actual Production (Kg)], "")</f>
        <v>0</v>
      </c>
      <c r="I324" s="49">
        <f>IFERROR(Table1[[#This Row],[Actual Production (Kg)]]-Table1[[#This Row],[Re-process (Kg)]], "")</f>
        <v>2906</v>
      </c>
      <c r="J324" s="49"/>
      <c r="K324" s="72"/>
      <c r="L324" s="49" t="str">
        <f>IF(Table1[[#This Row],[Target Time (Hours)]]="","",Table1[[#This Row],[Target Time (Hours)]]-Table1[[#This Row],[Downtime (Hours)]])</f>
        <v/>
      </c>
      <c r="M324" s="49" t="str">
        <f>IFERROR(Table1[[#This Row],[Capacity (Kg)]]/Table1[[#This Row],[Target Time (Hours)]] * Table1[[#This Row],[Downtime (Hours)]], "")</f>
        <v/>
      </c>
      <c r="N324" s="50" t="str">
        <f>IFERROR(Table1[[#This Row],[Running Time (hr)]]/Table1[Target Time (Hours)], "")</f>
        <v/>
      </c>
      <c r="O324" s="50">
        <f>IFERROR(Table1[[#This Row],[Actual Production (Kg)]]/Table1[Capacity (Kg)], "")</f>
        <v>0.41514285714285715</v>
      </c>
      <c r="P324" s="50">
        <f>IFERROR(Table1[[#This Row],[Quality Pass Production]]/Table1[[#This Row],[Actual Production (Kg)]], "")</f>
        <v>1</v>
      </c>
      <c r="Q324" s="50" t="str">
        <f>IFERROR(Table1[[#This Row],[Utilization %]]*Table1[[#This Row],[Efficiency %]]*Table1[[#This Row],[Quality %]], "")</f>
        <v/>
      </c>
    </row>
    <row r="325" spans="1:18" ht="30" customHeight="1" x14ac:dyDescent="0.25">
      <c r="A325" s="47">
        <v>46138</v>
      </c>
      <c r="B325" s="48" t="s">
        <v>18</v>
      </c>
      <c r="C325" s="48" t="s">
        <v>28</v>
      </c>
      <c r="D325" s="48" t="s">
        <v>29</v>
      </c>
      <c r="E325" s="49">
        <v>7800</v>
      </c>
      <c r="F325" s="76">
        <v>7931</v>
      </c>
      <c r="G325" s="49">
        <v>0</v>
      </c>
      <c r="H325" s="50">
        <f>IFERROR(Table1[Re-process (Kg)]/Table1[Actual Production (Kg)], "")</f>
        <v>0</v>
      </c>
      <c r="I325" s="49">
        <f>IFERROR(Table1[[#This Row],[Actual Production (Kg)]]-Table1[[#This Row],[Re-process (Kg)]], "")</f>
        <v>7931</v>
      </c>
      <c r="J325" s="49">
        <v>22</v>
      </c>
      <c r="K325" s="72">
        <v>0</v>
      </c>
      <c r="L325" s="49">
        <f>IF(Table1[[#This Row],[Target Time (Hours)]]="","",Table1[[#This Row],[Target Time (Hours)]]-Table1[[#This Row],[Downtime (Hours)]])</f>
        <v>22</v>
      </c>
      <c r="M325" s="49">
        <f>IFERROR(Table1[[#This Row],[Capacity (Kg)]]/Table1[[#This Row],[Target Time (Hours)]] * Table1[[#This Row],[Downtime (Hours)]], "")</f>
        <v>0</v>
      </c>
      <c r="N325" s="50">
        <f>IFERROR(Table1[[#This Row],[Running Time (hr)]]/Table1[Target Time (Hours)], "")</f>
        <v>1</v>
      </c>
      <c r="O325" s="50">
        <f>IFERROR(Table1[[#This Row],[Actual Production (Kg)]]/Table1[Capacity (Kg)], "")</f>
        <v>1.0167948717948718</v>
      </c>
      <c r="P325" s="50">
        <f>IFERROR(Table1[[#This Row],[Quality Pass Production]]/Table1[[#This Row],[Actual Production (Kg)]], "")</f>
        <v>1</v>
      </c>
      <c r="Q325" s="50">
        <f>IFERROR(Table1[[#This Row],[Utilization %]]*Table1[[#This Row],[Efficiency %]]*Table1[[#This Row],[Quality %]], "")</f>
        <v>1.0167948717948718</v>
      </c>
      <c r="R325" s="48" t="s">
        <v>89</v>
      </c>
    </row>
    <row r="326" spans="1:18" ht="30" customHeight="1" x14ac:dyDescent="0.25">
      <c r="A326" s="47">
        <v>46138</v>
      </c>
      <c r="B326" s="48" t="s">
        <v>18</v>
      </c>
      <c r="C326" s="48" t="s">
        <v>30</v>
      </c>
      <c r="D326" s="48" t="s">
        <v>31</v>
      </c>
      <c r="E326" s="49">
        <v>9000</v>
      </c>
      <c r="F326" s="76"/>
      <c r="G326" s="49">
        <v>0</v>
      </c>
      <c r="H326" s="50" t="str">
        <f>IFERROR(Table1[Re-process (Kg)]/Table1[Actual Production (Kg)], "")</f>
        <v/>
      </c>
      <c r="I326" s="49">
        <f>IFERROR(Table1[[#This Row],[Actual Production (Kg)]]-Table1[[#This Row],[Re-process (Kg)]], "")</f>
        <v>0</v>
      </c>
      <c r="J326" s="49"/>
      <c r="K326" s="72"/>
      <c r="L326" s="49" t="str">
        <f>IF(Table1[[#This Row],[Target Time (Hours)]]="","",Table1[[#This Row],[Target Time (Hours)]]-Table1[[#This Row],[Downtime (Hours)]])</f>
        <v/>
      </c>
      <c r="M326" s="49" t="str">
        <f>IFERROR(Table1[[#This Row],[Capacity (Kg)]]/Table1[[#This Row],[Target Time (Hours)]] * Table1[[#This Row],[Downtime (Hours)]], "")</f>
        <v/>
      </c>
      <c r="N326" s="50" t="str">
        <f>IFERROR(Table1[[#This Row],[Running Time (hr)]]/Table1[Target Time (Hours)], "")</f>
        <v/>
      </c>
      <c r="O326" s="50">
        <f>IFERROR(Table1[[#This Row],[Actual Production (Kg)]]/Table1[Capacity (Kg)], "")</f>
        <v>0</v>
      </c>
      <c r="P326" s="50" t="str">
        <f>IFERROR(Table1[[#This Row],[Quality Pass Production]]/Table1[[#This Row],[Actual Production (Kg)]], "")</f>
        <v/>
      </c>
      <c r="Q326" s="50" t="str">
        <f>IFERROR(Table1[[#This Row],[Utilization %]]*Table1[[#This Row],[Efficiency %]]*Table1[[#This Row],[Quality %]], "")</f>
        <v/>
      </c>
    </row>
    <row r="327" spans="1:18" ht="30" customHeight="1" x14ac:dyDescent="0.25">
      <c r="A327" s="26">
        <v>46138</v>
      </c>
      <c r="B327" s="27" t="s">
        <v>18</v>
      </c>
      <c r="C327" s="27" t="s">
        <v>32</v>
      </c>
      <c r="D327" s="27" t="s">
        <v>31</v>
      </c>
      <c r="E327" s="79">
        <f>Table1[[#This Row],[Actual Production (Kg)]]</f>
        <v>2802</v>
      </c>
      <c r="F327" s="79">
        <v>2802</v>
      </c>
      <c r="G327" s="79"/>
      <c r="H327" s="28"/>
      <c r="I327" s="79"/>
      <c r="J327" s="79"/>
      <c r="K327" s="27"/>
      <c r="L327" s="53" t="str">
        <f>IF(Table1[[#This Row],[Target Time (Hours)]]="","",Table1[[#This Row],[Target Time (Hours)]]-Table1[[#This Row],[Downtime (Hours)]])</f>
        <v/>
      </c>
      <c r="M327" s="79"/>
      <c r="N327" s="28"/>
      <c r="O327" s="28"/>
      <c r="P327" s="28"/>
      <c r="Q327" s="28"/>
      <c r="R327" s="27" t="s">
        <v>89</v>
      </c>
    </row>
    <row r="328" spans="1:18" ht="30" customHeight="1" x14ac:dyDescent="0.25">
      <c r="A328" s="47">
        <v>46138</v>
      </c>
      <c r="B328" s="48" t="s">
        <v>33</v>
      </c>
      <c r="C328" s="48" t="s">
        <v>34</v>
      </c>
      <c r="D328" s="48" t="s">
        <v>35</v>
      </c>
      <c r="E328" s="49">
        <v>9000</v>
      </c>
      <c r="F328" s="76">
        <v>2802</v>
      </c>
      <c r="G328" s="49">
        <v>0</v>
      </c>
      <c r="H328" s="50">
        <f>IFERROR(Table1[Re-process (Kg)]/Table1[Actual Production (Kg)], "")</f>
        <v>0</v>
      </c>
      <c r="I328" s="49">
        <f>IFERROR(Table1[[#This Row],[Actual Production (Kg)]]-Table1[[#This Row],[Re-process (Kg)]], "")</f>
        <v>2802</v>
      </c>
      <c r="J328" s="49">
        <v>22</v>
      </c>
      <c r="K328" s="72">
        <v>0</v>
      </c>
      <c r="L328" s="49">
        <f>IF(Table1[[#This Row],[Target Time (Hours)]]="","",Table1[[#This Row],[Target Time (Hours)]]-Table1[[#This Row],[Downtime (Hours)]])</f>
        <v>22</v>
      </c>
      <c r="M328" s="49">
        <f>IFERROR(Table1[[#This Row],[Capacity (Kg)]]/Table1[[#This Row],[Target Time (Hours)]] * Table1[[#This Row],[Downtime (Hours)]], "")</f>
        <v>0</v>
      </c>
      <c r="N328" s="50">
        <f>IFERROR(Table1[[#This Row],[Running Time (hr)]]/Table1[Target Time (Hours)], "")</f>
        <v>1</v>
      </c>
      <c r="O328" s="50">
        <f>IFERROR(Table1[[#This Row],[Actual Production (Kg)]]/Table1[Capacity (Kg)], "")</f>
        <v>0.31133333333333335</v>
      </c>
      <c r="P328" s="50">
        <f>IFERROR(Table1[[#This Row],[Quality Pass Production]]/Table1[[#This Row],[Actual Production (Kg)]], "")</f>
        <v>1</v>
      </c>
      <c r="Q328" s="50">
        <f>IFERROR(Table1[[#This Row],[Utilization %]]*Table1[[#This Row],[Efficiency %]]*Table1[[#This Row],[Quality %]], "")</f>
        <v>0.31133333333333335</v>
      </c>
      <c r="R328" s="48" t="s">
        <v>89</v>
      </c>
    </row>
    <row r="329" spans="1:18" x14ac:dyDescent="0.25">
      <c r="A329" s="47">
        <v>46138</v>
      </c>
      <c r="B329" s="48" t="s">
        <v>33</v>
      </c>
      <c r="C329" s="48" t="s">
        <v>36</v>
      </c>
      <c r="D329" s="48" t="s">
        <v>37</v>
      </c>
      <c r="E329" s="49">
        <v>8000</v>
      </c>
      <c r="F329" s="76">
        <v>8039</v>
      </c>
      <c r="G329" s="49">
        <v>0</v>
      </c>
      <c r="H329" s="50">
        <f>IFERROR(Table1[Re-process (Kg)]/Table1[Actual Production (Kg)], "")</f>
        <v>0</v>
      </c>
      <c r="I329" s="49">
        <f>IFERROR(Table1[[#This Row],[Actual Production (Kg)]]-Table1[[#This Row],[Re-process (Kg)]], "")</f>
        <v>8039</v>
      </c>
      <c r="J329" s="49">
        <v>22</v>
      </c>
      <c r="K329" s="72">
        <v>0</v>
      </c>
      <c r="L329" s="49">
        <f>IF(Table1[[#This Row],[Target Time (Hours)]]="","",Table1[[#This Row],[Target Time (Hours)]]-Table1[[#This Row],[Downtime (Hours)]])</f>
        <v>22</v>
      </c>
      <c r="M329" s="49">
        <f>IFERROR(Table1[[#This Row],[Capacity (Kg)]]/Table1[[#This Row],[Target Time (Hours)]] * Table1[[#This Row],[Downtime (Hours)]], "")</f>
        <v>0</v>
      </c>
      <c r="N329" s="50">
        <f>IFERROR(Table1[[#This Row],[Running Time (hr)]]/Table1[Target Time (Hours)], "")</f>
        <v>1</v>
      </c>
      <c r="O329" s="50">
        <f>IFERROR(Table1[[#This Row],[Actual Production (Kg)]]/Table1[Capacity (Kg)], "")</f>
        <v>1.004875</v>
      </c>
      <c r="P329" s="50">
        <f>IFERROR(Table1[[#This Row],[Quality Pass Production]]/Table1[[#This Row],[Actual Production (Kg)]], "")</f>
        <v>1</v>
      </c>
      <c r="Q329" s="50">
        <f>IFERROR(Table1[[#This Row],[Utilization %]]*Table1[[#This Row],[Efficiency %]]*Table1[[#This Row],[Quality %]], "")</f>
        <v>1.004875</v>
      </c>
      <c r="R329" s="48" t="s">
        <v>89</v>
      </c>
    </row>
    <row r="330" spans="1:18" ht="30" customHeight="1" x14ac:dyDescent="0.25">
      <c r="A330" s="47">
        <v>46138</v>
      </c>
      <c r="B330" s="48" t="s">
        <v>33</v>
      </c>
      <c r="C330" s="48" t="s">
        <v>39</v>
      </c>
      <c r="D330" s="48" t="s">
        <v>31</v>
      </c>
      <c r="E330" s="49">
        <v>6000</v>
      </c>
      <c r="F330" s="76">
        <v>5781</v>
      </c>
      <c r="G330" s="49">
        <v>0</v>
      </c>
      <c r="H330" s="50">
        <f>IFERROR(Table1[Re-process (Kg)]/Table1[Actual Production (Kg)], "")</f>
        <v>0</v>
      </c>
      <c r="I330" s="49">
        <f>IFERROR(Table1[[#This Row],[Actual Production (Kg)]]-Table1[[#This Row],[Re-process (Kg)]], "")</f>
        <v>5781</v>
      </c>
      <c r="J330" s="49">
        <v>22</v>
      </c>
      <c r="K330" s="72">
        <v>3</v>
      </c>
      <c r="L330" s="49">
        <f>IF(Table1[[#This Row],[Target Time (Hours)]]="","",Table1[[#This Row],[Target Time (Hours)]]-Table1[[#This Row],[Downtime (Hours)]])</f>
        <v>19</v>
      </c>
      <c r="M330" s="49">
        <f>IFERROR(Table1[[#This Row],[Capacity (Kg)]]/Table1[[#This Row],[Target Time (Hours)]] * Table1[[#This Row],[Downtime (Hours)]], "")</f>
        <v>818.18181818181824</v>
      </c>
      <c r="N330" s="50">
        <f>IFERROR(Table1[[#This Row],[Running Time (hr)]]/Table1[Target Time (Hours)], "")</f>
        <v>0.86363636363636365</v>
      </c>
      <c r="O330" s="50">
        <f>IFERROR(Table1[[#This Row],[Actual Production (Kg)]]/Table1[Capacity (Kg)], "")</f>
        <v>0.96350000000000002</v>
      </c>
      <c r="P330" s="50">
        <f>IFERROR(Table1[[#This Row],[Quality Pass Production]]/Table1[[#This Row],[Actual Production (Kg)]], "")</f>
        <v>1</v>
      </c>
      <c r="Q330" s="50">
        <f>IFERROR(Table1[[#This Row],[Utilization %]]*Table1[[#This Row],[Efficiency %]]*Table1[[#This Row],[Quality %]], "")</f>
        <v>0.83211363636363644</v>
      </c>
      <c r="R330" s="48" t="s">
        <v>108</v>
      </c>
    </row>
    <row r="331" spans="1:18" ht="45" customHeight="1" x14ac:dyDescent="0.25">
      <c r="A331" s="54">
        <v>46138</v>
      </c>
      <c r="B331" s="55" t="s">
        <v>33</v>
      </c>
      <c r="C331" s="55" t="s">
        <v>40</v>
      </c>
      <c r="D331" s="55" t="s">
        <v>31</v>
      </c>
      <c r="E331" s="56">
        <v>5000</v>
      </c>
      <c r="F331" s="56">
        <v>3284</v>
      </c>
      <c r="G331" s="56">
        <v>0</v>
      </c>
      <c r="H331" s="58">
        <f>IFERROR(Table1[Re-process (Kg)]/Table1[Actual Production (Kg)], "")</f>
        <v>0</v>
      </c>
      <c r="I331" s="56">
        <f>IFERROR(Table1[[#This Row],[Actual Production (Kg)]]-Table1[[#This Row],[Re-process (Kg)]], "")</f>
        <v>3284</v>
      </c>
      <c r="J331" s="56">
        <v>22</v>
      </c>
      <c r="K331" s="55">
        <v>0</v>
      </c>
      <c r="L331" s="56">
        <f>IF(Table1[[#This Row],[Target Time (Hours)]]="","",Table1[[#This Row],[Target Time (Hours)]]-Table1[[#This Row],[Downtime (Hours)]])</f>
        <v>22</v>
      </c>
      <c r="M331" s="56">
        <f>IFERROR(Table1[[#This Row],[Capacity (Kg)]]/Table1[[#This Row],[Target Time (Hours)]] * Table1[[#This Row],[Downtime (Hours)]], "")</f>
        <v>0</v>
      </c>
      <c r="N331" s="58">
        <f>IFERROR(Table1[[#This Row],[Running Time (hr)]]/Table1[Target Time (Hours)], "")</f>
        <v>1</v>
      </c>
      <c r="O331" s="58">
        <f>IFERROR(Table1[[#This Row],[Actual Production (Kg)]]/Table1[Capacity (Kg)], "")</f>
        <v>0.65680000000000005</v>
      </c>
      <c r="P331" s="58">
        <f>IFERROR(Table1[[#This Row],[Quality Pass Production]]/Table1[[#This Row],[Actual Production (Kg)]], "")</f>
        <v>1</v>
      </c>
      <c r="Q331" s="58">
        <f>IFERROR(Table1[[#This Row],[Utilization %]]*Table1[[#This Row],[Efficiency %]]*Table1[[#This Row],[Quality %]], "")</f>
        <v>0.65680000000000005</v>
      </c>
      <c r="R331" s="55" t="s">
        <v>106</v>
      </c>
    </row>
    <row r="332" spans="1:18" ht="30" customHeight="1" x14ac:dyDescent="0.25">
      <c r="A332" s="47">
        <v>46139</v>
      </c>
      <c r="B332" s="48" t="s">
        <v>18</v>
      </c>
      <c r="C332" s="48" t="s">
        <v>19</v>
      </c>
      <c r="D332" s="48" t="s">
        <v>20</v>
      </c>
      <c r="E332" s="49">
        <v>10000</v>
      </c>
      <c r="F332" s="76">
        <v>108</v>
      </c>
      <c r="G332" s="49">
        <v>0</v>
      </c>
      <c r="H332" s="50">
        <f>IFERROR(Table1[Re-process (Kg)]/Table1[Actual Production (Kg)], "")</f>
        <v>0</v>
      </c>
      <c r="I332" s="49">
        <f>IFERROR(Table1[[#This Row],[Actual Production (Kg)]]-Table1[[#This Row],[Re-process (Kg)]], "")</f>
        <v>108</v>
      </c>
      <c r="J332" s="49">
        <v>22</v>
      </c>
      <c r="K332" s="72">
        <v>0</v>
      </c>
      <c r="L332" s="49">
        <f>IF(Table1[[#This Row],[Target Time (Hours)]]="","",Table1[[#This Row],[Target Time (Hours)]]-Table1[[#This Row],[Downtime (Hours)]])</f>
        <v>22</v>
      </c>
      <c r="M332" s="49">
        <f>IFERROR(Table1[[#This Row],[Capacity (Kg)]]/Table1[[#This Row],[Target Time (Hours)]] * Table1[[#This Row],[Downtime (Hours)]], "")</f>
        <v>0</v>
      </c>
      <c r="N332" s="50">
        <f>IFERROR(Table1[[#This Row],[Running Time (hr)]]/Table1[Target Time (Hours)], "")</f>
        <v>1</v>
      </c>
      <c r="O332" s="50">
        <f>IFERROR(Table1[[#This Row],[Actual Production (Kg)]]/Table1[Capacity (Kg)], "")</f>
        <v>1.0800000000000001E-2</v>
      </c>
      <c r="P332" s="50">
        <f>IFERROR(Table1[[#This Row],[Quality Pass Production]]/Table1[[#This Row],[Actual Production (Kg)]], "")</f>
        <v>1</v>
      </c>
      <c r="Q332" s="50">
        <f>IFERROR(Table1[[#This Row],[Utilization %]]*Table1[[#This Row],[Efficiency %]]*Table1[[#This Row],[Quality %]], "")</f>
        <v>1.0800000000000001E-2</v>
      </c>
      <c r="R332" s="48" t="s">
        <v>106</v>
      </c>
    </row>
    <row r="333" spans="1:18" x14ac:dyDescent="0.25">
      <c r="A333" s="47">
        <v>46139</v>
      </c>
      <c r="B333" s="48" t="s">
        <v>18</v>
      </c>
      <c r="C333" s="48" t="s">
        <v>22</v>
      </c>
      <c r="D333" s="48" t="s">
        <v>23</v>
      </c>
      <c r="E333" s="49">
        <v>5000</v>
      </c>
      <c r="F333" s="76">
        <v>8919</v>
      </c>
      <c r="G333" s="49">
        <v>0</v>
      </c>
      <c r="H333" s="50">
        <f>IFERROR(Table1[Re-process (Kg)]/Table1[Actual Production (Kg)], "")</f>
        <v>0</v>
      </c>
      <c r="I333" s="49">
        <f>IFERROR(Table1[[#This Row],[Actual Production (Kg)]]-Table1[[#This Row],[Re-process (Kg)]], "")</f>
        <v>8919</v>
      </c>
      <c r="J333" s="49">
        <v>22</v>
      </c>
      <c r="K333" s="72">
        <v>0</v>
      </c>
      <c r="L333" s="49">
        <f>IF(Table1[[#This Row],[Target Time (Hours)]]="","",Table1[[#This Row],[Target Time (Hours)]]-Table1[[#This Row],[Downtime (Hours)]])</f>
        <v>22</v>
      </c>
      <c r="M333" s="49">
        <f>IFERROR(Table1[[#This Row],[Capacity (Kg)]]/Table1[[#This Row],[Target Time (Hours)]] * Table1[[#This Row],[Downtime (Hours)]], "")</f>
        <v>0</v>
      </c>
      <c r="N333" s="50">
        <f>IFERROR(Table1[[#This Row],[Running Time (hr)]]/Table1[Target Time (Hours)], "")</f>
        <v>1</v>
      </c>
      <c r="O333" s="50">
        <f>IFERROR(Table1[[#This Row],[Actual Production (Kg)]]/Table1[Capacity (Kg)], "")</f>
        <v>1.7838000000000001</v>
      </c>
      <c r="P333" s="50">
        <f>IFERROR(Table1[[#This Row],[Quality Pass Production]]/Table1[[#This Row],[Actual Production (Kg)]], "")</f>
        <v>1</v>
      </c>
      <c r="Q333" s="50">
        <f>IFERROR(Table1[[#This Row],[Utilization %]]*Table1[[#This Row],[Efficiency %]]*Table1[[#This Row],[Quality %]], "")</f>
        <v>1.7838000000000001</v>
      </c>
      <c r="R333" s="48" t="s">
        <v>89</v>
      </c>
    </row>
    <row r="334" spans="1:18" x14ac:dyDescent="0.25">
      <c r="A334" s="47">
        <v>46139</v>
      </c>
      <c r="B334" s="48" t="s">
        <v>18</v>
      </c>
      <c r="C334" s="48" t="s">
        <v>22</v>
      </c>
      <c r="D334" s="48" t="s">
        <v>25</v>
      </c>
      <c r="E334" s="49">
        <v>4000</v>
      </c>
      <c r="F334" s="76">
        <v>4050</v>
      </c>
      <c r="G334" s="49">
        <v>0</v>
      </c>
      <c r="H334" s="50">
        <f>IFERROR(Table1[Re-process (Kg)]/Table1[Actual Production (Kg)], "")</f>
        <v>0</v>
      </c>
      <c r="I334" s="49">
        <f>IFERROR(Table1[[#This Row],[Actual Production (Kg)]]-Table1[[#This Row],[Re-process (Kg)]], "")</f>
        <v>4050</v>
      </c>
      <c r="J334" s="49">
        <v>22</v>
      </c>
      <c r="K334" s="72">
        <v>0</v>
      </c>
      <c r="L334" s="49">
        <f>IF(Table1[[#This Row],[Target Time (Hours)]]="","",Table1[[#This Row],[Target Time (Hours)]]-Table1[[#This Row],[Downtime (Hours)]])</f>
        <v>22</v>
      </c>
      <c r="M334" s="49">
        <f>IFERROR(Table1[[#This Row],[Capacity (Kg)]]/Table1[[#This Row],[Target Time (Hours)]] * Table1[[#This Row],[Downtime (Hours)]], "")</f>
        <v>0</v>
      </c>
      <c r="N334" s="50">
        <f>IFERROR(Table1[[#This Row],[Running Time (hr)]]/Table1[Target Time (Hours)], "")</f>
        <v>1</v>
      </c>
      <c r="O334" s="50">
        <f>IFERROR(Table1[[#This Row],[Actual Production (Kg)]]/Table1[Capacity (Kg)], "")</f>
        <v>1.0125</v>
      </c>
      <c r="P334" s="50">
        <f>IFERROR(Table1[[#This Row],[Quality Pass Production]]/Table1[[#This Row],[Actual Production (Kg)]], "")</f>
        <v>1</v>
      </c>
      <c r="Q334" s="50">
        <f>IFERROR(Table1[[#This Row],[Utilization %]]*Table1[[#This Row],[Efficiency %]]*Table1[[#This Row],[Quality %]], "")</f>
        <v>1.0125</v>
      </c>
      <c r="R334" s="48" t="s">
        <v>89</v>
      </c>
    </row>
    <row r="335" spans="1:18" x14ac:dyDescent="0.25">
      <c r="A335" s="47">
        <v>46139</v>
      </c>
      <c r="B335" s="48" t="s">
        <v>18</v>
      </c>
      <c r="C335" s="48" t="s">
        <v>26</v>
      </c>
      <c r="D335" s="48" t="s">
        <v>25</v>
      </c>
      <c r="E335" s="49">
        <v>7000</v>
      </c>
      <c r="F335" s="76">
        <v>5267</v>
      </c>
      <c r="G335" s="49">
        <v>0</v>
      </c>
      <c r="H335" s="50">
        <f>IFERROR(Table1[Re-process (Kg)]/Table1[Actual Production (Kg)], "")</f>
        <v>0</v>
      </c>
      <c r="I335" s="49">
        <f>IFERROR(Table1[[#This Row],[Actual Production (Kg)]]-Table1[[#This Row],[Re-process (Kg)]], "")</f>
        <v>5267</v>
      </c>
      <c r="J335" s="49"/>
      <c r="K335" s="72"/>
      <c r="L335" s="49" t="str">
        <f>IF(Table1[[#This Row],[Target Time (Hours)]]="","",Table1[[#This Row],[Target Time (Hours)]]-Table1[[#This Row],[Downtime (Hours)]])</f>
        <v/>
      </c>
      <c r="M335" s="49" t="str">
        <f>IFERROR(Table1[[#This Row],[Capacity (Kg)]]/Table1[[#This Row],[Target Time (Hours)]] * Table1[[#This Row],[Downtime (Hours)]], "")</f>
        <v/>
      </c>
      <c r="N335" s="50" t="str">
        <f>IFERROR(Table1[[#This Row],[Running Time (hr)]]/Table1[Target Time (Hours)], "")</f>
        <v/>
      </c>
      <c r="O335" s="50">
        <f>IFERROR(Table1[[#This Row],[Actual Production (Kg)]]/Table1[Capacity (Kg)], "")</f>
        <v>0.75242857142857145</v>
      </c>
      <c r="P335" s="50">
        <f>IFERROR(Table1[[#This Row],[Quality Pass Production]]/Table1[[#This Row],[Actual Production (Kg)]], "")</f>
        <v>1</v>
      </c>
      <c r="Q335" s="50" t="str">
        <f>IFERROR(Table1[[#This Row],[Utilization %]]*Table1[[#This Row],[Efficiency %]]*Table1[[#This Row],[Quality %]], "")</f>
        <v/>
      </c>
    </row>
    <row r="336" spans="1:18" ht="30" customHeight="1" x14ac:dyDescent="0.25">
      <c r="A336" s="47">
        <v>46139</v>
      </c>
      <c r="B336" s="48" t="s">
        <v>18</v>
      </c>
      <c r="C336" s="48" t="s">
        <v>28</v>
      </c>
      <c r="D336" s="48" t="s">
        <v>29</v>
      </c>
      <c r="E336" s="49">
        <v>7800</v>
      </c>
      <c r="F336" s="76">
        <v>7547</v>
      </c>
      <c r="G336" s="49">
        <v>0</v>
      </c>
      <c r="H336" s="50">
        <f>IFERROR(Table1[Re-process (Kg)]/Table1[Actual Production (Kg)], "")</f>
        <v>0</v>
      </c>
      <c r="I336" s="49">
        <f>IFERROR(Table1[[#This Row],[Actual Production (Kg)]]-Table1[[#This Row],[Re-process (Kg)]], "")</f>
        <v>7547</v>
      </c>
      <c r="J336" s="49">
        <v>22</v>
      </c>
      <c r="K336" s="72">
        <v>1</v>
      </c>
      <c r="L336" s="49">
        <f>IF(Table1[[#This Row],[Target Time (Hours)]]="","",Table1[[#This Row],[Target Time (Hours)]]-Table1[[#This Row],[Downtime (Hours)]])</f>
        <v>21</v>
      </c>
      <c r="M336" s="49">
        <f>IFERROR(Table1[[#This Row],[Capacity (Kg)]]/Table1[[#This Row],[Target Time (Hours)]] * Table1[[#This Row],[Downtime (Hours)]], "")</f>
        <v>354.54545454545456</v>
      </c>
      <c r="N336" s="50">
        <f>IFERROR(Table1[[#This Row],[Running Time (hr)]]/Table1[Target Time (Hours)], "")</f>
        <v>0.95454545454545459</v>
      </c>
      <c r="O336" s="50">
        <f>IFERROR(Table1[[#This Row],[Actual Production (Kg)]]/Table1[Capacity (Kg)], "")</f>
        <v>0.96756410256410252</v>
      </c>
      <c r="P336" s="50">
        <f>IFERROR(Table1[[#This Row],[Quality Pass Production]]/Table1[[#This Row],[Actual Production (Kg)]], "")</f>
        <v>1</v>
      </c>
      <c r="Q336" s="50">
        <f>IFERROR(Table1[[#This Row],[Utilization %]]*Table1[[#This Row],[Efficiency %]]*Table1[[#This Row],[Quality %]], "")</f>
        <v>0.9235839160839161</v>
      </c>
      <c r="R336" s="48" t="s">
        <v>109</v>
      </c>
    </row>
    <row r="337" spans="1:18" ht="30" customHeight="1" x14ac:dyDescent="0.25">
      <c r="A337" s="47">
        <v>46139</v>
      </c>
      <c r="B337" s="48" t="s">
        <v>18</v>
      </c>
      <c r="C337" s="48" t="s">
        <v>30</v>
      </c>
      <c r="D337" s="48" t="s">
        <v>31</v>
      </c>
      <c r="E337" s="49">
        <v>9000</v>
      </c>
      <c r="F337" s="76">
        <v>5596</v>
      </c>
      <c r="G337" s="49">
        <v>0</v>
      </c>
      <c r="H337" s="50">
        <f>IFERROR(Table1[Re-process (Kg)]/Table1[Actual Production (Kg)], "")</f>
        <v>0</v>
      </c>
      <c r="I337" s="49">
        <f>IFERROR(Table1[[#This Row],[Actual Production (Kg)]]-Table1[[#This Row],[Re-process (Kg)]], "")</f>
        <v>5596</v>
      </c>
      <c r="J337" s="49">
        <v>22</v>
      </c>
      <c r="K337" s="72">
        <v>0</v>
      </c>
      <c r="L337" s="49">
        <f>IF(Table1[[#This Row],[Target Time (Hours)]]="","",Table1[[#This Row],[Target Time (Hours)]]-Table1[[#This Row],[Downtime (Hours)]])</f>
        <v>22</v>
      </c>
      <c r="M337" s="49">
        <f>IFERROR(Table1[[#This Row],[Capacity (Kg)]]/Table1[[#This Row],[Target Time (Hours)]] * Table1[[#This Row],[Downtime (Hours)]], "")</f>
        <v>0</v>
      </c>
      <c r="N337" s="50">
        <f>IFERROR(Table1[[#This Row],[Running Time (hr)]]/Table1[Target Time (Hours)], "")</f>
        <v>1</v>
      </c>
      <c r="O337" s="50">
        <f>IFERROR(Table1[[#This Row],[Actual Production (Kg)]]/Table1[Capacity (Kg)], "")</f>
        <v>0.62177777777777776</v>
      </c>
      <c r="P337" s="50">
        <f>IFERROR(Table1[[#This Row],[Quality Pass Production]]/Table1[[#This Row],[Actual Production (Kg)]], "")</f>
        <v>1</v>
      </c>
      <c r="Q337" s="50">
        <f>IFERROR(Table1[[#This Row],[Utilization %]]*Table1[[#This Row],[Efficiency %]]*Table1[[#This Row],[Quality %]], "")</f>
        <v>0.62177777777777776</v>
      </c>
      <c r="R337" s="48" t="s">
        <v>110</v>
      </c>
    </row>
    <row r="338" spans="1:18" ht="30" customHeight="1" x14ac:dyDescent="0.25">
      <c r="A338" s="26">
        <v>46139</v>
      </c>
      <c r="B338" s="27" t="s">
        <v>18</v>
      </c>
      <c r="C338" s="27" t="s">
        <v>32</v>
      </c>
      <c r="D338" s="27" t="s">
        <v>31</v>
      </c>
      <c r="E338" s="79">
        <f>Table1[[#This Row],[Actual Production (Kg)]]</f>
        <v>1339</v>
      </c>
      <c r="F338" s="79">
        <v>1339</v>
      </c>
      <c r="G338" s="79"/>
      <c r="H338" s="28"/>
      <c r="I338" s="79"/>
      <c r="J338" s="79"/>
      <c r="K338" s="27"/>
      <c r="L338" s="53" t="str">
        <f>IF(Table1[[#This Row],[Target Time (Hours)]]="","",Table1[[#This Row],[Target Time (Hours)]]-Table1[[#This Row],[Downtime (Hours)]])</f>
        <v/>
      </c>
      <c r="M338" s="79"/>
      <c r="N338" s="28"/>
      <c r="O338" s="28"/>
      <c r="P338" s="28"/>
      <c r="Q338" s="28"/>
      <c r="R338" s="27" t="s">
        <v>89</v>
      </c>
    </row>
    <row r="339" spans="1:18" ht="30" customHeight="1" x14ac:dyDescent="0.25">
      <c r="A339" s="47">
        <v>46139</v>
      </c>
      <c r="B339" s="48" t="s">
        <v>33</v>
      </c>
      <c r="C339" s="48" t="s">
        <v>34</v>
      </c>
      <c r="D339" s="48" t="s">
        <v>35</v>
      </c>
      <c r="E339" s="49">
        <v>9000</v>
      </c>
      <c r="F339" s="76">
        <v>1339</v>
      </c>
      <c r="G339" s="49">
        <v>0</v>
      </c>
      <c r="H339" s="50">
        <f>IFERROR(Table1[Re-process (Kg)]/Table1[Actual Production (Kg)], "")</f>
        <v>0</v>
      </c>
      <c r="I339" s="49">
        <f>IFERROR(Table1[[#This Row],[Actual Production (Kg)]]-Table1[[#This Row],[Re-process (Kg)]], "")</f>
        <v>1339</v>
      </c>
      <c r="J339" s="49">
        <v>22</v>
      </c>
      <c r="K339" s="72">
        <v>0</v>
      </c>
      <c r="L339" s="49">
        <f>IF(Table1[[#This Row],[Target Time (Hours)]]="","",Table1[[#This Row],[Target Time (Hours)]]-Table1[[#This Row],[Downtime (Hours)]])</f>
        <v>22</v>
      </c>
      <c r="M339" s="49">
        <f>IFERROR(Table1[[#This Row],[Capacity (Kg)]]/Table1[[#This Row],[Target Time (Hours)]] * Table1[[#This Row],[Downtime (Hours)]], "")</f>
        <v>0</v>
      </c>
      <c r="N339" s="50">
        <f>IFERROR(Table1[[#This Row],[Running Time (hr)]]/Table1[Target Time (Hours)], "")</f>
        <v>1</v>
      </c>
      <c r="O339" s="50">
        <f>IFERROR(Table1[[#This Row],[Actual Production (Kg)]]/Table1[Capacity (Kg)], "")</f>
        <v>0.14877777777777779</v>
      </c>
      <c r="P339" s="50">
        <f>IFERROR(Table1[[#This Row],[Quality Pass Production]]/Table1[[#This Row],[Actual Production (Kg)]], "")</f>
        <v>1</v>
      </c>
      <c r="Q339" s="50">
        <f>IFERROR(Table1[[#This Row],[Utilization %]]*Table1[[#This Row],[Efficiency %]]*Table1[[#This Row],[Quality %]], "")</f>
        <v>0.14877777777777779</v>
      </c>
      <c r="R339" s="48" t="s">
        <v>89</v>
      </c>
    </row>
    <row r="340" spans="1:18" x14ac:dyDescent="0.25">
      <c r="A340" s="47">
        <v>46139</v>
      </c>
      <c r="B340" s="48" t="s">
        <v>33</v>
      </c>
      <c r="C340" s="48" t="s">
        <v>36</v>
      </c>
      <c r="D340" s="48" t="s">
        <v>37</v>
      </c>
      <c r="E340" s="49">
        <v>8000</v>
      </c>
      <c r="F340" s="76">
        <v>6508</v>
      </c>
      <c r="G340" s="49">
        <v>0</v>
      </c>
      <c r="H340" s="50">
        <f>IFERROR(Table1[Re-process (Kg)]/Table1[Actual Production (Kg)], "")</f>
        <v>0</v>
      </c>
      <c r="I340" s="49">
        <f>IFERROR(Table1[[#This Row],[Actual Production (Kg)]]-Table1[[#This Row],[Re-process (Kg)]], "")</f>
        <v>6508</v>
      </c>
      <c r="J340" s="49">
        <v>22</v>
      </c>
      <c r="K340" s="72">
        <v>0</v>
      </c>
      <c r="L340" s="49">
        <f>IF(Table1[[#This Row],[Target Time (Hours)]]="","",Table1[[#This Row],[Target Time (Hours)]]-Table1[[#This Row],[Downtime (Hours)]])</f>
        <v>22</v>
      </c>
      <c r="M340" s="49">
        <f>IFERROR(Table1[[#This Row],[Capacity (Kg)]]/Table1[[#This Row],[Target Time (Hours)]] * Table1[[#This Row],[Downtime (Hours)]], "")</f>
        <v>0</v>
      </c>
      <c r="N340" s="50">
        <f>IFERROR(Table1[[#This Row],[Running Time (hr)]]/Table1[Target Time (Hours)], "")</f>
        <v>1</v>
      </c>
      <c r="O340" s="50">
        <f>IFERROR(Table1[[#This Row],[Actual Production (Kg)]]/Table1[Capacity (Kg)], "")</f>
        <v>0.8135</v>
      </c>
      <c r="P340" s="50">
        <f>IFERROR(Table1[[#This Row],[Quality Pass Production]]/Table1[[#This Row],[Actual Production (Kg)]], "")</f>
        <v>1</v>
      </c>
      <c r="Q340" s="50">
        <f>IFERROR(Table1[[#This Row],[Utilization %]]*Table1[[#This Row],[Efficiency %]]*Table1[[#This Row],[Quality %]], "")</f>
        <v>0.8135</v>
      </c>
      <c r="R340" s="48" t="s">
        <v>89</v>
      </c>
    </row>
    <row r="341" spans="1:18" ht="30" customHeight="1" x14ac:dyDescent="0.25">
      <c r="A341" s="47">
        <v>46139</v>
      </c>
      <c r="B341" s="48" t="s">
        <v>33</v>
      </c>
      <c r="C341" s="48" t="s">
        <v>39</v>
      </c>
      <c r="D341" s="48" t="s">
        <v>31</v>
      </c>
      <c r="E341" s="49">
        <v>6000</v>
      </c>
      <c r="F341" s="76">
        <v>2512</v>
      </c>
      <c r="G341" s="49">
        <v>0</v>
      </c>
      <c r="H341" s="50">
        <f>IFERROR(Table1[Re-process (Kg)]/Table1[Actual Production (Kg)], "")</f>
        <v>0</v>
      </c>
      <c r="I341" s="49">
        <f>IFERROR(Table1[[#This Row],[Actual Production (Kg)]]-Table1[[#This Row],[Re-process (Kg)]], "")</f>
        <v>2512</v>
      </c>
      <c r="J341" s="49">
        <v>22</v>
      </c>
      <c r="K341" s="72">
        <v>0</v>
      </c>
      <c r="L341" s="49">
        <f>IF(Table1[[#This Row],[Target Time (Hours)]]="","",Table1[[#This Row],[Target Time (Hours)]]-Table1[[#This Row],[Downtime (Hours)]])</f>
        <v>22</v>
      </c>
      <c r="M341" s="49">
        <f>IFERROR(Table1[[#This Row],[Capacity (Kg)]]/Table1[[#This Row],[Target Time (Hours)]] * Table1[[#This Row],[Downtime (Hours)]], "")</f>
        <v>0</v>
      </c>
      <c r="N341" s="50">
        <f>IFERROR(Table1[[#This Row],[Running Time (hr)]]/Table1[Target Time (Hours)], "")</f>
        <v>1</v>
      </c>
      <c r="O341" s="50">
        <f>IFERROR(Table1[[#This Row],[Actual Production (Kg)]]/Table1[Capacity (Kg)], "")</f>
        <v>0.41866666666666669</v>
      </c>
      <c r="P341" s="50">
        <f>IFERROR(Table1[[#This Row],[Quality Pass Production]]/Table1[[#This Row],[Actual Production (Kg)]], "")</f>
        <v>1</v>
      </c>
      <c r="Q341" s="50">
        <f>IFERROR(Table1[[#This Row],[Utilization %]]*Table1[[#This Row],[Efficiency %]]*Table1[[#This Row],[Quality %]], "")</f>
        <v>0.41866666666666669</v>
      </c>
      <c r="R341" s="48" t="s">
        <v>106</v>
      </c>
    </row>
    <row r="342" spans="1:18" ht="45" customHeight="1" x14ac:dyDescent="0.25">
      <c r="A342" s="54">
        <v>46139</v>
      </c>
      <c r="B342" s="55" t="s">
        <v>33</v>
      </c>
      <c r="C342" s="55" t="s">
        <v>40</v>
      </c>
      <c r="D342" s="55" t="s">
        <v>31</v>
      </c>
      <c r="E342" s="56">
        <v>5000</v>
      </c>
      <c r="F342" s="56">
        <v>3019</v>
      </c>
      <c r="G342" s="56">
        <v>0</v>
      </c>
      <c r="H342" s="58">
        <f>IFERROR(Table1[Re-process (Kg)]/Table1[Actual Production (Kg)], "")</f>
        <v>0</v>
      </c>
      <c r="I342" s="56">
        <f>IFERROR(Table1[[#This Row],[Actual Production (Kg)]]-Table1[[#This Row],[Re-process (Kg)]], "")</f>
        <v>3019</v>
      </c>
      <c r="J342" s="56">
        <v>22</v>
      </c>
      <c r="K342" s="55">
        <v>0</v>
      </c>
      <c r="L342" s="56">
        <f>IF(Table1[[#This Row],[Target Time (Hours)]]="","",Table1[[#This Row],[Target Time (Hours)]]-Table1[[#This Row],[Downtime (Hours)]])</f>
        <v>22</v>
      </c>
      <c r="M342" s="56">
        <f>IFERROR(Table1[[#This Row],[Capacity (Kg)]]/Table1[[#This Row],[Target Time (Hours)]] * Table1[[#This Row],[Downtime (Hours)]], "")</f>
        <v>0</v>
      </c>
      <c r="N342" s="58">
        <f>IFERROR(Table1[[#This Row],[Running Time (hr)]]/Table1[Target Time (Hours)], "")</f>
        <v>1</v>
      </c>
      <c r="O342" s="58">
        <f>IFERROR(Table1[[#This Row],[Actual Production (Kg)]]/Table1[Capacity (Kg)], "")</f>
        <v>0.6038</v>
      </c>
      <c r="P342" s="58">
        <f>IFERROR(Table1[[#This Row],[Quality Pass Production]]/Table1[[#This Row],[Actual Production (Kg)]], "")</f>
        <v>1</v>
      </c>
      <c r="Q342" s="58">
        <f>IFERROR(Table1[[#This Row],[Utilization %]]*Table1[[#This Row],[Efficiency %]]*Table1[[#This Row],[Quality %]], "")</f>
        <v>0.6038</v>
      </c>
      <c r="R342" s="55" t="s">
        <v>106</v>
      </c>
    </row>
    <row r="343" spans="1:18" ht="30" customHeight="1" x14ac:dyDescent="0.25">
      <c r="A343" s="47">
        <v>46140</v>
      </c>
      <c r="B343" s="48" t="s">
        <v>18</v>
      </c>
      <c r="C343" s="48" t="s">
        <v>19</v>
      </c>
      <c r="D343" s="48" t="s">
        <v>20</v>
      </c>
      <c r="E343" s="49">
        <v>10000</v>
      </c>
      <c r="F343" s="76">
        <v>9463</v>
      </c>
      <c r="G343" s="49">
        <v>0</v>
      </c>
      <c r="H343" s="50">
        <f>IFERROR(Table1[Re-process (Kg)]/Table1[Actual Production (Kg)], "")</f>
        <v>0</v>
      </c>
      <c r="I343" s="49">
        <f>IFERROR(Table1[[#This Row],[Actual Production (Kg)]]-Table1[[#This Row],[Re-process (Kg)]], "")</f>
        <v>9463</v>
      </c>
      <c r="J343" s="49">
        <v>22</v>
      </c>
      <c r="K343" s="72">
        <v>0</v>
      </c>
      <c r="L343" s="49">
        <f>IF(Table1[[#This Row],[Target Time (Hours)]]="","",Table1[[#This Row],[Target Time (Hours)]]-Table1[[#This Row],[Downtime (Hours)]])</f>
        <v>22</v>
      </c>
      <c r="M343" s="49">
        <f>IFERROR(Table1[[#This Row],[Capacity (Kg)]]/Table1[[#This Row],[Target Time (Hours)]] * Table1[[#This Row],[Downtime (Hours)]], "")</f>
        <v>0</v>
      </c>
      <c r="N343" s="50">
        <f>IFERROR(Table1[[#This Row],[Running Time (hr)]]/Table1[Target Time (Hours)], "")</f>
        <v>1</v>
      </c>
      <c r="O343" s="50">
        <f>IFERROR(Table1[[#This Row],[Actual Production (Kg)]]/Table1[Capacity (Kg)], "")</f>
        <v>0.94630000000000003</v>
      </c>
      <c r="P343" s="50">
        <f>IFERROR(Table1[[#This Row],[Quality Pass Production]]/Table1[[#This Row],[Actual Production (Kg)]], "")</f>
        <v>1</v>
      </c>
      <c r="Q343" s="50">
        <f>IFERROR(Table1[[#This Row],[Utilization %]]*Table1[[#This Row],[Efficiency %]]*Table1[[#This Row],[Quality %]], "")</f>
        <v>0.94630000000000003</v>
      </c>
      <c r="R343" s="48" t="s">
        <v>89</v>
      </c>
    </row>
    <row r="344" spans="1:18" x14ac:dyDescent="0.25">
      <c r="A344" s="47">
        <v>46140</v>
      </c>
      <c r="B344" s="48" t="s">
        <v>18</v>
      </c>
      <c r="C344" s="48" t="s">
        <v>22</v>
      </c>
      <c r="D344" s="48" t="s">
        <v>23</v>
      </c>
      <c r="E344" s="49">
        <v>5000</v>
      </c>
      <c r="F344" s="76">
        <v>6115</v>
      </c>
      <c r="G344" s="49">
        <v>0</v>
      </c>
      <c r="H344" s="50">
        <f>IFERROR(Table1[Re-process (Kg)]/Table1[Actual Production (Kg)], "")</f>
        <v>0</v>
      </c>
      <c r="I344" s="49">
        <f>IFERROR(Table1[[#This Row],[Actual Production (Kg)]]-Table1[[#This Row],[Re-process (Kg)]], "")</f>
        <v>6115</v>
      </c>
      <c r="J344" s="49">
        <v>22</v>
      </c>
      <c r="K344" s="72">
        <v>0</v>
      </c>
      <c r="L344" s="49">
        <f>IF(Table1[[#This Row],[Target Time (Hours)]]="","",Table1[[#This Row],[Target Time (Hours)]]-Table1[[#This Row],[Downtime (Hours)]])</f>
        <v>22</v>
      </c>
      <c r="M344" s="49">
        <f>IFERROR(Table1[[#This Row],[Capacity (Kg)]]/Table1[[#This Row],[Target Time (Hours)]] * Table1[[#This Row],[Downtime (Hours)]], "")</f>
        <v>0</v>
      </c>
      <c r="N344" s="50">
        <f>IFERROR(Table1[[#This Row],[Running Time (hr)]]/Table1[Target Time (Hours)], "")</f>
        <v>1</v>
      </c>
      <c r="O344" s="50">
        <f>IFERROR(Table1[[#This Row],[Actual Production (Kg)]]/Table1[Capacity (Kg)], "")</f>
        <v>1.2230000000000001</v>
      </c>
      <c r="P344" s="50">
        <f>IFERROR(Table1[[#This Row],[Quality Pass Production]]/Table1[[#This Row],[Actual Production (Kg)]], "")</f>
        <v>1</v>
      </c>
      <c r="Q344" s="50">
        <f>IFERROR(Table1[[#This Row],[Utilization %]]*Table1[[#This Row],[Efficiency %]]*Table1[[#This Row],[Quality %]], "")</f>
        <v>1.2230000000000001</v>
      </c>
      <c r="R344" s="48" t="s">
        <v>89</v>
      </c>
    </row>
    <row r="345" spans="1:18" x14ac:dyDescent="0.25">
      <c r="A345" s="47">
        <v>46140</v>
      </c>
      <c r="B345" s="48" t="s">
        <v>18</v>
      </c>
      <c r="C345" s="48" t="s">
        <v>22</v>
      </c>
      <c r="D345" s="48" t="s">
        <v>25</v>
      </c>
      <c r="E345" s="49">
        <v>4000</v>
      </c>
      <c r="F345" s="76">
        <v>3014</v>
      </c>
      <c r="G345" s="49">
        <v>0</v>
      </c>
      <c r="H345" s="50">
        <f>IFERROR(Table1[Re-process (Kg)]/Table1[Actual Production (Kg)], "")</f>
        <v>0</v>
      </c>
      <c r="I345" s="49">
        <f>IFERROR(Table1[[#This Row],[Actual Production (Kg)]]-Table1[[#This Row],[Re-process (Kg)]], "")</f>
        <v>3014</v>
      </c>
      <c r="J345" s="49"/>
      <c r="K345" s="72"/>
      <c r="L345" s="49" t="str">
        <f>IF(Table1[[#This Row],[Target Time (Hours)]]="","",Table1[[#This Row],[Target Time (Hours)]]-Table1[[#This Row],[Downtime (Hours)]])</f>
        <v/>
      </c>
      <c r="M345" s="49" t="str">
        <f>IFERROR(Table1[[#This Row],[Capacity (Kg)]]/Table1[[#This Row],[Target Time (Hours)]] * Table1[[#This Row],[Downtime (Hours)]], "")</f>
        <v/>
      </c>
      <c r="N345" s="50" t="str">
        <f>IFERROR(Table1[[#This Row],[Running Time (hr)]]/Table1[Target Time (Hours)], "")</f>
        <v/>
      </c>
      <c r="O345" s="50">
        <f>IFERROR(Table1[[#This Row],[Actual Production (Kg)]]/Table1[Capacity (Kg)], "")</f>
        <v>0.75349999999999995</v>
      </c>
      <c r="P345" s="50">
        <f>IFERROR(Table1[[#This Row],[Quality Pass Production]]/Table1[[#This Row],[Actual Production (Kg)]], "")</f>
        <v>1</v>
      </c>
      <c r="Q345" s="50" t="str">
        <f>IFERROR(Table1[[#This Row],[Utilization %]]*Table1[[#This Row],[Efficiency %]]*Table1[[#This Row],[Quality %]], "")</f>
        <v/>
      </c>
    </row>
    <row r="346" spans="1:18" x14ac:dyDescent="0.25">
      <c r="A346" s="47">
        <v>46140</v>
      </c>
      <c r="B346" s="48" t="s">
        <v>18</v>
      </c>
      <c r="C346" s="48" t="s">
        <v>26</v>
      </c>
      <c r="D346" s="48" t="s">
        <v>25</v>
      </c>
      <c r="E346" s="49">
        <v>7000</v>
      </c>
      <c r="F346" s="76">
        <v>7923</v>
      </c>
      <c r="G346" s="49">
        <v>0</v>
      </c>
      <c r="H346" s="50">
        <f>IFERROR(Table1[Re-process (Kg)]/Table1[Actual Production (Kg)], "")</f>
        <v>0</v>
      </c>
      <c r="I346" s="49">
        <f>IFERROR(Table1[[#This Row],[Actual Production (Kg)]]-Table1[[#This Row],[Re-process (Kg)]], "")</f>
        <v>7923</v>
      </c>
      <c r="J346" s="49">
        <v>22</v>
      </c>
      <c r="K346" s="72">
        <v>0</v>
      </c>
      <c r="L346" s="49">
        <f>IF(Table1[[#This Row],[Target Time (Hours)]]="","",Table1[[#This Row],[Target Time (Hours)]]-Table1[[#This Row],[Downtime (Hours)]])</f>
        <v>22</v>
      </c>
      <c r="M346" s="49">
        <f>IFERROR(Table1[[#This Row],[Capacity (Kg)]]/Table1[[#This Row],[Target Time (Hours)]] * Table1[[#This Row],[Downtime (Hours)]], "")</f>
        <v>0</v>
      </c>
      <c r="N346" s="50">
        <f>IFERROR(Table1[[#This Row],[Running Time (hr)]]/Table1[Target Time (Hours)], "")</f>
        <v>1</v>
      </c>
      <c r="O346" s="50">
        <f>IFERROR(Table1[[#This Row],[Actual Production (Kg)]]/Table1[Capacity (Kg)], "")</f>
        <v>1.1318571428571429</v>
      </c>
      <c r="P346" s="50">
        <f>IFERROR(Table1[[#This Row],[Quality Pass Production]]/Table1[[#This Row],[Actual Production (Kg)]], "")</f>
        <v>1</v>
      </c>
      <c r="Q346" s="50">
        <f>IFERROR(Table1[[#This Row],[Utilization %]]*Table1[[#This Row],[Efficiency %]]*Table1[[#This Row],[Quality %]], "")</f>
        <v>1.1318571428571429</v>
      </c>
      <c r="R346" s="48" t="s">
        <v>89</v>
      </c>
    </row>
    <row r="347" spans="1:18" ht="30" customHeight="1" x14ac:dyDescent="0.25">
      <c r="A347" s="47">
        <v>46140</v>
      </c>
      <c r="B347" s="48" t="s">
        <v>18</v>
      </c>
      <c r="C347" s="48" t="s">
        <v>28</v>
      </c>
      <c r="D347" s="48" t="s">
        <v>29</v>
      </c>
      <c r="E347" s="49">
        <v>7800</v>
      </c>
      <c r="F347" s="76">
        <v>6173</v>
      </c>
      <c r="G347" s="49">
        <v>0</v>
      </c>
      <c r="H347" s="50">
        <f>IFERROR(Table1[Re-process (Kg)]/Table1[Actual Production (Kg)], "")</f>
        <v>0</v>
      </c>
      <c r="I347" s="49">
        <f>IFERROR(Table1[[#This Row],[Actual Production (Kg)]]-Table1[[#This Row],[Re-process (Kg)]], "")</f>
        <v>6173</v>
      </c>
      <c r="J347" s="49">
        <v>22</v>
      </c>
      <c r="K347" s="72">
        <v>0</v>
      </c>
      <c r="L347" s="49">
        <f>IF(Table1[[#This Row],[Target Time (Hours)]]="","",Table1[[#This Row],[Target Time (Hours)]]-Table1[[#This Row],[Downtime (Hours)]])</f>
        <v>22</v>
      </c>
      <c r="M347" s="49">
        <f>IFERROR(Table1[[#This Row],[Capacity (Kg)]]/Table1[[#This Row],[Target Time (Hours)]] * Table1[[#This Row],[Downtime (Hours)]], "")</f>
        <v>0</v>
      </c>
      <c r="N347" s="50">
        <f>IFERROR(Table1[[#This Row],[Running Time (hr)]]/Table1[Target Time (Hours)], "")</f>
        <v>1</v>
      </c>
      <c r="O347" s="50">
        <f>IFERROR(Table1[[#This Row],[Actual Production (Kg)]]/Table1[Capacity (Kg)], "")</f>
        <v>0.79141025641025642</v>
      </c>
      <c r="P347" s="50">
        <f>IFERROR(Table1[[#This Row],[Quality Pass Production]]/Table1[[#This Row],[Actual Production (Kg)]], "")</f>
        <v>1</v>
      </c>
      <c r="Q347" s="50">
        <f>IFERROR(Table1[[#This Row],[Utilization %]]*Table1[[#This Row],[Efficiency %]]*Table1[[#This Row],[Quality %]], "")</f>
        <v>0.79141025641025642</v>
      </c>
      <c r="R347" s="48" t="s">
        <v>111</v>
      </c>
    </row>
    <row r="348" spans="1:18" ht="30" customHeight="1" x14ac:dyDescent="0.25">
      <c r="A348" s="47">
        <v>46140</v>
      </c>
      <c r="B348" s="48" t="s">
        <v>18</v>
      </c>
      <c r="C348" s="48" t="s">
        <v>30</v>
      </c>
      <c r="D348" s="48" t="s">
        <v>31</v>
      </c>
      <c r="E348" s="49">
        <v>9000</v>
      </c>
      <c r="F348" s="76">
        <v>8569</v>
      </c>
      <c r="G348" s="49">
        <v>0</v>
      </c>
      <c r="H348" s="50">
        <f>IFERROR(Table1[Re-process (Kg)]/Table1[Actual Production (Kg)], "")</f>
        <v>0</v>
      </c>
      <c r="I348" s="49">
        <f>IFERROR(Table1[[#This Row],[Actual Production (Kg)]]-Table1[[#This Row],[Re-process (Kg)]], "")</f>
        <v>8569</v>
      </c>
      <c r="J348" s="49">
        <v>22</v>
      </c>
      <c r="K348" s="72">
        <v>0</v>
      </c>
      <c r="L348" s="49">
        <f>IF(Table1[[#This Row],[Target Time (Hours)]]="","",Table1[[#This Row],[Target Time (Hours)]]-Table1[[#This Row],[Downtime (Hours)]])</f>
        <v>22</v>
      </c>
      <c r="M348" s="49">
        <f>IFERROR(Table1[[#This Row],[Capacity (Kg)]]/Table1[[#This Row],[Target Time (Hours)]] * Table1[[#This Row],[Downtime (Hours)]], "")</f>
        <v>0</v>
      </c>
      <c r="N348" s="50">
        <f>IFERROR(Table1[[#This Row],[Running Time (hr)]]/Table1[Target Time (Hours)], "")</f>
        <v>1</v>
      </c>
      <c r="O348" s="50">
        <f>IFERROR(Table1[[#This Row],[Actual Production (Kg)]]/Table1[Capacity (Kg)], "")</f>
        <v>0.95211111111111113</v>
      </c>
      <c r="P348" s="50">
        <f>IFERROR(Table1[[#This Row],[Quality Pass Production]]/Table1[[#This Row],[Actual Production (Kg)]], "")</f>
        <v>1</v>
      </c>
      <c r="Q348" s="50">
        <f>IFERROR(Table1[[#This Row],[Utilization %]]*Table1[[#This Row],[Efficiency %]]*Table1[[#This Row],[Quality %]], "")</f>
        <v>0.95211111111111113</v>
      </c>
      <c r="R348" s="48" t="s">
        <v>89</v>
      </c>
    </row>
    <row r="349" spans="1:18" ht="30" customHeight="1" x14ac:dyDescent="0.25">
      <c r="A349" s="26">
        <v>46140</v>
      </c>
      <c r="B349" s="27" t="s">
        <v>18</v>
      </c>
      <c r="C349" s="27" t="s">
        <v>32</v>
      </c>
      <c r="D349" s="27" t="s">
        <v>31</v>
      </c>
      <c r="E349" s="79">
        <f>Table1[[#This Row],[Actual Production (Kg)]]</f>
        <v>1946</v>
      </c>
      <c r="F349" s="79">
        <v>1946</v>
      </c>
      <c r="G349" s="79"/>
      <c r="H349" s="28"/>
      <c r="I349" s="79"/>
      <c r="J349" s="79"/>
      <c r="K349" s="27"/>
      <c r="L349" s="53" t="str">
        <f>IF(Table1[[#This Row],[Target Time (Hours)]]="","",Table1[[#This Row],[Target Time (Hours)]]-Table1[[#This Row],[Downtime (Hours)]])</f>
        <v/>
      </c>
      <c r="M349" s="79"/>
      <c r="N349" s="28"/>
      <c r="O349" s="28"/>
      <c r="P349" s="28"/>
      <c r="Q349" s="28"/>
      <c r="R349" s="27" t="s">
        <v>89</v>
      </c>
    </row>
    <row r="350" spans="1:18" ht="30" customHeight="1" x14ac:dyDescent="0.25">
      <c r="A350" s="47">
        <v>46140</v>
      </c>
      <c r="B350" s="48" t="s">
        <v>33</v>
      </c>
      <c r="C350" s="48" t="s">
        <v>34</v>
      </c>
      <c r="D350" s="48" t="s">
        <v>35</v>
      </c>
      <c r="E350" s="49">
        <v>9000</v>
      </c>
      <c r="F350" s="76">
        <v>6586</v>
      </c>
      <c r="G350" s="49">
        <v>0</v>
      </c>
      <c r="H350" s="50">
        <f>IFERROR(Table1[Re-process (Kg)]/Table1[Actual Production (Kg)], "")</f>
        <v>0</v>
      </c>
      <c r="I350" s="49">
        <f>IFERROR(Table1[[#This Row],[Actual Production (Kg)]]-Table1[[#This Row],[Re-process (Kg)]], "")</f>
        <v>6586</v>
      </c>
      <c r="J350" s="49">
        <v>22</v>
      </c>
      <c r="K350" s="72">
        <v>0</v>
      </c>
      <c r="L350" s="49">
        <f>IF(Table1[[#This Row],[Target Time (Hours)]]="","",Table1[[#This Row],[Target Time (Hours)]]-Table1[[#This Row],[Downtime (Hours)]])</f>
        <v>22</v>
      </c>
      <c r="M350" s="49">
        <f>IFERROR(Table1[[#This Row],[Capacity (Kg)]]/Table1[[#This Row],[Target Time (Hours)]] * Table1[[#This Row],[Downtime (Hours)]], "")</f>
        <v>0</v>
      </c>
      <c r="N350" s="50">
        <f>IFERROR(Table1[[#This Row],[Running Time (hr)]]/Table1[Target Time (Hours)], "")</f>
        <v>1</v>
      </c>
      <c r="O350" s="50">
        <f>IFERROR(Table1[[#This Row],[Actual Production (Kg)]]/Table1[Capacity (Kg)], "")</f>
        <v>0.73177777777777775</v>
      </c>
      <c r="P350" s="50">
        <f>IFERROR(Table1[[#This Row],[Quality Pass Production]]/Table1[[#This Row],[Actual Production (Kg)]], "")</f>
        <v>1</v>
      </c>
      <c r="Q350" s="50">
        <f>IFERROR(Table1[[#This Row],[Utilization %]]*Table1[[#This Row],[Efficiency %]]*Table1[[#This Row],[Quality %]], "")</f>
        <v>0.73177777777777775</v>
      </c>
      <c r="R350" s="48" t="s">
        <v>89</v>
      </c>
    </row>
    <row r="351" spans="1:18" ht="30" customHeight="1" x14ac:dyDescent="0.25">
      <c r="A351" s="47">
        <v>46140</v>
      </c>
      <c r="B351" s="48" t="s">
        <v>33</v>
      </c>
      <c r="C351" s="48" t="s">
        <v>36</v>
      </c>
      <c r="D351" s="48" t="s">
        <v>37</v>
      </c>
      <c r="E351" s="49">
        <v>8000</v>
      </c>
      <c r="F351" s="76">
        <v>6063</v>
      </c>
      <c r="G351" s="49">
        <v>0</v>
      </c>
      <c r="H351" s="50">
        <f>IFERROR(Table1[Re-process (Kg)]/Table1[Actual Production (Kg)], "")</f>
        <v>0</v>
      </c>
      <c r="I351" s="49">
        <f>IFERROR(Table1[[#This Row],[Actual Production (Kg)]]-Table1[[#This Row],[Re-process (Kg)]], "")</f>
        <v>6063</v>
      </c>
      <c r="J351" s="49">
        <v>22</v>
      </c>
      <c r="K351" s="72">
        <v>3</v>
      </c>
      <c r="L351" s="49">
        <f>IF(Table1[[#This Row],[Target Time (Hours)]]="","",Table1[[#This Row],[Target Time (Hours)]]-Table1[[#This Row],[Downtime (Hours)]])</f>
        <v>19</v>
      </c>
      <c r="M351" s="49">
        <f>IFERROR(Table1[[#This Row],[Capacity (Kg)]]/Table1[[#This Row],[Target Time (Hours)]] * Table1[[#This Row],[Downtime (Hours)]], "")</f>
        <v>1090.909090909091</v>
      </c>
      <c r="N351" s="50">
        <f>IFERROR(Table1[[#This Row],[Running Time (hr)]]/Table1[Target Time (Hours)], "")</f>
        <v>0.86363636363636365</v>
      </c>
      <c r="O351" s="50">
        <f>IFERROR(Table1[[#This Row],[Actual Production (Kg)]]/Table1[Capacity (Kg)], "")</f>
        <v>0.75787499999999997</v>
      </c>
      <c r="P351" s="50">
        <f>IFERROR(Table1[[#This Row],[Quality Pass Production]]/Table1[[#This Row],[Actual Production (Kg)]], "")</f>
        <v>1</v>
      </c>
      <c r="Q351" s="50">
        <f>IFERROR(Table1[[#This Row],[Utilization %]]*Table1[[#This Row],[Efficiency %]]*Table1[[#This Row],[Quality %]], "")</f>
        <v>0.65452840909090904</v>
      </c>
      <c r="R351" s="48" t="s">
        <v>112</v>
      </c>
    </row>
    <row r="352" spans="1:18" ht="30" customHeight="1" x14ac:dyDescent="0.25">
      <c r="A352" s="47">
        <v>46140</v>
      </c>
      <c r="B352" s="48" t="s">
        <v>33</v>
      </c>
      <c r="C352" s="48" t="s">
        <v>39</v>
      </c>
      <c r="D352" s="48" t="s">
        <v>31</v>
      </c>
      <c r="E352" s="49">
        <v>6000</v>
      </c>
      <c r="F352" s="76">
        <v>2788</v>
      </c>
      <c r="G352" s="49">
        <v>0</v>
      </c>
      <c r="H352" s="50">
        <f>IFERROR(Table1[Re-process (Kg)]/Table1[Actual Production (Kg)], "")</f>
        <v>0</v>
      </c>
      <c r="I352" s="49">
        <f>IFERROR(Table1[[#This Row],[Actual Production (Kg)]]-Table1[[#This Row],[Re-process (Kg)]], "")</f>
        <v>2788</v>
      </c>
      <c r="J352" s="49">
        <v>22</v>
      </c>
      <c r="K352" s="72">
        <v>0</v>
      </c>
      <c r="L352" s="49">
        <f>IF(Table1[[#This Row],[Target Time (Hours)]]="","",Table1[[#This Row],[Target Time (Hours)]]-Table1[[#This Row],[Downtime (Hours)]])</f>
        <v>22</v>
      </c>
      <c r="M352" s="49">
        <f>IFERROR(Table1[[#This Row],[Capacity (Kg)]]/Table1[[#This Row],[Target Time (Hours)]] * Table1[[#This Row],[Downtime (Hours)]], "")</f>
        <v>0</v>
      </c>
      <c r="N352" s="50">
        <f>IFERROR(Table1[[#This Row],[Running Time (hr)]]/Table1[Target Time (Hours)], "")</f>
        <v>1</v>
      </c>
      <c r="O352" s="50">
        <f>IFERROR(Table1[[#This Row],[Actual Production (Kg)]]/Table1[Capacity (Kg)], "")</f>
        <v>0.46466666666666667</v>
      </c>
      <c r="P352" s="50">
        <f>IFERROR(Table1[[#This Row],[Quality Pass Production]]/Table1[[#This Row],[Actual Production (Kg)]], "")</f>
        <v>1</v>
      </c>
      <c r="Q352" s="50">
        <f>IFERROR(Table1[[#This Row],[Utilization %]]*Table1[[#This Row],[Efficiency %]]*Table1[[#This Row],[Quality %]], "")</f>
        <v>0.46466666666666667</v>
      </c>
      <c r="R352" s="48" t="s">
        <v>106</v>
      </c>
    </row>
    <row r="353" spans="1:18" ht="45" customHeight="1" x14ac:dyDescent="0.25">
      <c r="A353" s="54">
        <v>46140</v>
      </c>
      <c r="B353" s="55" t="s">
        <v>33</v>
      </c>
      <c r="C353" s="55" t="s">
        <v>40</v>
      </c>
      <c r="D353" s="55" t="s">
        <v>31</v>
      </c>
      <c r="E353" s="56">
        <v>5000</v>
      </c>
      <c r="F353" s="56">
        <v>2621</v>
      </c>
      <c r="G353" s="56">
        <v>0</v>
      </c>
      <c r="H353" s="58">
        <f>IFERROR(Table1[Re-process (Kg)]/Table1[Actual Production (Kg)], "")</f>
        <v>0</v>
      </c>
      <c r="I353" s="56">
        <f>IFERROR(Table1[[#This Row],[Actual Production (Kg)]]-Table1[[#This Row],[Re-process (Kg)]], "")</f>
        <v>2621</v>
      </c>
      <c r="J353" s="56">
        <v>22</v>
      </c>
      <c r="K353" s="55">
        <v>0</v>
      </c>
      <c r="L353" s="56">
        <f>IF(Table1[[#This Row],[Target Time (Hours)]]="","",Table1[[#This Row],[Target Time (Hours)]]-Table1[[#This Row],[Downtime (Hours)]])</f>
        <v>22</v>
      </c>
      <c r="M353" s="56">
        <f>IFERROR(Table1[[#This Row],[Capacity (Kg)]]/Table1[[#This Row],[Target Time (Hours)]] * Table1[[#This Row],[Downtime (Hours)]], "")</f>
        <v>0</v>
      </c>
      <c r="N353" s="58">
        <f>IFERROR(Table1[[#This Row],[Running Time (hr)]]/Table1[Target Time (Hours)], "")</f>
        <v>1</v>
      </c>
      <c r="O353" s="58">
        <f>IFERROR(Table1[[#This Row],[Actual Production (Kg)]]/Table1[Capacity (Kg)], "")</f>
        <v>0.5242</v>
      </c>
      <c r="P353" s="58">
        <f>IFERROR(Table1[[#This Row],[Quality Pass Production]]/Table1[[#This Row],[Actual Production (Kg)]], "")</f>
        <v>1</v>
      </c>
      <c r="Q353" s="58">
        <f>IFERROR(Table1[[#This Row],[Utilization %]]*Table1[[#This Row],[Efficiency %]]*Table1[[#This Row],[Quality %]], "")</f>
        <v>0.5242</v>
      </c>
      <c r="R353" s="55" t="s">
        <v>106</v>
      </c>
    </row>
    <row r="354" spans="1:18" ht="30" customHeight="1" x14ac:dyDescent="0.25">
      <c r="A354" s="47">
        <v>46141</v>
      </c>
      <c r="B354" s="48" t="s">
        <v>18</v>
      </c>
      <c r="C354" s="48" t="s">
        <v>19</v>
      </c>
      <c r="D354" s="48" t="s">
        <v>20</v>
      </c>
      <c r="E354" s="49">
        <v>10000</v>
      </c>
      <c r="F354" s="76">
        <v>8709</v>
      </c>
      <c r="G354" s="49">
        <v>0</v>
      </c>
      <c r="H354" s="50">
        <f>IFERROR(Table1[Re-process (Kg)]/Table1[Actual Production (Kg)], "")</f>
        <v>0</v>
      </c>
      <c r="I354" s="49">
        <f>IFERROR(Table1[[#This Row],[Actual Production (Kg)]]-Table1[[#This Row],[Re-process (Kg)]], "")</f>
        <v>8709</v>
      </c>
      <c r="J354" s="49">
        <v>22</v>
      </c>
      <c r="K354" s="72">
        <v>2</v>
      </c>
      <c r="L354" s="49">
        <f>IF(Table1[[#This Row],[Target Time (Hours)]]="","",Table1[[#This Row],[Target Time (Hours)]]-Table1[[#This Row],[Downtime (Hours)]])</f>
        <v>20</v>
      </c>
      <c r="M354" s="49">
        <f>IFERROR(Table1[[#This Row],[Capacity (Kg)]]/Table1[[#This Row],[Target Time (Hours)]] * Table1[[#This Row],[Downtime (Hours)]], "")</f>
        <v>909.09090909090912</v>
      </c>
      <c r="N354" s="50">
        <f>IFERROR(Table1[[#This Row],[Running Time (hr)]]/Table1[Target Time (Hours)], "")</f>
        <v>0.90909090909090906</v>
      </c>
      <c r="O354" s="50">
        <f>IFERROR(Table1[[#This Row],[Actual Production (Kg)]]/Table1[Capacity (Kg)], "")</f>
        <v>0.87090000000000001</v>
      </c>
      <c r="P354" s="50">
        <f>IFERROR(Table1[[#This Row],[Quality Pass Production]]/Table1[[#This Row],[Actual Production (Kg)]], "")</f>
        <v>1</v>
      </c>
      <c r="Q354" s="50">
        <f>IFERROR(Table1[[#This Row],[Utilization %]]*Table1[[#This Row],[Efficiency %]]*Table1[[#This Row],[Quality %]], "")</f>
        <v>0.79172727272727272</v>
      </c>
      <c r="R354" s="48" t="s">
        <v>113</v>
      </c>
    </row>
    <row r="355" spans="1:18" ht="45" customHeight="1" x14ac:dyDescent="0.25">
      <c r="A355" s="47">
        <v>46141</v>
      </c>
      <c r="B355" s="48" t="s">
        <v>18</v>
      </c>
      <c r="C355" s="48" t="s">
        <v>22</v>
      </c>
      <c r="D355" s="48" t="s">
        <v>23</v>
      </c>
      <c r="E355" s="49">
        <v>5000</v>
      </c>
      <c r="F355" s="76">
        <v>2765</v>
      </c>
      <c r="G355" s="49">
        <v>0</v>
      </c>
      <c r="H355" s="50">
        <f>IFERROR(Table1[Re-process (Kg)]/Table1[Actual Production (Kg)], "")</f>
        <v>0</v>
      </c>
      <c r="I355" s="49">
        <f>IFERROR(Table1[[#This Row],[Actual Production (Kg)]]-Table1[[#This Row],[Re-process (Kg)]], "")</f>
        <v>2765</v>
      </c>
      <c r="J355" s="49">
        <v>22</v>
      </c>
      <c r="K355" s="72">
        <v>2</v>
      </c>
      <c r="L355" s="49">
        <f>IF(Table1[[#This Row],[Target Time (Hours)]]="","",Table1[[#This Row],[Target Time (Hours)]]-Table1[[#This Row],[Downtime (Hours)]])</f>
        <v>20</v>
      </c>
      <c r="M355" s="49">
        <f>IFERROR(Table1[[#This Row],[Capacity (Kg)]]/Table1[[#This Row],[Target Time (Hours)]] * Table1[[#This Row],[Downtime (Hours)]], "")</f>
        <v>454.54545454545456</v>
      </c>
      <c r="N355" s="50">
        <f>IFERROR(Table1[[#This Row],[Running Time (hr)]]/Table1[Target Time (Hours)], "")</f>
        <v>0.90909090909090906</v>
      </c>
      <c r="O355" s="50">
        <f>IFERROR(Table1[[#This Row],[Actual Production (Kg)]]/Table1[Capacity (Kg)], "")</f>
        <v>0.55300000000000005</v>
      </c>
      <c r="P355" s="50">
        <f>IFERROR(Table1[[#This Row],[Quality Pass Production]]/Table1[[#This Row],[Actual Production (Kg)]], "")</f>
        <v>1</v>
      </c>
      <c r="Q355" s="50">
        <f>IFERROR(Table1[[#This Row],[Utilization %]]*Table1[[#This Row],[Efficiency %]]*Table1[[#This Row],[Quality %]], "")</f>
        <v>0.5027272727272728</v>
      </c>
      <c r="R355" s="48" t="s">
        <v>114</v>
      </c>
    </row>
    <row r="356" spans="1:18" x14ac:dyDescent="0.25">
      <c r="A356" s="47">
        <v>46141</v>
      </c>
      <c r="B356" s="48" t="s">
        <v>18</v>
      </c>
      <c r="C356" s="48" t="s">
        <v>22</v>
      </c>
      <c r="D356" s="48" t="s">
        <v>25</v>
      </c>
      <c r="E356" s="49">
        <v>4000</v>
      </c>
      <c r="F356" s="76">
        <v>6084</v>
      </c>
      <c r="G356" s="49">
        <v>0</v>
      </c>
      <c r="H356" s="50">
        <f>IFERROR(Table1[Re-process (Kg)]/Table1[Actual Production (Kg)], "")</f>
        <v>0</v>
      </c>
      <c r="I356" s="49">
        <f>IFERROR(Table1[[#This Row],[Actual Production (Kg)]]-Table1[[#This Row],[Re-process (Kg)]], "")</f>
        <v>6084</v>
      </c>
      <c r="J356" s="49"/>
      <c r="K356" s="72"/>
      <c r="L356" s="49" t="str">
        <f>IF(Table1[[#This Row],[Target Time (Hours)]]="","",Table1[[#This Row],[Target Time (Hours)]]-Table1[[#This Row],[Downtime (Hours)]])</f>
        <v/>
      </c>
      <c r="M356" s="49" t="str">
        <f>IFERROR(Table1[[#This Row],[Capacity (Kg)]]/Table1[[#This Row],[Target Time (Hours)]] * Table1[[#This Row],[Downtime (Hours)]], "")</f>
        <v/>
      </c>
      <c r="N356" s="50" t="str">
        <f>IFERROR(Table1[[#This Row],[Running Time (hr)]]/Table1[Target Time (Hours)], "")</f>
        <v/>
      </c>
      <c r="O356" s="50">
        <f>IFERROR(Table1[[#This Row],[Actual Production (Kg)]]/Table1[Capacity (Kg)], "")</f>
        <v>1.5209999999999999</v>
      </c>
      <c r="P356" s="50">
        <f>IFERROR(Table1[[#This Row],[Quality Pass Production]]/Table1[[#This Row],[Actual Production (Kg)]], "")</f>
        <v>1</v>
      </c>
      <c r="Q356" s="50" t="str">
        <f>IFERROR(Table1[[#This Row],[Utilization %]]*Table1[[#This Row],[Efficiency %]]*Table1[[#This Row],[Quality %]], "")</f>
        <v/>
      </c>
    </row>
    <row r="357" spans="1:18" ht="30" customHeight="1" x14ac:dyDescent="0.25">
      <c r="A357" s="47">
        <v>46141</v>
      </c>
      <c r="B357" s="48" t="s">
        <v>18</v>
      </c>
      <c r="C357" s="48" t="s">
        <v>26</v>
      </c>
      <c r="D357" s="48" t="s">
        <v>25</v>
      </c>
      <c r="E357" s="49">
        <v>7000</v>
      </c>
      <c r="F357" s="76">
        <v>7366</v>
      </c>
      <c r="G357" s="49">
        <v>0</v>
      </c>
      <c r="H357" s="50">
        <f>IFERROR(Table1[Re-process (Kg)]/Table1[Actual Production (Kg)], "")</f>
        <v>0</v>
      </c>
      <c r="I357" s="49">
        <f>IFERROR(Table1[[#This Row],[Actual Production (Kg)]]-Table1[[#This Row],[Re-process (Kg)]], "")</f>
        <v>7366</v>
      </c>
      <c r="J357" s="49">
        <v>22</v>
      </c>
      <c r="K357" s="72">
        <v>1</v>
      </c>
      <c r="L357" s="49">
        <f>IF(Table1[[#This Row],[Target Time (Hours)]]="","",Table1[[#This Row],[Target Time (Hours)]]-Table1[[#This Row],[Downtime (Hours)]])</f>
        <v>21</v>
      </c>
      <c r="M357" s="49">
        <f>IFERROR(Table1[[#This Row],[Capacity (Kg)]]/Table1[[#This Row],[Target Time (Hours)]] * Table1[[#This Row],[Downtime (Hours)]], "")</f>
        <v>318.18181818181819</v>
      </c>
      <c r="N357" s="50">
        <f>IFERROR(Table1[[#This Row],[Running Time (hr)]]/Table1[Target Time (Hours)], "")</f>
        <v>0.95454545454545459</v>
      </c>
      <c r="O357" s="50">
        <f>IFERROR(Table1[[#This Row],[Actual Production (Kg)]]/Table1[Capacity (Kg)], "")</f>
        <v>1.0522857142857143</v>
      </c>
      <c r="P357" s="50">
        <f>IFERROR(Table1[[#This Row],[Quality Pass Production]]/Table1[[#This Row],[Actual Production (Kg)]], "")</f>
        <v>1</v>
      </c>
      <c r="Q357" s="50">
        <f>IFERROR(Table1[[#This Row],[Utilization %]]*Table1[[#This Row],[Efficiency %]]*Table1[[#This Row],[Quality %]], "")</f>
        <v>1.0044545454545455</v>
      </c>
      <c r="R357" s="48" t="s">
        <v>115</v>
      </c>
    </row>
    <row r="358" spans="1:18" ht="30" customHeight="1" x14ac:dyDescent="0.25">
      <c r="A358" s="47">
        <v>46141</v>
      </c>
      <c r="B358" s="48" t="s">
        <v>18</v>
      </c>
      <c r="C358" s="48" t="s">
        <v>28</v>
      </c>
      <c r="D358" s="48" t="s">
        <v>29</v>
      </c>
      <c r="E358" s="49">
        <v>7800</v>
      </c>
      <c r="F358" s="76">
        <v>4472</v>
      </c>
      <c r="G358" s="49">
        <v>0</v>
      </c>
      <c r="H358" s="50">
        <f>IFERROR(Table1[Re-process (Kg)]/Table1[Actual Production (Kg)], "")</f>
        <v>0</v>
      </c>
      <c r="I358" s="49">
        <f>IFERROR(Table1[[#This Row],[Actual Production (Kg)]]-Table1[[#This Row],[Re-process (Kg)]], "")</f>
        <v>4472</v>
      </c>
      <c r="J358" s="49">
        <v>22</v>
      </c>
      <c r="K358" s="72">
        <v>2</v>
      </c>
      <c r="L358" s="49">
        <f>IF(Table1[[#This Row],[Target Time (Hours)]]="","",Table1[[#This Row],[Target Time (Hours)]]-Table1[[#This Row],[Downtime (Hours)]])</f>
        <v>20</v>
      </c>
      <c r="M358" s="49">
        <f>IFERROR(Table1[[#This Row],[Capacity (Kg)]]/Table1[[#This Row],[Target Time (Hours)]] * Table1[[#This Row],[Downtime (Hours)]], "")</f>
        <v>709.09090909090912</v>
      </c>
      <c r="N358" s="50">
        <f>IFERROR(Table1[[#This Row],[Running Time (hr)]]/Table1[Target Time (Hours)], "")</f>
        <v>0.90909090909090906</v>
      </c>
      <c r="O358" s="50">
        <f>IFERROR(Table1[[#This Row],[Actual Production (Kg)]]/Table1[Capacity (Kg)], "")</f>
        <v>0.57333333333333336</v>
      </c>
      <c r="P358" s="50">
        <f>IFERROR(Table1[[#This Row],[Quality Pass Production]]/Table1[[#This Row],[Actual Production (Kg)]], "")</f>
        <v>1</v>
      </c>
      <c r="Q358" s="50">
        <f>IFERROR(Table1[[#This Row],[Utilization %]]*Table1[[#This Row],[Efficiency %]]*Table1[[#This Row],[Quality %]], "")</f>
        <v>0.52121212121212124</v>
      </c>
      <c r="R358" s="48" t="s">
        <v>116</v>
      </c>
    </row>
    <row r="359" spans="1:18" ht="30" customHeight="1" x14ac:dyDescent="0.25">
      <c r="A359" s="47">
        <v>46141</v>
      </c>
      <c r="B359" s="48" t="s">
        <v>18</v>
      </c>
      <c r="C359" s="48" t="s">
        <v>30</v>
      </c>
      <c r="D359" s="48" t="s">
        <v>31</v>
      </c>
      <c r="E359" s="49">
        <v>9000</v>
      </c>
      <c r="F359" s="76">
        <v>7428</v>
      </c>
      <c r="G359" s="49">
        <v>0</v>
      </c>
      <c r="H359" s="50">
        <f>IFERROR(Table1[Re-process (Kg)]/Table1[Actual Production (Kg)], "")</f>
        <v>0</v>
      </c>
      <c r="I359" s="49">
        <f>IFERROR(Table1[[#This Row],[Actual Production (Kg)]]-Table1[[#This Row],[Re-process (Kg)]], "")</f>
        <v>7428</v>
      </c>
      <c r="J359" s="49">
        <v>22</v>
      </c>
      <c r="K359" s="72">
        <v>0</v>
      </c>
      <c r="L359" s="49">
        <f>IF(Table1[[#This Row],[Target Time (Hours)]]="","",Table1[[#This Row],[Target Time (Hours)]]-Table1[[#This Row],[Downtime (Hours)]])</f>
        <v>22</v>
      </c>
      <c r="M359" s="49">
        <f>IFERROR(Table1[[#This Row],[Capacity (Kg)]]/Table1[[#This Row],[Target Time (Hours)]] * Table1[[#This Row],[Downtime (Hours)]], "")</f>
        <v>0</v>
      </c>
      <c r="N359" s="50">
        <f>IFERROR(Table1[[#This Row],[Running Time (hr)]]/Table1[Target Time (Hours)], "")</f>
        <v>1</v>
      </c>
      <c r="O359" s="50">
        <f>IFERROR(Table1[[#This Row],[Actual Production (Kg)]]/Table1[Capacity (Kg)], "")</f>
        <v>0.82533333333333336</v>
      </c>
      <c r="P359" s="50">
        <f>IFERROR(Table1[[#This Row],[Quality Pass Production]]/Table1[[#This Row],[Actual Production (Kg)]], "")</f>
        <v>1</v>
      </c>
      <c r="Q359" s="50">
        <f>IFERROR(Table1[[#This Row],[Utilization %]]*Table1[[#This Row],[Efficiency %]]*Table1[[#This Row],[Quality %]], "")</f>
        <v>0.82533333333333336</v>
      </c>
      <c r="R359" s="48" t="s">
        <v>89</v>
      </c>
    </row>
    <row r="360" spans="1:18" ht="30" customHeight="1" x14ac:dyDescent="0.25">
      <c r="A360" s="26">
        <v>46141</v>
      </c>
      <c r="B360" s="27" t="s">
        <v>18</v>
      </c>
      <c r="C360" s="27" t="s">
        <v>32</v>
      </c>
      <c r="D360" s="27" t="s">
        <v>31</v>
      </c>
      <c r="E360" s="79">
        <f>Table1[[#This Row],[Actual Production (Kg)]]</f>
        <v>1828</v>
      </c>
      <c r="F360" s="79">
        <v>1828</v>
      </c>
      <c r="G360" s="79"/>
      <c r="H360" s="28"/>
      <c r="I360" s="79"/>
      <c r="J360" s="79"/>
      <c r="K360" s="27"/>
      <c r="L360" s="53" t="str">
        <f>IF(Table1[[#This Row],[Target Time (Hours)]]="","",Table1[[#This Row],[Target Time (Hours)]]-Table1[[#This Row],[Downtime (Hours)]])</f>
        <v/>
      </c>
      <c r="M360" s="79"/>
      <c r="N360" s="28"/>
      <c r="O360" s="28"/>
      <c r="P360" s="28"/>
      <c r="Q360" s="28"/>
      <c r="R360" s="27" t="s">
        <v>89</v>
      </c>
    </row>
    <row r="361" spans="1:18" ht="30" customHeight="1" x14ac:dyDescent="0.25">
      <c r="A361" s="47">
        <v>46141</v>
      </c>
      <c r="B361" s="48" t="s">
        <v>33</v>
      </c>
      <c r="C361" s="48" t="s">
        <v>34</v>
      </c>
      <c r="D361" s="48" t="s">
        <v>35</v>
      </c>
      <c r="E361" s="49">
        <v>9000</v>
      </c>
      <c r="F361" s="76">
        <v>5827</v>
      </c>
      <c r="G361" s="49">
        <v>0</v>
      </c>
      <c r="H361" s="50">
        <f>IFERROR(Table1[Re-process (Kg)]/Table1[Actual Production (Kg)], "")</f>
        <v>0</v>
      </c>
      <c r="I361" s="49">
        <f>IFERROR(Table1[[#This Row],[Actual Production (Kg)]]-Table1[[#This Row],[Re-process (Kg)]], "")</f>
        <v>5827</v>
      </c>
      <c r="J361" s="49">
        <v>22</v>
      </c>
      <c r="K361" s="72">
        <v>0</v>
      </c>
      <c r="L361" s="49">
        <f>IF(Table1[[#This Row],[Target Time (Hours)]]="","",Table1[[#This Row],[Target Time (Hours)]]-Table1[[#This Row],[Downtime (Hours)]])</f>
        <v>22</v>
      </c>
      <c r="M361" s="49">
        <f>IFERROR(Table1[[#This Row],[Capacity (Kg)]]/Table1[[#This Row],[Target Time (Hours)]] * Table1[[#This Row],[Downtime (Hours)]], "")</f>
        <v>0</v>
      </c>
      <c r="N361" s="50">
        <f>IFERROR(Table1[[#This Row],[Running Time (hr)]]/Table1[Target Time (Hours)], "")</f>
        <v>1</v>
      </c>
      <c r="O361" s="50">
        <f>IFERROR(Table1[[#This Row],[Actual Production (Kg)]]/Table1[Capacity (Kg)], "")</f>
        <v>0.64744444444444449</v>
      </c>
      <c r="P361" s="50">
        <f>IFERROR(Table1[[#This Row],[Quality Pass Production]]/Table1[[#This Row],[Actual Production (Kg)]], "")</f>
        <v>1</v>
      </c>
      <c r="Q361" s="50">
        <f>IFERROR(Table1[[#This Row],[Utilization %]]*Table1[[#This Row],[Efficiency %]]*Table1[[#This Row],[Quality %]], "")</f>
        <v>0.64744444444444449</v>
      </c>
      <c r="R361" s="48" t="s">
        <v>106</v>
      </c>
    </row>
    <row r="362" spans="1:18" ht="30" customHeight="1" x14ac:dyDescent="0.25">
      <c r="A362" s="47">
        <v>46141</v>
      </c>
      <c r="B362" s="48" t="s">
        <v>33</v>
      </c>
      <c r="C362" s="48" t="s">
        <v>36</v>
      </c>
      <c r="D362" s="48" t="s">
        <v>37</v>
      </c>
      <c r="E362" s="49">
        <v>8000</v>
      </c>
      <c r="F362" s="76">
        <v>5837</v>
      </c>
      <c r="G362" s="49">
        <v>0</v>
      </c>
      <c r="H362" s="50">
        <f>IFERROR(Table1[Re-process (Kg)]/Table1[Actual Production (Kg)], "")</f>
        <v>0</v>
      </c>
      <c r="I362" s="49">
        <f>IFERROR(Table1[[#This Row],[Actual Production (Kg)]]-Table1[[#This Row],[Re-process (Kg)]], "")</f>
        <v>5837</v>
      </c>
      <c r="J362" s="49">
        <v>22</v>
      </c>
      <c r="K362" s="72">
        <v>3</v>
      </c>
      <c r="L362" s="49">
        <f>IF(Table1[[#This Row],[Target Time (Hours)]]="","",Table1[[#This Row],[Target Time (Hours)]]-Table1[[#This Row],[Downtime (Hours)]])</f>
        <v>19</v>
      </c>
      <c r="M362" s="49">
        <f>IFERROR(Table1[[#This Row],[Capacity (Kg)]]/Table1[[#This Row],[Target Time (Hours)]] * Table1[[#This Row],[Downtime (Hours)]], "")</f>
        <v>1090.909090909091</v>
      </c>
      <c r="N362" s="50">
        <f>IFERROR(Table1[[#This Row],[Running Time (hr)]]/Table1[Target Time (Hours)], "")</f>
        <v>0.86363636363636365</v>
      </c>
      <c r="O362" s="50">
        <f>IFERROR(Table1[[#This Row],[Actual Production (Kg)]]/Table1[Capacity (Kg)], "")</f>
        <v>0.72962499999999997</v>
      </c>
      <c r="P362" s="50">
        <f>IFERROR(Table1[[#This Row],[Quality Pass Production]]/Table1[[#This Row],[Actual Production (Kg)]], "")</f>
        <v>1</v>
      </c>
      <c r="Q362" s="50">
        <f>IFERROR(Table1[[#This Row],[Utilization %]]*Table1[[#This Row],[Efficiency %]]*Table1[[#This Row],[Quality %]], "")</f>
        <v>0.63013068181818177</v>
      </c>
      <c r="R362" s="48" t="s">
        <v>112</v>
      </c>
    </row>
    <row r="363" spans="1:18" ht="30" customHeight="1" x14ac:dyDescent="0.25">
      <c r="A363" s="47">
        <v>46141</v>
      </c>
      <c r="B363" s="48" t="s">
        <v>33</v>
      </c>
      <c r="C363" s="48" t="s">
        <v>39</v>
      </c>
      <c r="D363" s="48" t="s">
        <v>31</v>
      </c>
      <c r="E363" s="49">
        <v>6000</v>
      </c>
      <c r="F363" s="76">
        <v>778</v>
      </c>
      <c r="G363" s="49">
        <v>0</v>
      </c>
      <c r="H363" s="50">
        <f>IFERROR(Table1[Re-process (Kg)]/Table1[Actual Production (Kg)], "")</f>
        <v>0</v>
      </c>
      <c r="I363" s="49">
        <f>IFERROR(Table1[[#This Row],[Actual Production (Kg)]]-Table1[[#This Row],[Re-process (Kg)]], "")</f>
        <v>778</v>
      </c>
      <c r="J363" s="49">
        <v>22</v>
      </c>
      <c r="K363" s="72">
        <v>0</v>
      </c>
      <c r="L363" s="49">
        <f>IF(Table1[[#This Row],[Target Time (Hours)]]="","",Table1[[#This Row],[Target Time (Hours)]]-Table1[[#This Row],[Downtime (Hours)]])</f>
        <v>22</v>
      </c>
      <c r="M363" s="49">
        <f>IFERROR(Table1[[#This Row],[Capacity (Kg)]]/Table1[[#This Row],[Target Time (Hours)]] * Table1[[#This Row],[Downtime (Hours)]], "")</f>
        <v>0</v>
      </c>
      <c r="N363" s="50">
        <f>IFERROR(Table1[[#This Row],[Running Time (hr)]]/Table1[Target Time (Hours)], "")</f>
        <v>1</v>
      </c>
      <c r="O363" s="50">
        <f>IFERROR(Table1[[#This Row],[Actual Production (Kg)]]/Table1[Capacity (Kg)], "")</f>
        <v>0.12966666666666668</v>
      </c>
      <c r="P363" s="50">
        <f>IFERROR(Table1[[#This Row],[Quality Pass Production]]/Table1[[#This Row],[Actual Production (Kg)]], "")</f>
        <v>1</v>
      </c>
      <c r="Q363" s="50">
        <f>IFERROR(Table1[[#This Row],[Utilization %]]*Table1[[#This Row],[Efficiency %]]*Table1[[#This Row],[Quality %]], "")</f>
        <v>0.12966666666666668</v>
      </c>
      <c r="R363" s="48" t="s">
        <v>117</v>
      </c>
    </row>
    <row r="364" spans="1:18" ht="45" customHeight="1" x14ac:dyDescent="0.25">
      <c r="A364" s="54">
        <v>46141</v>
      </c>
      <c r="B364" s="55" t="s">
        <v>33</v>
      </c>
      <c r="C364" s="55" t="s">
        <v>40</v>
      </c>
      <c r="D364" s="55" t="s">
        <v>31</v>
      </c>
      <c r="E364" s="56">
        <v>5000</v>
      </c>
      <c r="F364" s="56">
        <v>4058</v>
      </c>
      <c r="G364" s="56">
        <v>0</v>
      </c>
      <c r="H364" s="58">
        <f>IFERROR(Table1[Re-process (Kg)]/Table1[Actual Production (Kg)], "")</f>
        <v>0</v>
      </c>
      <c r="I364" s="56">
        <f>IFERROR(Table1[[#This Row],[Actual Production (Kg)]]-Table1[[#This Row],[Re-process (Kg)]], "")</f>
        <v>4058</v>
      </c>
      <c r="J364" s="56">
        <v>22</v>
      </c>
      <c r="K364" s="55">
        <v>0</v>
      </c>
      <c r="L364" s="56">
        <f>IF(Table1[[#This Row],[Target Time (Hours)]]="","",Table1[[#This Row],[Target Time (Hours)]]-Table1[[#This Row],[Downtime (Hours)]])</f>
        <v>22</v>
      </c>
      <c r="M364" s="56">
        <f>IFERROR(Table1[[#This Row],[Capacity (Kg)]]/Table1[[#This Row],[Target Time (Hours)]] * Table1[[#This Row],[Downtime (Hours)]], "")</f>
        <v>0</v>
      </c>
      <c r="N364" s="58">
        <f>IFERROR(Table1[[#This Row],[Running Time (hr)]]/Table1[Target Time (Hours)], "")</f>
        <v>1</v>
      </c>
      <c r="O364" s="58">
        <f>IFERROR(Table1[[#This Row],[Actual Production (Kg)]]/Table1[Capacity (Kg)], "")</f>
        <v>0.81159999999999999</v>
      </c>
      <c r="P364" s="58">
        <f>IFERROR(Table1[[#This Row],[Quality Pass Production]]/Table1[[#This Row],[Actual Production (Kg)]], "")</f>
        <v>1</v>
      </c>
      <c r="Q364" s="58">
        <f>IFERROR(Table1[[#This Row],[Utilization %]]*Table1[[#This Row],[Efficiency %]]*Table1[[#This Row],[Quality %]], "")</f>
        <v>0.81159999999999999</v>
      </c>
      <c r="R364" s="55" t="s">
        <v>106</v>
      </c>
    </row>
    <row r="365" spans="1:18" ht="30" customHeight="1" x14ac:dyDescent="0.25">
      <c r="A365" s="47">
        <v>46142</v>
      </c>
      <c r="B365" s="48" t="s">
        <v>18</v>
      </c>
      <c r="C365" s="48" t="s">
        <v>19</v>
      </c>
      <c r="D365" s="48" t="s">
        <v>20</v>
      </c>
      <c r="E365" s="49">
        <v>10000</v>
      </c>
      <c r="F365" s="76">
        <v>9134</v>
      </c>
      <c r="G365" s="49">
        <v>0</v>
      </c>
      <c r="H365" s="50">
        <f>IFERROR(Table1[Re-process (Kg)]/Table1[Actual Production (Kg)], "")</f>
        <v>0</v>
      </c>
      <c r="I365" s="49">
        <f>IFERROR(Table1[[#This Row],[Actual Production (Kg)]]-Table1[[#This Row],[Re-process (Kg)]], "")</f>
        <v>9134</v>
      </c>
      <c r="J365" s="49">
        <v>22</v>
      </c>
      <c r="K365" s="72">
        <v>2</v>
      </c>
      <c r="L365" s="49">
        <f>IF(Table1[[#This Row],[Target Time (Hours)]]="","",Table1[[#This Row],[Target Time (Hours)]]-Table1[[#This Row],[Downtime (Hours)]])</f>
        <v>20</v>
      </c>
      <c r="M365" s="49">
        <f>IFERROR(Table1[[#This Row],[Capacity (Kg)]]/Table1[[#This Row],[Target Time (Hours)]] * Table1[[#This Row],[Downtime (Hours)]], "")</f>
        <v>909.09090909090912</v>
      </c>
      <c r="N365" s="50">
        <f>IFERROR(Table1[[#This Row],[Running Time (hr)]]/Table1[Target Time (Hours)], "")</f>
        <v>0.90909090909090906</v>
      </c>
      <c r="O365" s="50">
        <f>IFERROR(Table1[[#This Row],[Actual Production (Kg)]]/Table1[Capacity (Kg)], "")</f>
        <v>0.91339999999999999</v>
      </c>
      <c r="P365" s="50">
        <f>IFERROR(Table1[[#This Row],[Quality Pass Production]]/Table1[[#This Row],[Actual Production (Kg)]], "")</f>
        <v>1</v>
      </c>
      <c r="Q365" s="50">
        <f>IFERROR(Table1[[#This Row],[Utilization %]]*Table1[[#This Row],[Efficiency %]]*Table1[[#This Row],[Quality %]], "")</f>
        <v>0.8303636363636363</v>
      </c>
      <c r="R365" s="48" t="s">
        <v>89</v>
      </c>
    </row>
    <row r="366" spans="1:18" x14ac:dyDescent="0.25">
      <c r="A366" s="47">
        <v>46142</v>
      </c>
      <c r="B366" s="48" t="s">
        <v>18</v>
      </c>
      <c r="C366" s="48" t="s">
        <v>22</v>
      </c>
      <c r="D366" s="48" t="s">
        <v>23</v>
      </c>
      <c r="E366" s="49">
        <v>5000</v>
      </c>
      <c r="F366" s="76">
        <v>813</v>
      </c>
      <c r="G366" s="49">
        <v>0</v>
      </c>
      <c r="H366" s="50">
        <f>IFERROR(Table1[Re-process (Kg)]/Table1[Actual Production (Kg)], "")</f>
        <v>0</v>
      </c>
      <c r="I366" s="49">
        <f>IFERROR(Table1[[#This Row],[Actual Production (Kg)]]-Table1[[#This Row],[Re-process (Kg)]], "")</f>
        <v>813</v>
      </c>
      <c r="J366" s="49">
        <v>22</v>
      </c>
      <c r="K366" s="72">
        <v>2</v>
      </c>
      <c r="L366" s="49">
        <f>IF(Table1[[#This Row],[Target Time (Hours)]]="","",Table1[[#This Row],[Target Time (Hours)]]-Table1[[#This Row],[Downtime (Hours)]])</f>
        <v>20</v>
      </c>
      <c r="M366" s="49">
        <f>IFERROR(Table1[[#This Row],[Capacity (Kg)]]/Table1[[#This Row],[Target Time (Hours)]] * Table1[[#This Row],[Downtime (Hours)]], "")</f>
        <v>454.54545454545456</v>
      </c>
      <c r="N366" s="50">
        <f>IFERROR(Table1[[#This Row],[Running Time (hr)]]/Table1[Target Time (Hours)], "")</f>
        <v>0.90909090909090906</v>
      </c>
      <c r="O366" s="50">
        <f>IFERROR(Table1[[#This Row],[Actual Production (Kg)]]/Table1[Capacity (Kg)], "")</f>
        <v>0.16259999999999999</v>
      </c>
      <c r="P366" s="50">
        <f>IFERROR(Table1[[#This Row],[Quality Pass Production]]/Table1[[#This Row],[Actual Production (Kg)]], "")</f>
        <v>1</v>
      </c>
      <c r="Q366" s="50">
        <f>IFERROR(Table1[[#This Row],[Utilization %]]*Table1[[#This Row],[Efficiency %]]*Table1[[#This Row],[Quality %]], "")</f>
        <v>0.14781818181818182</v>
      </c>
      <c r="R366" s="48" t="s">
        <v>89</v>
      </c>
    </row>
    <row r="367" spans="1:18" x14ac:dyDescent="0.25">
      <c r="A367" s="47">
        <v>46142</v>
      </c>
      <c r="B367" s="48" t="s">
        <v>18</v>
      </c>
      <c r="C367" s="48" t="s">
        <v>22</v>
      </c>
      <c r="D367" s="48" t="s">
        <v>25</v>
      </c>
      <c r="E367" s="49">
        <v>4000</v>
      </c>
      <c r="F367" s="76">
        <v>9139</v>
      </c>
      <c r="G367" s="49">
        <v>0</v>
      </c>
      <c r="H367" s="50">
        <f>IFERROR(Table1[Re-process (Kg)]/Table1[Actual Production (Kg)], "")</f>
        <v>0</v>
      </c>
      <c r="I367" s="49">
        <f>IFERROR(Table1[[#This Row],[Actual Production (Kg)]]-Table1[[#This Row],[Re-process (Kg)]], "")</f>
        <v>9139</v>
      </c>
      <c r="J367" s="49"/>
      <c r="K367" s="72"/>
      <c r="L367" s="49" t="str">
        <f>IF(Table1[[#This Row],[Target Time (Hours)]]="","",Table1[[#This Row],[Target Time (Hours)]]-Table1[[#This Row],[Downtime (Hours)]])</f>
        <v/>
      </c>
      <c r="M367" s="49" t="str">
        <f>IFERROR(Table1[[#This Row],[Capacity (Kg)]]/Table1[[#This Row],[Target Time (Hours)]] * Table1[[#This Row],[Downtime (Hours)]], "")</f>
        <v/>
      </c>
      <c r="N367" s="50" t="str">
        <f>IFERROR(Table1[[#This Row],[Running Time (hr)]]/Table1[Target Time (Hours)], "")</f>
        <v/>
      </c>
      <c r="O367" s="50">
        <f>IFERROR(Table1[[#This Row],[Actual Production (Kg)]]/Table1[Capacity (Kg)], "")</f>
        <v>2.2847499999999998</v>
      </c>
      <c r="P367" s="50">
        <f>IFERROR(Table1[[#This Row],[Quality Pass Production]]/Table1[[#This Row],[Actual Production (Kg)]], "")</f>
        <v>1</v>
      </c>
      <c r="Q367" s="50" t="str">
        <f>IFERROR(Table1[[#This Row],[Utilization %]]*Table1[[#This Row],[Efficiency %]]*Table1[[#This Row],[Quality %]], "")</f>
        <v/>
      </c>
    </row>
    <row r="368" spans="1:18" x14ac:dyDescent="0.25">
      <c r="A368" s="47">
        <v>46142</v>
      </c>
      <c r="B368" s="48" t="s">
        <v>18</v>
      </c>
      <c r="C368" s="48" t="s">
        <v>26</v>
      </c>
      <c r="D368" s="48" t="s">
        <v>25</v>
      </c>
      <c r="E368" s="49">
        <v>7000</v>
      </c>
      <c r="F368" s="76">
        <v>7240</v>
      </c>
      <c r="G368" s="49">
        <v>0</v>
      </c>
      <c r="H368" s="50">
        <f>IFERROR(Table1[Re-process (Kg)]/Table1[Actual Production (Kg)], "")</f>
        <v>0</v>
      </c>
      <c r="I368" s="49">
        <f>IFERROR(Table1[[#This Row],[Actual Production (Kg)]]-Table1[[#This Row],[Re-process (Kg)]], "")</f>
        <v>7240</v>
      </c>
      <c r="J368" s="49">
        <v>22</v>
      </c>
      <c r="K368" s="72">
        <v>1</v>
      </c>
      <c r="L368" s="49">
        <f>IF(Table1[[#This Row],[Target Time (Hours)]]="","",Table1[[#This Row],[Target Time (Hours)]]-Table1[[#This Row],[Downtime (Hours)]])</f>
        <v>21</v>
      </c>
      <c r="M368" s="49">
        <f>IFERROR(Table1[[#This Row],[Capacity (Kg)]]/Table1[[#This Row],[Target Time (Hours)]] * Table1[[#This Row],[Downtime (Hours)]], "")</f>
        <v>318.18181818181819</v>
      </c>
      <c r="N368" s="50">
        <f>IFERROR(Table1[[#This Row],[Running Time (hr)]]/Table1[Target Time (Hours)], "")</f>
        <v>0.95454545454545459</v>
      </c>
      <c r="O368" s="50">
        <f>IFERROR(Table1[[#This Row],[Actual Production (Kg)]]/Table1[Capacity (Kg)], "")</f>
        <v>1.0342857142857143</v>
      </c>
      <c r="P368" s="50">
        <f>IFERROR(Table1[[#This Row],[Quality Pass Production]]/Table1[[#This Row],[Actual Production (Kg)]], "")</f>
        <v>1</v>
      </c>
      <c r="Q368" s="50">
        <f>IFERROR(Table1[[#This Row],[Utilization %]]*Table1[[#This Row],[Efficiency %]]*Table1[[#This Row],[Quality %]], "")</f>
        <v>0.9872727272727273</v>
      </c>
      <c r="R368" s="48" t="s">
        <v>89</v>
      </c>
    </row>
    <row r="369" spans="1:18" ht="30" customHeight="1" x14ac:dyDescent="0.25">
      <c r="A369" s="47">
        <v>46142</v>
      </c>
      <c r="B369" s="48" t="s">
        <v>18</v>
      </c>
      <c r="C369" s="48" t="s">
        <v>28</v>
      </c>
      <c r="D369" s="48" t="s">
        <v>29</v>
      </c>
      <c r="E369" s="49">
        <v>7800</v>
      </c>
      <c r="F369" s="76">
        <v>3353</v>
      </c>
      <c r="G369" s="49">
        <v>0</v>
      </c>
      <c r="H369" s="50">
        <f>IFERROR(Table1[Re-process (Kg)]/Table1[Actual Production (Kg)], "")</f>
        <v>0</v>
      </c>
      <c r="I369" s="49">
        <f>IFERROR(Table1[[#This Row],[Actual Production (Kg)]]-Table1[[#This Row],[Re-process (Kg)]], "")</f>
        <v>3353</v>
      </c>
      <c r="J369" s="49">
        <v>22</v>
      </c>
      <c r="K369" s="72">
        <v>2</v>
      </c>
      <c r="L369" s="49">
        <f>IF(Table1[[#This Row],[Target Time (Hours)]]="","",Table1[[#This Row],[Target Time (Hours)]]-Table1[[#This Row],[Downtime (Hours)]])</f>
        <v>20</v>
      </c>
      <c r="M369" s="49">
        <f>IFERROR(Table1[[#This Row],[Capacity (Kg)]]/Table1[[#This Row],[Target Time (Hours)]] * Table1[[#This Row],[Downtime (Hours)]], "")</f>
        <v>709.09090909090912</v>
      </c>
      <c r="N369" s="50">
        <f>IFERROR(Table1[[#This Row],[Running Time (hr)]]/Table1[Target Time (Hours)], "")</f>
        <v>0.90909090909090906</v>
      </c>
      <c r="O369" s="50">
        <f>IFERROR(Table1[[#This Row],[Actual Production (Kg)]]/Table1[Capacity (Kg)], "")</f>
        <v>0.42987179487179489</v>
      </c>
      <c r="P369" s="50">
        <f>IFERROR(Table1[[#This Row],[Quality Pass Production]]/Table1[[#This Row],[Actual Production (Kg)]], "")</f>
        <v>1</v>
      </c>
      <c r="Q369" s="50">
        <f>IFERROR(Table1[[#This Row],[Utilization %]]*Table1[[#This Row],[Efficiency %]]*Table1[[#This Row],[Quality %]], "")</f>
        <v>0.39079254079254078</v>
      </c>
      <c r="R369" s="48" t="s">
        <v>118</v>
      </c>
    </row>
    <row r="370" spans="1:18" ht="30" customHeight="1" x14ac:dyDescent="0.25">
      <c r="A370" s="47">
        <v>46142</v>
      </c>
      <c r="B370" s="48" t="s">
        <v>18</v>
      </c>
      <c r="C370" s="48" t="s">
        <v>30</v>
      </c>
      <c r="D370" s="48" t="s">
        <v>31</v>
      </c>
      <c r="E370" s="49">
        <v>9000</v>
      </c>
      <c r="F370" s="76">
        <v>7931</v>
      </c>
      <c r="G370" s="49">
        <v>0</v>
      </c>
      <c r="H370" s="50">
        <f>IFERROR(Table1[Re-process (Kg)]/Table1[Actual Production (Kg)], "")</f>
        <v>0</v>
      </c>
      <c r="I370" s="49">
        <f>IFERROR(Table1[[#This Row],[Actual Production (Kg)]]-Table1[[#This Row],[Re-process (Kg)]], "")</f>
        <v>7931</v>
      </c>
      <c r="J370" s="49">
        <v>22</v>
      </c>
      <c r="K370" s="72">
        <v>0</v>
      </c>
      <c r="L370" s="49">
        <f>IF(Table1[[#This Row],[Target Time (Hours)]]="","",Table1[[#This Row],[Target Time (Hours)]]-Table1[[#This Row],[Downtime (Hours)]])</f>
        <v>22</v>
      </c>
      <c r="M370" s="49">
        <f>IFERROR(Table1[[#This Row],[Capacity (Kg)]]/Table1[[#This Row],[Target Time (Hours)]] * Table1[[#This Row],[Downtime (Hours)]], "")</f>
        <v>0</v>
      </c>
      <c r="N370" s="50">
        <f>IFERROR(Table1[[#This Row],[Running Time (hr)]]/Table1[Target Time (Hours)], "")</f>
        <v>1</v>
      </c>
      <c r="O370" s="50">
        <f>IFERROR(Table1[[#This Row],[Actual Production (Kg)]]/Table1[Capacity (Kg)], "")</f>
        <v>0.88122222222222224</v>
      </c>
      <c r="P370" s="50">
        <f>IFERROR(Table1[[#This Row],[Quality Pass Production]]/Table1[[#This Row],[Actual Production (Kg)]], "")</f>
        <v>1</v>
      </c>
      <c r="Q370" s="50">
        <f>IFERROR(Table1[[#This Row],[Utilization %]]*Table1[[#This Row],[Efficiency %]]*Table1[[#This Row],[Quality %]], "")</f>
        <v>0.88122222222222224</v>
      </c>
      <c r="R370" s="48" t="s">
        <v>89</v>
      </c>
    </row>
    <row r="371" spans="1:18" ht="30" customHeight="1" x14ac:dyDescent="0.25">
      <c r="A371" s="26">
        <v>46142</v>
      </c>
      <c r="B371" s="27" t="s">
        <v>18</v>
      </c>
      <c r="C371" s="27" t="s">
        <v>32</v>
      </c>
      <c r="D371" s="27" t="s">
        <v>31</v>
      </c>
      <c r="E371" s="79">
        <f>Table1[[#This Row],[Actual Production (Kg)]]</f>
        <v>2129</v>
      </c>
      <c r="F371" s="79">
        <v>2129</v>
      </c>
      <c r="G371" s="79"/>
      <c r="H371" s="28"/>
      <c r="I371" s="79"/>
      <c r="J371" s="79"/>
      <c r="K371" s="27"/>
      <c r="L371" s="53" t="str">
        <f>IF(Table1[[#This Row],[Target Time (Hours)]]="","",Table1[[#This Row],[Target Time (Hours)]]-Table1[[#This Row],[Downtime (Hours)]])</f>
        <v/>
      </c>
      <c r="M371" s="79"/>
      <c r="N371" s="28"/>
      <c r="O371" s="28"/>
      <c r="P371" s="28"/>
      <c r="Q371" s="28"/>
      <c r="R371" s="27" t="s">
        <v>89</v>
      </c>
    </row>
    <row r="372" spans="1:18" ht="30" customHeight="1" x14ac:dyDescent="0.25">
      <c r="A372" s="47">
        <v>46142</v>
      </c>
      <c r="B372" s="48" t="s">
        <v>33</v>
      </c>
      <c r="C372" s="48" t="s">
        <v>34</v>
      </c>
      <c r="D372" s="48" t="s">
        <v>35</v>
      </c>
      <c r="E372" s="49">
        <v>9000</v>
      </c>
      <c r="F372" s="76">
        <v>6192</v>
      </c>
      <c r="G372" s="49">
        <v>0</v>
      </c>
      <c r="H372" s="50">
        <f>IFERROR(Table1[Re-process (Kg)]/Table1[Actual Production (Kg)], "")</f>
        <v>0</v>
      </c>
      <c r="I372" s="49">
        <f>IFERROR(Table1[[#This Row],[Actual Production (Kg)]]-Table1[[#This Row],[Re-process (Kg)]], "")</f>
        <v>6192</v>
      </c>
      <c r="J372" s="49">
        <v>22</v>
      </c>
      <c r="K372" s="72">
        <v>0</v>
      </c>
      <c r="L372" s="49">
        <f>IF(Table1[[#This Row],[Target Time (Hours)]]="","",Table1[[#This Row],[Target Time (Hours)]]-Table1[[#This Row],[Downtime (Hours)]])</f>
        <v>22</v>
      </c>
      <c r="M372" s="49">
        <f>IFERROR(Table1[[#This Row],[Capacity (Kg)]]/Table1[[#This Row],[Target Time (Hours)]] * Table1[[#This Row],[Downtime (Hours)]], "")</f>
        <v>0</v>
      </c>
      <c r="N372" s="50">
        <f>IFERROR(Table1[[#This Row],[Running Time (hr)]]/Table1[Target Time (Hours)], "")</f>
        <v>1</v>
      </c>
      <c r="O372" s="50">
        <f>IFERROR(Table1[[#This Row],[Actual Production (Kg)]]/Table1[Capacity (Kg)], "")</f>
        <v>0.68799999999999994</v>
      </c>
      <c r="P372" s="50">
        <f>IFERROR(Table1[[#This Row],[Quality Pass Production]]/Table1[[#This Row],[Actual Production (Kg)]], "")</f>
        <v>1</v>
      </c>
      <c r="Q372" s="50">
        <f>IFERROR(Table1[[#This Row],[Utilization %]]*Table1[[#This Row],[Efficiency %]]*Table1[[#This Row],[Quality %]], "")</f>
        <v>0.68799999999999994</v>
      </c>
      <c r="R372" s="48" t="s">
        <v>106</v>
      </c>
    </row>
    <row r="373" spans="1:18" ht="30" customHeight="1" x14ac:dyDescent="0.25">
      <c r="A373" s="47">
        <v>46142</v>
      </c>
      <c r="B373" s="48" t="s">
        <v>33</v>
      </c>
      <c r="C373" s="48" t="s">
        <v>36</v>
      </c>
      <c r="D373" s="48" t="s">
        <v>37</v>
      </c>
      <c r="E373" s="49">
        <v>8000</v>
      </c>
      <c r="F373" s="76">
        <v>6208</v>
      </c>
      <c r="G373" s="49">
        <v>0</v>
      </c>
      <c r="H373" s="50">
        <f>IFERROR(Table1[Re-process (Kg)]/Table1[Actual Production (Kg)], "")</f>
        <v>0</v>
      </c>
      <c r="I373" s="49">
        <f>IFERROR(Table1[[#This Row],[Actual Production (Kg)]]-Table1[[#This Row],[Re-process (Kg)]], "")</f>
        <v>6208</v>
      </c>
      <c r="J373" s="49">
        <v>22</v>
      </c>
      <c r="K373" s="72">
        <v>2</v>
      </c>
      <c r="L373" s="49">
        <f>IF(Table1[[#This Row],[Target Time (Hours)]]="","",Table1[[#This Row],[Target Time (Hours)]]-Table1[[#This Row],[Downtime (Hours)]])</f>
        <v>20</v>
      </c>
      <c r="M373" s="49">
        <f>IFERROR(Table1[[#This Row],[Capacity (Kg)]]/Table1[[#This Row],[Target Time (Hours)]] * Table1[[#This Row],[Downtime (Hours)]], "")</f>
        <v>727.27272727272725</v>
      </c>
      <c r="N373" s="50">
        <f>IFERROR(Table1[[#This Row],[Running Time (hr)]]/Table1[Target Time (Hours)], "")</f>
        <v>0.90909090909090906</v>
      </c>
      <c r="O373" s="50">
        <f>IFERROR(Table1[[#This Row],[Actual Production (Kg)]]/Table1[Capacity (Kg)], "")</f>
        <v>0.77600000000000002</v>
      </c>
      <c r="P373" s="50">
        <f>IFERROR(Table1[[#This Row],[Quality Pass Production]]/Table1[[#This Row],[Actual Production (Kg)]], "")</f>
        <v>1</v>
      </c>
      <c r="Q373" s="50">
        <f>IFERROR(Table1[[#This Row],[Utilization %]]*Table1[[#This Row],[Efficiency %]]*Table1[[#This Row],[Quality %]], "")</f>
        <v>0.70545454545454545</v>
      </c>
      <c r="R373" s="48" t="s">
        <v>119</v>
      </c>
    </row>
    <row r="374" spans="1:18" ht="30" customHeight="1" x14ac:dyDescent="0.25">
      <c r="A374" s="47">
        <v>46142</v>
      </c>
      <c r="B374" s="48" t="s">
        <v>33</v>
      </c>
      <c r="C374" s="48" t="s">
        <v>39</v>
      </c>
      <c r="D374" s="48" t="s">
        <v>31</v>
      </c>
      <c r="E374" s="49">
        <v>6000</v>
      </c>
      <c r="F374" s="76">
        <v>4085</v>
      </c>
      <c r="G374" s="49">
        <v>0</v>
      </c>
      <c r="H374" s="50">
        <f>IFERROR(Table1[Re-process (Kg)]/Table1[Actual Production (Kg)], "")</f>
        <v>0</v>
      </c>
      <c r="I374" s="49">
        <f>IFERROR(Table1[[#This Row],[Actual Production (Kg)]]-Table1[[#This Row],[Re-process (Kg)]], "")</f>
        <v>4085</v>
      </c>
      <c r="J374" s="49">
        <v>22</v>
      </c>
      <c r="K374" s="72">
        <v>0</v>
      </c>
      <c r="L374" s="49">
        <f>IF(Table1[[#This Row],[Target Time (Hours)]]="","",Table1[[#This Row],[Target Time (Hours)]]-Table1[[#This Row],[Downtime (Hours)]])</f>
        <v>22</v>
      </c>
      <c r="M374" s="49">
        <f>IFERROR(Table1[[#This Row],[Capacity (Kg)]]/Table1[[#This Row],[Target Time (Hours)]] * Table1[[#This Row],[Downtime (Hours)]], "")</f>
        <v>0</v>
      </c>
      <c r="N374" s="50">
        <f>IFERROR(Table1[[#This Row],[Running Time (hr)]]/Table1[Target Time (Hours)], "")</f>
        <v>1</v>
      </c>
      <c r="O374" s="50">
        <f>IFERROR(Table1[[#This Row],[Actual Production (Kg)]]/Table1[Capacity (Kg)], "")</f>
        <v>0.68083333333333329</v>
      </c>
      <c r="P374" s="50">
        <f>IFERROR(Table1[[#This Row],[Quality Pass Production]]/Table1[[#This Row],[Actual Production (Kg)]], "")</f>
        <v>1</v>
      </c>
      <c r="Q374" s="50">
        <f>IFERROR(Table1[[#This Row],[Utilization %]]*Table1[[#This Row],[Efficiency %]]*Table1[[#This Row],[Quality %]], "")</f>
        <v>0.68083333333333329</v>
      </c>
      <c r="R374" s="48" t="s">
        <v>106</v>
      </c>
    </row>
    <row r="375" spans="1:18" ht="45" customHeight="1" x14ac:dyDescent="0.25">
      <c r="A375" s="54">
        <v>46142</v>
      </c>
      <c r="B375" s="55" t="s">
        <v>33</v>
      </c>
      <c r="C375" s="55" t="s">
        <v>40</v>
      </c>
      <c r="D375" s="55" t="s">
        <v>31</v>
      </c>
      <c r="E375" s="56">
        <v>5000</v>
      </c>
      <c r="F375" s="56">
        <v>2648</v>
      </c>
      <c r="G375" s="56">
        <v>0</v>
      </c>
      <c r="H375" s="58">
        <f>IFERROR(Table1[Re-process (Kg)]/Table1[Actual Production (Kg)], "")</f>
        <v>0</v>
      </c>
      <c r="I375" s="56">
        <f>IFERROR(Table1[[#This Row],[Actual Production (Kg)]]-Table1[[#This Row],[Re-process (Kg)]], "")</f>
        <v>2648</v>
      </c>
      <c r="J375" s="56">
        <v>22</v>
      </c>
      <c r="K375" s="55">
        <v>0</v>
      </c>
      <c r="L375" s="56">
        <f>IF(Table1[[#This Row],[Target Time (Hours)]]="","",Table1[[#This Row],[Target Time (Hours)]]-Table1[[#This Row],[Downtime (Hours)]])</f>
        <v>22</v>
      </c>
      <c r="M375" s="56">
        <f>IFERROR(Table1[[#This Row],[Capacity (Kg)]]/Table1[[#This Row],[Target Time (Hours)]] * Table1[[#This Row],[Downtime (Hours)]], "")</f>
        <v>0</v>
      </c>
      <c r="N375" s="58">
        <f>IFERROR(Table1[[#This Row],[Running Time (hr)]]/Table1[Target Time (Hours)], "")</f>
        <v>1</v>
      </c>
      <c r="O375" s="58">
        <f>IFERROR(Table1[[#This Row],[Actual Production (Kg)]]/Table1[Capacity (Kg)], "")</f>
        <v>0.52959999999999996</v>
      </c>
      <c r="P375" s="58">
        <f>IFERROR(Table1[[#This Row],[Quality Pass Production]]/Table1[[#This Row],[Actual Production (Kg)]], "")</f>
        <v>1</v>
      </c>
      <c r="Q375" s="58">
        <f>IFERROR(Table1[[#This Row],[Utilization %]]*Table1[[#This Row],[Efficiency %]]*Table1[[#This Row],[Quality %]], "")</f>
        <v>0.52959999999999996</v>
      </c>
      <c r="R375" s="55" t="s">
        <v>117</v>
      </c>
    </row>
    <row r="376" spans="1:18" ht="30" customHeight="1" x14ac:dyDescent="0.25">
      <c r="A376" s="47">
        <v>46144</v>
      </c>
      <c r="B376" s="48" t="s">
        <v>18</v>
      </c>
      <c r="C376" s="48" t="s">
        <v>19</v>
      </c>
      <c r="D376" s="48" t="s">
        <v>20</v>
      </c>
      <c r="E376" s="49">
        <v>10000</v>
      </c>
      <c r="F376" s="76">
        <v>7105</v>
      </c>
      <c r="G376" s="49">
        <v>0</v>
      </c>
      <c r="H376" s="50">
        <f>IFERROR(Table1[Re-process (Kg)]/Table1[Actual Production (Kg)], "")</f>
        <v>0</v>
      </c>
      <c r="I376" s="49">
        <f>IFERROR(Table1[[#This Row],[Actual Production (Kg)]]-Table1[[#This Row],[Re-process (Kg)]], "")</f>
        <v>7105</v>
      </c>
      <c r="J376" s="49">
        <v>22</v>
      </c>
      <c r="K376" s="72">
        <v>3</v>
      </c>
      <c r="L376" s="49">
        <f>IF(Table1[[#This Row],[Target Time (Hours)]]="","",Table1[[#This Row],[Target Time (Hours)]]-Table1[[#This Row],[Downtime (Hours)]])</f>
        <v>19</v>
      </c>
      <c r="M376" s="49">
        <f>IFERROR(Table1[[#This Row],[Capacity (Kg)]]/Table1[[#This Row],[Target Time (Hours)]] * Table1[[#This Row],[Downtime (Hours)]], "")</f>
        <v>1363.6363636363637</v>
      </c>
      <c r="N376" s="50">
        <f>IFERROR(Table1[[#This Row],[Running Time (hr)]]/Table1[Target Time (Hours)], "")</f>
        <v>0.86363636363636365</v>
      </c>
      <c r="O376" s="50">
        <f>IFERROR(Table1[[#This Row],[Actual Production (Kg)]]/Table1[Capacity (Kg)], "")</f>
        <v>0.71050000000000002</v>
      </c>
      <c r="P376" s="50">
        <f>IFERROR(Table1[[#This Row],[Quality Pass Production]]/Table1[[#This Row],[Actual Production (Kg)]], "")</f>
        <v>1</v>
      </c>
      <c r="Q376" s="50">
        <f>IFERROR(Table1[[#This Row],[Utilization %]]*Table1[[#This Row],[Efficiency %]]*Table1[[#This Row],[Quality %]], "")</f>
        <v>0.61361363636363642</v>
      </c>
      <c r="R376" s="48" t="s">
        <v>120</v>
      </c>
    </row>
    <row r="377" spans="1:18" ht="30" customHeight="1" x14ac:dyDescent="0.25">
      <c r="A377" s="47">
        <v>46144</v>
      </c>
      <c r="B377" s="48" t="s">
        <v>18</v>
      </c>
      <c r="C377" s="48" t="s">
        <v>22</v>
      </c>
      <c r="D377" s="48" t="s">
        <v>23</v>
      </c>
      <c r="E377" s="49">
        <v>5000</v>
      </c>
      <c r="F377" s="76">
        <v>6424</v>
      </c>
      <c r="G377" s="49">
        <v>0</v>
      </c>
      <c r="H377" s="50">
        <f>IFERROR(Table1[Re-process (Kg)]/Table1[Actual Production (Kg)], "")</f>
        <v>0</v>
      </c>
      <c r="I377" s="49">
        <f>IFERROR(Table1[[#This Row],[Actual Production (Kg)]]-Table1[[#This Row],[Re-process (Kg)]], "")</f>
        <v>6424</v>
      </c>
      <c r="J377" s="49">
        <v>22</v>
      </c>
      <c r="K377" s="72">
        <v>3</v>
      </c>
      <c r="L377" s="49">
        <f>IF(Table1[[#This Row],[Target Time (Hours)]]="","",Table1[[#This Row],[Target Time (Hours)]]-Table1[[#This Row],[Downtime (Hours)]])</f>
        <v>19</v>
      </c>
      <c r="M377" s="49">
        <f>IFERROR(Table1[[#This Row],[Capacity (Kg)]]/Table1[[#This Row],[Target Time (Hours)]] * Table1[[#This Row],[Downtime (Hours)]], "")</f>
        <v>681.81818181818187</v>
      </c>
      <c r="N377" s="50">
        <f>IFERROR(Table1[[#This Row],[Running Time (hr)]]/Table1[Target Time (Hours)], "")</f>
        <v>0.86363636363636365</v>
      </c>
      <c r="O377" s="50">
        <f>IFERROR(Table1[[#This Row],[Actual Production (Kg)]]/Table1[Capacity (Kg)], "")</f>
        <v>1.2847999999999999</v>
      </c>
      <c r="P377" s="50">
        <f>IFERROR(Table1[[#This Row],[Quality Pass Production]]/Table1[[#This Row],[Actual Production (Kg)]], "")</f>
        <v>1</v>
      </c>
      <c r="Q377" s="50">
        <f>IFERROR(Table1[[#This Row],[Utilization %]]*Table1[[#This Row],[Efficiency %]]*Table1[[#This Row],[Quality %]], "")</f>
        <v>1.1095999999999999</v>
      </c>
      <c r="R377" s="48" t="s">
        <v>120</v>
      </c>
    </row>
    <row r="378" spans="1:18" x14ac:dyDescent="0.25">
      <c r="A378" s="47">
        <v>46144</v>
      </c>
      <c r="B378" s="48" t="s">
        <v>18</v>
      </c>
      <c r="C378" s="48" t="s">
        <v>22</v>
      </c>
      <c r="D378" s="48" t="s">
        <v>25</v>
      </c>
      <c r="E378" s="49">
        <v>4000</v>
      </c>
      <c r="F378" s="76">
        <v>0</v>
      </c>
      <c r="G378" s="49">
        <v>0</v>
      </c>
      <c r="H378" s="50" t="str">
        <f>IFERROR(Table1[Re-process (Kg)]/Table1[Actual Production (Kg)], "")</f>
        <v/>
      </c>
      <c r="I378" s="49">
        <f>IFERROR(Table1[[#This Row],[Actual Production (Kg)]]-Table1[[#This Row],[Re-process (Kg)]], "")</f>
        <v>0</v>
      </c>
      <c r="J378" s="49"/>
      <c r="K378" s="72">
        <v>0</v>
      </c>
      <c r="L378" s="49" t="str">
        <f>IF(Table1[[#This Row],[Target Time (Hours)]]="","",Table1[[#This Row],[Target Time (Hours)]]-Table1[[#This Row],[Downtime (Hours)]])</f>
        <v/>
      </c>
      <c r="M378" s="49" t="str">
        <f>IFERROR(Table1[[#This Row],[Capacity (Kg)]]/Table1[[#This Row],[Target Time (Hours)]] * Table1[[#This Row],[Downtime (Hours)]], "")</f>
        <v/>
      </c>
      <c r="N378" s="50" t="str">
        <f>IFERROR(Table1[[#This Row],[Running Time (hr)]]/Table1[Target Time (Hours)], "")</f>
        <v/>
      </c>
      <c r="O378" s="50">
        <f>IFERROR(Table1[[#This Row],[Actual Production (Kg)]]/Table1[Capacity (Kg)], "")</f>
        <v>0</v>
      </c>
      <c r="P378" s="50" t="str">
        <f>IFERROR(Table1[[#This Row],[Quality Pass Production]]/Table1[[#This Row],[Actual Production (Kg)]], "")</f>
        <v/>
      </c>
      <c r="Q378" s="50" t="str">
        <f>IFERROR(Table1[[#This Row],[Utilization %]]*Table1[[#This Row],[Efficiency %]]*Table1[[#This Row],[Quality %]], "")</f>
        <v/>
      </c>
    </row>
    <row r="379" spans="1:18" ht="30" customHeight="1" x14ac:dyDescent="0.25">
      <c r="A379" s="47">
        <v>46144</v>
      </c>
      <c r="B379" s="48" t="s">
        <v>18</v>
      </c>
      <c r="C379" s="48" t="s">
        <v>26</v>
      </c>
      <c r="D379" s="48" t="s">
        <v>25</v>
      </c>
      <c r="E379" s="49">
        <v>7000</v>
      </c>
      <c r="F379" s="76">
        <v>6264</v>
      </c>
      <c r="G379" s="49">
        <v>0</v>
      </c>
      <c r="H379" s="50">
        <f>IFERROR(Table1[Re-process (Kg)]/Table1[Actual Production (Kg)], "")</f>
        <v>0</v>
      </c>
      <c r="I379" s="49">
        <f>IFERROR(Table1[[#This Row],[Actual Production (Kg)]]-Table1[[#This Row],[Re-process (Kg)]], "")</f>
        <v>6264</v>
      </c>
      <c r="J379" s="49">
        <v>22</v>
      </c>
      <c r="K379" s="72">
        <v>3</v>
      </c>
      <c r="L379" s="49">
        <f>IF(Table1[[#This Row],[Target Time (Hours)]]="","",Table1[[#This Row],[Target Time (Hours)]]-Table1[[#This Row],[Downtime (Hours)]])</f>
        <v>19</v>
      </c>
      <c r="M379" s="49">
        <f>IFERROR(Table1[[#This Row],[Capacity (Kg)]]/Table1[[#This Row],[Target Time (Hours)]] * Table1[[#This Row],[Downtime (Hours)]], "")</f>
        <v>954.5454545454545</v>
      </c>
      <c r="N379" s="50">
        <f>IFERROR(Table1[[#This Row],[Running Time (hr)]]/Table1[Target Time (Hours)], "")</f>
        <v>0.86363636363636365</v>
      </c>
      <c r="O379" s="50">
        <f>IFERROR(Table1[[#This Row],[Actual Production (Kg)]]/Table1[Capacity (Kg)], "")</f>
        <v>0.89485714285714291</v>
      </c>
      <c r="P379" s="50">
        <f>IFERROR(Table1[[#This Row],[Quality Pass Production]]/Table1[[#This Row],[Actual Production (Kg)]], "")</f>
        <v>1</v>
      </c>
      <c r="Q379" s="50">
        <f>IFERROR(Table1[[#This Row],[Utilization %]]*Table1[[#This Row],[Efficiency %]]*Table1[[#This Row],[Quality %]], "")</f>
        <v>0.77283116883116887</v>
      </c>
      <c r="R379" s="48" t="s">
        <v>120</v>
      </c>
    </row>
    <row r="380" spans="1:18" ht="30" customHeight="1" x14ac:dyDescent="0.25">
      <c r="A380" s="47">
        <v>46144</v>
      </c>
      <c r="B380" s="48" t="s">
        <v>18</v>
      </c>
      <c r="C380" s="48" t="s">
        <v>28</v>
      </c>
      <c r="D380" s="48" t="s">
        <v>29</v>
      </c>
      <c r="E380" s="49">
        <v>7800</v>
      </c>
      <c r="F380" s="76">
        <v>6432</v>
      </c>
      <c r="G380" s="49">
        <v>0</v>
      </c>
      <c r="H380" s="50">
        <f>IFERROR(Table1[Re-process (Kg)]/Table1[Actual Production (Kg)], "")</f>
        <v>0</v>
      </c>
      <c r="I380" s="49">
        <f>IFERROR(Table1[[#This Row],[Actual Production (Kg)]]-Table1[[#This Row],[Re-process (Kg)]], "")</f>
        <v>6432</v>
      </c>
      <c r="J380" s="49">
        <v>22</v>
      </c>
      <c r="K380" s="72">
        <v>2</v>
      </c>
      <c r="L380" s="49">
        <f>IF(Table1[[#This Row],[Target Time (Hours)]]="","",Table1[[#This Row],[Target Time (Hours)]]-Table1[[#This Row],[Downtime (Hours)]])</f>
        <v>20</v>
      </c>
      <c r="M380" s="49">
        <f>IFERROR(Table1[[#This Row],[Capacity (Kg)]]/Table1[[#This Row],[Target Time (Hours)]] * Table1[[#This Row],[Downtime (Hours)]], "")</f>
        <v>709.09090909090912</v>
      </c>
      <c r="N380" s="50">
        <f>IFERROR(Table1[[#This Row],[Running Time (hr)]]/Table1[Target Time (Hours)], "")</f>
        <v>0.90909090909090906</v>
      </c>
      <c r="O380" s="50">
        <f>IFERROR(Table1[[#This Row],[Actual Production (Kg)]]/Table1[Capacity (Kg)], "")</f>
        <v>0.82461538461538464</v>
      </c>
      <c r="P380" s="50">
        <f>IFERROR(Table1[[#This Row],[Quality Pass Production]]/Table1[[#This Row],[Actual Production (Kg)]], "")</f>
        <v>1</v>
      </c>
      <c r="Q380" s="50">
        <f>IFERROR(Table1[[#This Row],[Utilization %]]*Table1[[#This Row],[Efficiency %]]*Table1[[#This Row],[Quality %]], "")</f>
        <v>0.7496503496503496</v>
      </c>
      <c r="R380" s="48" t="s">
        <v>121</v>
      </c>
    </row>
    <row r="381" spans="1:18" ht="30" customHeight="1" x14ac:dyDescent="0.25">
      <c r="A381" s="47">
        <v>46144</v>
      </c>
      <c r="B381" s="48" t="s">
        <v>18</v>
      </c>
      <c r="C381" s="48" t="s">
        <v>30</v>
      </c>
      <c r="D381" s="48" t="s">
        <v>31</v>
      </c>
      <c r="E381" s="49">
        <v>9000</v>
      </c>
      <c r="F381" s="76">
        <v>8790</v>
      </c>
      <c r="G381" s="49">
        <v>0</v>
      </c>
      <c r="H381" s="50">
        <f>IFERROR(Table1[Re-process (Kg)]/Table1[Actual Production (Kg)], "")</f>
        <v>0</v>
      </c>
      <c r="I381" s="49">
        <f>IFERROR(Table1[[#This Row],[Actual Production (Kg)]]-Table1[[#This Row],[Re-process (Kg)]], "")</f>
        <v>8790</v>
      </c>
      <c r="J381" s="49">
        <v>22</v>
      </c>
      <c r="K381" s="72">
        <v>1</v>
      </c>
      <c r="L381" s="49">
        <f>IF(Table1[[#This Row],[Target Time (Hours)]]="","",Table1[[#This Row],[Target Time (Hours)]]-Table1[[#This Row],[Downtime (Hours)]])</f>
        <v>21</v>
      </c>
      <c r="M381" s="49">
        <f>IFERROR(Table1[[#This Row],[Capacity (Kg)]]/Table1[[#This Row],[Target Time (Hours)]] * Table1[[#This Row],[Downtime (Hours)]], "")</f>
        <v>409.09090909090907</v>
      </c>
      <c r="N381" s="50">
        <f>IFERROR(Table1[[#This Row],[Running Time (hr)]]/Table1[Target Time (Hours)], "")</f>
        <v>0.95454545454545459</v>
      </c>
      <c r="O381" s="50">
        <f>IFERROR(Table1[[#This Row],[Actual Production (Kg)]]/Table1[Capacity (Kg)], "")</f>
        <v>0.97666666666666668</v>
      </c>
      <c r="P381" s="50">
        <f>IFERROR(Table1[[#This Row],[Quality Pass Production]]/Table1[[#This Row],[Actual Production (Kg)]], "")</f>
        <v>1</v>
      </c>
      <c r="Q381" s="50">
        <f>IFERROR(Table1[[#This Row],[Utilization %]]*Table1[[#This Row],[Efficiency %]]*Table1[[#This Row],[Quality %]], "")</f>
        <v>0.93227272727272736</v>
      </c>
      <c r="R381" s="48" t="s">
        <v>122</v>
      </c>
    </row>
    <row r="382" spans="1:18" ht="30" customHeight="1" x14ac:dyDescent="0.25">
      <c r="A382" s="26">
        <v>46144</v>
      </c>
      <c r="B382" s="27" t="s">
        <v>18</v>
      </c>
      <c r="C382" s="27" t="s">
        <v>32</v>
      </c>
      <c r="D382" s="27" t="s">
        <v>31</v>
      </c>
      <c r="E382" s="79">
        <f>Table1[[#This Row],[Actual Production (Kg)]]</f>
        <v>0</v>
      </c>
      <c r="F382" s="79">
        <v>0</v>
      </c>
      <c r="G382" s="79"/>
      <c r="H382" s="28"/>
      <c r="I382" s="79"/>
      <c r="J382" s="79"/>
      <c r="K382" s="27"/>
      <c r="L382" s="53" t="str">
        <f>IF(Table1[[#This Row],[Target Time (Hours)]]="","",Table1[[#This Row],[Target Time (Hours)]]-Table1[[#This Row],[Downtime (Hours)]])</f>
        <v/>
      </c>
      <c r="M382" s="79"/>
      <c r="N382" s="28"/>
      <c r="O382" s="28"/>
      <c r="P382" s="28"/>
      <c r="Q382" s="28"/>
      <c r="R382" s="27" t="s">
        <v>123</v>
      </c>
    </row>
    <row r="383" spans="1:18" ht="30" customHeight="1" x14ac:dyDescent="0.25">
      <c r="A383" s="47">
        <v>46144</v>
      </c>
      <c r="B383" s="48" t="s">
        <v>33</v>
      </c>
      <c r="C383" s="48" t="s">
        <v>34</v>
      </c>
      <c r="D383" s="48" t="s">
        <v>35</v>
      </c>
      <c r="E383" s="49">
        <v>9000</v>
      </c>
      <c r="F383" s="76">
        <v>6973</v>
      </c>
      <c r="G383" s="49">
        <v>0</v>
      </c>
      <c r="H383" s="50">
        <f>IFERROR(Table1[Re-process (Kg)]/Table1[Actual Production (Kg)], "")</f>
        <v>0</v>
      </c>
      <c r="I383" s="49">
        <f>IFERROR(Table1[[#This Row],[Actual Production (Kg)]]-Table1[[#This Row],[Re-process (Kg)]], "")</f>
        <v>6973</v>
      </c>
      <c r="J383" s="49">
        <v>22</v>
      </c>
      <c r="K383" s="72">
        <v>0</v>
      </c>
      <c r="L383" s="49">
        <f>IF(Table1[[#This Row],[Target Time (Hours)]]="","",Table1[[#This Row],[Target Time (Hours)]]-Table1[[#This Row],[Downtime (Hours)]])</f>
        <v>22</v>
      </c>
      <c r="M383" s="49">
        <f>IFERROR(Table1[[#This Row],[Capacity (Kg)]]/Table1[[#This Row],[Target Time (Hours)]] * Table1[[#This Row],[Downtime (Hours)]], "")</f>
        <v>0</v>
      </c>
      <c r="N383" s="50">
        <f>IFERROR(Table1[[#This Row],[Running Time (hr)]]/Table1[Target Time (Hours)], "")</f>
        <v>1</v>
      </c>
      <c r="O383" s="50">
        <f>IFERROR(Table1[[#This Row],[Actual Production (Kg)]]/Table1[Capacity (Kg)], "")</f>
        <v>0.77477777777777779</v>
      </c>
      <c r="P383" s="50">
        <f>IFERROR(Table1[[#This Row],[Quality Pass Production]]/Table1[[#This Row],[Actual Production (Kg)]], "")</f>
        <v>1</v>
      </c>
      <c r="Q383" s="50">
        <f>IFERROR(Table1[[#This Row],[Utilization %]]*Table1[[#This Row],[Efficiency %]]*Table1[[#This Row],[Quality %]], "")</f>
        <v>0.77477777777777779</v>
      </c>
      <c r="R383" s="48" t="s">
        <v>124</v>
      </c>
    </row>
    <row r="384" spans="1:18" ht="30" customHeight="1" x14ac:dyDescent="0.25">
      <c r="A384" s="47">
        <v>46144</v>
      </c>
      <c r="B384" s="48" t="s">
        <v>33</v>
      </c>
      <c r="C384" s="48" t="s">
        <v>36</v>
      </c>
      <c r="D384" s="48" t="s">
        <v>37</v>
      </c>
      <c r="E384" s="49">
        <v>8000</v>
      </c>
      <c r="F384" s="76">
        <v>6425</v>
      </c>
      <c r="G384" s="49">
        <v>0</v>
      </c>
      <c r="H384" s="50">
        <f>IFERROR(Table1[Re-process (Kg)]/Table1[Actual Production (Kg)], "")</f>
        <v>0</v>
      </c>
      <c r="I384" s="49">
        <f>IFERROR(Table1[[#This Row],[Actual Production (Kg)]]-Table1[[#This Row],[Re-process (Kg)]], "")</f>
        <v>6425</v>
      </c>
      <c r="J384" s="49">
        <v>22</v>
      </c>
      <c r="K384" s="72">
        <v>2</v>
      </c>
      <c r="L384" s="49">
        <f>IF(Table1[[#This Row],[Target Time (Hours)]]="","",Table1[[#This Row],[Target Time (Hours)]]-Table1[[#This Row],[Downtime (Hours)]])</f>
        <v>20</v>
      </c>
      <c r="M384" s="49">
        <f>IFERROR(Table1[[#This Row],[Capacity (Kg)]]/Table1[[#This Row],[Target Time (Hours)]] * Table1[[#This Row],[Downtime (Hours)]], "")</f>
        <v>727.27272727272725</v>
      </c>
      <c r="N384" s="50">
        <f>IFERROR(Table1[[#This Row],[Running Time (hr)]]/Table1[Target Time (Hours)], "")</f>
        <v>0.90909090909090906</v>
      </c>
      <c r="O384" s="50">
        <f>IFERROR(Table1[[#This Row],[Actual Production (Kg)]]/Table1[Capacity (Kg)], "")</f>
        <v>0.80312499999999998</v>
      </c>
      <c r="P384" s="50">
        <f>IFERROR(Table1[[#This Row],[Quality Pass Production]]/Table1[[#This Row],[Actual Production (Kg)]], "")</f>
        <v>1</v>
      </c>
      <c r="Q384" s="50">
        <f>IFERROR(Table1[[#This Row],[Utilization %]]*Table1[[#This Row],[Efficiency %]]*Table1[[#This Row],[Quality %]], "")</f>
        <v>0.73011363636363635</v>
      </c>
      <c r="R384" s="48" t="s">
        <v>125</v>
      </c>
    </row>
    <row r="385" spans="1:18" ht="30" customHeight="1" x14ac:dyDescent="0.25">
      <c r="A385" s="47">
        <v>46144</v>
      </c>
      <c r="B385" s="48" t="s">
        <v>33</v>
      </c>
      <c r="C385" s="48" t="s">
        <v>39</v>
      </c>
      <c r="D385" s="48" t="s">
        <v>31</v>
      </c>
      <c r="E385" s="49">
        <v>6000</v>
      </c>
      <c r="F385" s="76">
        <v>2683</v>
      </c>
      <c r="G385" s="49">
        <v>0</v>
      </c>
      <c r="H385" s="50">
        <f>IFERROR(Table1[Re-process (Kg)]/Table1[Actual Production (Kg)], "")</f>
        <v>0</v>
      </c>
      <c r="I385" s="49">
        <f>IFERROR(Table1[[#This Row],[Actual Production (Kg)]]-Table1[[#This Row],[Re-process (Kg)]], "")</f>
        <v>2683</v>
      </c>
      <c r="J385" s="49">
        <v>22</v>
      </c>
      <c r="K385" s="72">
        <v>0</v>
      </c>
      <c r="L385" s="49">
        <f>IF(Table1[[#This Row],[Target Time (Hours)]]="","",Table1[[#This Row],[Target Time (Hours)]]-Table1[[#This Row],[Downtime (Hours)]])</f>
        <v>22</v>
      </c>
      <c r="M385" s="49">
        <f>IFERROR(Table1[[#This Row],[Capacity (Kg)]]/Table1[[#This Row],[Target Time (Hours)]] * Table1[[#This Row],[Downtime (Hours)]], "")</f>
        <v>0</v>
      </c>
      <c r="N385" s="50">
        <f>IFERROR(Table1[[#This Row],[Running Time (hr)]]/Table1[Target Time (Hours)], "")</f>
        <v>1</v>
      </c>
      <c r="O385" s="50">
        <f>IFERROR(Table1[[#This Row],[Actual Production (Kg)]]/Table1[Capacity (Kg)], "")</f>
        <v>0.44716666666666666</v>
      </c>
      <c r="P385" s="50">
        <f>IFERROR(Table1[[#This Row],[Quality Pass Production]]/Table1[[#This Row],[Actual Production (Kg)]], "")</f>
        <v>1</v>
      </c>
      <c r="Q385" s="50">
        <f>IFERROR(Table1[[#This Row],[Utilization %]]*Table1[[#This Row],[Efficiency %]]*Table1[[#This Row],[Quality %]], "")</f>
        <v>0.44716666666666666</v>
      </c>
      <c r="R385" s="48" t="s">
        <v>124</v>
      </c>
    </row>
    <row r="386" spans="1:18" ht="45" customHeight="1" x14ac:dyDescent="0.25">
      <c r="A386" s="54">
        <v>46144</v>
      </c>
      <c r="B386" s="55" t="s">
        <v>33</v>
      </c>
      <c r="C386" s="55" t="s">
        <v>40</v>
      </c>
      <c r="D386" s="55" t="s">
        <v>31</v>
      </c>
      <c r="E386" s="56">
        <v>5000</v>
      </c>
      <c r="F386" s="56">
        <v>2489</v>
      </c>
      <c r="G386" s="56">
        <v>0</v>
      </c>
      <c r="H386" s="58">
        <f>IFERROR(Table1[Re-process (Kg)]/Table1[Actual Production (Kg)], "")</f>
        <v>0</v>
      </c>
      <c r="I386" s="56">
        <f>IFERROR(Table1[[#This Row],[Actual Production (Kg)]]-Table1[[#This Row],[Re-process (Kg)]], "")</f>
        <v>2489</v>
      </c>
      <c r="J386" s="56">
        <v>22</v>
      </c>
      <c r="K386" s="55">
        <v>0</v>
      </c>
      <c r="L386" s="56">
        <f>IF(Table1[[#This Row],[Target Time (Hours)]]="","",Table1[[#This Row],[Target Time (Hours)]]-Table1[[#This Row],[Downtime (Hours)]])</f>
        <v>22</v>
      </c>
      <c r="M386" s="56">
        <f>IFERROR(Table1[[#This Row],[Capacity (Kg)]]/Table1[[#This Row],[Target Time (Hours)]] * Table1[[#This Row],[Downtime (Hours)]], "")</f>
        <v>0</v>
      </c>
      <c r="N386" s="58">
        <f>IFERROR(Table1[[#This Row],[Running Time (hr)]]/Table1[Target Time (Hours)], "")</f>
        <v>1</v>
      </c>
      <c r="O386" s="58">
        <f>IFERROR(Table1[[#This Row],[Actual Production (Kg)]]/Table1[Capacity (Kg)], "")</f>
        <v>0.49780000000000002</v>
      </c>
      <c r="P386" s="58">
        <f>IFERROR(Table1[[#This Row],[Quality Pass Production]]/Table1[[#This Row],[Actual Production (Kg)]], "")</f>
        <v>1</v>
      </c>
      <c r="Q386" s="58">
        <f>IFERROR(Table1[[#This Row],[Utilization %]]*Table1[[#This Row],[Efficiency %]]*Table1[[#This Row],[Quality %]], "")</f>
        <v>0.49780000000000002</v>
      </c>
      <c r="R386" s="55" t="s">
        <v>126</v>
      </c>
    </row>
    <row r="387" spans="1:18" ht="30" customHeight="1" x14ac:dyDescent="0.25">
      <c r="A387" s="47">
        <v>46145</v>
      </c>
      <c r="B387" s="48" t="s">
        <v>18</v>
      </c>
      <c r="C387" s="48" t="s">
        <v>19</v>
      </c>
      <c r="D387" s="48" t="s">
        <v>20</v>
      </c>
      <c r="E387" s="49">
        <v>10000</v>
      </c>
      <c r="F387" s="76">
        <v>10733</v>
      </c>
      <c r="G387" s="49">
        <v>0</v>
      </c>
      <c r="H387" s="50">
        <f>IFERROR(Table1[Re-process (Kg)]/Table1[Actual Production (Kg)], "")</f>
        <v>0</v>
      </c>
      <c r="I387" s="49">
        <f>IFERROR(Table1[[#This Row],[Actual Production (Kg)]]-Table1[[#This Row],[Re-process (Kg)]], "")</f>
        <v>10733</v>
      </c>
      <c r="J387" s="49">
        <v>22</v>
      </c>
      <c r="K387" s="72">
        <v>0</v>
      </c>
      <c r="L387" s="49">
        <f>IF(Table1[[#This Row],[Target Time (Hours)]]="","",Table1[[#This Row],[Target Time (Hours)]]-Table1[[#This Row],[Downtime (Hours)]])</f>
        <v>22</v>
      </c>
      <c r="M387" s="49">
        <f>IFERROR(Table1[[#This Row],[Capacity (Kg)]]/Table1[[#This Row],[Target Time (Hours)]] * Table1[[#This Row],[Downtime (Hours)]], "")</f>
        <v>0</v>
      </c>
      <c r="N387" s="50">
        <f>IFERROR(Table1[[#This Row],[Running Time (hr)]]/Table1[Target Time (Hours)], "")</f>
        <v>1</v>
      </c>
      <c r="O387" s="50">
        <f>IFERROR(Table1[[#This Row],[Actual Production (Kg)]]/Table1[Capacity (Kg)], "")</f>
        <v>1.0732999999999999</v>
      </c>
      <c r="P387" s="50">
        <f>IFERROR(Table1[[#This Row],[Quality Pass Production]]/Table1[[#This Row],[Actual Production (Kg)]], "")</f>
        <v>1</v>
      </c>
      <c r="Q387" s="50">
        <f>IFERROR(Table1[[#This Row],[Utilization %]]*Table1[[#This Row],[Efficiency %]]*Table1[[#This Row],[Quality %]], "")</f>
        <v>1.0732999999999999</v>
      </c>
    </row>
    <row r="388" spans="1:18" ht="30" customHeight="1" x14ac:dyDescent="0.25">
      <c r="A388" s="47">
        <v>46145</v>
      </c>
      <c r="B388" s="48" t="s">
        <v>18</v>
      </c>
      <c r="C388" s="48" t="s">
        <v>22</v>
      </c>
      <c r="D388" s="48" t="s">
        <v>23</v>
      </c>
      <c r="E388" s="49">
        <v>5000</v>
      </c>
      <c r="F388" s="76">
        <v>1801</v>
      </c>
      <c r="G388" s="49">
        <v>0</v>
      </c>
      <c r="H388" s="50">
        <f>IFERROR(Table1[Re-process (Kg)]/Table1[Actual Production (Kg)], "")</f>
        <v>0</v>
      </c>
      <c r="I388" s="49">
        <f>IFERROR(Table1[[#This Row],[Actual Production (Kg)]]-Table1[[#This Row],[Re-process (Kg)]], "")</f>
        <v>1801</v>
      </c>
      <c r="J388" s="49">
        <v>22</v>
      </c>
      <c r="K388" s="72">
        <v>2</v>
      </c>
      <c r="L388" s="49">
        <f>IF(Table1[[#This Row],[Target Time (Hours)]]="","",Table1[[#This Row],[Target Time (Hours)]]-Table1[[#This Row],[Downtime (Hours)]])</f>
        <v>20</v>
      </c>
      <c r="M388" s="49">
        <f>IFERROR(Table1[[#This Row],[Capacity (Kg)]]/Table1[[#This Row],[Target Time (Hours)]] * Table1[[#This Row],[Downtime (Hours)]], "")</f>
        <v>454.54545454545456</v>
      </c>
      <c r="N388" s="50">
        <f>IFERROR(Table1[[#This Row],[Running Time (hr)]]/Table1[Target Time (Hours)], "")</f>
        <v>0.90909090909090906</v>
      </c>
      <c r="O388" s="50">
        <f>IFERROR(Table1[[#This Row],[Actual Production (Kg)]]/Table1[Capacity (Kg)], "")</f>
        <v>0.36020000000000002</v>
      </c>
      <c r="P388" s="50">
        <f>IFERROR(Table1[[#This Row],[Quality Pass Production]]/Table1[[#This Row],[Actual Production (Kg)]], "")</f>
        <v>1</v>
      </c>
      <c r="Q388" s="50">
        <f>IFERROR(Table1[[#This Row],[Utilization %]]*Table1[[#This Row],[Efficiency %]]*Table1[[#This Row],[Quality %]], "")</f>
        <v>0.32745454545454544</v>
      </c>
      <c r="R388" s="48" t="s">
        <v>127</v>
      </c>
    </row>
    <row r="389" spans="1:18" x14ac:dyDescent="0.25">
      <c r="A389" s="47">
        <v>46145</v>
      </c>
      <c r="B389" s="48" t="s">
        <v>18</v>
      </c>
      <c r="C389" s="48" t="s">
        <v>22</v>
      </c>
      <c r="D389" s="48" t="s">
        <v>25</v>
      </c>
      <c r="E389" s="49">
        <v>4000</v>
      </c>
      <c r="F389" s="76">
        <v>6151</v>
      </c>
      <c r="G389" s="49">
        <v>0</v>
      </c>
      <c r="H389" s="50">
        <f>IFERROR(Table1[Re-process (Kg)]/Table1[Actual Production (Kg)], "")</f>
        <v>0</v>
      </c>
      <c r="I389" s="49">
        <f>IFERROR(Table1[[#This Row],[Actual Production (Kg)]]-Table1[[#This Row],[Re-process (Kg)]], "")</f>
        <v>6151</v>
      </c>
      <c r="J389" s="49"/>
      <c r="K389" s="72"/>
      <c r="L389" s="49" t="str">
        <f>IF(Table1[[#This Row],[Target Time (Hours)]]="","",Table1[[#This Row],[Target Time (Hours)]]-Table1[[#This Row],[Downtime (Hours)]])</f>
        <v/>
      </c>
      <c r="M389" s="49" t="str">
        <f>IFERROR(Table1[[#This Row],[Capacity (Kg)]]/Table1[[#This Row],[Target Time (Hours)]] * Table1[[#This Row],[Downtime (Hours)]], "")</f>
        <v/>
      </c>
      <c r="N389" s="50" t="str">
        <f>IFERROR(Table1[[#This Row],[Running Time (hr)]]/Table1[Target Time (Hours)], "")</f>
        <v/>
      </c>
      <c r="O389" s="50">
        <f>IFERROR(Table1[[#This Row],[Actual Production (Kg)]]/Table1[Capacity (Kg)], "")</f>
        <v>1.53775</v>
      </c>
      <c r="P389" s="50">
        <f>IFERROR(Table1[[#This Row],[Quality Pass Production]]/Table1[[#This Row],[Actual Production (Kg)]], "")</f>
        <v>1</v>
      </c>
      <c r="Q389" s="50" t="str">
        <f>IFERROR(Table1[[#This Row],[Utilization %]]*Table1[[#This Row],[Efficiency %]]*Table1[[#This Row],[Quality %]], "")</f>
        <v/>
      </c>
    </row>
    <row r="390" spans="1:18" ht="30" customHeight="1" x14ac:dyDescent="0.25">
      <c r="A390" s="47">
        <v>46145</v>
      </c>
      <c r="B390" s="48" t="s">
        <v>18</v>
      </c>
      <c r="C390" s="48" t="s">
        <v>26</v>
      </c>
      <c r="D390" s="48" t="s">
        <v>25</v>
      </c>
      <c r="E390" s="49">
        <v>7000</v>
      </c>
      <c r="F390" s="76">
        <v>6722</v>
      </c>
      <c r="G390" s="49">
        <v>0</v>
      </c>
      <c r="H390" s="50">
        <f>IFERROR(Table1[Re-process (Kg)]/Table1[Actual Production (Kg)], "")</f>
        <v>0</v>
      </c>
      <c r="I390" s="49">
        <f>IFERROR(Table1[[#This Row],[Actual Production (Kg)]]-Table1[[#This Row],[Re-process (Kg)]], "")</f>
        <v>6722</v>
      </c>
      <c r="J390" s="49">
        <v>22</v>
      </c>
      <c r="K390" s="72">
        <v>1</v>
      </c>
      <c r="L390" s="49">
        <f>IF(Table1[[#This Row],[Target Time (Hours)]]="","",Table1[[#This Row],[Target Time (Hours)]]-Table1[[#This Row],[Downtime (Hours)]])</f>
        <v>21</v>
      </c>
      <c r="M390" s="49">
        <f>IFERROR(Table1[[#This Row],[Capacity (Kg)]]/Table1[[#This Row],[Target Time (Hours)]] * Table1[[#This Row],[Downtime (Hours)]], "")</f>
        <v>318.18181818181819</v>
      </c>
      <c r="N390" s="50">
        <f>IFERROR(Table1[[#This Row],[Running Time (hr)]]/Table1[Target Time (Hours)], "")</f>
        <v>0.95454545454545459</v>
      </c>
      <c r="O390" s="50">
        <f>IFERROR(Table1[[#This Row],[Actual Production (Kg)]]/Table1[Capacity (Kg)], "")</f>
        <v>0.9602857142857143</v>
      </c>
      <c r="P390" s="50">
        <f>IFERROR(Table1[[#This Row],[Quality Pass Production]]/Table1[[#This Row],[Actual Production (Kg)]], "")</f>
        <v>1</v>
      </c>
      <c r="Q390" s="50">
        <f>IFERROR(Table1[[#This Row],[Utilization %]]*Table1[[#This Row],[Efficiency %]]*Table1[[#This Row],[Quality %]], "")</f>
        <v>0.91663636363636369</v>
      </c>
      <c r="R390" s="48" t="s">
        <v>128</v>
      </c>
    </row>
    <row r="391" spans="1:18" ht="30" customHeight="1" x14ac:dyDescent="0.25">
      <c r="A391" s="47">
        <v>46145</v>
      </c>
      <c r="B391" s="48" t="s">
        <v>18</v>
      </c>
      <c r="C391" s="48" t="s">
        <v>28</v>
      </c>
      <c r="D391" s="48" t="s">
        <v>29</v>
      </c>
      <c r="E391" s="49">
        <v>7800</v>
      </c>
      <c r="F391" s="76">
        <v>3990</v>
      </c>
      <c r="G391" s="49">
        <v>0</v>
      </c>
      <c r="H391" s="50">
        <f>IFERROR(Table1[Re-process (Kg)]/Table1[Actual Production (Kg)], "")</f>
        <v>0</v>
      </c>
      <c r="I391" s="49">
        <f>IFERROR(Table1[[#This Row],[Actual Production (Kg)]]-Table1[[#This Row],[Re-process (Kg)]], "")</f>
        <v>3990</v>
      </c>
      <c r="J391" s="49">
        <v>22</v>
      </c>
      <c r="K391" s="72">
        <v>7</v>
      </c>
      <c r="L391" s="49">
        <f>IF(Table1[[#This Row],[Target Time (Hours)]]="","",Table1[[#This Row],[Target Time (Hours)]]-Table1[[#This Row],[Downtime (Hours)]])</f>
        <v>15</v>
      </c>
      <c r="M391" s="49">
        <f>IFERROR(Table1[[#This Row],[Capacity (Kg)]]/Table1[[#This Row],[Target Time (Hours)]] * Table1[[#This Row],[Downtime (Hours)]], "")</f>
        <v>2481.818181818182</v>
      </c>
      <c r="N391" s="50">
        <f>IFERROR(Table1[[#This Row],[Running Time (hr)]]/Table1[Target Time (Hours)], "")</f>
        <v>0.68181818181818177</v>
      </c>
      <c r="O391" s="50">
        <f>IFERROR(Table1[[#This Row],[Actual Production (Kg)]]/Table1[Capacity (Kg)], "")</f>
        <v>0.5115384615384615</v>
      </c>
      <c r="P391" s="50">
        <f>IFERROR(Table1[[#This Row],[Quality Pass Production]]/Table1[[#This Row],[Actual Production (Kg)]], "")</f>
        <v>1</v>
      </c>
      <c r="Q391" s="50">
        <f>IFERROR(Table1[[#This Row],[Utilization %]]*Table1[[#This Row],[Efficiency %]]*Table1[[#This Row],[Quality %]], "")</f>
        <v>0.34877622377622375</v>
      </c>
      <c r="R391" s="48" t="s">
        <v>129</v>
      </c>
    </row>
    <row r="392" spans="1:18" ht="30" customHeight="1" x14ac:dyDescent="0.25">
      <c r="A392" s="47">
        <v>46145</v>
      </c>
      <c r="B392" s="48" t="s">
        <v>18</v>
      </c>
      <c r="C392" s="48" t="s">
        <v>30</v>
      </c>
      <c r="D392" s="48" t="s">
        <v>31</v>
      </c>
      <c r="E392" s="49">
        <v>9000</v>
      </c>
      <c r="F392" s="76">
        <v>8444</v>
      </c>
      <c r="G392" s="49">
        <v>0</v>
      </c>
      <c r="H392" s="50">
        <f>IFERROR(Table1[Re-process (Kg)]/Table1[Actual Production (Kg)], "")</f>
        <v>0</v>
      </c>
      <c r="I392" s="49">
        <f>IFERROR(Table1[[#This Row],[Actual Production (Kg)]]-Table1[[#This Row],[Re-process (Kg)]], "")</f>
        <v>8444</v>
      </c>
      <c r="J392" s="49">
        <v>22</v>
      </c>
      <c r="K392" s="72">
        <v>0</v>
      </c>
      <c r="L392" s="49">
        <f>IF(Table1[[#This Row],[Target Time (Hours)]]="","",Table1[[#This Row],[Target Time (Hours)]]-Table1[[#This Row],[Downtime (Hours)]])</f>
        <v>22</v>
      </c>
      <c r="M392" s="49">
        <f>IFERROR(Table1[[#This Row],[Capacity (Kg)]]/Table1[[#This Row],[Target Time (Hours)]] * Table1[[#This Row],[Downtime (Hours)]], "")</f>
        <v>0</v>
      </c>
      <c r="N392" s="50">
        <f>IFERROR(Table1[[#This Row],[Running Time (hr)]]/Table1[Target Time (Hours)], "")</f>
        <v>1</v>
      </c>
      <c r="O392" s="50">
        <f>IFERROR(Table1[[#This Row],[Actual Production (Kg)]]/Table1[Capacity (Kg)], "")</f>
        <v>0.93822222222222218</v>
      </c>
      <c r="P392" s="50">
        <f>IFERROR(Table1[[#This Row],[Quality Pass Production]]/Table1[[#This Row],[Actual Production (Kg)]], "")</f>
        <v>1</v>
      </c>
      <c r="Q392" s="50">
        <f>IFERROR(Table1[[#This Row],[Utilization %]]*Table1[[#This Row],[Efficiency %]]*Table1[[#This Row],[Quality %]], "")</f>
        <v>0.93822222222222218</v>
      </c>
    </row>
    <row r="393" spans="1:18" ht="30" customHeight="1" x14ac:dyDescent="0.25">
      <c r="A393" s="26">
        <v>46145</v>
      </c>
      <c r="B393" s="27" t="s">
        <v>18</v>
      </c>
      <c r="C393" s="27" t="s">
        <v>32</v>
      </c>
      <c r="D393" s="27" t="s">
        <v>31</v>
      </c>
      <c r="E393" s="79">
        <f>Table1[[#This Row],[Actual Production (Kg)]]</f>
        <v>2433</v>
      </c>
      <c r="F393" s="79">
        <v>2433</v>
      </c>
      <c r="G393" s="79"/>
      <c r="H393" s="28"/>
      <c r="I393" s="79"/>
      <c r="J393" s="79"/>
      <c r="K393" s="27"/>
      <c r="L393" s="53" t="str">
        <f>IF(Table1[[#This Row],[Target Time (Hours)]]="","",Table1[[#This Row],[Target Time (Hours)]]-Table1[[#This Row],[Downtime (Hours)]])</f>
        <v/>
      </c>
      <c r="M393" s="79"/>
      <c r="N393" s="28"/>
      <c r="O393" s="28"/>
      <c r="P393" s="28"/>
      <c r="Q393" s="28"/>
      <c r="R393" s="27"/>
    </row>
    <row r="394" spans="1:18" ht="30" customHeight="1" x14ac:dyDescent="0.25">
      <c r="A394" s="47">
        <v>46145</v>
      </c>
      <c r="B394" s="48" t="s">
        <v>33</v>
      </c>
      <c r="C394" s="48" t="s">
        <v>34</v>
      </c>
      <c r="D394" s="48" t="s">
        <v>35</v>
      </c>
      <c r="E394" s="49">
        <v>9000</v>
      </c>
      <c r="F394" s="76">
        <v>4766</v>
      </c>
      <c r="G394" s="49">
        <v>0</v>
      </c>
      <c r="H394" s="50">
        <f>IFERROR(Table1[Re-process (Kg)]/Table1[Actual Production (Kg)], "")</f>
        <v>0</v>
      </c>
      <c r="I394" s="49">
        <f>IFERROR(Table1[[#This Row],[Actual Production (Kg)]]-Table1[[#This Row],[Re-process (Kg)]], "")</f>
        <v>4766</v>
      </c>
      <c r="J394" s="49">
        <v>22</v>
      </c>
      <c r="K394" s="72">
        <v>0</v>
      </c>
      <c r="L394" s="49">
        <f>IF(Table1[[#This Row],[Target Time (Hours)]]="","",Table1[[#This Row],[Target Time (Hours)]]-Table1[[#This Row],[Downtime (Hours)]])</f>
        <v>22</v>
      </c>
      <c r="M394" s="49">
        <f>IFERROR(Table1[[#This Row],[Capacity (Kg)]]/Table1[[#This Row],[Target Time (Hours)]] * Table1[[#This Row],[Downtime (Hours)]], "")</f>
        <v>0</v>
      </c>
      <c r="N394" s="50">
        <f>IFERROR(Table1[[#This Row],[Running Time (hr)]]/Table1[Target Time (Hours)], "")</f>
        <v>1</v>
      </c>
      <c r="O394" s="50">
        <f>IFERROR(Table1[[#This Row],[Actual Production (Kg)]]/Table1[Capacity (Kg)], "")</f>
        <v>0.52955555555555556</v>
      </c>
      <c r="P394" s="50">
        <f>IFERROR(Table1[[#This Row],[Quality Pass Production]]/Table1[[#This Row],[Actual Production (Kg)]], "")</f>
        <v>1</v>
      </c>
      <c r="Q394" s="50">
        <f>IFERROR(Table1[[#This Row],[Utilization %]]*Table1[[#This Row],[Efficiency %]]*Table1[[#This Row],[Quality %]], "")</f>
        <v>0.52955555555555556</v>
      </c>
      <c r="R394" s="48" t="s">
        <v>124</v>
      </c>
    </row>
    <row r="395" spans="1:18" ht="60" customHeight="1" x14ac:dyDescent="0.25">
      <c r="A395" s="47">
        <v>46145</v>
      </c>
      <c r="B395" s="48" t="s">
        <v>33</v>
      </c>
      <c r="C395" s="48" t="s">
        <v>36</v>
      </c>
      <c r="D395" s="48" t="s">
        <v>37</v>
      </c>
      <c r="E395" s="49">
        <v>8000</v>
      </c>
      <c r="F395" s="76">
        <v>3862</v>
      </c>
      <c r="G395" s="49">
        <v>0</v>
      </c>
      <c r="H395" s="50">
        <f>IFERROR(Table1[Re-process (Kg)]/Table1[Actual Production (Kg)], "")</f>
        <v>0</v>
      </c>
      <c r="I395" s="49">
        <f>IFERROR(Table1[[#This Row],[Actual Production (Kg)]]-Table1[[#This Row],[Re-process (Kg)]], "")</f>
        <v>3862</v>
      </c>
      <c r="J395" s="49">
        <v>22</v>
      </c>
      <c r="K395" s="72">
        <v>11</v>
      </c>
      <c r="L395" s="49">
        <f>IF(Table1[[#This Row],[Target Time (Hours)]]="","",Table1[[#This Row],[Target Time (Hours)]]-Table1[[#This Row],[Downtime (Hours)]])</f>
        <v>11</v>
      </c>
      <c r="M395" s="49">
        <f>IFERROR(Table1[[#This Row],[Capacity (Kg)]]/Table1[[#This Row],[Target Time (Hours)]] * Table1[[#This Row],[Downtime (Hours)]], "")</f>
        <v>4000</v>
      </c>
      <c r="N395" s="50">
        <f>IFERROR(Table1[[#This Row],[Running Time (hr)]]/Table1[Target Time (Hours)], "")</f>
        <v>0.5</v>
      </c>
      <c r="O395" s="50">
        <f>IFERROR(Table1[[#This Row],[Actual Production (Kg)]]/Table1[Capacity (Kg)], "")</f>
        <v>0.48275000000000001</v>
      </c>
      <c r="P395" s="50">
        <f>IFERROR(Table1[[#This Row],[Quality Pass Production]]/Table1[[#This Row],[Actual Production (Kg)]], "")</f>
        <v>1</v>
      </c>
      <c r="Q395" s="50">
        <f>IFERROR(Table1[[#This Row],[Utilization %]]*Table1[[#This Row],[Efficiency %]]*Table1[[#This Row],[Quality %]], "")</f>
        <v>0.24137500000000001</v>
      </c>
      <c r="R395" s="48" t="s">
        <v>130</v>
      </c>
    </row>
    <row r="396" spans="1:18" ht="30" customHeight="1" x14ac:dyDescent="0.25">
      <c r="A396" s="47">
        <v>46145</v>
      </c>
      <c r="B396" s="48" t="s">
        <v>33</v>
      </c>
      <c r="C396" s="48" t="s">
        <v>39</v>
      </c>
      <c r="D396" s="48" t="s">
        <v>31</v>
      </c>
      <c r="E396" s="49">
        <v>6000</v>
      </c>
      <c r="F396" s="76">
        <v>3187</v>
      </c>
      <c r="G396" s="49">
        <v>0</v>
      </c>
      <c r="H396" s="50">
        <f>IFERROR(Table1[Re-process (Kg)]/Table1[Actual Production (Kg)], "")</f>
        <v>0</v>
      </c>
      <c r="I396" s="49">
        <f>IFERROR(Table1[[#This Row],[Actual Production (Kg)]]-Table1[[#This Row],[Re-process (Kg)]], "")</f>
        <v>3187</v>
      </c>
      <c r="J396" s="49">
        <v>22</v>
      </c>
      <c r="K396" s="72">
        <v>0</v>
      </c>
      <c r="L396" s="49">
        <f>IF(Table1[[#This Row],[Target Time (Hours)]]="","",Table1[[#This Row],[Target Time (Hours)]]-Table1[[#This Row],[Downtime (Hours)]])</f>
        <v>22</v>
      </c>
      <c r="M396" s="49">
        <f>IFERROR(Table1[[#This Row],[Capacity (Kg)]]/Table1[[#This Row],[Target Time (Hours)]] * Table1[[#This Row],[Downtime (Hours)]], "")</f>
        <v>0</v>
      </c>
      <c r="N396" s="50">
        <f>IFERROR(Table1[[#This Row],[Running Time (hr)]]/Table1[Target Time (Hours)], "")</f>
        <v>1</v>
      </c>
      <c r="O396" s="50">
        <f>IFERROR(Table1[[#This Row],[Actual Production (Kg)]]/Table1[Capacity (Kg)], "")</f>
        <v>0.53116666666666668</v>
      </c>
      <c r="P396" s="50">
        <f>IFERROR(Table1[[#This Row],[Quality Pass Production]]/Table1[[#This Row],[Actual Production (Kg)]], "")</f>
        <v>1</v>
      </c>
      <c r="Q396" s="50">
        <f>IFERROR(Table1[[#This Row],[Utilization %]]*Table1[[#This Row],[Efficiency %]]*Table1[[#This Row],[Quality %]], "")</f>
        <v>0.53116666666666668</v>
      </c>
      <c r="R396" s="48" t="s">
        <v>124</v>
      </c>
    </row>
    <row r="397" spans="1:18" ht="45" customHeight="1" x14ac:dyDescent="0.25">
      <c r="A397" s="54">
        <v>46145</v>
      </c>
      <c r="B397" s="55" t="s">
        <v>33</v>
      </c>
      <c r="C397" s="55" t="s">
        <v>40</v>
      </c>
      <c r="D397" s="55" t="s">
        <v>31</v>
      </c>
      <c r="E397" s="56">
        <v>5000</v>
      </c>
      <c r="F397" s="56">
        <v>1376</v>
      </c>
      <c r="G397" s="56">
        <v>0</v>
      </c>
      <c r="H397" s="58">
        <f>IFERROR(Table1[Re-process (Kg)]/Table1[Actual Production (Kg)], "")</f>
        <v>0</v>
      </c>
      <c r="I397" s="56">
        <f>IFERROR(Table1[[#This Row],[Actual Production (Kg)]]-Table1[[#This Row],[Re-process (Kg)]], "")</f>
        <v>1376</v>
      </c>
      <c r="J397" s="56">
        <v>22</v>
      </c>
      <c r="K397" s="55">
        <v>0</v>
      </c>
      <c r="L397" s="56">
        <f>IF(Table1[[#This Row],[Target Time (Hours)]]="","",Table1[[#This Row],[Target Time (Hours)]]-Table1[[#This Row],[Downtime (Hours)]])</f>
        <v>22</v>
      </c>
      <c r="M397" s="56">
        <f>IFERROR(Table1[[#This Row],[Capacity (Kg)]]/Table1[[#This Row],[Target Time (Hours)]] * Table1[[#This Row],[Downtime (Hours)]], "")</f>
        <v>0</v>
      </c>
      <c r="N397" s="58">
        <f>IFERROR(Table1[[#This Row],[Running Time (hr)]]/Table1[Target Time (Hours)], "")</f>
        <v>1</v>
      </c>
      <c r="O397" s="58">
        <f>IFERROR(Table1[[#This Row],[Actual Production (Kg)]]/Table1[Capacity (Kg)], "")</f>
        <v>0.2752</v>
      </c>
      <c r="P397" s="58">
        <f>IFERROR(Table1[[#This Row],[Quality Pass Production]]/Table1[[#This Row],[Actual Production (Kg)]], "")</f>
        <v>1</v>
      </c>
      <c r="Q397" s="58">
        <f>IFERROR(Table1[[#This Row],[Utilization %]]*Table1[[#This Row],[Efficiency %]]*Table1[[#This Row],[Quality %]], "")</f>
        <v>0.2752</v>
      </c>
      <c r="R397" s="55" t="s">
        <v>131</v>
      </c>
    </row>
    <row r="398" spans="1:18" ht="30" customHeight="1" x14ac:dyDescent="0.25">
      <c r="A398" s="47">
        <v>46146</v>
      </c>
      <c r="B398" s="48" t="s">
        <v>18</v>
      </c>
      <c r="C398" s="48" t="s">
        <v>19</v>
      </c>
      <c r="D398" s="48" t="s">
        <v>20</v>
      </c>
      <c r="E398" s="49">
        <v>10000</v>
      </c>
      <c r="F398" s="76">
        <v>8738</v>
      </c>
      <c r="G398" s="49">
        <v>0</v>
      </c>
      <c r="H398" s="50">
        <f>IFERROR(Table1[Re-process (Kg)]/Table1[Actual Production (Kg)], "")</f>
        <v>0</v>
      </c>
      <c r="I398" s="49">
        <f>IFERROR(Table1[[#This Row],[Actual Production (Kg)]]-Table1[[#This Row],[Re-process (Kg)]], "")</f>
        <v>8738</v>
      </c>
      <c r="J398" s="49">
        <v>22</v>
      </c>
      <c r="K398" s="72">
        <v>0</v>
      </c>
      <c r="L398" s="49">
        <f>IF(Table1[[#This Row],[Target Time (Hours)]]="","",Table1[[#This Row],[Target Time (Hours)]]-Table1[[#This Row],[Downtime (Hours)]])</f>
        <v>22</v>
      </c>
      <c r="M398" s="49">
        <f>IFERROR(Table1[[#This Row],[Capacity (Kg)]]/Table1[[#This Row],[Target Time (Hours)]] * Table1[[#This Row],[Downtime (Hours)]], "")</f>
        <v>0</v>
      </c>
      <c r="N398" s="50">
        <f>IFERROR(Table1[[#This Row],[Running Time (hr)]]/Table1[Target Time (Hours)], "")</f>
        <v>1</v>
      </c>
      <c r="O398" s="50">
        <f>IFERROR(Table1[[#This Row],[Actual Production (Kg)]]/Table1[Capacity (Kg)], "")</f>
        <v>0.87380000000000002</v>
      </c>
      <c r="P398" s="50">
        <f>IFERROR(Table1[[#This Row],[Quality Pass Production]]/Table1[[#This Row],[Actual Production (Kg)]], "")</f>
        <v>1</v>
      </c>
      <c r="Q398" s="50">
        <f>IFERROR(Table1[[#This Row],[Utilization %]]*Table1[[#This Row],[Efficiency %]]*Table1[[#This Row],[Quality %]], "")</f>
        <v>0.87380000000000002</v>
      </c>
    </row>
    <row r="399" spans="1:18" x14ac:dyDescent="0.25">
      <c r="A399" s="47">
        <v>46146</v>
      </c>
      <c r="B399" s="48" t="s">
        <v>18</v>
      </c>
      <c r="C399" s="48" t="s">
        <v>22</v>
      </c>
      <c r="D399" s="48" t="s">
        <v>23</v>
      </c>
      <c r="E399" s="49">
        <v>5000</v>
      </c>
      <c r="F399" s="76">
        <v>6324</v>
      </c>
      <c r="G399" s="49">
        <v>0</v>
      </c>
      <c r="H399" s="50">
        <f>IFERROR(Table1[Re-process (Kg)]/Table1[Actual Production (Kg)], "")</f>
        <v>0</v>
      </c>
      <c r="I399" s="49">
        <f>IFERROR(Table1[[#This Row],[Actual Production (Kg)]]-Table1[[#This Row],[Re-process (Kg)]], "")</f>
        <v>6324</v>
      </c>
      <c r="J399" s="49"/>
      <c r="K399" s="72">
        <v>0</v>
      </c>
      <c r="L399" s="49" t="str">
        <f>IF(Table1[[#This Row],[Target Time (Hours)]]="","",Table1[[#This Row],[Target Time (Hours)]]-Table1[[#This Row],[Downtime (Hours)]])</f>
        <v/>
      </c>
      <c r="M399" s="49" t="str">
        <f>IFERROR(Table1[[#This Row],[Capacity (Kg)]]/Table1[[#This Row],[Target Time (Hours)]] * Table1[[#This Row],[Downtime (Hours)]], "")</f>
        <v/>
      </c>
      <c r="N399" s="50" t="str">
        <f>IFERROR(Table1[[#This Row],[Running Time (hr)]]/Table1[Target Time (Hours)], "")</f>
        <v/>
      </c>
      <c r="O399" s="50">
        <f>IFERROR(Table1[[#This Row],[Actual Production (Kg)]]/Table1[Capacity (Kg)], "")</f>
        <v>1.2647999999999999</v>
      </c>
      <c r="P399" s="50">
        <f>IFERROR(Table1[[#This Row],[Quality Pass Production]]/Table1[[#This Row],[Actual Production (Kg)]], "")</f>
        <v>1</v>
      </c>
      <c r="Q399" s="50" t="str">
        <f>IFERROR(Table1[[#This Row],[Utilization %]]*Table1[[#This Row],[Efficiency %]]*Table1[[#This Row],[Quality %]], "")</f>
        <v/>
      </c>
    </row>
    <row r="400" spans="1:18" ht="30" customHeight="1" x14ac:dyDescent="0.25">
      <c r="A400" s="47">
        <v>46146</v>
      </c>
      <c r="B400" s="48" t="s">
        <v>18</v>
      </c>
      <c r="C400" s="48" t="s">
        <v>22</v>
      </c>
      <c r="D400" s="48" t="s">
        <v>25</v>
      </c>
      <c r="E400" s="49">
        <v>4000</v>
      </c>
      <c r="F400" s="76"/>
      <c r="G400" s="49">
        <v>0</v>
      </c>
      <c r="H400" s="50" t="str">
        <f>IFERROR(Table1[Re-process (Kg)]/Table1[Actual Production (Kg)], "")</f>
        <v/>
      </c>
      <c r="I400" s="49">
        <f>IFERROR(Table1[[#This Row],[Actual Production (Kg)]]-Table1[[#This Row],[Re-process (Kg)]], "")</f>
        <v>0</v>
      </c>
      <c r="J400" s="49">
        <v>22</v>
      </c>
      <c r="K400" s="72">
        <v>2</v>
      </c>
      <c r="L400" s="49">
        <f>IF(Table1[[#This Row],[Target Time (Hours)]]="","",Table1[[#This Row],[Target Time (Hours)]]-Table1[[#This Row],[Downtime (Hours)]])</f>
        <v>20</v>
      </c>
      <c r="M400" s="49">
        <f>IFERROR(Table1[[#This Row],[Capacity (Kg)]]/Table1[[#This Row],[Target Time (Hours)]] * Table1[[#This Row],[Downtime (Hours)]], "")</f>
        <v>363.63636363636363</v>
      </c>
      <c r="N400" s="50">
        <f>IFERROR(Table1[[#This Row],[Running Time (hr)]]/Table1[Target Time (Hours)], "")</f>
        <v>0.90909090909090906</v>
      </c>
      <c r="O400" s="50">
        <f>IFERROR(Table1[[#This Row],[Actual Production (Kg)]]/Table1[Capacity (Kg)], "")</f>
        <v>0</v>
      </c>
      <c r="P400" s="50" t="str">
        <f>IFERROR(Table1[[#This Row],[Quality Pass Production]]/Table1[[#This Row],[Actual Production (Kg)]], "")</f>
        <v/>
      </c>
      <c r="Q400" s="50" t="str">
        <f>IFERROR(Table1[[#This Row],[Utilization %]]*Table1[[#This Row],[Efficiency %]]*Table1[[#This Row],[Quality %]], "")</f>
        <v/>
      </c>
      <c r="R400" s="48" t="s">
        <v>127</v>
      </c>
    </row>
    <row r="401" spans="1:18" ht="30" customHeight="1" x14ac:dyDescent="0.25">
      <c r="A401" s="47">
        <v>46146</v>
      </c>
      <c r="B401" s="48" t="s">
        <v>18</v>
      </c>
      <c r="C401" s="48" t="s">
        <v>26</v>
      </c>
      <c r="D401" s="48" t="s">
        <v>25</v>
      </c>
      <c r="E401" s="49">
        <v>7000</v>
      </c>
      <c r="F401" s="76">
        <v>7335</v>
      </c>
      <c r="G401" s="49">
        <v>0</v>
      </c>
      <c r="H401" s="50">
        <f>IFERROR(Table1[Re-process (Kg)]/Table1[Actual Production (Kg)], "")</f>
        <v>0</v>
      </c>
      <c r="I401" s="49">
        <f>IFERROR(Table1[[#This Row],[Actual Production (Kg)]]-Table1[[#This Row],[Re-process (Kg)]], "")</f>
        <v>7335</v>
      </c>
      <c r="J401" s="49">
        <v>22</v>
      </c>
      <c r="K401" s="72">
        <v>1</v>
      </c>
      <c r="L401" s="49">
        <f>IF(Table1[[#This Row],[Target Time (Hours)]]="","",Table1[[#This Row],[Target Time (Hours)]]-Table1[[#This Row],[Downtime (Hours)]])</f>
        <v>21</v>
      </c>
      <c r="M401" s="49">
        <f>IFERROR(Table1[[#This Row],[Capacity (Kg)]]/Table1[[#This Row],[Target Time (Hours)]] * Table1[[#This Row],[Downtime (Hours)]], "")</f>
        <v>318.18181818181819</v>
      </c>
      <c r="N401" s="50">
        <f>IFERROR(Table1[[#This Row],[Running Time (hr)]]/Table1[Target Time (Hours)], "")</f>
        <v>0.95454545454545459</v>
      </c>
      <c r="O401" s="50">
        <f>IFERROR(Table1[[#This Row],[Actual Production (Kg)]]/Table1[Capacity (Kg)], "")</f>
        <v>1.0478571428571428</v>
      </c>
      <c r="P401" s="50">
        <f>IFERROR(Table1[[#This Row],[Quality Pass Production]]/Table1[[#This Row],[Actual Production (Kg)]], "")</f>
        <v>1</v>
      </c>
      <c r="Q401" s="50">
        <f>IFERROR(Table1[[#This Row],[Utilization %]]*Table1[[#This Row],[Efficiency %]]*Table1[[#This Row],[Quality %]], "")</f>
        <v>1.0002272727272727</v>
      </c>
      <c r="R401" s="48" t="s">
        <v>128</v>
      </c>
    </row>
    <row r="402" spans="1:18" ht="30" customHeight="1" x14ac:dyDescent="0.25">
      <c r="A402" s="47">
        <v>46146</v>
      </c>
      <c r="B402" s="48" t="s">
        <v>18</v>
      </c>
      <c r="C402" s="48" t="s">
        <v>28</v>
      </c>
      <c r="D402" s="48" t="s">
        <v>29</v>
      </c>
      <c r="E402" s="49">
        <v>7800</v>
      </c>
      <c r="F402" s="76">
        <v>6307</v>
      </c>
      <c r="G402" s="49">
        <v>0</v>
      </c>
      <c r="H402" s="50">
        <f>IFERROR(Table1[Re-process (Kg)]/Table1[Actual Production (Kg)], "")</f>
        <v>0</v>
      </c>
      <c r="I402" s="49">
        <f>IFERROR(Table1[[#This Row],[Actual Production (Kg)]]-Table1[[#This Row],[Re-process (Kg)]], "")</f>
        <v>6307</v>
      </c>
      <c r="J402" s="49">
        <v>22</v>
      </c>
      <c r="K402" s="72">
        <v>3</v>
      </c>
      <c r="L402" s="49">
        <f>IF(Table1[[#This Row],[Target Time (Hours)]]="","",Table1[[#This Row],[Target Time (Hours)]]-Table1[[#This Row],[Downtime (Hours)]])</f>
        <v>19</v>
      </c>
      <c r="M402" s="49">
        <f>IFERROR(Table1[[#This Row],[Capacity (Kg)]]/Table1[[#This Row],[Target Time (Hours)]] * Table1[[#This Row],[Downtime (Hours)]], "")</f>
        <v>1063.6363636363637</v>
      </c>
      <c r="N402" s="50">
        <f>IFERROR(Table1[[#This Row],[Running Time (hr)]]/Table1[Target Time (Hours)], "")</f>
        <v>0.86363636363636365</v>
      </c>
      <c r="O402" s="50">
        <f>IFERROR(Table1[[#This Row],[Actual Production (Kg)]]/Table1[Capacity (Kg)], "")</f>
        <v>0.80858974358974356</v>
      </c>
      <c r="P402" s="50">
        <f>IFERROR(Table1[[#This Row],[Quality Pass Production]]/Table1[[#This Row],[Actual Production (Kg)]], "")</f>
        <v>1</v>
      </c>
      <c r="Q402" s="50">
        <f>IFERROR(Table1[[#This Row],[Utilization %]]*Table1[[#This Row],[Efficiency %]]*Table1[[#This Row],[Quality %]], "")</f>
        <v>0.6983275058275058</v>
      </c>
      <c r="R402" s="48" t="s">
        <v>132</v>
      </c>
    </row>
    <row r="403" spans="1:18" ht="30" customHeight="1" x14ac:dyDescent="0.25">
      <c r="A403" s="47">
        <v>46146</v>
      </c>
      <c r="B403" s="48" t="s">
        <v>18</v>
      </c>
      <c r="C403" s="48" t="s">
        <v>30</v>
      </c>
      <c r="D403" s="48" t="s">
        <v>31</v>
      </c>
      <c r="E403" s="49">
        <v>9000</v>
      </c>
      <c r="F403" s="76">
        <v>5578</v>
      </c>
      <c r="G403" s="49">
        <v>0</v>
      </c>
      <c r="H403" s="50">
        <f>IFERROR(Table1[Re-process (Kg)]/Table1[Actual Production (Kg)], "")</f>
        <v>0</v>
      </c>
      <c r="I403" s="49">
        <f>IFERROR(Table1[[#This Row],[Actual Production (Kg)]]-Table1[[#This Row],[Re-process (Kg)]], "")</f>
        <v>5578</v>
      </c>
      <c r="J403" s="49">
        <v>22</v>
      </c>
      <c r="K403" s="72">
        <v>3</v>
      </c>
      <c r="L403" s="49">
        <f>IF(Table1[[#This Row],[Target Time (Hours)]]="","",Table1[[#This Row],[Target Time (Hours)]]-Table1[[#This Row],[Downtime (Hours)]])</f>
        <v>19</v>
      </c>
      <c r="M403" s="49">
        <f>IFERROR(Table1[[#This Row],[Capacity (Kg)]]/Table1[[#This Row],[Target Time (Hours)]] * Table1[[#This Row],[Downtime (Hours)]], "")</f>
        <v>1227.2727272727273</v>
      </c>
      <c r="N403" s="50">
        <f>IFERROR(Table1[[#This Row],[Running Time (hr)]]/Table1[Target Time (Hours)], "")</f>
        <v>0.86363636363636365</v>
      </c>
      <c r="O403" s="50">
        <f>IFERROR(Table1[[#This Row],[Actual Production (Kg)]]/Table1[Capacity (Kg)], "")</f>
        <v>0.61977777777777776</v>
      </c>
      <c r="P403" s="50">
        <f>IFERROR(Table1[[#This Row],[Quality Pass Production]]/Table1[[#This Row],[Actual Production (Kg)]], "")</f>
        <v>1</v>
      </c>
      <c r="Q403" s="50">
        <f>IFERROR(Table1[[#This Row],[Utilization %]]*Table1[[#This Row],[Efficiency %]]*Table1[[#This Row],[Quality %]], "")</f>
        <v>0.53526262626262622</v>
      </c>
      <c r="R403" s="48" t="s">
        <v>133</v>
      </c>
    </row>
    <row r="404" spans="1:18" ht="30" customHeight="1" x14ac:dyDescent="0.25">
      <c r="A404" s="26">
        <v>46146</v>
      </c>
      <c r="B404" s="27" t="s">
        <v>18</v>
      </c>
      <c r="C404" s="27" t="s">
        <v>32</v>
      </c>
      <c r="D404" s="27" t="s">
        <v>31</v>
      </c>
      <c r="E404" s="79">
        <f>Table1[[#This Row],[Actual Production (Kg)]]</f>
        <v>2433</v>
      </c>
      <c r="F404" s="79">
        <v>2433</v>
      </c>
      <c r="G404" s="79"/>
      <c r="H404" s="28"/>
      <c r="I404" s="79"/>
      <c r="J404" s="79"/>
      <c r="K404" s="27"/>
      <c r="L404" s="53" t="str">
        <f>IF(Table1[[#This Row],[Target Time (Hours)]]="","",Table1[[#This Row],[Target Time (Hours)]]-Table1[[#This Row],[Downtime (Hours)]])</f>
        <v/>
      </c>
      <c r="M404" s="79"/>
      <c r="N404" s="28"/>
      <c r="O404" s="28"/>
      <c r="P404" s="28"/>
      <c r="Q404" s="28"/>
      <c r="R404" s="27"/>
    </row>
    <row r="405" spans="1:18" ht="30" customHeight="1" x14ac:dyDescent="0.25">
      <c r="A405" s="47">
        <v>46146</v>
      </c>
      <c r="B405" s="48" t="s">
        <v>33</v>
      </c>
      <c r="C405" s="48" t="s">
        <v>34</v>
      </c>
      <c r="D405" s="48" t="s">
        <v>35</v>
      </c>
      <c r="E405" s="49">
        <v>9000</v>
      </c>
      <c r="F405" s="76">
        <v>6853</v>
      </c>
      <c r="G405" s="49">
        <v>0</v>
      </c>
      <c r="H405" s="50">
        <f>IFERROR(Table1[Re-process (Kg)]/Table1[Actual Production (Kg)], "")</f>
        <v>0</v>
      </c>
      <c r="I405" s="49">
        <f>IFERROR(Table1[[#This Row],[Actual Production (Kg)]]-Table1[[#This Row],[Re-process (Kg)]], "")</f>
        <v>6853</v>
      </c>
      <c r="J405" s="49">
        <v>22</v>
      </c>
      <c r="K405" s="72">
        <v>0</v>
      </c>
      <c r="L405" s="49">
        <f>IF(Table1[[#This Row],[Target Time (Hours)]]="","",Table1[[#This Row],[Target Time (Hours)]]-Table1[[#This Row],[Downtime (Hours)]])</f>
        <v>22</v>
      </c>
      <c r="M405" s="49">
        <f>IFERROR(Table1[[#This Row],[Capacity (Kg)]]/Table1[[#This Row],[Target Time (Hours)]] * Table1[[#This Row],[Downtime (Hours)]], "")</f>
        <v>0</v>
      </c>
      <c r="N405" s="50">
        <f>IFERROR(Table1[[#This Row],[Running Time (hr)]]/Table1[Target Time (Hours)], "")</f>
        <v>1</v>
      </c>
      <c r="O405" s="50">
        <f>IFERROR(Table1[[#This Row],[Actual Production (Kg)]]/Table1[Capacity (Kg)], "")</f>
        <v>0.76144444444444448</v>
      </c>
      <c r="P405" s="50">
        <f>IFERROR(Table1[[#This Row],[Quality Pass Production]]/Table1[[#This Row],[Actual Production (Kg)]], "")</f>
        <v>1</v>
      </c>
      <c r="Q405" s="50">
        <f>IFERROR(Table1[[#This Row],[Utilization %]]*Table1[[#This Row],[Efficiency %]]*Table1[[#This Row],[Quality %]], "")</f>
        <v>0.76144444444444448</v>
      </c>
    </row>
    <row r="406" spans="1:18" x14ac:dyDescent="0.25">
      <c r="A406" s="47">
        <v>46146</v>
      </c>
      <c r="B406" s="48" t="s">
        <v>33</v>
      </c>
      <c r="C406" s="48" t="s">
        <v>36</v>
      </c>
      <c r="D406" s="48" t="s">
        <v>37</v>
      </c>
      <c r="E406" s="49">
        <v>8000</v>
      </c>
      <c r="F406" s="76">
        <v>7082</v>
      </c>
      <c r="G406" s="49">
        <v>0</v>
      </c>
      <c r="H406" s="50">
        <f>IFERROR(Table1[Re-process (Kg)]/Table1[Actual Production (Kg)], "")</f>
        <v>0</v>
      </c>
      <c r="I406" s="49">
        <f>IFERROR(Table1[[#This Row],[Actual Production (Kg)]]-Table1[[#This Row],[Re-process (Kg)]], "")</f>
        <v>7082</v>
      </c>
      <c r="J406" s="49">
        <v>22</v>
      </c>
      <c r="K406" s="72">
        <v>11</v>
      </c>
      <c r="L406" s="49">
        <f>IF(Table1[[#This Row],[Target Time (Hours)]]="","",Table1[[#This Row],[Target Time (Hours)]]-Table1[[#This Row],[Downtime (Hours)]])</f>
        <v>11</v>
      </c>
      <c r="M406" s="49">
        <f>IFERROR(Table1[[#This Row],[Capacity (Kg)]]/Table1[[#This Row],[Target Time (Hours)]] * Table1[[#This Row],[Downtime (Hours)]], "")</f>
        <v>4000</v>
      </c>
      <c r="N406" s="50">
        <f>IFERROR(Table1[[#This Row],[Running Time (hr)]]/Table1[Target Time (Hours)], "")</f>
        <v>0.5</v>
      </c>
      <c r="O406" s="50">
        <f>IFERROR(Table1[[#This Row],[Actual Production (Kg)]]/Table1[Capacity (Kg)], "")</f>
        <v>0.88524999999999998</v>
      </c>
      <c r="P406" s="50">
        <f>IFERROR(Table1[[#This Row],[Quality Pass Production]]/Table1[[#This Row],[Actual Production (Kg)]], "")</f>
        <v>1</v>
      </c>
      <c r="Q406" s="50">
        <f>IFERROR(Table1[[#This Row],[Utilization %]]*Table1[[#This Row],[Efficiency %]]*Table1[[#This Row],[Quality %]], "")</f>
        <v>0.44262499999999999</v>
      </c>
      <c r="R406" s="48" t="s">
        <v>124</v>
      </c>
    </row>
    <row r="407" spans="1:18" ht="30" customHeight="1" x14ac:dyDescent="0.25">
      <c r="A407" s="47">
        <v>46146</v>
      </c>
      <c r="B407" s="48" t="s">
        <v>33</v>
      </c>
      <c r="C407" s="48" t="s">
        <v>39</v>
      </c>
      <c r="D407" s="48" t="s">
        <v>31</v>
      </c>
      <c r="E407" s="49">
        <v>6000</v>
      </c>
      <c r="F407" s="76">
        <v>3593</v>
      </c>
      <c r="G407" s="49">
        <v>0</v>
      </c>
      <c r="H407" s="50">
        <f>IFERROR(Table1[Re-process (Kg)]/Table1[Actual Production (Kg)], "")</f>
        <v>0</v>
      </c>
      <c r="I407" s="49">
        <f>IFERROR(Table1[[#This Row],[Actual Production (Kg)]]-Table1[[#This Row],[Re-process (Kg)]], "")</f>
        <v>3593</v>
      </c>
      <c r="J407" s="49">
        <v>22</v>
      </c>
      <c r="K407" s="72">
        <v>0</v>
      </c>
      <c r="L407" s="49">
        <f>IF(Table1[[#This Row],[Target Time (Hours)]]="","",Table1[[#This Row],[Target Time (Hours)]]-Table1[[#This Row],[Downtime (Hours)]])</f>
        <v>22</v>
      </c>
      <c r="M407" s="49">
        <f>IFERROR(Table1[[#This Row],[Capacity (Kg)]]/Table1[[#This Row],[Target Time (Hours)]] * Table1[[#This Row],[Downtime (Hours)]], "")</f>
        <v>0</v>
      </c>
      <c r="N407" s="50">
        <f>IFERROR(Table1[[#This Row],[Running Time (hr)]]/Table1[Target Time (Hours)], "")</f>
        <v>1</v>
      </c>
      <c r="O407" s="50">
        <f>IFERROR(Table1[[#This Row],[Actual Production (Kg)]]/Table1[Capacity (Kg)], "")</f>
        <v>0.59883333333333333</v>
      </c>
      <c r="P407" s="50">
        <f>IFERROR(Table1[[#This Row],[Quality Pass Production]]/Table1[[#This Row],[Actual Production (Kg)]], "")</f>
        <v>1</v>
      </c>
      <c r="Q407" s="50">
        <f>IFERROR(Table1[[#This Row],[Utilization %]]*Table1[[#This Row],[Efficiency %]]*Table1[[#This Row],[Quality %]], "")</f>
        <v>0.59883333333333333</v>
      </c>
      <c r="R407" s="48" t="s">
        <v>124</v>
      </c>
    </row>
    <row r="408" spans="1:18" ht="45" customHeight="1" x14ac:dyDescent="0.25">
      <c r="A408" s="54">
        <v>46146</v>
      </c>
      <c r="B408" s="55" t="s">
        <v>33</v>
      </c>
      <c r="C408" s="55" t="s">
        <v>40</v>
      </c>
      <c r="D408" s="55" t="s">
        <v>31</v>
      </c>
      <c r="E408" s="56">
        <v>5000</v>
      </c>
      <c r="F408" s="56">
        <v>3131</v>
      </c>
      <c r="G408" s="56">
        <v>0</v>
      </c>
      <c r="H408" s="58">
        <f>IFERROR(Table1[Re-process (Kg)]/Table1[Actual Production (Kg)], "")</f>
        <v>0</v>
      </c>
      <c r="I408" s="56">
        <f>IFERROR(Table1[[#This Row],[Actual Production (Kg)]]-Table1[[#This Row],[Re-process (Kg)]], "")</f>
        <v>3131</v>
      </c>
      <c r="J408" s="56">
        <v>22</v>
      </c>
      <c r="K408" s="55">
        <v>0</v>
      </c>
      <c r="L408" s="56">
        <f>IF(Table1[[#This Row],[Target Time (Hours)]]="","",Table1[[#This Row],[Target Time (Hours)]]-Table1[[#This Row],[Downtime (Hours)]])</f>
        <v>22</v>
      </c>
      <c r="M408" s="56">
        <f>IFERROR(Table1[[#This Row],[Capacity (Kg)]]/Table1[[#This Row],[Target Time (Hours)]] * Table1[[#This Row],[Downtime (Hours)]], "")</f>
        <v>0</v>
      </c>
      <c r="N408" s="58">
        <f>IFERROR(Table1[[#This Row],[Running Time (hr)]]/Table1[Target Time (Hours)], "")</f>
        <v>1</v>
      </c>
      <c r="O408" s="58">
        <f>IFERROR(Table1[[#This Row],[Actual Production (Kg)]]/Table1[Capacity (Kg)], "")</f>
        <v>0.62619999999999998</v>
      </c>
      <c r="P408" s="58">
        <f>IFERROR(Table1[[#This Row],[Quality Pass Production]]/Table1[[#This Row],[Actual Production (Kg)]], "")</f>
        <v>1</v>
      </c>
      <c r="Q408" s="58">
        <f>IFERROR(Table1[[#This Row],[Utilization %]]*Table1[[#This Row],[Efficiency %]]*Table1[[#This Row],[Quality %]], "")</f>
        <v>0.62619999999999998</v>
      </c>
      <c r="R408" s="55" t="s">
        <v>124</v>
      </c>
    </row>
    <row r="409" spans="1:18" ht="30" customHeight="1" x14ac:dyDescent="0.25">
      <c r="A409" s="47">
        <v>46147</v>
      </c>
      <c r="B409" s="48" t="s">
        <v>18</v>
      </c>
      <c r="C409" s="48" t="s">
        <v>19</v>
      </c>
      <c r="D409" s="48" t="s">
        <v>20</v>
      </c>
      <c r="E409" s="49">
        <v>10000</v>
      </c>
      <c r="F409" s="76">
        <v>8762</v>
      </c>
      <c r="G409" s="49">
        <v>0</v>
      </c>
      <c r="H409" s="50">
        <f>IFERROR(Table1[Re-process (Kg)]/Table1[Actual Production (Kg)], "")</f>
        <v>0</v>
      </c>
      <c r="I409" s="49">
        <f>IFERROR(Table1[[#This Row],[Actual Production (Kg)]]-Table1[[#This Row],[Re-process (Kg)]], "")</f>
        <v>8762</v>
      </c>
      <c r="J409" s="49">
        <v>22</v>
      </c>
      <c r="K409" s="72">
        <v>0</v>
      </c>
      <c r="L409" s="49">
        <f>IF(Table1[[#This Row],[Target Time (Hours)]]="","",Table1[[#This Row],[Target Time (Hours)]]-Table1[[#This Row],[Downtime (Hours)]])</f>
        <v>22</v>
      </c>
      <c r="M409" s="49">
        <f>IFERROR(Table1[[#This Row],[Capacity (Kg)]]/Table1[[#This Row],[Target Time (Hours)]] * Table1[[#This Row],[Downtime (Hours)]], "")</f>
        <v>0</v>
      </c>
      <c r="N409" s="50">
        <f>IFERROR(Table1[[#This Row],[Running Time (hr)]]/Table1[Target Time (Hours)], "")</f>
        <v>1</v>
      </c>
      <c r="O409" s="50">
        <f>IFERROR(Table1[[#This Row],[Actual Production (Kg)]]/Table1[Capacity (Kg)], "")</f>
        <v>0.87619999999999998</v>
      </c>
      <c r="P409" s="50">
        <f>IFERROR(Table1[[#This Row],[Quality Pass Production]]/Table1[[#This Row],[Actual Production (Kg)]], "")</f>
        <v>1</v>
      </c>
      <c r="Q409" s="50">
        <f>IFERROR(Table1[[#This Row],[Utilization %]]*Table1[[#This Row],[Efficiency %]]*Table1[[#This Row],[Quality %]], "")</f>
        <v>0.87619999999999998</v>
      </c>
    </row>
    <row r="410" spans="1:18" x14ac:dyDescent="0.25">
      <c r="A410" s="47">
        <v>46147</v>
      </c>
      <c r="B410" s="48" t="s">
        <v>18</v>
      </c>
      <c r="C410" s="48" t="s">
        <v>22</v>
      </c>
      <c r="D410" s="48" t="s">
        <v>23</v>
      </c>
      <c r="E410" s="49">
        <v>5000</v>
      </c>
      <c r="F410" s="76">
        <v>2823</v>
      </c>
      <c r="G410" s="49">
        <v>0</v>
      </c>
      <c r="H410" s="50">
        <f>IFERROR(Table1[Re-process (Kg)]/Table1[Actual Production (Kg)], "")</f>
        <v>0</v>
      </c>
      <c r="I410" s="49">
        <f>IFERROR(Table1[[#This Row],[Actual Production (Kg)]]-Table1[[#This Row],[Re-process (Kg)]], "")</f>
        <v>2823</v>
      </c>
      <c r="J410" s="49"/>
      <c r="K410" s="72">
        <v>0</v>
      </c>
      <c r="L410" s="49" t="str">
        <f>IF(Table1[[#This Row],[Target Time (Hours)]]="","",Table1[[#This Row],[Target Time (Hours)]]-Table1[[#This Row],[Downtime (Hours)]])</f>
        <v/>
      </c>
      <c r="M410" s="49" t="str">
        <f>IFERROR(Table1[[#This Row],[Capacity (Kg)]]/Table1[[#This Row],[Target Time (Hours)]] * Table1[[#This Row],[Downtime (Hours)]], "")</f>
        <v/>
      </c>
      <c r="N410" s="50" t="str">
        <f>IFERROR(Table1[[#This Row],[Running Time (hr)]]/Table1[Target Time (Hours)], "")</f>
        <v/>
      </c>
      <c r="O410" s="50">
        <f>IFERROR(Table1[[#This Row],[Actual Production (Kg)]]/Table1[Capacity (Kg)], "")</f>
        <v>0.56459999999999999</v>
      </c>
      <c r="P410" s="50">
        <f>IFERROR(Table1[[#This Row],[Quality Pass Production]]/Table1[[#This Row],[Actual Production (Kg)]], "")</f>
        <v>1</v>
      </c>
      <c r="Q410" s="50" t="str">
        <f>IFERROR(Table1[[#This Row],[Utilization %]]*Table1[[#This Row],[Efficiency %]]*Table1[[#This Row],[Quality %]], "")</f>
        <v/>
      </c>
    </row>
    <row r="411" spans="1:18" x14ac:dyDescent="0.25">
      <c r="A411" s="47">
        <v>46147</v>
      </c>
      <c r="B411" s="48" t="s">
        <v>18</v>
      </c>
      <c r="C411" s="48" t="s">
        <v>22</v>
      </c>
      <c r="D411" s="48" t="s">
        <v>25</v>
      </c>
      <c r="E411" s="49">
        <v>4000</v>
      </c>
      <c r="F411" s="76">
        <v>5723</v>
      </c>
      <c r="G411" s="49">
        <v>0</v>
      </c>
      <c r="H411" s="50">
        <f>IFERROR(Table1[Re-process (Kg)]/Table1[Actual Production (Kg)], "")</f>
        <v>0</v>
      </c>
      <c r="I411" s="49">
        <f>IFERROR(Table1[[#This Row],[Actual Production (Kg)]]-Table1[[#This Row],[Re-process (Kg)]], "")</f>
        <v>5723</v>
      </c>
      <c r="J411" s="49">
        <v>22</v>
      </c>
      <c r="K411" s="72">
        <v>0</v>
      </c>
      <c r="L411" s="49">
        <f>IF(Table1[[#This Row],[Target Time (Hours)]]="","",Table1[[#This Row],[Target Time (Hours)]]-Table1[[#This Row],[Downtime (Hours)]])</f>
        <v>22</v>
      </c>
      <c r="M411" s="49">
        <f>IFERROR(Table1[[#This Row],[Capacity (Kg)]]/Table1[[#This Row],[Target Time (Hours)]] * Table1[[#This Row],[Downtime (Hours)]], "")</f>
        <v>0</v>
      </c>
      <c r="N411" s="50">
        <f>IFERROR(Table1[[#This Row],[Running Time (hr)]]/Table1[Target Time (Hours)], "")</f>
        <v>1</v>
      </c>
      <c r="O411" s="50">
        <f>IFERROR(Table1[[#This Row],[Actual Production (Kg)]]/Table1[Capacity (Kg)], "")</f>
        <v>1.43075</v>
      </c>
      <c r="P411" s="50">
        <f>IFERROR(Table1[[#This Row],[Quality Pass Production]]/Table1[[#This Row],[Actual Production (Kg)]], "")</f>
        <v>1</v>
      </c>
      <c r="Q411" s="50">
        <f>IFERROR(Table1[[#This Row],[Utilization %]]*Table1[[#This Row],[Efficiency %]]*Table1[[#This Row],[Quality %]], "")</f>
        <v>1.43075</v>
      </c>
    </row>
    <row r="412" spans="1:18" x14ac:dyDescent="0.25">
      <c r="A412" s="47">
        <v>46147</v>
      </c>
      <c r="B412" s="48" t="s">
        <v>18</v>
      </c>
      <c r="C412" s="48" t="s">
        <v>26</v>
      </c>
      <c r="D412" s="48" t="s">
        <v>25</v>
      </c>
      <c r="E412" s="49">
        <v>7000</v>
      </c>
      <c r="F412" s="76">
        <v>7185</v>
      </c>
      <c r="G412" s="49">
        <v>0</v>
      </c>
      <c r="H412" s="50">
        <f>IFERROR(Table1[Re-process (Kg)]/Table1[Actual Production (Kg)], "")</f>
        <v>0</v>
      </c>
      <c r="I412" s="49">
        <f>IFERROR(Table1[[#This Row],[Actual Production (Kg)]]-Table1[[#This Row],[Re-process (Kg)]], "")</f>
        <v>7185</v>
      </c>
      <c r="J412" s="49">
        <v>22</v>
      </c>
      <c r="K412" s="72">
        <v>0</v>
      </c>
      <c r="L412" s="49">
        <f>IF(Table1[[#This Row],[Target Time (Hours)]]="","",Table1[[#This Row],[Target Time (Hours)]]-Table1[[#This Row],[Downtime (Hours)]])</f>
        <v>22</v>
      </c>
      <c r="M412" s="49">
        <f>IFERROR(Table1[[#This Row],[Capacity (Kg)]]/Table1[[#This Row],[Target Time (Hours)]] * Table1[[#This Row],[Downtime (Hours)]], "")</f>
        <v>0</v>
      </c>
      <c r="N412" s="50">
        <f>IFERROR(Table1[[#This Row],[Running Time (hr)]]/Table1[Target Time (Hours)], "")</f>
        <v>1</v>
      </c>
      <c r="O412" s="50">
        <f>IFERROR(Table1[[#This Row],[Actual Production (Kg)]]/Table1[Capacity (Kg)], "")</f>
        <v>1.0264285714285715</v>
      </c>
      <c r="P412" s="50">
        <f>IFERROR(Table1[[#This Row],[Quality Pass Production]]/Table1[[#This Row],[Actual Production (Kg)]], "")</f>
        <v>1</v>
      </c>
      <c r="Q412" s="50">
        <f>IFERROR(Table1[[#This Row],[Utilization %]]*Table1[[#This Row],[Efficiency %]]*Table1[[#This Row],[Quality %]], "")</f>
        <v>1.0264285714285715</v>
      </c>
    </row>
    <row r="413" spans="1:18" ht="30" customHeight="1" x14ac:dyDescent="0.25">
      <c r="A413" s="47">
        <v>46147</v>
      </c>
      <c r="B413" s="48" t="s">
        <v>18</v>
      </c>
      <c r="C413" s="48" t="s">
        <v>28</v>
      </c>
      <c r="D413" s="48" t="s">
        <v>29</v>
      </c>
      <c r="E413" s="49">
        <v>7800</v>
      </c>
      <c r="F413" s="76">
        <v>5302</v>
      </c>
      <c r="G413" s="49">
        <v>0</v>
      </c>
      <c r="H413" s="50">
        <f>IFERROR(Table1[Re-process (Kg)]/Table1[Actual Production (Kg)], "")</f>
        <v>0</v>
      </c>
      <c r="I413" s="49">
        <f>IFERROR(Table1[[#This Row],[Actual Production (Kg)]]-Table1[[#This Row],[Re-process (Kg)]], "")</f>
        <v>5302</v>
      </c>
      <c r="J413" s="49">
        <v>22</v>
      </c>
      <c r="K413" s="72">
        <v>8</v>
      </c>
      <c r="L413" s="49">
        <f>IF(Table1[[#This Row],[Target Time (Hours)]]="","",Table1[[#This Row],[Target Time (Hours)]]-Table1[[#This Row],[Downtime (Hours)]])</f>
        <v>14</v>
      </c>
      <c r="M413" s="49">
        <f>IFERROR(Table1[[#This Row],[Capacity (Kg)]]/Table1[[#This Row],[Target Time (Hours)]] * Table1[[#This Row],[Downtime (Hours)]], "")</f>
        <v>2836.3636363636365</v>
      </c>
      <c r="N413" s="50">
        <f>IFERROR(Table1[[#This Row],[Running Time (hr)]]/Table1[Target Time (Hours)], "")</f>
        <v>0.63636363636363635</v>
      </c>
      <c r="O413" s="50">
        <f>IFERROR(Table1[[#This Row],[Actual Production (Kg)]]/Table1[Capacity (Kg)], "")</f>
        <v>0.67974358974358973</v>
      </c>
      <c r="P413" s="50">
        <f>IFERROR(Table1[[#This Row],[Quality Pass Production]]/Table1[[#This Row],[Actual Production (Kg)]], "")</f>
        <v>1</v>
      </c>
      <c r="Q413" s="50">
        <f>IFERROR(Table1[[#This Row],[Utilization %]]*Table1[[#This Row],[Efficiency %]]*Table1[[#This Row],[Quality %]], "")</f>
        <v>0.43256410256410255</v>
      </c>
      <c r="R413" s="48" t="s">
        <v>134</v>
      </c>
    </row>
    <row r="414" spans="1:18" ht="30" customHeight="1" x14ac:dyDescent="0.25">
      <c r="A414" s="26">
        <v>46147</v>
      </c>
      <c r="B414" s="27" t="s">
        <v>18</v>
      </c>
      <c r="C414" s="27" t="s">
        <v>135</v>
      </c>
      <c r="D414" s="27" t="s">
        <v>29</v>
      </c>
      <c r="E414" s="79"/>
      <c r="F414" s="79">
        <v>1718</v>
      </c>
      <c r="G414" s="79"/>
      <c r="H414" s="28"/>
      <c r="I414" s="79"/>
      <c r="J414" s="79"/>
      <c r="K414" s="27"/>
      <c r="L414" s="53" t="str">
        <f>IF(Table1[[#This Row],[Target Time (Hours)]]="","",Table1[[#This Row],[Target Time (Hours)]]-Table1[[#This Row],[Downtime (Hours)]])</f>
        <v/>
      </c>
      <c r="M414" s="79"/>
      <c r="N414" s="28"/>
      <c r="O414" s="28"/>
      <c r="P414" s="28"/>
      <c r="Q414" s="28"/>
      <c r="R414" s="27" t="s">
        <v>136</v>
      </c>
    </row>
    <row r="415" spans="1:18" ht="30" customHeight="1" x14ac:dyDescent="0.25">
      <c r="A415" s="47">
        <v>46147</v>
      </c>
      <c r="B415" s="48" t="s">
        <v>18</v>
      </c>
      <c r="C415" s="48" t="s">
        <v>30</v>
      </c>
      <c r="D415" s="48" t="s">
        <v>31</v>
      </c>
      <c r="E415" s="49">
        <v>9000</v>
      </c>
      <c r="F415" s="76">
        <v>9000</v>
      </c>
      <c r="G415" s="49">
        <v>0</v>
      </c>
      <c r="H415" s="50">
        <f>IFERROR(Table1[Re-process (Kg)]/Table1[Actual Production (Kg)], "")</f>
        <v>0</v>
      </c>
      <c r="I415" s="49">
        <f>IFERROR(Table1[[#This Row],[Actual Production (Kg)]]-Table1[[#This Row],[Re-process (Kg)]], "")</f>
        <v>9000</v>
      </c>
      <c r="J415" s="49">
        <v>22</v>
      </c>
      <c r="K415" s="72">
        <v>3</v>
      </c>
      <c r="L415" s="49">
        <f>IF(Table1[[#This Row],[Target Time (Hours)]]="","",Table1[[#This Row],[Target Time (Hours)]]-Table1[[#This Row],[Downtime (Hours)]])</f>
        <v>19</v>
      </c>
      <c r="M415" s="49">
        <f>IFERROR(Table1[[#This Row],[Capacity (Kg)]]/Table1[[#This Row],[Target Time (Hours)]] * Table1[[#This Row],[Downtime (Hours)]], "")</f>
        <v>1227.2727272727273</v>
      </c>
      <c r="N415" s="50">
        <f>IFERROR(Table1[[#This Row],[Running Time (hr)]]/Table1[Target Time (Hours)], "")</f>
        <v>0.86363636363636365</v>
      </c>
      <c r="O415" s="50">
        <f>IFERROR(Table1[[#This Row],[Actual Production (Kg)]]/Table1[Capacity (Kg)], "")</f>
        <v>1</v>
      </c>
      <c r="P415" s="50">
        <f>IFERROR(Table1[[#This Row],[Quality Pass Production]]/Table1[[#This Row],[Actual Production (Kg)]], "")</f>
        <v>1</v>
      </c>
      <c r="Q415" s="50">
        <f>IFERROR(Table1[[#This Row],[Utilization %]]*Table1[[#This Row],[Efficiency %]]*Table1[[#This Row],[Quality %]], "")</f>
        <v>0.86363636363636365</v>
      </c>
    </row>
    <row r="416" spans="1:18" ht="30" customHeight="1" x14ac:dyDescent="0.25">
      <c r="A416" s="26">
        <v>46147</v>
      </c>
      <c r="B416" s="27" t="s">
        <v>18</v>
      </c>
      <c r="C416" s="27" t="s">
        <v>32</v>
      </c>
      <c r="D416" s="27" t="s">
        <v>31</v>
      </c>
      <c r="E416" s="79">
        <f>Table1[[#This Row],[Actual Production (Kg)]]</f>
        <v>0</v>
      </c>
      <c r="F416" s="79">
        <v>0</v>
      </c>
      <c r="G416" s="79"/>
      <c r="H416" s="28"/>
      <c r="I416" s="79"/>
      <c r="J416" s="79"/>
      <c r="K416" s="27"/>
      <c r="L416" s="53" t="str">
        <f>IF(Table1[[#This Row],[Target Time (Hours)]]="","",Table1[[#This Row],[Target Time (Hours)]]-Table1[[#This Row],[Downtime (Hours)]])</f>
        <v/>
      </c>
      <c r="M416" s="79"/>
      <c r="N416" s="28"/>
      <c r="O416" s="28"/>
      <c r="P416" s="28"/>
      <c r="Q416" s="28"/>
      <c r="R416" s="27"/>
    </row>
    <row r="417" spans="1:18" ht="30" customHeight="1" x14ac:dyDescent="0.25">
      <c r="A417" s="47">
        <v>46147</v>
      </c>
      <c r="B417" s="48" t="s">
        <v>33</v>
      </c>
      <c r="C417" s="48" t="s">
        <v>34</v>
      </c>
      <c r="D417" s="48" t="s">
        <v>35</v>
      </c>
      <c r="E417" s="49">
        <v>9000</v>
      </c>
      <c r="F417" s="76">
        <v>7030</v>
      </c>
      <c r="G417" s="49">
        <v>0</v>
      </c>
      <c r="H417" s="50">
        <f>IFERROR(Table1[Re-process (Kg)]/Table1[Actual Production (Kg)], "")</f>
        <v>0</v>
      </c>
      <c r="I417" s="49">
        <f>IFERROR(Table1[[#This Row],[Actual Production (Kg)]]-Table1[[#This Row],[Re-process (Kg)]], "")</f>
        <v>7030</v>
      </c>
      <c r="J417" s="49">
        <v>22</v>
      </c>
      <c r="K417" s="72">
        <v>0</v>
      </c>
      <c r="L417" s="49">
        <f>IF(Table1[[#This Row],[Target Time (Hours)]]="","",Table1[[#This Row],[Target Time (Hours)]]-Table1[[#This Row],[Downtime (Hours)]])</f>
        <v>22</v>
      </c>
      <c r="M417" s="49">
        <f>IFERROR(Table1[[#This Row],[Capacity (Kg)]]/Table1[[#This Row],[Target Time (Hours)]] * Table1[[#This Row],[Downtime (Hours)]], "")</f>
        <v>0</v>
      </c>
      <c r="N417" s="50">
        <f>IFERROR(Table1[[#This Row],[Running Time (hr)]]/Table1[Target Time (Hours)], "")</f>
        <v>1</v>
      </c>
      <c r="O417" s="50">
        <f>IFERROR(Table1[[#This Row],[Actual Production (Kg)]]/Table1[Capacity (Kg)], "")</f>
        <v>0.78111111111111109</v>
      </c>
      <c r="P417" s="50">
        <f>IFERROR(Table1[[#This Row],[Quality Pass Production]]/Table1[[#This Row],[Actual Production (Kg)]], "")</f>
        <v>1</v>
      </c>
      <c r="Q417" s="50">
        <f>IFERROR(Table1[[#This Row],[Utilization %]]*Table1[[#This Row],[Efficiency %]]*Table1[[#This Row],[Quality %]], "")</f>
        <v>0.78111111111111109</v>
      </c>
      <c r="R417" s="48" t="s">
        <v>124</v>
      </c>
    </row>
    <row r="418" spans="1:18" ht="30" customHeight="1" x14ac:dyDescent="0.25">
      <c r="A418" s="47">
        <v>46147</v>
      </c>
      <c r="B418" s="48" t="s">
        <v>33</v>
      </c>
      <c r="C418" s="48" t="s">
        <v>36</v>
      </c>
      <c r="D418" s="48" t="s">
        <v>37</v>
      </c>
      <c r="E418" s="49">
        <v>8000</v>
      </c>
      <c r="F418" s="76">
        <v>7123</v>
      </c>
      <c r="G418" s="49">
        <v>0</v>
      </c>
      <c r="H418" s="50">
        <f>IFERROR(Table1[Re-process (Kg)]/Table1[Actual Production (Kg)], "")</f>
        <v>0</v>
      </c>
      <c r="I418" s="49">
        <f>IFERROR(Table1[[#This Row],[Actual Production (Kg)]]-Table1[[#This Row],[Re-process (Kg)]], "")</f>
        <v>7123</v>
      </c>
      <c r="J418" s="49">
        <v>22</v>
      </c>
      <c r="K418" s="72">
        <v>3</v>
      </c>
      <c r="L418" s="49">
        <f>IF(Table1[[#This Row],[Target Time (Hours)]]="","",Table1[[#This Row],[Target Time (Hours)]]-Table1[[#This Row],[Downtime (Hours)]])</f>
        <v>19</v>
      </c>
      <c r="M418" s="49">
        <f>IFERROR(Table1[[#This Row],[Capacity (Kg)]]/Table1[[#This Row],[Target Time (Hours)]] * Table1[[#This Row],[Downtime (Hours)]], "")</f>
        <v>1090.909090909091</v>
      </c>
      <c r="N418" s="50">
        <f>IFERROR(Table1[[#This Row],[Running Time (hr)]]/Table1[Target Time (Hours)], "")</f>
        <v>0.86363636363636365</v>
      </c>
      <c r="O418" s="50">
        <f>IFERROR(Table1[[#This Row],[Actual Production (Kg)]]/Table1[Capacity (Kg)], "")</f>
        <v>0.89037500000000003</v>
      </c>
      <c r="P418" s="50">
        <f>IFERROR(Table1[[#This Row],[Quality Pass Production]]/Table1[[#This Row],[Actual Production (Kg)]], "")</f>
        <v>1</v>
      </c>
      <c r="Q418" s="50">
        <f>IFERROR(Table1[[#This Row],[Utilization %]]*Table1[[#This Row],[Efficiency %]]*Table1[[#This Row],[Quality %]], "")</f>
        <v>0.76896022727272728</v>
      </c>
      <c r="R418" s="48" t="s">
        <v>137</v>
      </c>
    </row>
    <row r="419" spans="1:18" ht="30" customHeight="1" x14ac:dyDescent="0.25">
      <c r="A419" s="47">
        <v>46147</v>
      </c>
      <c r="B419" s="48" t="s">
        <v>33</v>
      </c>
      <c r="C419" s="48" t="s">
        <v>39</v>
      </c>
      <c r="D419" s="48" t="s">
        <v>31</v>
      </c>
      <c r="E419" s="49">
        <v>6000</v>
      </c>
      <c r="F419" s="76">
        <v>3087</v>
      </c>
      <c r="G419" s="49">
        <v>0</v>
      </c>
      <c r="H419" s="50">
        <f>IFERROR(Table1[Re-process (Kg)]/Table1[Actual Production (Kg)], "")</f>
        <v>0</v>
      </c>
      <c r="I419" s="49">
        <f>IFERROR(Table1[[#This Row],[Actual Production (Kg)]]-Table1[[#This Row],[Re-process (Kg)]], "")</f>
        <v>3087</v>
      </c>
      <c r="J419" s="49">
        <v>22</v>
      </c>
      <c r="K419" s="72">
        <v>0</v>
      </c>
      <c r="L419" s="49">
        <f>IF(Table1[[#This Row],[Target Time (Hours)]]="","",Table1[[#This Row],[Target Time (Hours)]]-Table1[[#This Row],[Downtime (Hours)]])</f>
        <v>22</v>
      </c>
      <c r="M419" s="49">
        <f>IFERROR(Table1[[#This Row],[Capacity (Kg)]]/Table1[[#This Row],[Target Time (Hours)]] * Table1[[#This Row],[Downtime (Hours)]], "")</f>
        <v>0</v>
      </c>
      <c r="N419" s="50">
        <f>IFERROR(Table1[[#This Row],[Running Time (hr)]]/Table1[Target Time (Hours)], "")</f>
        <v>1</v>
      </c>
      <c r="O419" s="50">
        <f>IFERROR(Table1[[#This Row],[Actual Production (Kg)]]/Table1[Capacity (Kg)], "")</f>
        <v>0.51449999999999996</v>
      </c>
      <c r="P419" s="50">
        <f>IFERROR(Table1[[#This Row],[Quality Pass Production]]/Table1[[#This Row],[Actual Production (Kg)]], "")</f>
        <v>1</v>
      </c>
      <c r="Q419" s="50">
        <f>IFERROR(Table1[[#This Row],[Utilization %]]*Table1[[#This Row],[Efficiency %]]*Table1[[#This Row],[Quality %]], "")</f>
        <v>0.51449999999999996</v>
      </c>
      <c r="R419" s="48" t="s">
        <v>124</v>
      </c>
    </row>
    <row r="420" spans="1:18" ht="45" customHeight="1" x14ac:dyDescent="0.25">
      <c r="A420" s="54">
        <v>46147</v>
      </c>
      <c r="B420" s="55" t="s">
        <v>33</v>
      </c>
      <c r="C420" s="55" t="s">
        <v>40</v>
      </c>
      <c r="D420" s="55" t="s">
        <v>31</v>
      </c>
      <c r="E420" s="56">
        <v>5000</v>
      </c>
      <c r="F420" s="56">
        <v>2836</v>
      </c>
      <c r="G420" s="56">
        <v>0</v>
      </c>
      <c r="H420" s="58">
        <f>IFERROR(Table1[Re-process (Kg)]/Table1[Actual Production (Kg)], "")</f>
        <v>0</v>
      </c>
      <c r="I420" s="56">
        <f>IFERROR(Table1[[#This Row],[Actual Production (Kg)]]-Table1[[#This Row],[Re-process (Kg)]], "")</f>
        <v>2836</v>
      </c>
      <c r="J420" s="56">
        <v>22</v>
      </c>
      <c r="K420" s="55">
        <v>2</v>
      </c>
      <c r="L420" s="56">
        <f>IF(Table1[[#This Row],[Target Time (Hours)]]="","",Table1[[#This Row],[Target Time (Hours)]]-Table1[[#This Row],[Downtime (Hours)]])</f>
        <v>20</v>
      </c>
      <c r="M420" s="56">
        <f>IFERROR(Table1[[#This Row],[Capacity (Kg)]]/Table1[[#This Row],[Target Time (Hours)]] * Table1[[#This Row],[Downtime (Hours)]], "")</f>
        <v>454.54545454545456</v>
      </c>
      <c r="N420" s="58">
        <f>IFERROR(Table1[[#This Row],[Running Time (hr)]]/Table1[Target Time (Hours)], "")</f>
        <v>0.90909090909090906</v>
      </c>
      <c r="O420" s="58">
        <f>IFERROR(Table1[[#This Row],[Actual Production (Kg)]]/Table1[Capacity (Kg)], "")</f>
        <v>0.56720000000000004</v>
      </c>
      <c r="P420" s="58">
        <f>IFERROR(Table1[[#This Row],[Quality Pass Production]]/Table1[[#This Row],[Actual Production (Kg)]], "")</f>
        <v>1</v>
      </c>
      <c r="Q420" s="58">
        <f>IFERROR(Table1[[#This Row],[Utilization %]]*Table1[[#This Row],[Efficiency %]]*Table1[[#This Row],[Quality %]], "")</f>
        <v>0.51563636363636367</v>
      </c>
      <c r="R420" s="55" t="s">
        <v>138</v>
      </c>
    </row>
    <row r="421" spans="1:18" ht="30" customHeight="1" x14ac:dyDescent="0.25">
      <c r="A421" s="47">
        <v>46148</v>
      </c>
      <c r="B421" s="48" t="s">
        <v>18</v>
      </c>
      <c r="C421" s="48" t="s">
        <v>19</v>
      </c>
      <c r="D421" s="48" t="s">
        <v>20</v>
      </c>
      <c r="E421" s="49">
        <v>10000</v>
      </c>
      <c r="F421" s="76">
        <v>8312</v>
      </c>
      <c r="G421" s="49">
        <v>0</v>
      </c>
      <c r="H421" s="50">
        <f>IFERROR(Table1[Re-process (Kg)]/Table1[Actual Production (Kg)], "")</f>
        <v>0</v>
      </c>
      <c r="I421" s="49">
        <f>IFERROR(Table1[[#This Row],[Actual Production (Kg)]]-Table1[[#This Row],[Re-process (Kg)]], "")</f>
        <v>8312</v>
      </c>
      <c r="J421" s="49">
        <v>22</v>
      </c>
      <c r="K421" s="72">
        <v>0</v>
      </c>
      <c r="L421" s="49">
        <f>IF(Table1[[#This Row],[Target Time (Hours)]]="","",Table1[[#This Row],[Target Time (Hours)]]-Table1[[#This Row],[Downtime (Hours)]])</f>
        <v>22</v>
      </c>
      <c r="M421" s="49">
        <f>IFERROR(Table1[[#This Row],[Capacity (Kg)]]/Table1[[#This Row],[Target Time (Hours)]] * Table1[[#This Row],[Downtime (Hours)]], "")</f>
        <v>0</v>
      </c>
      <c r="N421" s="50">
        <f>IFERROR(Table1[[#This Row],[Running Time (hr)]]/Table1[Target Time (Hours)], "")</f>
        <v>1</v>
      </c>
      <c r="O421" s="50">
        <f>IFERROR(Table1[[#This Row],[Actual Production (Kg)]]/Table1[Capacity (Kg)], "")</f>
        <v>0.83120000000000005</v>
      </c>
      <c r="P421" s="50">
        <f>IFERROR(Table1[[#This Row],[Quality Pass Production]]/Table1[[#This Row],[Actual Production (Kg)]], "")</f>
        <v>1</v>
      </c>
      <c r="Q421" s="50">
        <f>IFERROR(Table1[[#This Row],[Utilization %]]*Table1[[#This Row],[Efficiency %]]*Table1[[#This Row],[Quality %]], "")</f>
        <v>0.83120000000000005</v>
      </c>
    </row>
    <row r="422" spans="1:18" x14ac:dyDescent="0.25">
      <c r="A422" s="47">
        <v>46148</v>
      </c>
      <c r="B422" s="48" t="s">
        <v>18</v>
      </c>
      <c r="C422" s="48" t="s">
        <v>22</v>
      </c>
      <c r="D422" s="48" t="s">
        <v>23</v>
      </c>
      <c r="E422" s="49">
        <v>5000</v>
      </c>
      <c r="F422" s="76">
        <v>4343</v>
      </c>
      <c r="G422" s="49">
        <v>0</v>
      </c>
      <c r="H422" s="50">
        <f>IFERROR(Table1[Re-process (Kg)]/Table1[Actual Production (Kg)], "")</f>
        <v>0</v>
      </c>
      <c r="I422" s="49">
        <f>IFERROR(Table1[[#This Row],[Actual Production (Kg)]]-Table1[[#This Row],[Re-process (Kg)]], "")</f>
        <v>4343</v>
      </c>
      <c r="J422" s="49"/>
      <c r="K422" s="72">
        <v>0</v>
      </c>
      <c r="L422" s="49" t="str">
        <f>IF(Table1[[#This Row],[Target Time (Hours)]]="","",Table1[[#This Row],[Target Time (Hours)]]-Table1[[#This Row],[Downtime (Hours)]])</f>
        <v/>
      </c>
      <c r="M422" s="49" t="str">
        <f>IFERROR(Table1[[#This Row],[Capacity (Kg)]]/Table1[[#This Row],[Target Time (Hours)]] * Table1[[#This Row],[Downtime (Hours)]], "")</f>
        <v/>
      </c>
      <c r="N422" s="50" t="str">
        <f>IFERROR(Table1[[#This Row],[Running Time (hr)]]/Table1[Target Time (Hours)], "")</f>
        <v/>
      </c>
      <c r="O422" s="50">
        <f>IFERROR(Table1[[#This Row],[Actual Production (Kg)]]/Table1[Capacity (Kg)], "")</f>
        <v>0.86860000000000004</v>
      </c>
      <c r="P422" s="50">
        <f>IFERROR(Table1[[#This Row],[Quality Pass Production]]/Table1[[#This Row],[Actual Production (Kg)]], "")</f>
        <v>1</v>
      </c>
      <c r="Q422" s="50" t="str">
        <f>IFERROR(Table1[[#This Row],[Utilization %]]*Table1[[#This Row],[Efficiency %]]*Table1[[#This Row],[Quality %]], "")</f>
        <v/>
      </c>
    </row>
    <row r="423" spans="1:18" x14ac:dyDescent="0.25">
      <c r="A423" s="47">
        <v>46148</v>
      </c>
      <c r="B423" s="48" t="s">
        <v>18</v>
      </c>
      <c r="C423" s="48" t="s">
        <v>22</v>
      </c>
      <c r="D423" s="48" t="s">
        <v>25</v>
      </c>
      <c r="E423" s="49">
        <v>4000</v>
      </c>
      <c r="F423" s="76">
        <v>4468</v>
      </c>
      <c r="G423" s="49">
        <v>0</v>
      </c>
      <c r="H423" s="50">
        <f>IFERROR(Table1[Re-process (Kg)]/Table1[Actual Production (Kg)], "")</f>
        <v>0</v>
      </c>
      <c r="I423" s="49">
        <f>IFERROR(Table1[[#This Row],[Actual Production (Kg)]]-Table1[[#This Row],[Re-process (Kg)]], "")</f>
        <v>4468</v>
      </c>
      <c r="J423" s="49">
        <v>22</v>
      </c>
      <c r="K423" s="72">
        <v>0</v>
      </c>
      <c r="L423" s="49">
        <f>IF(Table1[[#This Row],[Target Time (Hours)]]="","",Table1[[#This Row],[Target Time (Hours)]]-Table1[[#This Row],[Downtime (Hours)]])</f>
        <v>22</v>
      </c>
      <c r="M423" s="49">
        <f>IFERROR(Table1[[#This Row],[Capacity (Kg)]]/Table1[[#This Row],[Target Time (Hours)]] * Table1[[#This Row],[Downtime (Hours)]], "")</f>
        <v>0</v>
      </c>
      <c r="N423" s="50">
        <f>IFERROR(Table1[[#This Row],[Running Time (hr)]]/Table1[Target Time (Hours)], "")</f>
        <v>1</v>
      </c>
      <c r="O423" s="50">
        <f>IFERROR(Table1[[#This Row],[Actual Production (Kg)]]/Table1[Capacity (Kg)], "")</f>
        <v>1.117</v>
      </c>
      <c r="P423" s="50">
        <f>IFERROR(Table1[[#This Row],[Quality Pass Production]]/Table1[[#This Row],[Actual Production (Kg)]], "")</f>
        <v>1</v>
      </c>
      <c r="Q423" s="50">
        <f>IFERROR(Table1[[#This Row],[Utilization %]]*Table1[[#This Row],[Efficiency %]]*Table1[[#This Row],[Quality %]], "")</f>
        <v>1.117</v>
      </c>
    </row>
    <row r="424" spans="1:18" x14ac:dyDescent="0.25">
      <c r="A424" s="47">
        <v>46148</v>
      </c>
      <c r="B424" s="48" t="s">
        <v>18</v>
      </c>
      <c r="C424" s="48" t="s">
        <v>26</v>
      </c>
      <c r="D424" s="48" t="s">
        <v>25</v>
      </c>
      <c r="E424" s="49">
        <v>7000</v>
      </c>
      <c r="F424" s="76">
        <v>7065</v>
      </c>
      <c r="G424" s="49">
        <v>0</v>
      </c>
      <c r="H424" s="50">
        <f>IFERROR(Table1[Re-process (Kg)]/Table1[Actual Production (Kg)], "")</f>
        <v>0</v>
      </c>
      <c r="I424" s="49">
        <f>IFERROR(Table1[[#This Row],[Actual Production (Kg)]]-Table1[[#This Row],[Re-process (Kg)]], "")</f>
        <v>7065</v>
      </c>
      <c r="J424" s="49">
        <v>22</v>
      </c>
      <c r="K424" s="72">
        <v>0</v>
      </c>
      <c r="L424" s="49">
        <f>IF(Table1[[#This Row],[Target Time (Hours)]]="","",Table1[[#This Row],[Target Time (Hours)]]-Table1[[#This Row],[Downtime (Hours)]])</f>
        <v>22</v>
      </c>
      <c r="M424" s="49">
        <f>IFERROR(Table1[[#This Row],[Capacity (Kg)]]/Table1[[#This Row],[Target Time (Hours)]] * Table1[[#This Row],[Downtime (Hours)]], "")</f>
        <v>0</v>
      </c>
      <c r="N424" s="50">
        <f>IFERROR(Table1[[#This Row],[Running Time (hr)]]/Table1[Target Time (Hours)], "")</f>
        <v>1</v>
      </c>
      <c r="O424" s="50">
        <f>IFERROR(Table1[[#This Row],[Actual Production (Kg)]]/Table1[Capacity (Kg)], "")</f>
        <v>1.0092857142857143</v>
      </c>
      <c r="P424" s="50">
        <f>IFERROR(Table1[[#This Row],[Quality Pass Production]]/Table1[[#This Row],[Actual Production (Kg)]], "")</f>
        <v>1</v>
      </c>
      <c r="Q424" s="50">
        <f>IFERROR(Table1[[#This Row],[Utilization %]]*Table1[[#This Row],[Efficiency %]]*Table1[[#This Row],[Quality %]], "")</f>
        <v>1.0092857142857143</v>
      </c>
    </row>
    <row r="425" spans="1:18" ht="30" customHeight="1" x14ac:dyDescent="0.25">
      <c r="A425" s="47">
        <v>46148</v>
      </c>
      <c r="B425" s="48" t="s">
        <v>18</v>
      </c>
      <c r="C425" s="48" t="s">
        <v>28</v>
      </c>
      <c r="D425" s="48" t="s">
        <v>29</v>
      </c>
      <c r="E425" s="49">
        <v>7800</v>
      </c>
      <c r="F425" s="76">
        <v>4409</v>
      </c>
      <c r="G425" s="49">
        <v>0</v>
      </c>
      <c r="H425" s="50">
        <f>IFERROR(Table1[Re-process (Kg)]/Table1[Actual Production (Kg)], "")</f>
        <v>0</v>
      </c>
      <c r="I425" s="49">
        <f>IFERROR(Table1[[#This Row],[Actual Production (Kg)]]-Table1[[#This Row],[Re-process (Kg)]], "")</f>
        <v>4409</v>
      </c>
      <c r="J425" s="49">
        <v>22</v>
      </c>
      <c r="K425" s="72">
        <v>7</v>
      </c>
      <c r="L425" s="49">
        <f>IF(Table1[[#This Row],[Target Time (Hours)]]="","",Table1[[#This Row],[Target Time (Hours)]]-Table1[[#This Row],[Downtime (Hours)]])</f>
        <v>15</v>
      </c>
      <c r="M425" s="49">
        <f>IFERROR(Table1[[#This Row],[Capacity (Kg)]]/Table1[[#This Row],[Target Time (Hours)]] * Table1[[#This Row],[Downtime (Hours)]], "")</f>
        <v>2481.818181818182</v>
      </c>
      <c r="N425" s="50">
        <f>IFERROR(Table1[[#This Row],[Running Time (hr)]]/Table1[Target Time (Hours)], "")</f>
        <v>0.68181818181818177</v>
      </c>
      <c r="O425" s="50">
        <f>IFERROR(Table1[[#This Row],[Actual Production (Kg)]]/Table1[Capacity (Kg)], "")</f>
        <v>0.56525641025641027</v>
      </c>
      <c r="P425" s="50">
        <f>IFERROR(Table1[[#This Row],[Quality Pass Production]]/Table1[[#This Row],[Actual Production (Kg)]], "")</f>
        <v>1</v>
      </c>
      <c r="Q425" s="50">
        <f>IFERROR(Table1[[#This Row],[Utilization %]]*Table1[[#This Row],[Efficiency %]]*Table1[[#This Row],[Quality %]], "")</f>
        <v>0.3854020979020979</v>
      </c>
      <c r="R425" s="48" t="s">
        <v>139</v>
      </c>
    </row>
    <row r="426" spans="1:18" ht="30" customHeight="1" x14ac:dyDescent="0.25">
      <c r="A426" s="26">
        <v>46148</v>
      </c>
      <c r="B426" s="27" t="s">
        <v>18</v>
      </c>
      <c r="C426" s="27" t="s">
        <v>135</v>
      </c>
      <c r="D426" s="27" t="s">
        <v>29</v>
      </c>
      <c r="E426" s="79"/>
      <c r="F426" s="79">
        <v>1804</v>
      </c>
      <c r="G426" s="79"/>
      <c r="H426" s="28"/>
      <c r="I426" s="79"/>
      <c r="J426" s="79"/>
      <c r="K426" s="27"/>
      <c r="L426" s="53" t="str">
        <f>IF(Table1[[#This Row],[Target Time (Hours)]]="","",Table1[[#This Row],[Target Time (Hours)]]-Table1[[#This Row],[Downtime (Hours)]])</f>
        <v/>
      </c>
      <c r="M426" s="79"/>
      <c r="N426" s="28"/>
      <c r="O426" s="28"/>
      <c r="P426" s="28"/>
      <c r="Q426" s="28"/>
      <c r="R426" s="27" t="s">
        <v>140</v>
      </c>
    </row>
    <row r="427" spans="1:18" ht="30" customHeight="1" x14ac:dyDescent="0.25">
      <c r="A427" s="47">
        <v>46148</v>
      </c>
      <c r="B427" s="48" t="s">
        <v>18</v>
      </c>
      <c r="C427" s="48" t="s">
        <v>30</v>
      </c>
      <c r="D427" s="48" t="s">
        <v>31</v>
      </c>
      <c r="E427" s="49">
        <v>9000</v>
      </c>
      <c r="F427" s="76">
        <v>8864</v>
      </c>
      <c r="G427" s="49">
        <v>0</v>
      </c>
      <c r="H427" s="50">
        <f>IFERROR(Table1[Re-process (Kg)]/Table1[Actual Production (Kg)], "")</f>
        <v>0</v>
      </c>
      <c r="I427" s="49">
        <f>IFERROR(Table1[[#This Row],[Actual Production (Kg)]]-Table1[[#This Row],[Re-process (Kg)]], "")</f>
        <v>8864</v>
      </c>
      <c r="J427" s="49">
        <v>22</v>
      </c>
      <c r="K427" s="72">
        <v>3</v>
      </c>
      <c r="L427" s="49">
        <f>IF(Table1[[#This Row],[Target Time (Hours)]]="","",Table1[[#This Row],[Target Time (Hours)]]-Table1[[#This Row],[Downtime (Hours)]])</f>
        <v>19</v>
      </c>
      <c r="M427" s="49">
        <f>IFERROR(Table1[[#This Row],[Capacity (Kg)]]/Table1[[#This Row],[Target Time (Hours)]] * Table1[[#This Row],[Downtime (Hours)]], "")</f>
        <v>1227.2727272727273</v>
      </c>
      <c r="N427" s="50">
        <f>IFERROR(Table1[[#This Row],[Running Time (hr)]]/Table1[Target Time (Hours)], "")</f>
        <v>0.86363636363636365</v>
      </c>
      <c r="O427" s="50">
        <f>IFERROR(Table1[[#This Row],[Actual Production (Kg)]]/Table1[Capacity (Kg)], "")</f>
        <v>0.98488888888888892</v>
      </c>
      <c r="P427" s="50">
        <f>IFERROR(Table1[[#This Row],[Quality Pass Production]]/Table1[[#This Row],[Actual Production (Kg)]], "")</f>
        <v>1</v>
      </c>
      <c r="Q427" s="50">
        <f>IFERROR(Table1[[#This Row],[Utilization %]]*Table1[[#This Row],[Efficiency %]]*Table1[[#This Row],[Quality %]], "")</f>
        <v>0.85058585858585867</v>
      </c>
    </row>
    <row r="428" spans="1:18" ht="30" customHeight="1" x14ac:dyDescent="0.25">
      <c r="A428" s="26">
        <v>46148</v>
      </c>
      <c r="B428" s="27" t="s">
        <v>18</v>
      </c>
      <c r="C428" s="27" t="s">
        <v>32</v>
      </c>
      <c r="D428" s="27" t="s">
        <v>31</v>
      </c>
      <c r="E428" s="79">
        <f>Table1[[#This Row],[Actual Production (Kg)]]</f>
        <v>0</v>
      </c>
      <c r="F428" s="79">
        <v>0</v>
      </c>
      <c r="G428" s="79"/>
      <c r="H428" s="28"/>
      <c r="I428" s="79"/>
      <c r="J428" s="79"/>
      <c r="K428" s="27"/>
      <c r="L428" s="53" t="str">
        <f>IF(Table1[[#This Row],[Target Time (Hours)]]="","",Table1[[#This Row],[Target Time (Hours)]]-Table1[[#This Row],[Downtime (Hours)]])</f>
        <v/>
      </c>
      <c r="M428" s="79"/>
      <c r="N428" s="28"/>
      <c r="O428" s="28"/>
      <c r="P428" s="28"/>
      <c r="Q428" s="28"/>
      <c r="R428" s="27"/>
    </row>
    <row r="429" spans="1:18" ht="30" customHeight="1" x14ac:dyDescent="0.25">
      <c r="A429" s="47">
        <v>46148</v>
      </c>
      <c r="B429" s="48" t="s">
        <v>33</v>
      </c>
      <c r="C429" s="48" t="s">
        <v>34</v>
      </c>
      <c r="D429" s="48" t="s">
        <v>35</v>
      </c>
      <c r="E429" s="49">
        <v>9000</v>
      </c>
      <c r="F429" s="76">
        <v>8561</v>
      </c>
      <c r="G429" s="49">
        <v>0</v>
      </c>
      <c r="H429" s="50">
        <f>IFERROR(Table1[Re-process (Kg)]/Table1[Actual Production (Kg)], "")</f>
        <v>0</v>
      </c>
      <c r="I429" s="49">
        <f>IFERROR(Table1[[#This Row],[Actual Production (Kg)]]-Table1[[#This Row],[Re-process (Kg)]], "")</f>
        <v>8561</v>
      </c>
      <c r="J429" s="49">
        <v>22</v>
      </c>
      <c r="K429" s="72">
        <v>0</v>
      </c>
      <c r="L429" s="49">
        <f>IF(Table1[[#This Row],[Target Time (Hours)]]="","",Table1[[#This Row],[Target Time (Hours)]]-Table1[[#This Row],[Downtime (Hours)]])</f>
        <v>22</v>
      </c>
      <c r="M429" s="49">
        <f>IFERROR(Table1[[#This Row],[Capacity (Kg)]]/Table1[[#This Row],[Target Time (Hours)]] * Table1[[#This Row],[Downtime (Hours)]], "")</f>
        <v>0</v>
      </c>
      <c r="N429" s="50">
        <f>IFERROR(Table1[[#This Row],[Running Time (hr)]]/Table1[Target Time (Hours)], "")</f>
        <v>1</v>
      </c>
      <c r="O429" s="50">
        <f>IFERROR(Table1[[#This Row],[Actual Production (Kg)]]/Table1[Capacity (Kg)], "")</f>
        <v>0.95122222222222219</v>
      </c>
      <c r="P429" s="50">
        <f>IFERROR(Table1[[#This Row],[Quality Pass Production]]/Table1[[#This Row],[Actual Production (Kg)]], "")</f>
        <v>1</v>
      </c>
      <c r="Q429" s="50">
        <f>IFERROR(Table1[[#This Row],[Utilization %]]*Table1[[#This Row],[Efficiency %]]*Table1[[#This Row],[Quality %]], "")</f>
        <v>0.95122222222222219</v>
      </c>
    </row>
    <row r="430" spans="1:18" x14ac:dyDescent="0.25">
      <c r="A430" s="47">
        <v>46148</v>
      </c>
      <c r="B430" s="48" t="s">
        <v>33</v>
      </c>
      <c r="C430" s="48" t="s">
        <v>36</v>
      </c>
      <c r="D430" s="48" t="s">
        <v>37</v>
      </c>
      <c r="E430" s="49">
        <v>8000</v>
      </c>
      <c r="F430" s="76">
        <v>8114</v>
      </c>
      <c r="G430" s="49">
        <v>0</v>
      </c>
      <c r="H430" s="50">
        <f>IFERROR(Table1[Re-process (Kg)]/Table1[Actual Production (Kg)], "")</f>
        <v>0</v>
      </c>
      <c r="I430" s="49">
        <f>IFERROR(Table1[[#This Row],[Actual Production (Kg)]]-Table1[[#This Row],[Re-process (Kg)]], "")</f>
        <v>8114</v>
      </c>
      <c r="J430" s="49">
        <v>22</v>
      </c>
      <c r="K430" s="72">
        <v>2</v>
      </c>
      <c r="L430" s="49">
        <f>IF(Table1[[#This Row],[Target Time (Hours)]]="","",Table1[[#This Row],[Target Time (Hours)]]-Table1[[#This Row],[Downtime (Hours)]])</f>
        <v>20</v>
      </c>
      <c r="M430" s="49">
        <f>IFERROR(Table1[[#This Row],[Capacity (Kg)]]/Table1[[#This Row],[Target Time (Hours)]] * Table1[[#This Row],[Downtime (Hours)]], "")</f>
        <v>727.27272727272725</v>
      </c>
      <c r="N430" s="50">
        <f>IFERROR(Table1[[#This Row],[Running Time (hr)]]/Table1[Target Time (Hours)], "")</f>
        <v>0.90909090909090906</v>
      </c>
      <c r="O430" s="50">
        <f>IFERROR(Table1[[#This Row],[Actual Production (Kg)]]/Table1[Capacity (Kg)], "")</f>
        <v>1.0142500000000001</v>
      </c>
      <c r="P430" s="50">
        <f>IFERROR(Table1[[#This Row],[Quality Pass Production]]/Table1[[#This Row],[Actual Production (Kg)]], "")</f>
        <v>1</v>
      </c>
      <c r="Q430" s="50">
        <f>IFERROR(Table1[[#This Row],[Utilization %]]*Table1[[#This Row],[Efficiency %]]*Table1[[#This Row],[Quality %]], "")</f>
        <v>0.92204545454545461</v>
      </c>
      <c r="R430" s="48" t="s">
        <v>141</v>
      </c>
    </row>
    <row r="431" spans="1:18" ht="30" customHeight="1" x14ac:dyDescent="0.25">
      <c r="A431" s="47">
        <v>46148</v>
      </c>
      <c r="B431" s="48" t="s">
        <v>33</v>
      </c>
      <c r="C431" s="48" t="s">
        <v>39</v>
      </c>
      <c r="D431" s="48" t="s">
        <v>31</v>
      </c>
      <c r="E431" s="49">
        <v>6000</v>
      </c>
      <c r="F431" s="76">
        <v>3695</v>
      </c>
      <c r="G431" s="49">
        <v>0</v>
      </c>
      <c r="H431" s="50">
        <f>IFERROR(Table1[Re-process (Kg)]/Table1[Actual Production (Kg)], "")</f>
        <v>0</v>
      </c>
      <c r="I431" s="49">
        <f>IFERROR(Table1[[#This Row],[Actual Production (Kg)]]-Table1[[#This Row],[Re-process (Kg)]], "")</f>
        <v>3695</v>
      </c>
      <c r="J431" s="49">
        <v>22</v>
      </c>
      <c r="K431" s="72">
        <v>0</v>
      </c>
      <c r="L431" s="49">
        <f>IF(Table1[[#This Row],[Target Time (Hours)]]="","",Table1[[#This Row],[Target Time (Hours)]]-Table1[[#This Row],[Downtime (Hours)]])</f>
        <v>22</v>
      </c>
      <c r="M431" s="49">
        <f>IFERROR(Table1[[#This Row],[Capacity (Kg)]]/Table1[[#This Row],[Target Time (Hours)]] * Table1[[#This Row],[Downtime (Hours)]], "")</f>
        <v>0</v>
      </c>
      <c r="N431" s="50">
        <f>IFERROR(Table1[[#This Row],[Running Time (hr)]]/Table1[Target Time (Hours)], "")</f>
        <v>1</v>
      </c>
      <c r="O431" s="50">
        <f>IFERROR(Table1[[#This Row],[Actual Production (Kg)]]/Table1[Capacity (Kg)], "")</f>
        <v>0.61583333333333334</v>
      </c>
      <c r="P431" s="50">
        <f>IFERROR(Table1[[#This Row],[Quality Pass Production]]/Table1[[#This Row],[Actual Production (Kg)]], "")</f>
        <v>1</v>
      </c>
      <c r="Q431" s="50">
        <f>IFERROR(Table1[[#This Row],[Utilization %]]*Table1[[#This Row],[Efficiency %]]*Table1[[#This Row],[Quality %]], "")</f>
        <v>0.61583333333333334</v>
      </c>
      <c r="R431" s="48" t="s">
        <v>124</v>
      </c>
    </row>
    <row r="432" spans="1:18" ht="45" customHeight="1" x14ac:dyDescent="0.25">
      <c r="A432" s="54">
        <v>46148</v>
      </c>
      <c r="B432" s="55" t="s">
        <v>33</v>
      </c>
      <c r="C432" s="55" t="s">
        <v>40</v>
      </c>
      <c r="D432" s="55" t="s">
        <v>31</v>
      </c>
      <c r="E432" s="56">
        <v>5000</v>
      </c>
      <c r="F432" s="56">
        <v>2627</v>
      </c>
      <c r="G432" s="56">
        <v>0</v>
      </c>
      <c r="H432" s="58">
        <f>IFERROR(Table1[Re-process (Kg)]/Table1[Actual Production (Kg)], "")</f>
        <v>0</v>
      </c>
      <c r="I432" s="56">
        <f>IFERROR(Table1[[#This Row],[Actual Production (Kg)]]-Table1[[#This Row],[Re-process (Kg)]], "")</f>
        <v>2627</v>
      </c>
      <c r="J432" s="56">
        <v>22</v>
      </c>
      <c r="K432" s="55">
        <v>0</v>
      </c>
      <c r="L432" s="56">
        <f>IF(Table1[[#This Row],[Target Time (Hours)]]="","",Table1[[#This Row],[Target Time (Hours)]]-Table1[[#This Row],[Downtime (Hours)]])</f>
        <v>22</v>
      </c>
      <c r="M432" s="56">
        <f>IFERROR(Table1[[#This Row],[Capacity (Kg)]]/Table1[[#This Row],[Target Time (Hours)]] * Table1[[#This Row],[Downtime (Hours)]], "")</f>
        <v>0</v>
      </c>
      <c r="N432" s="58">
        <f>IFERROR(Table1[[#This Row],[Running Time (hr)]]/Table1[Target Time (Hours)], "")</f>
        <v>1</v>
      </c>
      <c r="O432" s="58">
        <f>IFERROR(Table1[[#This Row],[Actual Production (Kg)]]/Table1[Capacity (Kg)], "")</f>
        <v>0.52539999999999998</v>
      </c>
      <c r="P432" s="58">
        <f>IFERROR(Table1[[#This Row],[Quality Pass Production]]/Table1[[#This Row],[Actual Production (Kg)]], "")</f>
        <v>1</v>
      </c>
      <c r="Q432" s="58">
        <f>IFERROR(Table1[[#This Row],[Utilization %]]*Table1[[#This Row],[Efficiency %]]*Table1[[#This Row],[Quality %]], "")</f>
        <v>0.52539999999999998</v>
      </c>
      <c r="R432" s="55" t="s">
        <v>124</v>
      </c>
    </row>
    <row r="433" spans="1:18" ht="30" customHeight="1" x14ac:dyDescent="0.25">
      <c r="A433" s="47">
        <v>46149</v>
      </c>
      <c r="B433" s="48" t="s">
        <v>18</v>
      </c>
      <c r="C433" s="48" t="s">
        <v>19</v>
      </c>
      <c r="D433" s="48" t="s">
        <v>20</v>
      </c>
      <c r="E433" s="49">
        <v>10000</v>
      </c>
      <c r="F433" s="76">
        <v>7521</v>
      </c>
      <c r="G433" s="49">
        <v>0</v>
      </c>
      <c r="H433" s="50">
        <f>IFERROR(Table1[Re-process (Kg)]/Table1[Actual Production (Kg)], "")</f>
        <v>0</v>
      </c>
      <c r="I433" s="49">
        <f>IFERROR(Table1[[#This Row],[Actual Production (Kg)]]-Table1[[#This Row],[Re-process (Kg)]], "")</f>
        <v>7521</v>
      </c>
      <c r="J433" s="49">
        <v>22</v>
      </c>
      <c r="K433" s="72">
        <v>2</v>
      </c>
      <c r="L433" s="49">
        <f>IF(Table1[[#This Row],[Target Time (Hours)]]="","",Table1[[#This Row],[Target Time (Hours)]]-Table1[[#This Row],[Downtime (Hours)]])</f>
        <v>20</v>
      </c>
      <c r="M433" s="49">
        <f>IFERROR(Table1[[#This Row],[Capacity (Kg)]]/Table1[[#This Row],[Target Time (Hours)]] * Table1[[#This Row],[Downtime (Hours)]], "")</f>
        <v>909.09090909090912</v>
      </c>
      <c r="N433" s="50">
        <f>IFERROR(Table1[[#This Row],[Running Time (hr)]]/Table1[Target Time (Hours)], "")</f>
        <v>0.90909090909090906</v>
      </c>
      <c r="O433" s="50">
        <f>IFERROR(Table1[[#This Row],[Actual Production (Kg)]]/Table1[Capacity (Kg)], "")</f>
        <v>0.75209999999999999</v>
      </c>
      <c r="P433" s="50">
        <f>IFERROR(Table1[[#This Row],[Quality Pass Production]]/Table1[[#This Row],[Actual Production (Kg)]], "")</f>
        <v>1</v>
      </c>
      <c r="Q433" s="50">
        <f>IFERROR(Table1[[#This Row],[Utilization %]]*Table1[[#This Row],[Efficiency %]]*Table1[[#This Row],[Quality %]], "")</f>
        <v>0.68372727272727274</v>
      </c>
      <c r="R433" s="48" t="s">
        <v>142</v>
      </c>
    </row>
    <row r="434" spans="1:18" x14ac:dyDescent="0.25">
      <c r="A434" s="47">
        <v>46149</v>
      </c>
      <c r="B434" s="48" t="s">
        <v>18</v>
      </c>
      <c r="C434" s="48" t="s">
        <v>22</v>
      </c>
      <c r="D434" s="48" t="s">
        <v>23</v>
      </c>
      <c r="E434" s="49">
        <v>5000</v>
      </c>
      <c r="F434" s="76">
        <v>4359</v>
      </c>
      <c r="G434" s="49">
        <v>0</v>
      </c>
      <c r="H434" s="50">
        <f>IFERROR(Table1[Re-process (Kg)]/Table1[Actual Production (Kg)], "")</f>
        <v>0</v>
      </c>
      <c r="I434" s="49">
        <f>IFERROR(Table1[[#This Row],[Actual Production (Kg)]]-Table1[[#This Row],[Re-process (Kg)]], "")</f>
        <v>4359</v>
      </c>
      <c r="J434" s="49"/>
      <c r="K434" s="72">
        <v>0</v>
      </c>
      <c r="L434" s="49" t="str">
        <f>IF(Table1[[#This Row],[Target Time (Hours)]]="","",Table1[[#This Row],[Target Time (Hours)]]-Table1[[#This Row],[Downtime (Hours)]])</f>
        <v/>
      </c>
      <c r="M434" s="49" t="str">
        <f>IFERROR(Table1[[#This Row],[Capacity (Kg)]]/Table1[[#This Row],[Target Time (Hours)]] * Table1[[#This Row],[Downtime (Hours)]], "")</f>
        <v/>
      </c>
      <c r="N434" s="50" t="str">
        <f>IFERROR(Table1[[#This Row],[Running Time (hr)]]/Table1[Target Time (Hours)], "")</f>
        <v/>
      </c>
      <c r="O434" s="50">
        <f>IFERROR(Table1[[#This Row],[Actual Production (Kg)]]/Table1[Capacity (Kg)], "")</f>
        <v>0.87180000000000002</v>
      </c>
      <c r="P434" s="50">
        <f>IFERROR(Table1[[#This Row],[Quality Pass Production]]/Table1[[#This Row],[Actual Production (Kg)]], "")</f>
        <v>1</v>
      </c>
      <c r="Q434" s="50" t="str">
        <f>IFERROR(Table1[[#This Row],[Utilization %]]*Table1[[#This Row],[Efficiency %]]*Table1[[#This Row],[Quality %]], "")</f>
        <v/>
      </c>
    </row>
    <row r="435" spans="1:18" x14ac:dyDescent="0.25">
      <c r="A435" s="47">
        <v>46149</v>
      </c>
      <c r="B435" s="48" t="s">
        <v>18</v>
      </c>
      <c r="C435" s="48" t="s">
        <v>22</v>
      </c>
      <c r="D435" s="48" t="s">
        <v>25</v>
      </c>
      <c r="E435" s="49">
        <v>4000</v>
      </c>
      <c r="F435" s="76">
        <v>3717</v>
      </c>
      <c r="G435" s="49">
        <v>0</v>
      </c>
      <c r="H435" s="50">
        <f>IFERROR(Table1[Re-process (Kg)]/Table1[Actual Production (Kg)], "")</f>
        <v>0</v>
      </c>
      <c r="I435" s="49">
        <f>IFERROR(Table1[[#This Row],[Actual Production (Kg)]]-Table1[[#This Row],[Re-process (Kg)]], "")</f>
        <v>3717</v>
      </c>
      <c r="J435" s="49">
        <v>22</v>
      </c>
      <c r="K435" s="72">
        <v>0</v>
      </c>
      <c r="L435" s="49">
        <f>IF(Table1[[#This Row],[Target Time (Hours)]]="","",Table1[[#This Row],[Target Time (Hours)]]-Table1[[#This Row],[Downtime (Hours)]])</f>
        <v>22</v>
      </c>
      <c r="M435" s="49">
        <f>IFERROR(Table1[[#This Row],[Capacity (Kg)]]/Table1[[#This Row],[Target Time (Hours)]] * Table1[[#This Row],[Downtime (Hours)]], "")</f>
        <v>0</v>
      </c>
      <c r="N435" s="50">
        <f>IFERROR(Table1[[#This Row],[Running Time (hr)]]/Table1[Target Time (Hours)], "")</f>
        <v>1</v>
      </c>
      <c r="O435" s="50">
        <f>IFERROR(Table1[[#This Row],[Actual Production (Kg)]]/Table1[Capacity (Kg)], "")</f>
        <v>0.92925000000000002</v>
      </c>
      <c r="P435" s="50">
        <f>IFERROR(Table1[[#This Row],[Quality Pass Production]]/Table1[[#This Row],[Actual Production (Kg)]], "")</f>
        <v>1</v>
      </c>
      <c r="Q435" s="50">
        <f>IFERROR(Table1[[#This Row],[Utilization %]]*Table1[[#This Row],[Efficiency %]]*Table1[[#This Row],[Quality %]], "")</f>
        <v>0.92925000000000002</v>
      </c>
    </row>
    <row r="436" spans="1:18" x14ac:dyDescent="0.25">
      <c r="A436" s="47">
        <v>46149</v>
      </c>
      <c r="B436" s="48" t="s">
        <v>18</v>
      </c>
      <c r="C436" s="48" t="s">
        <v>26</v>
      </c>
      <c r="D436" s="48" t="s">
        <v>25</v>
      </c>
      <c r="E436" s="49">
        <v>7000</v>
      </c>
      <c r="F436" s="76">
        <v>6361</v>
      </c>
      <c r="G436" s="49">
        <v>0</v>
      </c>
      <c r="H436" s="50">
        <f>IFERROR(Table1[Re-process (Kg)]/Table1[Actual Production (Kg)], "")</f>
        <v>0</v>
      </c>
      <c r="I436" s="49">
        <f>IFERROR(Table1[[#This Row],[Actual Production (Kg)]]-Table1[[#This Row],[Re-process (Kg)]], "")</f>
        <v>6361</v>
      </c>
      <c r="J436" s="49">
        <v>22</v>
      </c>
      <c r="K436" s="72">
        <v>0</v>
      </c>
      <c r="L436" s="49">
        <f>IF(Table1[[#This Row],[Target Time (Hours)]]="","",Table1[[#This Row],[Target Time (Hours)]]-Table1[[#This Row],[Downtime (Hours)]])</f>
        <v>22</v>
      </c>
      <c r="M436" s="49">
        <f>IFERROR(Table1[[#This Row],[Capacity (Kg)]]/Table1[[#This Row],[Target Time (Hours)]] * Table1[[#This Row],[Downtime (Hours)]], "")</f>
        <v>0</v>
      </c>
      <c r="N436" s="50">
        <f>IFERROR(Table1[[#This Row],[Running Time (hr)]]/Table1[Target Time (Hours)], "")</f>
        <v>1</v>
      </c>
      <c r="O436" s="50">
        <f>IFERROR(Table1[[#This Row],[Actual Production (Kg)]]/Table1[Capacity (Kg)], "")</f>
        <v>0.9087142857142857</v>
      </c>
      <c r="P436" s="50">
        <f>IFERROR(Table1[[#This Row],[Quality Pass Production]]/Table1[[#This Row],[Actual Production (Kg)]], "")</f>
        <v>1</v>
      </c>
      <c r="Q436" s="50">
        <f>IFERROR(Table1[[#This Row],[Utilization %]]*Table1[[#This Row],[Efficiency %]]*Table1[[#This Row],[Quality %]], "")</f>
        <v>0.9087142857142857</v>
      </c>
    </row>
    <row r="437" spans="1:18" ht="30" customHeight="1" x14ac:dyDescent="0.25">
      <c r="A437" s="47">
        <v>46149</v>
      </c>
      <c r="B437" s="48" t="s">
        <v>18</v>
      </c>
      <c r="C437" s="48" t="s">
        <v>28</v>
      </c>
      <c r="D437" s="48" t="s">
        <v>29</v>
      </c>
      <c r="E437" s="49">
        <v>7800</v>
      </c>
      <c r="F437" s="76">
        <v>7051</v>
      </c>
      <c r="G437" s="49">
        <v>0</v>
      </c>
      <c r="H437" s="50">
        <f>IFERROR(Table1[Re-process (Kg)]/Table1[Actual Production (Kg)], "")</f>
        <v>0</v>
      </c>
      <c r="I437" s="49">
        <f>IFERROR(Table1[[#This Row],[Actual Production (Kg)]]-Table1[[#This Row],[Re-process (Kg)]], "")</f>
        <v>7051</v>
      </c>
      <c r="J437" s="49">
        <v>22</v>
      </c>
      <c r="K437" s="72">
        <v>0</v>
      </c>
      <c r="L437" s="49">
        <f>IF(Table1[[#This Row],[Target Time (Hours)]]="","",Table1[[#This Row],[Target Time (Hours)]]-Table1[[#This Row],[Downtime (Hours)]])</f>
        <v>22</v>
      </c>
      <c r="M437" s="49">
        <f>IFERROR(Table1[[#This Row],[Capacity (Kg)]]/Table1[[#This Row],[Target Time (Hours)]] * Table1[[#This Row],[Downtime (Hours)]], "")</f>
        <v>0</v>
      </c>
      <c r="N437" s="50">
        <f>IFERROR(Table1[[#This Row],[Running Time (hr)]]/Table1[Target Time (Hours)], "")</f>
        <v>1</v>
      </c>
      <c r="O437" s="50">
        <f>IFERROR(Table1[[#This Row],[Actual Production (Kg)]]/Table1[Capacity (Kg)], "")</f>
        <v>0.90397435897435896</v>
      </c>
      <c r="P437" s="50">
        <f>IFERROR(Table1[[#This Row],[Quality Pass Production]]/Table1[[#This Row],[Actual Production (Kg)]], "")</f>
        <v>1</v>
      </c>
      <c r="Q437" s="50">
        <f>IFERROR(Table1[[#This Row],[Utilization %]]*Table1[[#This Row],[Efficiency %]]*Table1[[#This Row],[Quality %]], "")</f>
        <v>0.90397435897435896</v>
      </c>
    </row>
    <row r="438" spans="1:18" ht="30" customHeight="1" x14ac:dyDescent="0.25">
      <c r="A438" s="26">
        <v>46149</v>
      </c>
      <c r="B438" s="27" t="s">
        <v>18</v>
      </c>
      <c r="C438" s="27" t="s">
        <v>135</v>
      </c>
      <c r="D438" s="27" t="s">
        <v>29</v>
      </c>
      <c r="E438" s="79"/>
      <c r="F438" s="79">
        <v>0</v>
      </c>
      <c r="G438" s="79"/>
      <c r="H438" s="28"/>
      <c r="I438" s="79"/>
      <c r="J438" s="79"/>
      <c r="K438" s="27"/>
      <c r="L438" s="53" t="str">
        <f>IF(Table1[[#This Row],[Target Time (Hours)]]="","",Table1[[#This Row],[Target Time (Hours)]]-Table1[[#This Row],[Downtime (Hours)]])</f>
        <v/>
      </c>
      <c r="M438" s="79"/>
      <c r="N438" s="28"/>
      <c r="O438" s="28"/>
      <c r="P438" s="28"/>
      <c r="Q438" s="28"/>
      <c r="R438" s="27"/>
    </row>
    <row r="439" spans="1:18" ht="30" customHeight="1" x14ac:dyDescent="0.25">
      <c r="A439" s="47">
        <v>46149</v>
      </c>
      <c r="B439" s="48" t="s">
        <v>18</v>
      </c>
      <c r="C439" s="48" t="s">
        <v>30</v>
      </c>
      <c r="D439" s="48" t="s">
        <v>31</v>
      </c>
      <c r="E439" s="49">
        <v>9000</v>
      </c>
      <c r="F439" s="76">
        <v>8707</v>
      </c>
      <c r="G439" s="49">
        <v>0</v>
      </c>
      <c r="H439" s="50">
        <f>IFERROR(Table1[Re-process (Kg)]/Table1[Actual Production (Kg)], "")</f>
        <v>0</v>
      </c>
      <c r="I439" s="49">
        <f>IFERROR(Table1[[#This Row],[Actual Production (Kg)]]-Table1[[#This Row],[Re-process (Kg)]], "")</f>
        <v>8707</v>
      </c>
      <c r="J439" s="49">
        <v>22</v>
      </c>
      <c r="K439" s="72">
        <v>0</v>
      </c>
      <c r="L439" s="49">
        <f>IF(Table1[[#This Row],[Target Time (Hours)]]="","",Table1[[#This Row],[Target Time (Hours)]]-Table1[[#This Row],[Downtime (Hours)]])</f>
        <v>22</v>
      </c>
      <c r="M439" s="49">
        <f>IFERROR(Table1[[#This Row],[Capacity (Kg)]]/Table1[[#This Row],[Target Time (Hours)]] * Table1[[#This Row],[Downtime (Hours)]], "")</f>
        <v>0</v>
      </c>
      <c r="N439" s="50">
        <f>IFERROR(Table1[[#This Row],[Running Time (hr)]]/Table1[Target Time (Hours)], "")</f>
        <v>1</v>
      </c>
      <c r="O439" s="50">
        <f>IFERROR(Table1[[#This Row],[Actual Production (Kg)]]/Table1[Capacity (Kg)], "")</f>
        <v>0.96744444444444444</v>
      </c>
      <c r="P439" s="50">
        <f>IFERROR(Table1[[#This Row],[Quality Pass Production]]/Table1[[#This Row],[Actual Production (Kg)]], "")</f>
        <v>1</v>
      </c>
      <c r="Q439" s="50">
        <f>IFERROR(Table1[[#This Row],[Utilization %]]*Table1[[#This Row],[Efficiency %]]*Table1[[#This Row],[Quality %]], "")</f>
        <v>0.96744444444444444</v>
      </c>
    </row>
    <row r="440" spans="1:18" ht="30" customHeight="1" x14ac:dyDescent="0.25">
      <c r="A440" s="26">
        <v>46149</v>
      </c>
      <c r="B440" s="27" t="s">
        <v>18</v>
      </c>
      <c r="C440" s="27" t="s">
        <v>32</v>
      </c>
      <c r="D440" s="27" t="s">
        <v>31</v>
      </c>
      <c r="E440" s="79">
        <f>Table1[[#This Row],[Actual Production (Kg)]]</f>
        <v>0</v>
      </c>
      <c r="F440" s="79">
        <v>0</v>
      </c>
      <c r="G440" s="79"/>
      <c r="H440" s="28"/>
      <c r="I440" s="79"/>
      <c r="J440" s="79"/>
      <c r="K440" s="27"/>
      <c r="L440" s="53" t="str">
        <f>IF(Table1[[#This Row],[Target Time (Hours)]]="","",Table1[[#This Row],[Target Time (Hours)]]-Table1[[#This Row],[Downtime (Hours)]])</f>
        <v/>
      </c>
      <c r="M440" s="79"/>
      <c r="N440" s="28"/>
      <c r="O440" s="28"/>
      <c r="P440" s="28"/>
      <c r="Q440" s="28"/>
      <c r="R440" s="27"/>
    </row>
    <row r="441" spans="1:18" ht="30" customHeight="1" x14ac:dyDescent="0.25">
      <c r="A441" s="47">
        <v>46149</v>
      </c>
      <c r="B441" s="48" t="s">
        <v>33</v>
      </c>
      <c r="C441" s="48" t="s">
        <v>34</v>
      </c>
      <c r="D441" s="48" t="s">
        <v>35</v>
      </c>
      <c r="E441" s="49">
        <v>9000</v>
      </c>
      <c r="F441" s="76">
        <v>5798</v>
      </c>
      <c r="G441" s="49">
        <v>0</v>
      </c>
      <c r="H441" s="50">
        <f>IFERROR(Table1[Re-process (Kg)]/Table1[Actual Production (Kg)], "")</f>
        <v>0</v>
      </c>
      <c r="I441" s="49">
        <f>IFERROR(Table1[[#This Row],[Actual Production (Kg)]]-Table1[[#This Row],[Re-process (Kg)]], "")</f>
        <v>5798</v>
      </c>
      <c r="J441" s="49">
        <v>22</v>
      </c>
      <c r="K441" s="72">
        <v>0</v>
      </c>
      <c r="L441" s="49">
        <f>IF(Table1[[#This Row],[Target Time (Hours)]]="","",Table1[[#This Row],[Target Time (Hours)]]-Table1[[#This Row],[Downtime (Hours)]])</f>
        <v>22</v>
      </c>
      <c r="M441" s="49">
        <f>IFERROR(Table1[[#This Row],[Capacity (Kg)]]/Table1[[#This Row],[Target Time (Hours)]] * Table1[[#This Row],[Downtime (Hours)]], "")</f>
        <v>0</v>
      </c>
      <c r="N441" s="50">
        <f>IFERROR(Table1[[#This Row],[Running Time (hr)]]/Table1[Target Time (Hours)], "")</f>
        <v>1</v>
      </c>
      <c r="O441" s="50">
        <f>IFERROR(Table1[[#This Row],[Actual Production (Kg)]]/Table1[Capacity (Kg)], "")</f>
        <v>0.64422222222222225</v>
      </c>
      <c r="P441" s="50">
        <f>IFERROR(Table1[[#This Row],[Quality Pass Production]]/Table1[[#This Row],[Actual Production (Kg)]], "")</f>
        <v>1</v>
      </c>
      <c r="Q441" s="50">
        <f>IFERROR(Table1[[#This Row],[Utilization %]]*Table1[[#This Row],[Efficiency %]]*Table1[[#This Row],[Quality %]], "")</f>
        <v>0.64422222222222225</v>
      </c>
    </row>
    <row r="442" spans="1:18" x14ac:dyDescent="0.25">
      <c r="A442" s="47">
        <v>46149</v>
      </c>
      <c r="B442" s="48" t="s">
        <v>33</v>
      </c>
      <c r="C442" s="48" t="s">
        <v>36</v>
      </c>
      <c r="D442" s="48" t="s">
        <v>37</v>
      </c>
      <c r="E442" s="49">
        <v>8000</v>
      </c>
      <c r="F442" s="76">
        <v>6734</v>
      </c>
      <c r="G442" s="49">
        <v>0</v>
      </c>
      <c r="H442" s="50">
        <f>IFERROR(Table1[Re-process (Kg)]/Table1[Actual Production (Kg)], "")</f>
        <v>0</v>
      </c>
      <c r="I442" s="49">
        <f>IFERROR(Table1[[#This Row],[Actual Production (Kg)]]-Table1[[#This Row],[Re-process (Kg)]], "")</f>
        <v>6734</v>
      </c>
      <c r="J442" s="49">
        <v>22</v>
      </c>
      <c r="K442" s="72">
        <v>0</v>
      </c>
      <c r="L442" s="49">
        <f>IF(Table1[[#This Row],[Target Time (Hours)]]="","",Table1[[#This Row],[Target Time (Hours)]]-Table1[[#This Row],[Downtime (Hours)]])</f>
        <v>22</v>
      </c>
      <c r="M442" s="49">
        <f>IFERROR(Table1[[#This Row],[Capacity (Kg)]]/Table1[[#This Row],[Target Time (Hours)]] * Table1[[#This Row],[Downtime (Hours)]], "")</f>
        <v>0</v>
      </c>
      <c r="N442" s="50">
        <f>IFERROR(Table1[[#This Row],[Running Time (hr)]]/Table1[Target Time (Hours)], "")</f>
        <v>1</v>
      </c>
      <c r="O442" s="50">
        <f>IFERROR(Table1[[#This Row],[Actual Production (Kg)]]/Table1[Capacity (Kg)], "")</f>
        <v>0.84175</v>
      </c>
      <c r="P442" s="50">
        <f>IFERROR(Table1[[#This Row],[Quality Pass Production]]/Table1[[#This Row],[Actual Production (Kg)]], "")</f>
        <v>1</v>
      </c>
      <c r="Q442" s="50">
        <f>IFERROR(Table1[[#This Row],[Utilization %]]*Table1[[#This Row],[Efficiency %]]*Table1[[#This Row],[Quality %]], "")</f>
        <v>0.84175</v>
      </c>
    </row>
    <row r="443" spans="1:18" ht="30" customHeight="1" x14ac:dyDescent="0.25">
      <c r="A443" s="47">
        <v>46149</v>
      </c>
      <c r="B443" s="48" t="s">
        <v>33</v>
      </c>
      <c r="C443" s="48" t="s">
        <v>39</v>
      </c>
      <c r="D443" s="48" t="s">
        <v>31</v>
      </c>
      <c r="E443" s="49">
        <v>6000</v>
      </c>
      <c r="F443" s="76">
        <v>2369</v>
      </c>
      <c r="G443" s="49">
        <v>0</v>
      </c>
      <c r="H443" s="50">
        <f>IFERROR(Table1[Re-process (Kg)]/Table1[Actual Production (Kg)], "")</f>
        <v>0</v>
      </c>
      <c r="I443" s="49">
        <f>IFERROR(Table1[[#This Row],[Actual Production (Kg)]]-Table1[[#This Row],[Re-process (Kg)]], "")</f>
        <v>2369</v>
      </c>
      <c r="J443" s="49">
        <v>22</v>
      </c>
      <c r="K443" s="72">
        <v>0</v>
      </c>
      <c r="L443" s="49">
        <f>IF(Table1[[#This Row],[Target Time (Hours)]]="","",Table1[[#This Row],[Target Time (Hours)]]-Table1[[#This Row],[Downtime (Hours)]])</f>
        <v>22</v>
      </c>
      <c r="M443" s="49">
        <f>IFERROR(Table1[[#This Row],[Capacity (Kg)]]/Table1[[#This Row],[Target Time (Hours)]] * Table1[[#This Row],[Downtime (Hours)]], "")</f>
        <v>0</v>
      </c>
      <c r="N443" s="50">
        <f>IFERROR(Table1[[#This Row],[Running Time (hr)]]/Table1[Target Time (Hours)], "")</f>
        <v>1</v>
      </c>
      <c r="O443" s="50">
        <f>IFERROR(Table1[[#This Row],[Actual Production (Kg)]]/Table1[Capacity (Kg)], "")</f>
        <v>0.39483333333333331</v>
      </c>
      <c r="P443" s="50">
        <f>IFERROR(Table1[[#This Row],[Quality Pass Production]]/Table1[[#This Row],[Actual Production (Kg)]], "")</f>
        <v>1</v>
      </c>
      <c r="Q443" s="50">
        <f>IFERROR(Table1[[#This Row],[Utilization %]]*Table1[[#This Row],[Efficiency %]]*Table1[[#This Row],[Quality %]], "")</f>
        <v>0.39483333333333331</v>
      </c>
    </row>
    <row r="444" spans="1:18" ht="45" customHeight="1" x14ac:dyDescent="0.25">
      <c r="A444" s="54">
        <v>46149</v>
      </c>
      <c r="B444" s="55" t="s">
        <v>33</v>
      </c>
      <c r="C444" s="55" t="s">
        <v>40</v>
      </c>
      <c r="D444" s="55" t="s">
        <v>31</v>
      </c>
      <c r="E444" s="56">
        <v>5000</v>
      </c>
      <c r="F444" s="56">
        <v>3465</v>
      </c>
      <c r="G444" s="56">
        <v>0</v>
      </c>
      <c r="H444" s="58">
        <f>IFERROR(Table1[Re-process (Kg)]/Table1[Actual Production (Kg)], "")</f>
        <v>0</v>
      </c>
      <c r="I444" s="56">
        <f>IFERROR(Table1[[#This Row],[Actual Production (Kg)]]-Table1[[#This Row],[Re-process (Kg)]], "")</f>
        <v>3465</v>
      </c>
      <c r="J444" s="56">
        <v>22</v>
      </c>
      <c r="K444" s="55">
        <v>0</v>
      </c>
      <c r="L444" s="56">
        <f>IF(Table1[[#This Row],[Target Time (Hours)]]="","",Table1[[#This Row],[Target Time (Hours)]]-Table1[[#This Row],[Downtime (Hours)]])</f>
        <v>22</v>
      </c>
      <c r="M444" s="56">
        <f>IFERROR(Table1[[#This Row],[Capacity (Kg)]]/Table1[[#This Row],[Target Time (Hours)]] * Table1[[#This Row],[Downtime (Hours)]], "")</f>
        <v>0</v>
      </c>
      <c r="N444" s="58">
        <f>IFERROR(Table1[[#This Row],[Running Time (hr)]]/Table1[Target Time (Hours)], "")</f>
        <v>1</v>
      </c>
      <c r="O444" s="58">
        <f>IFERROR(Table1[[#This Row],[Actual Production (Kg)]]/Table1[Capacity (Kg)], "")</f>
        <v>0.69299999999999995</v>
      </c>
      <c r="P444" s="58">
        <f>IFERROR(Table1[[#This Row],[Quality Pass Production]]/Table1[[#This Row],[Actual Production (Kg)]], "")</f>
        <v>1</v>
      </c>
      <c r="Q444" s="58">
        <f>IFERROR(Table1[[#This Row],[Utilization %]]*Table1[[#This Row],[Efficiency %]]*Table1[[#This Row],[Quality %]], "")</f>
        <v>0.69299999999999995</v>
      </c>
      <c r="R444" s="55"/>
    </row>
    <row r="445" spans="1:18" ht="30" customHeight="1" x14ac:dyDescent="0.25">
      <c r="A445" s="47">
        <v>46150</v>
      </c>
      <c r="B445" s="48" t="s">
        <v>18</v>
      </c>
      <c r="C445" s="48" t="s">
        <v>19</v>
      </c>
      <c r="D445" s="48" t="s">
        <v>20</v>
      </c>
      <c r="E445" s="49">
        <v>5000</v>
      </c>
      <c r="F445" s="76">
        <v>4507</v>
      </c>
      <c r="G445" s="49">
        <v>0</v>
      </c>
      <c r="H445" s="50">
        <f>IFERROR(Table1[Re-process (Kg)]/Table1[Actual Production (Kg)], "")</f>
        <v>0</v>
      </c>
      <c r="I445" s="49">
        <f>IFERROR(Table1[[#This Row],[Actual Production (Kg)]]-Table1[[#This Row],[Re-process (Kg)]], "")</f>
        <v>4507</v>
      </c>
      <c r="J445" s="49">
        <v>11</v>
      </c>
      <c r="K445" s="72">
        <v>0</v>
      </c>
      <c r="L445" s="49">
        <f>IF(Table1[[#This Row],[Target Time (Hours)]]="","",Table1[[#This Row],[Target Time (Hours)]]-Table1[[#This Row],[Downtime (Hours)]])</f>
        <v>11</v>
      </c>
      <c r="M445" s="49">
        <f>IFERROR(Table1[[#This Row],[Capacity (Kg)]]/Table1[[#This Row],[Target Time (Hours)]] * Table1[[#This Row],[Downtime (Hours)]], "")</f>
        <v>0</v>
      </c>
      <c r="N445" s="50">
        <f>IFERROR(Table1[[#This Row],[Running Time (hr)]]/Table1[Target Time (Hours)], "")</f>
        <v>1</v>
      </c>
      <c r="O445" s="50">
        <f>IFERROR(Table1[[#This Row],[Actual Production (Kg)]]/Table1[Capacity (Kg)], "")</f>
        <v>0.90139999999999998</v>
      </c>
      <c r="P445" s="50">
        <f>IFERROR(Table1[[#This Row],[Quality Pass Production]]/Table1[[#This Row],[Actual Production (Kg)]], "")</f>
        <v>1</v>
      </c>
      <c r="Q445" s="50">
        <f>IFERROR(Table1[[#This Row],[Utilization %]]*Table1[[#This Row],[Efficiency %]]*Table1[[#This Row],[Quality %]], "")</f>
        <v>0.90139999999999998</v>
      </c>
    </row>
    <row r="446" spans="1:18" x14ac:dyDescent="0.25">
      <c r="A446" s="47">
        <v>46150</v>
      </c>
      <c r="B446" s="48" t="s">
        <v>18</v>
      </c>
      <c r="C446" s="48" t="s">
        <v>22</v>
      </c>
      <c r="D446" s="48" t="s">
        <v>23</v>
      </c>
      <c r="E446" s="49">
        <v>2500</v>
      </c>
      <c r="F446" s="76">
        <v>2847</v>
      </c>
      <c r="G446" s="49">
        <v>0</v>
      </c>
      <c r="H446" s="50">
        <f>IFERROR(Table1[Re-process (Kg)]/Table1[Actual Production (Kg)], "")</f>
        <v>0</v>
      </c>
      <c r="I446" s="49">
        <f>IFERROR(Table1[[#This Row],[Actual Production (Kg)]]-Table1[[#This Row],[Re-process (Kg)]], "")</f>
        <v>2847</v>
      </c>
      <c r="J446" s="49"/>
      <c r="K446" s="72">
        <v>0</v>
      </c>
      <c r="L446" s="49" t="str">
        <f>IF(Table1[[#This Row],[Target Time (Hours)]]="","",Table1[[#This Row],[Target Time (Hours)]]-Table1[[#This Row],[Downtime (Hours)]])</f>
        <v/>
      </c>
      <c r="M446" s="49" t="str">
        <f>IFERROR(Table1[[#This Row],[Capacity (Kg)]]/Table1[[#This Row],[Target Time (Hours)]] * Table1[[#This Row],[Downtime (Hours)]], "")</f>
        <v/>
      </c>
      <c r="N446" s="50" t="str">
        <f>IFERROR(Table1[[#This Row],[Running Time (hr)]]/Table1[Target Time (Hours)], "")</f>
        <v/>
      </c>
      <c r="O446" s="50">
        <f>IFERROR(Table1[[#This Row],[Actual Production (Kg)]]/Table1[Capacity (Kg)], "")</f>
        <v>1.1388</v>
      </c>
      <c r="P446" s="50">
        <f>IFERROR(Table1[[#This Row],[Quality Pass Production]]/Table1[[#This Row],[Actual Production (Kg)]], "")</f>
        <v>1</v>
      </c>
      <c r="Q446" s="50" t="str">
        <f>IFERROR(Table1[[#This Row],[Utilization %]]*Table1[[#This Row],[Efficiency %]]*Table1[[#This Row],[Quality %]], "")</f>
        <v/>
      </c>
    </row>
    <row r="447" spans="1:18" x14ac:dyDescent="0.25">
      <c r="A447" s="47">
        <v>46150</v>
      </c>
      <c r="B447" s="48" t="s">
        <v>18</v>
      </c>
      <c r="C447" s="48" t="s">
        <v>22</v>
      </c>
      <c r="D447" s="48" t="s">
        <v>25</v>
      </c>
      <c r="E447" s="49">
        <v>2000</v>
      </c>
      <c r="F447" s="76">
        <v>1653</v>
      </c>
      <c r="G447" s="49">
        <v>0</v>
      </c>
      <c r="H447" s="50">
        <f>IFERROR(Table1[Re-process (Kg)]/Table1[Actual Production (Kg)], "")</f>
        <v>0</v>
      </c>
      <c r="I447" s="49">
        <f>IFERROR(Table1[[#This Row],[Actual Production (Kg)]]-Table1[[#This Row],[Re-process (Kg)]], "")</f>
        <v>1653</v>
      </c>
      <c r="J447" s="49">
        <v>11</v>
      </c>
      <c r="K447" s="72">
        <v>0</v>
      </c>
      <c r="L447" s="49">
        <f>IF(Table1[[#This Row],[Target Time (Hours)]]="","",Table1[[#This Row],[Target Time (Hours)]]-Table1[[#This Row],[Downtime (Hours)]])</f>
        <v>11</v>
      </c>
      <c r="M447" s="49">
        <f>IFERROR(Table1[[#This Row],[Capacity (Kg)]]/Table1[[#This Row],[Target Time (Hours)]] * Table1[[#This Row],[Downtime (Hours)]], "")</f>
        <v>0</v>
      </c>
      <c r="N447" s="50">
        <f>IFERROR(Table1[[#This Row],[Running Time (hr)]]/Table1[Target Time (Hours)], "")</f>
        <v>1</v>
      </c>
      <c r="O447" s="50">
        <f>IFERROR(Table1[[#This Row],[Actual Production (Kg)]]/Table1[Capacity (Kg)], "")</f>
        <v>0.82650000000000001</v>
      </c>
      <c r="P447" s="50">
        <f>IFERROR(Table1[[#This Row],[Quality Pass Production]]/Table1[[#This Row],[Actual Production (Kg)]], "")</f>
        <v>1</v>
      </c>
      <c r="Q447" s="50">
        <f>IFERROR(Table1[[#This Row],[Utilization %]]*Table1[[#This Row],[Efficiency %]]*Table1[[#This Row],[Quality %]], "")</f>
        <v>0.82650000000000001</v>
      </c>
    </row>
    <row r="448" spans="1:18" x14ac:dyDescent="0.25">
      <c r="A448" s="47">
        <v>46150</v>
      </c>
      <c r="B448" s="48" t="s">
        <v>18</v>
      </c>
      <c r="C448" s="48" t="s">
        <v>26</v>
      </c>
      <c r="D448" s="48" t="s">
        <v>25</v>
      </c>
      <c r="E448" s="49">
        <v>3500</v>
      </c>
      <c r="F448" s="76">
        <v>3770</v>
      </c>
      <c r="G448" s="49">
        <v>0</v>
      </c>
      <c r="H448" s="50">
        <f>IFERROR(Table1[Re-process (Kg)]/Table1[Actual Production (Kg)], "")</f>
        <v>0</v>
      </c>
      <c r="I448" s="49">
        <f>IFERROR(Table1[[#This Row],[Actual Production (Kg)]]-Table1[[#This Row],[Re-process (Kg)]], "")</f>
        <v>3770</v>
      </c>
      <c r="J448" s="49">
        <v>11</v>
      </c>
      <c r="K448" s="72">
        <v>0</v>
      </c>
      <c r="L448" s="49">
        <f>IF(Table1[[#This Row],[Target Time (Hours)]]="","",Table1[[#This Row],[Target Time (Hours)]]-Table1[[#This Row],[Downtime (Hours)]])</f>
        <v>11</v>
      </c>
      <c r="M448" s="49">
        <f>IFERROR(Table1[[#This Row],[Capacity (Kg)]]/Table1[[#This Row],[Target Time (Hours)]] * Table1[[#This Row],[Downtime (Hours)]], "")</f>
        <v>0</v>
      </c>
      <c r="N448" s="50">
        <f>IFERROR(Table1[[#This Row],[Running Time (hr)]]/Table1[Target Time (Hours)], "")</f>
        <v>1</v>
      </c>
      <c r="O448" s="50">
        <f>IFERROR(Table1[[#This Row],[Actual Production (Kg)]]/Table1[Capacity (Kg)], "")</f>
        <v>1.0771428571428572</v>
      </c>
      <c r="P448" s="50">
        <f>IFERROR(Table1[[#This Row],[Quality Pass Production]]/Table1[[#This Row],[Actual Production (Kg)]], "")</f>
        <v>1</v>
      </c>
      <c r="Q448" s="50">
        <f>IFERROR(Table1[[#This Row],[Utilization %]]*Table1[[#This Row],[Efficiency %]]*Table1[[#This Row],[Quality %]], "")</f>
        <v>1.0771428571428572</v>
      </c>
    </row>
    <row r="449" spans="1:18" ht="30" customHeight="1" x14ac:dyDescent="0.25">
      <c r="A449" s="47">
        <v>46150</v>
      </c>
      <c r="B449" s="48" t="s">
        <v>18</v>
      </c>
      <c r="C449" s="48" t="s">
        <v>28</v>
      </c>
      <c r="D449" s="48" t="s">
        <v>29</v>
      </c>
      <c r="E449" s="49">
        <v>3900</v>
      </c>
      <c r="F449" s="76">
        <v>4366</v>
      </c>
      <c r="G449" s="49">
        <v>0</v>
      </c>
      <c r="H449" s="50">
        <f>IFERROR(Table1[Re-process (Kg)]/Table1[Actual Production (Kg)], "")</f>
        <v>0</v>
      </c>
      <c r="I449" s="49">
        <f>IFERROR(Table1[[#This Row],[Actual Production (Kg)]]-Table1[[#This Row],[Re-process (Kg)]], "")</f>
        <v>4366</v>
      </c>
      <c r="J449" s="49">
        <v>11</v>
      </c>
      <c r="K449" s="72">
        <v>0</v>
      </c>
      <c r="L449" s="49">
        <f>IF(Table1[[#This Row],[Target Time (Hours)]]="","",Table1[[#This Row],[Target Time (Hours)]]-Table1[[#This Row],[Downtime (Hours)]])</f>
        <v>11</v>
      </c>
      <c r="M449" s="49">
        <f>IFERROR(Table1[[#This Row],[Capacity (Kg)]]/Table1[[#This Row],[Target Time (Hours)]] * Table1[[#This Row],[Downtime (Hours)]], "")</f>
        <v>0</v>
      </c>
      <c r="N449" s="50">
        <f>IFERROR(Table1[[#This Row],[Running Time (hr)]]/Table1[Target Time (Hours)], "")</f>
        <v>1</v>
      </c>
      <c r="O449" s="50">
        <f>IFERROR(Table1[[#This Row],[Actual Production (Kg)]]/Table1[Capacity (Kg)], "")</f>
        <v>1.1194871794871795</v>
      </c>
      <c r="P449" s="50">
        <f>IFERROR(Table1[[#This Row],[Quality Pass Production]]/Table1[[#This Row],[Actual Production (Kg)]], "")</f>
        <v>1</v>
      </c>
      <c r="Q449" s="50">
        <f>IFERROR(Table1[[#This Row],[Utilization %]]*Table1[[#This Row],[Efficiency %]]*Table1[[#This Row],[Quality %]], "")</f>
        <v>1.1194871794871795</v>
      </c>
    </row>
    <row r="450" spans="1:18" ht="30" customHeight="1" x14ac:dyDescent="0.25">
      <c r="A450" s="26">
        <v>46150</v>
      </c>
      <c r="B450" s="27" t="s">
        <v>18</v>
      </c>
      <c r="C450" s="27" t="s">
        <v>135</v>
      </c>
      <c r="D450" s="27" t="s">
        <v>29</v>
      </c>
      <c r="E450" s="79"/>
      <c r="F450" s="79">
        <v>0</v>
      </c>
      <c r="G450" s="79"/>
      <c r="H450" s="28"/>
      <c r="I450" s="79"/>
      <c r="J450" s="79"/>
      <c r="K450" s="27"/>
      <c r="L450" s="53" t="str">
        <f>IF(Table1[[#This Row],[Target Time (Hours)]]="","",Table1[[#This Row],[Target Time (Hours)]]-Table1[[#This Row],[Downtime (Hours)]])</f>
        <v/>
      </c>
      <c r="M450" s="79"/>
      <c r="N450" s="28"/>
      <c r="O450" s="28"/>
      <c r="P450" s="28"/>
      <c r="Q450" s="28"/>
      <c r="R450" s="27"/>
    </row>
    <row r="451" spans="1:18" ht="30" customHeight="1" x14ac:dyDescent="0.25">
      <c r="A451" s="47">
        <v>46150</v>
      </c>
      <c r="B451" s="48" t="s">
        <v>18</v>
      </c>
      <c r="C451" s="48" t="s">
        <v>30</v>
      </c>
      <c r="D451" s="48" t="s">
        <v>31</v>
      </c>
      <c r="E451" s="49">
        <v>4500</v>
      </c>
      <c r="F451" s="76">
        <v>4051</v>
      </c>
      <c r="G451" s="49">
        <v>0</v>
      </c>
      <c r="H451" s="50">
        <f>IFERROR(Table1[Re-process (Kg)]/Table1[Actual Production (Kg)], "")</f>
        <v>0</v>
      </c>
      <c r="I451" s="49">
        <f>IFERROR(Table1[[#This Row],[Actual Production (Kg)]]-Table1[[#This Row],[Re-process (Kg)]], "")</f>
        <v>4051</v>
      </c>
      <c r="J451" s="49">
        <v>11</v>
      </c>
      <c r="K451" s="72">
        <v>0</v>
      </c>
      <c r="L451" s="49">
        <f>IF(Table1[[#This Row],[Target Time (Hours)]]="","",Table1[[#This Row],[Target Time (Hours)]]-Table1[[#This Row],[Downtime (Hours)]])</f>
        <v>11</v>
      </c>
      <c r="M451" s="49">
        <f>IFERROR(Table1[[#This Row],[Capacity (Kg)]]/Table1[[#This Row],[Target Time (Hours)]] * Table1[[#This Row],[Downtime (Hours)]], "")</f>
        <v>0</v>
      </c>
      <c r="N451" s="50">
        <f>IFERROR(Table1[[#This Row],[Running Time (hr)]]/Table1[Target Time (Hours)], "")</f>
        <v>1</v>
      </c>
      <c r="O451" s="50">
        <f>IFERROR(Table1[[#This Row],[Actual Production (Kg)]]/Table1[Capacity (Kg)], "")</f>
        <v>0.90022222222222226</v>
      </c>
      <c r="P451" s="50">
        <f>IFERROR(Table1[[#This Row],[Quality Pass Production]]/Table1[[#This Row],[Actual Production (Kg)]], "")</f>
        <v>1</v>
      </c>
      <c r="Q451" s="50">
        <f>IFERROR(Table1[[#This Row],[Utilization %]]*Table1[[#This Row],[Efficiency %]]*Table1[[#This Row],[Quality %]], "")</f>
        <v>0.90022222222222226</v>
      </c>
    </row>
    <row r="452" spans="1:18" ht="30" customHeight="1" x14ac:dyDescent="0.25">
      <c r="A452" s="26">
        <v>46150</v>
      </c>
      <c r="B452" s="27" t="s">
        <v>18</v>
      </c>
      <c r="C452" s="27" t="s">
        <v>32</v>
      </c>
      <c r="D452" s="27" t="s">
        <v>31</v>
      </c>
      <c r="E452" s="79">
        <f>Table1[[#This Row],[Actual Production (Kg)]]</f>
        <v>0</v>
      </c>
      <c r="F452" s="79">
        <v>0</v>
      </c>
      <c r="G452" s="79"/>
      <c r="H452" s="28"/>
      <c r="I452" s="79"/>
      <c r="J452" s="79"/>
      <c r="K452" s="27"/>
      <c r="L452" s="53" t="str">
        <f>IF(Table1[[#This Row],[Target Time (Hours)]]="","",Table1[[#This Row],[Target Time (Hours)]]-Table1[[#This Row],[Downtime (Hours)]])</f>
        <v/>
      </c>
      <c r="M452" s="79"/>
      <c r="N452" s="28"/>
      <c r="O452" s="28"/>
      <c r="P452" s="28"/>
      <c r="Q452" s="28"/>
      <c r="R452" s="27"/>
    </row>
    <row r="453" spans="1:18" ht="30" customHeight="1" x14ac:dyDescent="0.25">
      <c r="A453" s="47">
        <v>46150</v>
      </c>
      <c r="B453" s="48" t="s">
        <v>33</v>
      </c>
      <c r="C453" s="48" t="s">
        <v>34</v>
      </c>
      <c r="D453" s="48" t="s">
        <v>35</v>
      </c>
      <c r="E453" s="49">
        <v>4500</v>
      </c>
      <c r="F453" s="76">
        <v>3541</v>
      </c>
      <c r="G453" s="49">
        <v>0</v>
      </c>
      <c r="H453" s="50">
        <f>IFERROR(Table1[Re-process (Kg)]/Table1[Actual Production (Kg)], "")</f>
        <v>0</v>
      </c>
      <c r="I453" s="49">
        <f>IFERROR(Table1[[#This Row],[Actual Production (Kg)]]-Table1[[#This Row],[Re-process (Kg)]], "")</f>
        <v>3541</v>
      </c>
      <c r="J453" s="49">
        <v>11</v>
      </c>
      <c r="K453" s="72">
        <v>0</v>
      </c>
      <c r="L453" s="49">
        <f>IF(Table1[[#This Row],[Target Time (Hours)]]="","",Table1[[#This Row],[Target Time (Hours)]]-Table1[[#This Row],[Downtime (Hours)]])</f>
        <v>11</v>
      </c>
      <c r="M453" s="49">
        <f>IFERROR(Table1[[#This Row],[Capacity (Kg)]]/Table1[[#This Row],[Target Time (Hours)]] * Table1[[#This Row],[Downtime (Hours)]], "")</f>
        <v>0</v>
      </c>
      <c r="N453" s="50">
        <f>IFERROR(Table1[[#This Row],[Running Time (hr)]]/Table1[Target Time (Hours)], "")</f>
        <v>1</v>
      </c>
      <c r="O453" s="50">
        <f>IFERROR(Table1[[#This Row],[Actual Production (Kg)]]/Table1[Capacity (Kg)], "")</f>
        <v>0.78688888888888886</v>
      </c>
      <c r="P453" s="50">
        <f>IFERROR(Table1[[#This Row],[Quality Pass Production]]/Table1[[#This Row],[Actual Production (Kg)]], "")</f>
        <v>1</v>
      </c>
      <c r="Q453" s="50">
        <f>IFERROR(Table1[[#This Row],[Utilization %]]*Table1[[#This Row],[Efficiency %]]*Table1[[#This Row],[Quality %]], "")</f>
        <v>0.78688888888888886</v>
      </c>
    </row>
    <row r="454" spans="1:18" x14ac:dyDescent="0.25">
      <c r="A454" s="47">
        <v>46150</v>
      </c>
      <c r="B454" s="48" t="s">
        <v>33</v>
      </c>
      <c r="C454" s="48" t="s">
        <v>36</v>
      </c>
      <c r="D454" s="48" t="s">
        <v>37</v>
      </c>
      <c r="E454" s="49">
        <v>4000</v>
      </c>
      <c r="F454" s="76">
        <v>3335</v>
      </c>
      <c r="G454" s="49">
        <v>0</v>
      </c>
      <c r="H454" s="50">
        <f>IFERROR(Table1[Re-process (Kg)]/Table1[Actual Production (Kg)], "")</f>
        <v>0</v>
      </c>
      <c r="I454" s="49">
        <f>IFERROR(Table1[[#This Row],[Actual Production (Kg)]]-Table1[[#This Row],[Re-process (Kg)]], "")</f>
        <v>3335</v>
      </c>
      <c r="J454" s="49">
        <v>11</v>
      </c>
      <c r="K454" s="72">
        <v>0</v>
      </c>
      <c r="L454" s="49">
        <f>IF(Table1[[#This Row],[Target Time (Hours)]]="","",Table1[[#This Row],[Target Time (Hours)]]-Table1[[#This Row],[Downtime (Hours)]])</f>
        <v>11</v>
      </c>
      <c r="M454" s="49">
        <f>IFERROR(Table1[[#This Row],[Capacity (Kg)]]/Table1[[#This Row],[Target Time (Hours)]] * Table1[[#This Row],[Downtime (Hours)]], "")</f>
        <v>0</v>
      </c>
      <c r="N454" s="50">
        <f>IFERROR(Table1[[#This Row],[Running Time (hr)]]/Table1[Target Time (Hours)], "")</f>
        <v>1</v>
      </c>
      <c r="O454" s="50">
        <f>IFERROR(Table1[[#This Row],[Actual Production (Kg)]]/Table1[Capacity (Kg)], "")</f>
        <v>0.83374999999999999</v>
      </c>
      <c r="P454" s="50">
        <f>IFERROR(Table1[[#This Row],[Quality Pass Production]]/Table1[[#This Row],[Actual Production (Kg)]], "")</f>
        <v>1</v>
      </c>
      <c r="Q454" s="50">
        <f>IFERROR(Table1[[#This Row],[Utilization %]]*Table1[[#This Row],[Efficiency %]]*Table1[[#This Row],[Quality %]], "")</f>
        <v>0.83374999999999999</v>
      </c>
    </row>
    <row r="455" spans="1:18" ht="30" customHeight="1" x14ac:dyDescent="0.25">
      <c r="A455" s="47">
        <v>46150</v>
      </c>
      <c r="B455" s="48" t="s">
        <v>33</v>
      </c>
      <c r="C455" s="48" t="s">
        <v>39</v>
      </c>
      <c r="D455" s="48" t="s">
        <v>31</v>
      </c>
      <c r="E455" s="49">
        <v>3000</v>
      </c>
      <c r="F455" s="76">
        <v>1628</v>
      </c>
      <c r="G455" s="49">
        <v>0</v>
      </c>
      <c r="H455" s="50">
        <f>IFERROR(Table1[Re-process (Kg)]/Table1[Actual Production (Kg)], "")</f>
        <v>0</v>
      </c>
      <c r="I455" s="49">
        <f>IFERROR(Table1[[#This Row],[Actual Production (Kg)]]-Table1[[#This Row],[Re-process (Kg)]], "")</f>
        <v>1628</v>
      </c>
      <c r="J455" s="49">
        <v>11</v>
      </c>
      <c r="K455" s="72">
        <v>0</v>
      </c>
      <c r="L455" s="49">
        <f>IF(Table1[[#This Row],[Target Time (Hours)]]="","",Table1[[#This Row],[Target Time (Hours)]]-Table1[[#This Row],[Downtime (Hours)]])</f>
        <v>11</v>
      </c>
      <c r="M455" s="49">
        <f>IFERROR(Table1[[#This Row],[Capacity (Kg)]]/Table1[[#This Row],[Target Time (Hours)]] * Table1[[#This Row],[Downtime (Hours)]], "")</f>
        <v>0</v>
      </c>
      <c r="N455" s="50">
        <f>IFERROR(Table1[[#This Row],[Running Time (hr)]]/Table1[Target Time (Hours)], "")</f>
        <v>1</v>
      </c>
      <c r="O455" s="50">
        <f>IFERROR(Table1[[#This Row],[Actual Production (Kg)]]/Table1[Capacity (Kg)], "")</f>
        <v>0.54266666666666663</v>
      </c>
      <c r="P455" s="50">
        <f>IFERROR(Table1[[#This Row],[Quality Pass Production]]/Table1[[#This Row],[Actual Production (Kg)]], "")</f>
        <v>1</v>
      </c>
      <c r="Q455" s="50">
        <f>IFERROR(Table1[[#This Row],[Utilization %]]*Table1[[#This Row],[Efficiency %]]*Table1[[#This Row],[Quality %]], "")</f>
        <v>0.54266666666666663</v>
      </c>
      <c r="R455" s="48" t="s">
        <v>124</v>
      </c>
    </row>
    <row r="456" spans="1:18" ht="45" customHeight="1" x14ac:dyDescent="0.25">
      <c r="A456" s="54">
        <v>46150</v>
      </c>
      <c r="B456" s="55" t="s">
        <v>33</v>
      </c>
      <c r="C456" s="55" t="s">
        <v>40</v>
      </c>
      <c r="D456" s="55" t="s">
        <v>31</v>
      </c>
      <c r="E456" s="56">
        <v>2500</v>
      </c>
      <c r="F456" s="56">
        <v>427</v>
      </c>
      <c r="G456" s="56">
        <v>0</v>
      </c>
      <c r="H456" s="58">
        <f>IFERROR(Table1[Re-process (Kg)]/Table1[Actual Production (Kg)], "")</f>
        <v>0</v>
      </c>
      <c r="I456" s="56">
        <f>IFERROR(Table1[[#This Row],[Actual Production (Kg)]]-Table1[[#This Row],[Re-process (Kg)]], "")</f>
        <v>427</v>
      </c>
      <c r="J456" s="56">
        <v>11</v>
      </c>
      <c r="K456" s="55">
        <v>0</v>
      </c>
      <c r="L456" s="56">
        <f>IF(Table1[[#This Row],[Target Time (Hours)]]="","",Table1[[#This Row],[Target Time (Hours)]]-Table1[[#This Row],[Downtime (Hours)]])</f>
        <v>11</v>
      </c>
      <c r="M456" s="56">
        <f>IFERROR(Table1[[#This Row],[Capacity (Kg)]]/Table1[[#This Row],[Target Time (Hours)]] * Table1[[#This Row],[Downtime (Hours)]], "")</f>
        <v>0</v>
      </c>
      <c r="N456" s="58">
        <f>IFERROR(Table1[[#This Row],[Running Time (hr)]]/Table1[Target Time (Hours)], "")</f>
        <v>1</v>
      </c>
      <c r="O456" s="58">
        <f>IFERROR(Table1[[#This Row],[Actual Production (Kg)]]/Table1[Capacity (Kg)], "")</f>
        <v>0.17080000000000001</v>
      </c>
      <c r="P456" s="58">
        <f>IFERROR(Table1[[#This Row],[Quality Pass Production]]/Table1[[#This Row],[Actual Production (Kg)]], "")</f>
        <v>1</v>
      </c>
      <c r="Q456" s="58">
        <f>IFERROR(Table1[[#This Row],[Utilization %]]*Table1[[#This Row],[Efficiency %]]*Table1[[#This Row],[Quality %]], "")</f>
        <v>0.17080000000000001</v>
      </c>
      <c r="R456" s="55" t="s">
        <v>124</v>
      </c>
    </row>
    <row r="457" spans="1:18" ht="30" customHeight="1" x14ac:dyDescent="0.25">
      <c r="A457" s="47">
        <v>46151</v>
      </c>
      <c r="B457" s="48" t="s">
        <v>18</v>
      </c>
      <c r="C457" s="48" t="s">
        <v>19</v>
      </c>
      <c r="D457" s="48" t="s">
        <v>20</v>
      </c>
      <c r="E457" s="49">
        <v>10000</v>
      </c>
      <c r="F457" s="76">
        <v>9207</v>
      </c>
      <c r="G457" s="49">
        <v>0</v>
      </c>
      <c r="H457" s="50">
        <f>IFERROR(Table1[Re-process (Kg)]/Table1[Actual Production (Kg)], "")</f>
        <v>0</v>
      </c>
      <c r="I457" s="49">
        <f>IFERROR(Table1[[#This Row],[Actual Production (Kg)]]-Table1[[#This Row],[Re-process (Kg)]], "")</f>
        <v>9207</v>
      </c>
      <c r="J457" s="49">
        <v>22</v>
      </c>
      <c r="K457" s="72">
        <v>0</v>
      </c>
      <c r="L457" s="49">
        <f>IF(Table1[[#This Row],[Target Time (Hours)]]="","",Table1[[#This Row],[Target Time (Hours)]]-Table1[[#This Row],[Downtime (Hours)]])</f>
        <v>22</v>
      </c>
      <c r="M457" s="49">
        <f>IFERROR(Table1[[#This Row],[Capacity (Kg)]]/Table1[[#This Row],[Target Time (Hours)]] * Table1[[#This Row],[Downtime (Hours)]], "")</f>
        <v>0</v>
      </c>
      <c r="N457" s="50">
        <f>IFERROR(Table1[[#This Row],[Running Time (hr)]]/Table1[Target Time (Hours)], "")</f>
        <v>1</v>
      </c>
      <c r="O457" s="50">
        <f>IFERROR(Table1[[#This Row],[Actual Production (Kg)]]/Table1[Capacity (Kg)], "")</f>
        <v>0.92069999999999996</v>
      </c>
      <c r="P457" s="50">
        <f>IFERROR(Table1[[#This Row],[Quality Pass Production]]/Table1[[#This Row],[Actual Production (Kg)]], "")</f>
        <v>1</v>
      </c>
      <c r="Q457" s="50">
        <f>IFERROR(Table1[[#This Row],[Utilization %]]*Table1[[#This Row],[Efficiency %]]*Table1[[#This Row],[Quality %]], "")</f>
        <v>0.92069999999999996</v>
      </c>
    </row>
    <row r="458" spans="1:18" x14ac:dyDescent="0.25">
      <c r="A458" s="47">
        <v>46151</v>
      </c>
      <c r="B458" s="48" t="s">
        <v>18</v>
      </c>
      <c r="C458" s="48" t="s">
        <v>22</v>
      </c>
      <c r="D458" s="48" t="s">
        <v>23</v>
      </c>
      <c r="E458" s="49">
        <v>5000</v>
      </c>
      <c r="F458" s="76">
        <v>4774</v>
      </c>
      <c r="G458" s="49">
        <v>0</v>
      </c>
      <c r="H458" s="50">
        <f>IFERROR(Table1[Re-process (Kg)]/Table1[Actual Production (Kg)], "")</f>
        <v>0</v>
      </c>
      <c r="I458" s="49">
        <f>IFERROR(Table1[[#This Row],[Actual Production (Kg)]]-Table1[[#This Row],[Re-process (Kg)]], "")</f>
        <v>4774</v>
      </c>
      <c r="J458" s="49"/>
      <c r="K458" s="72">
        <v>0</v>
      </c>
      <c r="L458" s="49" t="str">
        <f>IF(Table1[[#This Row],[Target Time (Hours)]]="","",Table1[[#This Row],[Target Time (Hours)]]-Table1[[#This Row],[Downtime (Hours)]])</f>
        <v/>
      </c>
      <c r="M458" s="49" t="str">
        <f>IFERROR(Table1[[#This Row],[Capacity (Kg)]]/Table1[[#This Row],[Target Time (Hours)]] * Table1[[#This Row],[Downtime (Hours)]], "")</f>
        <v/>
      </c>
      <c r="N458" s="50" t="str">
        <f>IFERROR(Table1[[#This Row],[Running Time (hr)]]/Table1[Target Time (Hours)], "")</f>
        <v/>
      </c>
      <c r="O458" s="50">
        <f>IFERROR(Table1[[#This Row],[Actual Production (Kg)]]/Table1[Capacity (Kg)], "")</f>
        <v>0.95479999999999998</v>
      </c>
      <c r="P458" s="50">
        <f>IFERROR(Table1[[#This Row],[Quality Pass Production]]/Table1[[#This Row],[Actual Production (Kg)]], "")</f>
        <v>1</v>
      </c>
      <c r="Q458" s="50" t="str">
        <f>IFERROR(Table1[[#This Row],[Utilization %]]*Table1[[#This Row],[Efficiency %]]*Table1[[#This Row],[Quality %]], "")</f>
        <v/>
      </c>
    </row>
    <row r="459" spans="1:18" x14ac:dyDescent="0.25">
      <c r="A459" s="47">
        <v>46151</v>
      </c>
      <c r="B459" s="48" t="s">
        <v>18</v>
      </c>
      <c r="C459" s="48" t="s">
        <v>22</v>
      </c>
      <c r="D459" s="48" t="s">
        <v>25</v>
      </c>
      <c r="E459" s="49">
        <v>4000</v>
      </c>
      <c r="F459" s="76">
        <v>4556</v>
      </c>
      <c r="G459" s="49">
        <v>0</v>
      </c>
      <c r="H459" s="50">
        <f>IFERROR(Table1[Re-process (Kg)]/Table1[Actual Production (Kg)], "")</f>
        <v>0</v>
      </c>
      <c r="I459" s="49">
        <f>IFERROR(Table1[[#This Row],[Actual Production (Kg)]]-Table1[[#This Row],[Re-process (Kg)]], "")</f>
        <v>4556</v>
      </c>
      <c r="J459" s="49">
        <v>22</v>
      </c>
      <c r="K459" s="72">
        <v>0</v>
      </c>
      <c r="L459" s="49">
        <f>IF(Table1[[#This Row],[Target Time (Hours)]]="","",Table1[[#This Row],[Target Time (Hours)]]-Table1[[#This Row],[Downtime (Hours)]])</f>
        <v>22</v>
      </c>
      <c r="M459" s="49">
        <f>IFERROR(Table1[[#This Row],[Capacity (Kg)]]/Table1[[#This Row],[Target Time (Hours)]] * Table1[[#This Row],[Downtime (Hours)]], "")</f>
        <v>0</v>
      </c>
      <c r="N459" s="50">
        <f>IFERROR(Table1[[#This Row],[Running Time (hr)]]/Table1[Target Time (Hours)], "")</f>
        <v>1</v>
      </c>
      <c r="O459" s="50">
        <f>IFERROR(Table1[[#This Row],[Actual Production (Kg)]]/Table1[Capacity (Kg)], "")</f>
        <v>1.139</v>
      </c>
      <c r="P459" s="50">
        <f>IFERROR(Table1[[#This Row],[Quality Pass Production]]/Table1[[#This Row],[Actual Production (Kg)]], "")</f>
        <v>1</v>
      </c>
      <c r="Q459" s="50">
        <f>IFERROR(Table1[[#This Row],[Utilization %]]*Table1[[#This Row],[Efficiency %]]*Table1[[#This Row],[Quality %]], "")</f>
        <v>1.139</v>
      </c>
    </row>
    <row r="460" spans="1:18" x14ac:dyDescent="0.25">
      <c r="A460" s="47">
        <v>46151</v>
      </c>
      <c r="B460" s="48" t="s">
        <v>18</v>
      </c>
      <c r="C460" s="48" t="s">
        <v>26</v>
      </c>
      <c r="D460" s="48" t="s">
        <v>25</v>
      </c>
      <c r="E460" s="49">
        <v>7000</v>
      </c>
      <c r="F460" s="76">
        <v>7878</v>
      </c>
      <c r="G460" s="49">
        <v>0</v>
      </c>
      <c r="H460" s="50">
        <f>IFERROR(Table1[Re-process (Kg)]/Table1[Actual Production (Kg)], "")</f>
        <v>0</v>
      </c>
      <c r="I460" s="49">
        <f>IFERROR(Table1[[#This Row],[Actual Production (Kg)]]-Table1[[#This Row],[Re-process (Kg)]], "")</f>
        <v>7878</v>
      </c>
      <c r="J460" s="49">
        <v>22</v>
      </c>
      <c r="K460" s="72">
        <v>0</v>
      </c>
      <c r="L460" s="49">
        <f>IF(Table1[[#This Row],[Target Time (Hours)]]="","",Table1[[#This Row],[Target Time (Hours)]]-Table1[[#This Row],[Downtime (Hours)]])</f>
        <v>22</v>
      </c>
      <c r="M460" s="49">
        <f>IFERROR(Table1[[#This Row],[Capacity (Kg)]]/Table1[[#This Row],[Target Time (Hours)]] * Table1[[#This Row],[Downtime (Hours)]], "")</f>
        <v>0</v>
      </c>
      <c r="N460" s="50">
        <f>IFERROR(Table1[[#This Row],[Running Time (hr)]]/Table1[Target Time (Hours)], "")</f>
        <v>1</v>
      </c>
      <c r="O460" s="50">
        <f>IFERROR(Table1[[#This Row],[Actual Production (Kg)]]/Table1[Capacity (Kg)], "")</f>
        <v>1.1254285714285714</v>
      </c>
      <c r="P460" s="50">
        <f>IFERROR(Table1[[#This Row],[Quality Pass Production]]/Table1[[#This Row],[Actual Production (Kg)]], "")</f>
        <v>1</v>
      </c>
      <c r="Q460" s="50">
        <f>IFERROR(Table1[[#This Row],[Utilization %]]*Table1[[#This Row],[Efficiency %]]*Table1[[#This Row],[Quality %]], "")</f>
        <v>1.1254285714285714</v>
      </c>
    </row>
    <row r="461" spans="1:18" ht="30" customHeight="1" x14ac:dyDescent="0.25">
      <c r="A461" s="47">
        <v>46151</v>
      </c>
      <c r="B461" s="48" t="s">
        <v>18</v>
      </c>
      <c r="C461" s="48" t="s">
        <v>28</v>
      </c>
      <c r="D461" s="48" t="s">
        <v>29</v>
      </c>
      <c r="E461" s="49">
        <v>7800</v>
      </c>
      <c r="F461" s="76">
        <v>4184</v>
      </c>
      <c r="G461" s="49">
        <v>0</v>
      </c>
      <c r="H461" s="50">
        <f>IFERROR(Table1[Re-process (Kg)]/Table1[Actual Production (Kg)], "")</f>
        <v>0</v>
      </c>
      <c r="I461" s="49">
        <f>IFERROR(Table1[[#This Row],[Actual Production (Kg)]]-Table1[[#This Row],[Re-process (Kg)]], "")</f>
        <v>4184</v>
      </c>
      <c r="J461" s="49">
        <v>22</v>
      </c>
      <c r="K461" s="72">
        <v>0</v>
      </c>
      <c r="L461" s="49">
        <f>IF(Table1[[#This Row],[Target Time (Hours)]]="","",Table1[[#This Row],[Target Time (Hours)]]-Table1[[#This Row],[Downtime (Hours)]])</f>
        <v>22</v>
      </c>
      <c r="M461" s="49">
        <f>IFERROR(Table1[[#This Row],[Capacity (Kg)]]/Table1[[#This Row],[Target Time (Hours)]] * Table1[[#This Row],[Downtime (Hours)]], "")</f>
        <v>0</v>
      </c>
      <c r="N461" s="50">
        <f>IFERROR(Table1[[#This Row],[Running Time (hr)]]/Table1[Target Time (Hours)], "")</f>
        <v>1</v>
      </c>
      <c r="O461" s="50">
        <f>IFERROR(Table1[[#This Row],[Actual Production (Kg)]]/Table1[Capacity (Kg)], "")</f>
        <v>0.53641025641025641</v>
      </c>
      <c r="P461" s="50">
        <f>IFERROR(Table1[[#This Row],[Quality Pass Production]]/Table1[[#This Row],[Actual Production (Kg)]], "")</f>
        <v>1</v>
      </c>
      <c r="Q461" s="50">
        <f>IFERROR(Table1[[#This Row],[Utilization %]]*Table1[[#This Row],[Efficiency %]]*Table1[[#This Row],[Quality %]], "")</f>
        <v>0.53641025641025641</v>
      </c>
      <c r="R461" s="48" t="s">
        <v>123</v>
      </c>
    </row>
    <row r="462" spans="1:18" ht="30" customHeight="1" x14ac:dyDescent="0.25">
      <c r="A462" s="26">
        <v>46151</v>
      </c>
      <c r="B462" s="27" t="s">
        <v>18</v>
      </c>
      <c r="C462" s="27" t="s">
        <v>135</v>
      </c>
      <c r="D462" s="27" t="s">
        <v>29</v>
      </c>
      <c r="E462" s="79"/>
      <c r="F462" s="79">
        <v>0</v>
      </c>
      <c r="G462" s="79"/>
      <c r="H462" s="28"/>
      <c r="I462" s="79"/>
      <c r="J462" s="79"/>
      <c r="K462" s="27"/>
      <c r="L462" s="53" t="str">
        <f>IF(Table1[[#This Row],[Target Time (Hours)]]="","",Table1[[#This Row],[Target Time (Hours)]]-Table1[[#This Row],[Downtime (Hours)]])</f>
        <v/>
      </c>
      <c r="M462" s="79"/>
      <c r="N462" s="28"/>
      <c r="O462" s="28"/>
      <c r="P462" s="28"/>
      <c r="Q462" s="28"/>
      <c r="R462" s="27"/>
    </row>
    <row r="463" spans="1:18" ht="30" customHeight="1" x14ac:dyDescent="0.25">
      <c r="A463" s="47">
        <v>46151</v>
      </c>
      <c r="B463" s="48" t="s">
        <v>18</v>
      </c>
      <c r="C463" s="48" t="s">
        <v>30</v>
      </c>
      <c r="D463" s="48" t="s">
        <v>31</v>
      </c>
      <c r="E463" s="49">
        <v>9000</v>
      </c>
      <c r="F463" s="76">
        <v>9246</v>
      </c>
      <c r="G463" s="49">
        <v>0</v>
      </c>
      <c r="H463" s="50">
        <f>IFERROR(Table1[Re-process (Kg)]/Table1[Actual Production (Kg)], "")</f>
        <v>0</v>
      </c>
      <c r="I463" s="49">
        <f>IFERROR(Table1[[#This Row],[Actual Production (Kg)]]-Table1[[#This Row],[Re-process (Kg)]], "")</f>
        <v>9246</v>
      </c>
      <c r="J463" s="49">
        <v>22</v>
      </c>
      <c r="K463" s="72">
        <v>0</v>
      </c>
      <c r="L463" s="49">
        <f>IF(Table1[[#This Row],[Target Time (Hours)]]="","",Table1[[#This Row],[Target Time (Hours)]]-Table1[[#This Row],[Downtime (Hours)]])</f>
        <v>22</v>
      </c>
      <c r="M463" s="49">
        <f>IFERROR(Table1[[#This Row],[Capacity (Kg)]]/Table1[[#This Row],[Target Time (Hours)]] * Table1[[#This Row],[Downtime (Hours)]], "")</f>
        <v>0</v>
      </c>
      <c r="N463" s="50">
        <f>IFERROR(Table1[[#This Row],[Running Time (hr)]]/Table1[Target Time (Hours)], "")</f>
        <v>1</v>
      </c>
      <c r="O463" s="50">
        <f>IFERROR(Table1[[#This Row],[Actual Production (Kg)]]/Table1[Capacity (Kg)], "")</f>
        <v>1.0273333333333334</v>
      </c>
      <c r="P463" s="50">
        <f>IFERROR(Table1[[#This Row],[Quality Pass Production]]/Table1[[#This Row],[Actual Production (Kg)]], "")</f>
        <v>1</v>
      </c>
      <c r="Q463" s="50">
        <f>IFERROR(Table1[[#This Row],[Utilization %]]*Table1[[#This Row],[Efficiency %]]*Table1[[#This Row],[Quality %]], "")</f>
        <v>1.0273333333333334</v>
      </c>
    </row>
    <row r="464" spans="1:18" ht="30" customHeight="1" x14ac:dyDescent="0.25">
      <c r="A464" s="26">
        <v>46151</v>
      </c>
      <c r="B464" s="27" t="s">
        <v>18</v>
      </c>
      <c r="C464" s="27" t="s">
        <v>32</v>
      </c>
      <c r="D464" s="27" t="s">
        <v>31</v>
      </c>
      <c r="E464" s="79">
        <f>Table1[[#This Row],[Actual Production (Kg)]]</f>
        <v>0</v>
      </c>
      <c r="F464" s="79">
        <v>0</v>
      </c>
      <c r="G464" s="79"/>
      <c r="H464" s="28"/>
      <c r="I464" s="79"/>
      <c r="J464" s="79"/>
      <c r="K464" s="27"/>
      <c r="L464" s="53" t="str">
        <f>IF(Table1[[#This Row],[Target Time (Hours)]]="","",Table1[[#This Row],[Target Time (Hours)]]-Table1[[#This Row],[Downtime (Hours)]])</f>
        <v/>
      </c>
      <c r="M464" s="79"/>
      <c r="N464" s="28"/>
      <c r="O464" s="28"/>
      <c r="P464" s="28"/>
      <c r="Q464" s="28"/>
      <c r="R464" s="27"/>
    </row>
    <row r="465" spans="1:18" ht="30" customHeight="1" x14ac:dyDescent="0.25">
      <c r="A465" s="47">
        <v>46151</v>
      </c>
      <c r="B465" s="48" t="s">
        <v>33</v>
      </c>
      <c r="C465" s="48" t="s">
        <v>34</v>
      </c>
      <c r="D465" s="48" t="s">
        <v>35</v>
      </c>
      <c r="E465" s="49">
        <v>9000</v>
      </c>
      <c r="F465" s="76">
        <v>4509</v>
      </c>
      <c r="G465" s="49">
        <v>0</v>
      </c>
      <c r="H465" s="50">
        <f>IFERROR(Table1[Re-process (Kg)]/Table1[Actual Production (Kg)], "")</f>
        <v>0</v>
      </c>
      <c r="I465" s="49">
        <f>IFERROR(Table1[[#This Row],[Actual Production (Kg)]]-Table1[[#This Row],[Re-process (Kg)]], "")</f>
        <v>4509</v>
      </c>
      <c r="J465" s="49">
        <v>22</v>
      </c>
      <c r="K465" s="72">
        <v>0</v>
      </c>
      <c r="L465" s="49">
        <f>IF(Table1[[#This Row],[Target Time (Hours)]]="","",Table1[[#This Row],[Target Time (Hours)]]-Table1[[#This Row],[Downtime (Hours)]])</f>
        <v>22</v>
      </c>
      <c r="M465" s="49">
        <f>IFERROR(Table1[[#This Row],[Capacity (Kg)]]/Table1[[#This Row],[Target Time (Hours)]] * Table1[[#This Row],[Downtime (Hours)]], "")</f>
        <v>0</v>
      </c>
      <c r="N465" s="50">
        <f>IFERROR(Table1[[#This Row],[Running Time (hr)]]/Table1[Target Time (Hours)], "")</f>
        <v>1</v>
      </c>
      <c r="O465" s="50">
        <f>IFERROR(Table1[[#This Row],[Actual Production (Kg)]]/Table1[Capacity (Kg)], "")</f>
        <v>0.501</v>
      </c>
      <c r="P465" s="50">
        <f>IFERROR(Table1[[#This Row],[Quality Pass Production]]/Table1[[#This Row],[Actual Production (Kg)]], "")</f>
        <v>1</v>
      </c>
      <c r="Q465" s="50">
        <f>IFERROR(Table1[[#This Row],[Utilization %]]*Table1[[#This Row],[Efficiency %]]*Table1[[#This Row],[Quality %]], "")</f>
        <v>0.501</v>
      </c>
    </row>
    <row r="466" spans="1:18" ht="30" customHeight="1" x14ac:dyDescent="0.25">
      <c r="A466" s="47">
        <v>46151</v>
      </c>
      <c r="B466" s="48" t="s">
        <v>33</v>
      </c>
      <c r="C466" s="48" t="s">
        <v>36</v>
      </c>
      <c r="D466" s="48" t="s">
        <v>37</v>
      </c>
      <c r="E466" s="49">
        <v>8000</v>
      </c>
      <c r="F466" s="76">
        <v>4882</v>
      </c>
      <c r="G466" s="49">
        <v>0</v>
      </c>
      <c r="H466" s="50">
        <f>IFERROR(Table1[Re-process (Kg)]/Table1[Actual Production (Kg)], "")</f>
        <v>0</v>
      </c>
      <c r="I466" s="49">
        <f>IFERROR(Table1[[#This Row],[Actual Production (Kg)]]-Table1[[#This Row],[Re-process (Kg)]], "")</f>
        <v>4882</v>
      </c>
      <c r="J466" s="49">
        <v>22</v>
      </c>
      <c r="K466" s="72">
        <v>7</v>
      </c>
      <c r="L466" s="49">
        <f>IF(Table1[[#This Row],[Target Time (Hours)]]="","",Table1[[#This Row],[Target Time (Hours)]]-Table1[[#This Row],[Downtime (Hours)]])</f>
        <v>15</v>
      </c>
      <c r="M466" s="49">
        <f>IFERROR(Table1[[#This Row],[Capacity (Kg)]]/Table1[[#This Row],[Target Time (Hours)]] * Table1[[#This Row],[Downtime (Hours)]], "")</f>
        <v>2545.4545454545455</v>
      </c>
      <c r="N466" s="50">
        <f>IFERROR(Table1[[#This Row],[Running Time (hr)]]/Table1[Target Time (Hours)], "")</f>
        <v>0.68181818181818177</v>
      </c>
      <c r="O466" s="50">
        <f>IFERROR(Table1[[#This Row],[Actual Production (Kg)]]/Table1[Capacity (Kg)], "")</f>
        <v>0.61024999999999996</v>
      </c>
      <c r="P466" s="50">
        <f>IFERROR(Table1[[#This Row],[Quality Pass Production]]/Table1[[#This Row],[Actual Production (Kg)]], "")</f>
        <v>1</v>
      </c>
      <c r="Q466" s="50">
        <f>IFERROR(Table1[[#This Row],[Utilization %]]*Table1[[#This Row],[Efficiency %]]*Table1[[#This Row],[Quality %]], "")</f>
        <v>0.4160795454545454</v>
      </c>
      <c r="R466" s="48" t="s">
        <v>143</v>
      </c>
    </row>
    <row r="467" spans="1:18" ht="30" customHeight="1" x14ac:dyDescent="0.25">
      <c r="A467" s="47">
        <v>46151</v>
      </c>
      <c r="B467" s="48" t="s">
        <v>33</v>
      </c>
      <c r="C467" s="48" t="s">
        <v>39</v>
      </c>
      <c r="D467" s="48" t="s">
        <v>31</v>
      </c>
      <c r="E467" s="49">
        <v>6000</v>
      </c>
      <c r="F467" s="76">
        <v>2293</v>
      </c>
      <c r="G467" s="49">
        <v>0</v>
      </c>
      <c r="H467" s="50">
        <f>IFERROR(Table1[Re-process (Kg)]/Table1[Actual Production (Kg)], "")</f>
        <v>0</v>
      </c>
      <c r="I467" s="49">
        <f>IFERROR(Table1[[#This Row],[Actual Production (Kg)]]-Table1[[#This Row],[Re-process (Kg)]], "")</f>
        <v>2293</v>
      </c>
      <c r="J467" s="49">
        <v>22</v>
      </c>
      <c r="K467" s="72">
        <v>0</v>
      </c>
      <c r="L467" s="49">
        <f>IF(Table1[[#This Row],[Target Time (Hours)]]="","",Table1[[#This Row],[Target Time (Hours)]]-Table1[[#This Row],[Downtime (Hours)]])</f>
        <v>22</v>
      </c>
      <c r="M467" s="49">
        <f>IFERROR(Table1[[#This Row],[Capacity (Kg)]]/Table1[[#This Row],[Target Time (Hours)]] * Table1[[#This Row],[Downtime (Hours)]], "")</f>
        <v>0</v>
      </c>
      <c r="N467" s="50">
        <f>IFERROR(Table1[[#This Row],[Running Time (hr)]]/Table1[Target Time (Hours)], "")</f>
        <v>1</v>
      </c>
      <c r="O467" s="50">
        <f>IFERROR(Table1[[#This Row],[Actual Production (Kg)]]/Table1[Capacity (Kg)], "")</f>
        <v>0.38216666666666665</v>
      </c>
      <c r="P467" s="50">
        <f>IFERROR(Table1[[#This Row],[Quality Pass Production]]/Table1[[#This Row],[Actual Production (Kg)]], "")</f>
        <v>1</v>
      </c>
      <c r="Q467" s="50">
        <f>IFERROR(Table1[[#This Row],[Utilization %]]*Table1[[#This Row],[Efficiency %]]*Table1[[#This Row],[Quality %]], "")</f>
        <v>0.38216666666666665</v>
      </c>
      <c r="R467" s="48" t="s">
        <v>124</v>
      </c>
    </row>
    <row r="468" spans="1:18" ht="45" customHeight="1" x14ac:dyDescent="0.25">
      <c r="A468" s="54">
        <v>46151</v>
      </c>
      <c r="B468" s="55" t="s">
        <v>33</v>
      </c>
      <c r="C468" s="55" t="s">
        <v>40</v>
      </c>
      <c r="D468" s="55" t="s">
        <v>31</v>
      </c>
      <c r="E468" s="56">
        <v>5000</v>
      </c>
      <c r="F468" s="56">
        <v>3869</v>
      </c>
      <c r="G468" s="56">
        <v>0</v>
      </c>
      <c r="H468" s="58">
        <f>IFERROR(Table1[Re-process (Kg)]/Table1[Actual Production (Kg)], "")</f>
        <v>0</v>
      </c>
      <c r="I468" s="56">
        <f>IFERROR(Table1[[#This Row],[Actual Production (Kg)]]-Table1[[#This Row],[Re-process (Kg)]], "")</f>
        <v>3869</v>
      </c>
      <c r="J468" s="56">
        <v>22</v>
      </c>
      <c r="K468" s="55">
        <v>0</v>
      </c>
      <c r="L468" s="56">
        <f>IF(Table1[[#This Row],[Target Time (Hours)]]="","",Table1[[#This Row],[Target Time (Hours)]]-Table1[[#This Row],[Downtime (Hours)]])</f>
        <v>22</v>
      </c>
      <c r="M468" s="56">
        <f>IFERROR(Table1[[#This Row],[Capacity (Kg)]]/Table1[[#This Row],[Target Time (Hours)]] * Table1[[#This Row],[Downtime (Hours)]], "")</f>
        <v>0</v>
      </c>
      <c r="N468" s="58">
        <f>IFERROR(Table1[[#This Row],[Running Time (hr)]]/Table1[Target Time (Hours)], "")</f>
        <v>1</v>
      </c>
      <c r="O468" s="58">
        <f>IFERROR(Table1[[#This Row],[Actual Production (Kg)]]/Table1[Capacity (Kg)], "")</f>
        <v>0.77380000000000004</v>
      </c>
      <c r="P468" s="58">
        <f>IFERROR(Table1[[#This Row],[Quality Pass Production]]/Table1[[#This Row],[Actual Production (Kg)]], "")</f>
        <v>1</v>
      </c>
      <c r="Q468" s="58">
        <f>IFERROR(Table1[[#This Row],[Utilization %]]*Table1[[#This Row],[Efficiency %]]*Table1[[#This Row],[Quality %]], "")</f>
        <v>0.77380000000000004</v>
      </c>
      <c r="R468" s="55" t="s">
        <v>124</v>
      </c>
    </row>
    <row r="469" spans="1:18" ht="30" customHeight="1" x14ac:dyDescent="0.25">
      <c r="A469" s="47">
        <v>46152</v>
      </c>
      <c r="B469" s="48" t="s">
        <v>18</v>
      </c>
      <c r="C469" s="48" t="s">
        <v>19</v>
      </c>
      <c r="D469" s="48" t="s">
        <v>20</v>
      </c>
      <c r="E469" s="49">
        <v>10000</v>
      </c>
      <c r="F469" s="76">
        <v>8317</v>
      </c>
      <c r="G469" s="49">
        <v>0</v>
      </c>
      <c r="H469" s="50">
        <f>IFERROR(Table1[Re-process (Kg)]/Table1[Actual Production (Kg)], "")</f>
        <v>0</v>
      </c>
      <c r="I469" s="49">
        <f>IFERROR(Table1[[#This Row],[Actual Production (Kg)]]-Table1[[#This Row],[Re-process (Kg)]], "")</f>
        <v>8317</v>
      </c>
      <c r="J469" s="49">
        <v>22</v>
      </c>
      <c r="K469" s="72">
        <v>0</v>
      </c>
      <c r="L469" s="49">
        <f>IF(Table1[[#This Row],[Target Time (Hours)]]="","",Table1[[#This Row],[Target Time (Hours)]]-Table1[[#This Row],[Downtime (Hours)]])</f>
        <v>22</v>
      </c>
      <c r="M469" s="49">
        <f>IFERROR(Table1[[#This Row],[Capacity (Kg)]]/Table1[[#This Row],[Target Time (Hours)]] * Table1[[#This Row],[Downtime (Hours)]], "")</f>
        <v>0</v>
      </c>
      <c r="N469" s="50">
        <f>IFERROR(Table1[[#This Row],[Running Time (hr)]]/Table1[Target Time (Hours)], "")</f>
        <v>1</v>
      </c>
      <c r="O469" s="50">
        <f>IFERROR(Table1[[#This Row],[Actual Production (Kg)]]/Table1[Capacity (Kg)], "")</f>
        <v>0.83169999999999999</v>
      </c>
      <c r="P469" s="50">
        <f>IFERROR(Table1[[#This Row],[Quality Pass Production]]/Table1[[#This Row],[Actual Production (Kg)]], "")</f>
        <v>1</v>
      </c>
      <c r="Q469" s="50">
        <f>IFERROR(Table1[[#This Row],[Utilization %]]*Table1[[#This Row],[Efficiency %]]*Table1[[#This Row],[Quality %]], "")</f>
        <v>0.83169999999999999</v>
      </c>
    </row>
    <row r="470" spans="1:18" ht="30" customHeight="1" x14ac:dyDescent="0.25">
      <c r="A470" s="47">
        <v>46152</v>
      </c>
      <c r="B470" s="48" t="s">
        <v>18</v>
      </c>
      <c r="C470" s="48" t="s">
        <v>22</v>
      </c>
      <c r="D470" s="48" t="s">
        <v>23</v>
      </c>
      <c r="E470" s="49">
        <v>5000</v>
      </c>
      <c r="F470" s="76">
        <v>5116</v>
      </c>
      <c r="G470" s="49">
        <v>0</v>
      </c>
      <c r="H470" s="50">
        <f>IFERROR(Table1[Re-process (Kg)]/Table1[Actual Production (Kg)], "")</f>
        <v>0</v>
      </c>
      <c r="I470" s="49">
        <f>IFERROR(Table1[[#This Row],[Actual Production (Kg)]]-Table1[[#This Row],[Re-process (Kg)]], "")</f>
        <v>5116</v>
      </c>
      <c r="J470" s="49">
        <v>22</v>
      </c>
      <c r="K470" s="72">
        <v>2</v>
      </c>
      <c r="L470" s="49">
        <f>IF(Table1[[#This Row],[Target Time (Hours)]]="","",Table1[[#This Row],[Target Time (Hours)]]-Table1[[#This Row],[Downtime (Hours)]])</f>
        <v>20</v>
      </c>
      <c r="M470" s="49">
        <f>IFERROR(Table1[[#This Row],[Capacity (Kg)]]/Table1[[#This Row],[Target Time (Hours)]] * Table1[[#This Row],[Downtime (Hours)]], "")</f>
        <v>454.54545454545456</v>
      </c>
      <c r="N470" s="50">
        <f>IFERROR(Table1[[#This Row],[Running Time (hr)]]/Table1[Target Time (Hours)], "")</f>
        <v>0.90909090909090906</v>
      </c>
      <c r="O470" s="50">
        <f>IFERROR(Table1[[#This Row],[Actual Production (Kg)]]/Table1[Capacity (Kg)], "")</f>
        <v>1.0232000000000001</v>
      </c>
      <c r="P470" s="50">
        <f>IFERROR(Table1[[#This Row],[Quality Pass Production]]/Table1[[#This Row],[Actual Production (Kg)]], "")</f>
        <v>1</v>
      </c>
      <c r="Q470" s="50">
        <f>IFERROR(Table1[[#This Row],[Utilization %]]*Table1[[#This Row],[Efficiency %]]*Table1[[#This Row],[Quality %]], "")</f>
        <v>0.93018181818181822</v>
      </c>
      <c r="R470" s="48" t="s">
        <v>144</v>
      </c>
    </row>
    <row r="471" spans="1:18" x14ac:dyDescent="0.25">
      <c r="A471" s="47">
        <v>46152</v>
      </c>
      <c r="B471" s="48" t="s">
        <v>18</v>
      </c>
      <c r="C471" s="48" t="s">
        <v>22</v>
      </c>
      <c r="D471" s="48" t="s">
        <v>25</v>
      </c>
      <c r="E471" s="49">
        <v>4000</v>
      </c>
      <c r="F471" s="76">
        <v>3082</v>
      </c>
      <c r="G471" s="49">
        <v>0</v>
      </c>
      <c r="H471" s="50">
        <f>IFERROR(Table1[Re-process (Kg)]/Table1[Actual Production (Kg)], "")</f>
        <v>0</v>
      </c>
      <c r="I471" s="49">
        <f>IFERROR(Table1[[#This Row],[Actual Production (Kg)]]-Table1[[#This Row],[Re-process (Kg)]], "")</f>
        <v>3082</v>
      </c>
      <c r="J471" s="49"/>
      <c r="K471" s="72"/>
      <c r="L471" s="49" t="str">
        <f>IF(Table1[[#This Row],[Target Time (Hours)]]="","",Table1[[#This Row],[Target Time (Hours)]]-Table1[[#This Row],[Downtime (Hours)]])</f>
        <v/>
      </c>
      <c r="M471" s="49" t="str">
        <f>IFERROR(Table1[[#This Row],[Capacity (Kg)]]/Table1[[#This Row],[Target Time (Hours)]] * Table1[[#This Row],[Downtime (Hours)]], "")</f>
        <v/>
      </c>
      <c r="N471" s="50" t="str">
        <f>IFERROR(Table1[[#This Row],[Running Time (hr)]]/Table1[Target Time (Hours)], "")</f>
        <v/>
      </c>
      <c r="O471" s="50">
        <f>IFERROR(Table1[[#This Row],[Actual Production (Kg)]]/Table1[Capacity (Kg)], "")</f>
        <v>0.77049999999999996</v>
      </c>
      <c r="P471" s="50">
        <f>IFERROR(Table1[[#This Row],[Quality Pass Production]]/Table1[[#This Row],[Actual Production (Kg)]], "")</f>
        <v>1</v>
      </c>
      <c r="Q471" s="50" t="str">
        <f>IFERROR(Table1[[#This Row],[Utilization %]]*Table1[[#This Row],[Efficiency %]]*Table1[[#This Row],[Quality %]], "")</f>
        <v/>
      </c>
    </row>
    <row r="472" spans="1:18" x14ac:dyDescent="0.25">
      <c r="A472" s="47">
        <v>46152</v>
      </c>
      <c r="B472" s="48" t="s">
        <v>18</v>
      </c>
      <c r="C472" s="48" t="s">
        <v>26</v>
      </c>
      <c r="D472" s="48" t="s">
        <v>25</v>
      </c>
      <c r="E472" s="49">
        <v>7000</v>
      </c>
      <c r="F472" s="76">
        <v>7544</v>
      </c>
      <c r="G472" s="49">
        <v>0</v>
      </c>
      <c r="H472" s="50">
        <f>IFERROR(Table1[Re-process (Kg)]/Table1[Actual Production (Kg)], "")</f>
        <v>0</v>
      </c>
      <c r="I472" s="49">
        <f>IFERROR(Table1[[#This Row],[Actual Production (Kg)]]-Table1[[#This Row],[Re-process (Kg)]], "")</f>
        <v>7544</v>
      </c>
      <c r="J472" s="49">
        <v>22</v>
      </c>
      <c r="K472" s="72">
        <v>0</v>
      </c>
      <c r="L472" s="49">
        <f>IF(Table1[[#This Row],[Target Time (Hours)]]="","",Table1[[#This Row],[Target Time (Hours)]]-Table1[[#This Row],[Downtime (Hours)]])</f>
        <v>22</v>
      </c>
      <c r="M472" s="49">
        <f>IFERROR(Table1[[#This Row],[Capacity (Kg)]]/Table1[[#This Row],[Target Time (Hours)]] * Table1[[#This Row],[Downtime (Hours)]], "")</f>
        <v>0</v>
      </c>
      <c r="N472" s="50">
        <f>IFERROR(Table1[[#This Row],[Running Time (hr)]]/Table1[Target Time (Hours)], "")</f>
        <v>1</v>
      </c>
      <c r="O472" s="50">
        <f>IFERROR(Table1[[#This Row],[Actual Production (Kg)]]/Table1[Capacity (Kg)], "")</f>
        <v>1.0777142857142856</v>
      </c>
      <c r="P472" s="50">
        <f>IFERROR(Table1[[#This Row],[Quality Pass Production]]/Table1[[#This Row],[Actual Production (Kg)]], "")</f>
        <v>1</v>
      </c>
      <c r="Q472" s="50">
        <f>IFERROR(Table1[[#This Row],[Utilization %]]*Table1[[#This Row],[Efficiency %]]*Table1[[#This Row],[Quality %]], "")</f>
        <v>1.0777142857142856</v>
      </c>
    </row>
    <row r="473" spans="1:18" ht="30" customHeight="1" x14ac:dyDescent="0.25">
      <c r="A473" s="47">
        <v>46152</v>
      </c>
      <c r="B473" s="48" t="s">
        <v>18</v>
      </c>
      <c r="C473" s="48" t="s">
        <v>28</v>
      </c>
      <c r="D473" s="48" t="s">
        <v>29</v>
      </c>
      <c r="E473" s="49">
        <v>7800</v>
      </c>
      <c r="F473" s="76">
        <v>6444</v>
      </c>
      <c r="G473" s="49">
        <v>0</v>
      </c>
      <c r="H473" s="50">
        <f>IFERROR(Table1[Re-process (Kg)]/Table1[Actual Production (Kg)], "")</f>
        <v>0</v>
      </c>
      <c r="I473" s="49">
        <f>IFERROR(Table1[[#This Row],[Actual Production (Kg)]]-Table1[[#This Row],[Re-process (Kg)]], "")</f>
        <v>6444</v>
      </c>
      <c r="J473" s="49">
        <v>22</v>
      </c>
      <c r="K473" s="72">
        <v>2</v>
      </c>
      <c r="L473" s="49">
        <f>IF(Table1[[#This Row],[Target Time (Hours)]]="","",Table1[[#This Row],[Target Time (Hours)]]-Table1[[#This Row],[Downtime (Hours)]])</f>
        <v>20</v>
      </c>
      <c r="M473" s="49">
        <f>IFERROR(Table1[[#This Row],[Capacity (Kg)]]/Table1[[#This Row],[Target Time (Hours)]] * Table1[[#This Row],[Downtime (Hours)]], "")</f>
        <v>709.09090909090912</v>
      </c>
      <c r="N473" s="50">
        <f>IFERROR(Table1[[#This Row],[Running Time (hr)]]/Table1[Target Time (Hours)], "")</f>
        <v>0.90909090909090906</v>
      </c>
      <c r="O473" s="50">
        <f>IFERROR(Table1[[#This Row],[Actual Production (Kg)]]/Table1[Capacity (Kg)], "")</f>
        <v>0.82615384615384613</v>
      </c>
      <c r="P473" s="50">
        <f>IFERROR(Table1[[#This Row],[Quality Pass Production]]/Table1[[#This Row],[Actual Production (Kg)]], "")</f>
        <v>1</v>
      </c>
      <c r="Q473" s="50">
        <f>IFERROR(Table1[[#This Row],[Utilization %]]*Table1[[#This Row],[Efficiency %]]*Table1[[#This Row],[Quality %]], "")</f>
        <v>0.75104895104895097</v>
      </c>
      <c r="R473" s="48" t="s">
        <v>145</v>
      </c>
    </row>
    <row r="474" spans="1:18" ht="30" customHeight="1" x14ac:dyDescent="0.25">
      <c r="A474" s="26">
        <v>46152</v>
      </c>
      <c r="B474" s="27" t="s">
        <v>18</v>
      </c>
      <c r="C474" s="27" t="s">
        <v>135</v>
      </c>
      <c r="D474" s="27" t="s">
        <v>29</v>
      </c>
      <c r="E474" s="79"/>
      <c r="F474" s="79">
        <v>0</v>
      </c>
      <c r="G474" s="79"/>
      <c r="H474" s="28"/>
      <c r="I474" s="79"/>
      <c r="J474" s="79"/>
      <c r="K474" s="27"/>
      <c r="L474" s="53" t="str">
        <f>IF(Table1[[#This Row],[Target Time (Hours)]]="","",Table1[[#This Row],[Target Time (Hours)]]-Table1[[#This Row],[Downtime (Hours)]])</f>
        <v/>
      </c>
      <c r="M474" s="79"/>
      <c r="N474" s="28"/>
      <c r="O474" s="28"/>
      <c r="P474" s="28"/>
      <c r="Q474" s="28"/>
      <c r="R474" s="27"/>
    </row>
    <row r="475" spans="1:18" ht="30" customHeight="1" x14ac:dyDescent="0.25">
      <c r="A475" s="47">
        <v>46152</v>
      </c>
      <c r="B475" s="48" t="s">
        <v>18</v>
      </c>
      <c r="C475" s="48" t="s">
        <v>30</v>
      </c>
      <c r="D475" s="48" t="s">
        <v>31</v>
      </c>
      <c r="E475" s="49">
        <v>9000</v>
      </c>
      <c r="F475" s="76">
        <v>8344</v>
      </c>
      <c r="G475" s="49">
        <v>0</v>
      </c>
      <c r="H475" s="50">
        <f>IFERROR(Table1[Re-process (Kg)]/Table1[Actual Production (Kg)], "")</f>
        <v>0</v>
      </c>
      <c r="I475" s="49">
        <f>IFERROR(Table1[[#This Row],[Actual Production (Kg)]]-Table1[[#This Row],[Re-process (Kg)]], "")</f>
        <v>8344</v>
      </c>
      <c r="J475" s="49">
        <v>22</v>
      </c>
      <c r="K475" s="72">
        <v>0</v>
      </c>
      <c r="L475" s="49">
        <f>IF(Table1[[#This Row],[Target Time (Hours)]]="","",Table1[[#This Row],[Target Time (Hours)]]-Table1[[#This Row],[Downtime (Hours)]])</f>
        <v>22</v>
      </c>
      <c r="M475" s="49">
        <f>IFERROR(Table1[[#This Row],[Capacity (Kg)]]/Table1[[#This Row],[Target Time (Hours)]] * Table1[[#This Row],[Downtime (Hours)]], "")</f>
        <v>0</v>
      </c>
      <c r="N475" s="50">
        <f>IFERROR(Table1[[#This Row],[Running Time (hr)]]/Table1[Target Time (Hours)], "")</f>
        <v>1</v>
      </c>
      <c r="O475" s="50">
        <f>IFERROR(Table1[[#This Row],[Actual Production (Kg)]]/Table1[Capacity (Kg)], "")</f>
        <v>0.92711111111111111</v>
      </c>
      <c r="P475" s="50">
        <f>IFERROR(Table1[[#This Row],[Quality Pass Production]]/Table1[[#This Row],[Actual Production (Kg)]], "")</f>
        <v>1</v>
      </c>
      <c r="Q475" s="50">
        <f>IFERROR(Table1[[#This Row],[Utilization %]]*Table1[[#This Row],[Efficiency %]]*Table1[[#This Row],[Quality %]], "")</f>
        <v>0.92711111111111111</v>
      </c>
    </row>
    <row r="476" spans="1:18" ht="30" customHeight="1" x14ac:dyDescent="0.25">
      <c r="A476" s="26">
        <v>46152</v>
      </c>
      <c r="B476" s="27" t="s">
        <v>18</v>
      </c>
      <c r="C476" s="27" t="s">
        <v>32</v>
      </c>
      <c r="D476" s="27" t="s">
        <v>31</v>
      </c>
      <c r="E476" s="79">
        <f>Table1[[#This Row],[Actual Production (Kg)]]</f>
        <v>2185</v>
      </c>
      <c r="F476" s="79">
        <v>2185</v>
      </c>
      <c r="G476" s="79"/>
      <c r="H476" s="28"/>
      <c r="I476" s="79"/>
      <c r="J476" s="79"/>
      <c r="K476" s="27"/>
      <c r="L476" s="53" t="str">
        <f>IF(Table1[[#This Row],[Target Time (Hours)]]="","",Table1[[#This Row],[Target Time (Hours)]]-Table1[[#This Row],[Downtime (Hours)]])</f>
        <v/>
      </c>
      <c r="M476" s="79"/>
      <c r="N476" s="28"/>
      <c r="O476" s="28"/>
      <c r="P476" s="28"/>
      <c r="Q476" s="28"/>
      <c r="R476" s="27"/>
    </row>
    <row r="477" spans="1:18" ht="30" customHeight="1" x14ac:dyDescent="0.25">
      <c r="A477" s="47">
        <v>46152</v>
      </c>
      <c r="B477" s="48" t="s">
        <v>33</v>
      </c>
      <c r="C477" s="48" t="s">
        <v>34</v>
      </c>
      <c r="D477" s="48" t="s">
        <v>35</v>
      </c>
      <c r="E477" s="49">
        <v>9000</v>
      </c>
      <c r="F477" s="76">
        <v>7505</v>
      </c>
      <c r="G477" s="49">
        <v>0</v>
      </c>
      <c r="H477" s="50">
        <f>IFERROR(Table1[Re-process (Kg)]/Table1[Actual Production (Kg)], "")</f>
        <v>0</v>
      </c>
      <c r="I477" s="49">
        <f>IFERROR(Table1[[#This Row],[Actual Production (Kg)]]-Table1[[#This Row],[Re-process (Kg)]], "")</f>
        <v>7505</v>
      </c>
      <c r="J477" s="49">
        <v>22</v>
      </c>
      <c r="K477" s="72">
        <v>0</v>
      </c>
      <c r="L477" s="49">
        <f>IF(Table1[[#This Row],[Target Time (Hours)]]="","",Table1[[#This Row],[Target Time (Hours)]]-Table1[[#This Row],[Downtime (Hours)]])</f>
        <v>22</v>
      </c>
      <c r="M477" s="49">
        <f>IFERROR(Table1[[#This Row],[Capacity (Kg)]]/Table1[[#This Row],[Target Time (Hours)]] * Table1[[#This Row],[Downtime (Hours)]], "")</f>
        <v>0</v>
      </c>
      <c r="N477" s="50">
        <f>IFERROR(Table1[[#This Row],[Running Time (hr)]]/Table1[Target Time (Hours)], "")</f>
        <v>1</v>
      </c>
      <c r="O477" s="50">
        <f>IFERROR(Table1[[#This Row],[Actual Production (Kg)]]/Table1[Capacity (Kg)], "")</f>
        <v>0.8338888888888889</v>
      </c>
      <c r="P477" s="50">
        <f>IFERROR(Table1[[#This Row],[Quality Pass Production]]/Table1[[#This Row],[Actual Production (Kg)]], "")</f>
        <v>1</v>
      </c>
      <c r="Q477" s="50">
        <f>IFERROR(Table1[[#This Row],[Utilization %]]*Table1[[#This Row],[Efficiency %]]*Table1[[#This Row],[Quality %]], "")</f>
        <v>0.8338888888888889</v>
      </c>
    </row>
    <row r="478" spans="1:18" x14ac:dyDescent="0.25">
      <c r="A478" s="47">
        <v>46152</v>
      </c>
      <c r="B478" s="48" t="s">
        <v>33</v>
      </c>
      <c r="C478" s="48" t="s">
        <v>36</v>
      </c>
      <c r="D478" s="48" t="s">
        <v>37</v>
      </c>
      <c r="E478" s="49">
        <v>8000</v>
      </c>
      <c r="F478" s="76">
        <v>7164</v>
      </c>
      <c r="G478" s="49">
        <v>0</v>
      </c>
      <c r="H478" s="50">
        <f>IFERROR(Table1[Re-process (Kg)]/Table1[Actual Production (Kg)], "")</f>
        <v>0</v>
      </c>
      <c r="I478" s="49">
        <f>IFERROR(Table1[[#This Row],[Actual Production (Kg)]]-Table1[[#This Row],[Re-process (Kg)]], "")</f>
        <v>7164</v>
      </c>
      <c r="J478" s="49">
        <v>22</v>
      </c>
      <c r="K478" s="72">
        <v>2</v>
      </c>
      <c r="L478" s="49">
        <f>IF(Table1[[#This Row],[Target Time (Hours)]]="","",Table1[[#This Row],[Target Time (Hours)]]-Table1[[#This Row],[Downtime (Hours)]])</f>
        <v>20</v>
      </c>
      <c r="M478" s="49">
        <f>IFERROR(Table1[[#This Row],[Capacity (Kg)]]/Table1[[#This Row],[Target Time (Hours)]] * Table1[[#This Row],[Downtime (Hours)]], "")</f>
        <v>727.27272727272725</v>
      </c>
      <c r="N478" s="50">
        <f>IFERROR(Table1[[#This Row],[Running Time (hr)]]/Table1[Target Time (Hours)], "")</f>
        <v>0.90909090909090906</v>
      </c>
      <c r="O478" s="50">
        <f>IFERROR(Table1[[#This Row],[Actual Production (Kg)]]/Table1[Capacity (Kg)], "")</f>
        <v>0.89549999999999996</v>
      </c>
      <c r="P478" s="50">
        <f>IFERROR(Table1[[#This Row],[Quality Pass Production]]/Table1[[#This Row],[Actual Production (Kg)]], "")</f>
        <v>1</v>
      </c>
      <c r="Q478" s="50">
        <f>IFERROR(Table1[[#This Row],[Utilization %]]*Table1[[#This Row],[Efficiency %]]*Table1[[#This Row],[Quality %]], "")</f>
        <v>0.81409090909090898</v>
      </c>
      <c r="R478" s="48" t="s">
        <v>146</v>
      </c>
    </row>
    <row r="479" spans="1:18" ht="30" customHeight="1" x14ac:dyDescent="0.25">
      <c r="A479" s="47">
        <v>46152</v>
      </c>
      <c r="B479" s="48" t="s">
        <v>33</v>
      </c>
      <c r="C479" s="48" t="s">
        <v>39</v>
      </c>
      <c r="D479" s="48" t="s">
        <v>31</v>
      </c>
      <c r="E479" s="49">
        <v>6000</v>
      </c>
      <c r="F479" s="76">
        <v>2574</v>
      </c>
      <c r="G479" s="49">
        <v>0</v>
      </c>
      <c r="H479" s="50">
        <f>IFERROR(Table1[Re-process (Kg)]/Table1[Actual Production (Kg)], "")</f>
        <v>0</v>
      </c>
      <c r="I479" s="49">
        <f>IFERROR(Table1[[#This Row],[Actual Production (Kg)]]-Table1[[#This Row],[Re-process (Kg)]], "")</f>
        <v>2574</v>
      </c>
      <c r="J479" s="49">
        <v>22</v>
      </c>
      <c r="K479" s="72">
        <v>0</v>
      </c>
      <c r="L479" s="49">
        <f>IF(Table1[[#This Row],[Target Time (Hours)]]="","",Table1[[#This Row],[Target Time (Hours)]]-Table1[[#This Row],[Downtime (Hours)]])</f>
        <v>22</v>
      </c>
      <c r="M479" s="49">
        <f>IFERROR(Table1[[#This Row],[Capacity (Kg)]]/Table1[[#This Row],[Target Time (Hours)]] * Table1[[#This Row],[Downtime (Hours)]], "")</f>
        <v>0</v>
      </c>
      <c r="N479" s="50">
        <f>IFERROR(Table1[[#This Row],[Running Time (hr)]]/Table1[Target Time (Hours)], "")</f>
        <v>1</v>
      </c>
      <c r="O479" s="50">
        <f>IFERROR(Table1[[#This Row],[Actual Production (Kg)]]/Table1[Capacity (Kg)], "")</f>
        <v>0.42899999999999999</v>
      </c>
      <c r="P479" s="50">
        <f>IFERROR(Table1[[#This Row],[Quality Pass Production]]/Table1[[#This Row],[Actual Production (Kg)]], "")</f>
        <v>1</v>
      </c>
      <c r="Q479" s="50">
        <f>IFERROR(Table1[[#This Row],[Utilization %]]*Table1[[#This Row],[Efficiency %]]*Table1[[#This Row],[Quality %]], "")</f>
        <v>0.42899999999999999</v>
      </c>
      <c r="R479" s="48" t="s">
        <v>147</v>
      </c>
    </row>
    <row r="480" spans="1:18" ht="45" customHeight="1" x14ac:dyDescent="0.25">
      <c r="A480" s="54">
        <v>46152</v>
      </c>
      <c r="B480" s="55" t="s">
        <v>33</v>
      </c>
      <c r="C480" s="55" t="s">
        <v>40</v>
      </c>
      <c r="D480" s="55" t="s">
        <v>31</v>
      </c>
      <c r="E480" s="56">
        <v>5000</v>
      </c>
      <c r="F480" s="56">
        <v>3057</v>
      </c>
      <c r="G480" s="56">
        <v>0</v>
      </c>
      <c r="H480" s="58">
        <f>IFERROR(Table1[Re-process (Kg)]/Table1[Actual Production (Kg)], "")</f>
        <v>0</v>
      </c>
      <c r="I480" s="56">
        <f>IFERROR(Table1[[#This Row],[Actual Production (Kg)]]-Table1[[#This Row],[Re-process (Kg)]], "")</f>
        <v>3057</v>
      </c>
      <c r="J480" s="56">
        <v>22</v>
      </c>
      <c r="K480" s="55">
        <v>0</v>
      </c>
      <c r="L480" s="56">
        <f>IF(Table1[[#This Row],[Target Time (Hours)]]="","",Table1[[#This Row],[Target Time (Hours)]]-Table1[[#This Row],[Downtime (Hours)]])</f>
        <v>22</v>
      </c>
      <c r="M480" s="56">
        <f>IFERROR(Table1[[#This Row],[Capacity (Kg)]]/Table1[[#This Row],[Target Time (Hours)]] * Table1[[#This Row],[Downtime (Hours)]], "")</f>
        <v>0</v>
      </c>
      <c r="N480" s="58">
        <f>IFERROR(Table1[[#This Row],[Running Time (hr)]]/Table1[Target Time (Hours)], "")</f>
        <v>1</v>
      </c>
      <c r="O480" s="58">
        <f>IFERROR(Table1[[#This Row],[Actual Production (Kg)]]/Table1[Capacity (Kg)], "")</f>
        <v>0.61140000000000005</v>
      </c>
      <c r="P480" s="58">
        <f>IFERROR(Table1[[#This Row],[Quality Pass Production]]/Table1[[#This Row],[Actual Production (Kg)]], "")</f>
        <v>1</v>
      </c>
      <c r="Q480" s="58">
        <f>IFERROR(Table1[[#This Row],[Utilization %]]*Table1[[#This Row],[Efficiency %]]*Table1[[#This Row],[Quality %]], "")</f>
        <v>0.61140000000000005</v>
      </c>
      <c r="R480" s="55" t="s">
        <v>124</v>
      </c>
    </row>
    <row r="481" spans="1:18" ht="30" customHeight="1" x14ac:dyDescent="0.25">
      <c r="A481" s="47">
        <v>46153</v>
      </c>
      <c r="B481" s="48" t="s">
        <v>18</v>
      </c>
      <c r="C481" s="48" t="s">
        <v>19</v>
      </c>
      <c r="D481" s="48" t="s">
        <v>20</v>
      </c>
      <c r="E481" s="49">
        <v>10000</v>
      </c>
      <c r="F481" s="76">
        <v>8362</v>
      </c>
      <c r="G481" s="49">
        <v>0</v>
      </c>
      <c r="H481" s="50">
        <f>IFERROR(Table1[Re-process (Kg)]/Table1[Actual Production (Kg)], "")</f>
        <v>0</v>
      </c>
      <c r="I481" s="49">
        <f>IFERROR(Table1[[#This Row],[Actual Production (Kg)]]-Table1[[#This Row],[Re-process (Kg)]], "")</f>
        <v>8362</v>
      </c>
      <c r="J481" s="49">
        <v>22</v>
      </c>
      <c r="K481" s="72">
        <v>0</v>
      </c>
      <c r="L481" s="49">
        <f>IF(Table1[[#This Row],[Target Time (Hours)]]="","",Table1[[#This Row],[Target Time (Hours)]]-Table1[[#This Row],[Downtime (Hours)]])</f>
        <v>22</v>
      </c>
      <c r="M481" s="49">
        <f>IFERROR(Table1[[#This Row],[Capacity (Kg)]]/Table1[[#This Row],[Target Time (Hours)]] * Table1[[#This Row],[Downtime (Hours)]], "")</f>
        <v>0</v>
      </c>
      <c r="N481" s="50">
        <f>IFERROR(Table1[[#This Row],[Running Time (hr)]]/Table1[Target Time (Hours)], "")</f>
        <v>1</v>
      </c>
      <c r="O481" s="50">
        <f>IFERROR(Table1[[#This Row],[Actual Production (Kg)]]/Table1[Capacity (Kg)], "")</f>
        <v>0.83620000000000005</v>
      </c>
      <c r="P481" s="50">
        <f>IFERROR(Table1[[#This Row],[Quality Pass Production]]/Table1[[#This Row],[Actual Production (Kg)]], "")</f>
        <v>1</v>
      </c>
      <c r="Q481" s="50">
        <f>IFERROR(Table1[[#This Row],[Utilization %]]*Table1[[#This Row],[Efficiency %]]*Table1[[#This Row],[Quality %]], "")</f>
        <v>0.83620000000000005</v>
      </c>
    </row>
    <row r="482" spans="1:18" x14ac:dyDescent="0.25">
      <c r="A482" s="47">
        <v>46153</v>
      </c>
      <c r="B482" s="48" t="s">
        <v>18</v>
      </c>
      <c r="C482" s="48" t="s">
        <v>22</v>
      </c>
      <c r="D482" s="48" t="s">
        <v>23</v>
      </c>
      <c r="E482" s="49">
        <v>5000</v>
      </c>
      <c r="F482" s="76">
        <v>4947</v>
      </c>
      <c r="G482" s="49">
        <v>0</v>
      </c>
      <c r="H482" s="50">
        <f>IFERROR(Table1[Re-process (Kg)]/Table1[Actual Production (Kg)], "")</f>
        <v>0</v>
      </c>
      <c r="I482" s="49">
        <f>IFERROR(Table1[[#This Row],[Actual Production (Kg)]]-Table1[[#This Row],[Re-process (Kg)]], "")</f>
        <v>4947</v>
      </c>
      <c r="J482" s="49">
        <v>22</v>
      </c>
      <c r="K482" s="72">
        <v>0</v>
      </c>
      <c r="L482" s="49">
        <f>IF(Table1[[#This Row],[Target Time (Hours)]]="","",Table1[[#This Row],[Target Time (Hours)]]-Table1[[#This Row],[Downtime (Hours)]])</f>
        <v>22</v>
      </c>
      <c r="M482" s="49">
        <f>IFERROR(Table1[[#This Row],[Capacity (Kg)]]/Table1[[#This Row],[Target Time (Hours)]] * Table1[[#This Row],[Downtime (Hours)]], "")</f>
        <v>0</v>
      </c>
      <c r="N482" s="50">
        <f>IFERROR(Table1[[#This Row],[Running Time (hr)]]/Table1[Target Time (Hours)], "")</f>
        <v>1</v>
      </c>
      <c r="O482" s="50">
        <f>IFERROR(Table1[[#This Row],[Actual Production (Kg)]]/Table1[Capacity (Kg)], "")</f>
        <v>0.98939999999999995</v>
      </c>
      <c r="P482" s="50">
        <f>IFERROR(Table1[[#This Row],[Quality Pass Production]]/Table1[[#This Row],[Actual Production (Kg)]], "")</f>
        <v>1</v>
      </c>
      <c r="Q482" s="50">
        <f>IFERROR(Table1[[#This Row],[Utilization %]]*Table1[[#This Row],[Efficiency %]]*Table1[[#This Row],[Quality %]], "")</f>
        <v>0.98939999999999995</v>
      </c>
    </row>
    <row r="483" spans="1:18" x14ac:dyDescent="0.25">
      <c r="A483" s="47">
        <v>46153</v>
      </c>
      <c r="B483" s="48" t="s">
        <v>18</v>
      </c>
      <c r="C483" s="48" t="s">
        <v>22</v>
      </c>
      <c r="D483" s="48" t="s">
        <v>25</v>
      </c>
      <c r="E483" s="49">
        <v>4000</v>
      </c>
      <c r="F483" s="76">
        <v>2905</v>
      </c>
      <c r="G483" s="49">
        <v>0</v>
      </c>
      <c r="H483" s="50">
        <f>IFERROR(Table1[Re-process (Kg)]/Table1[Actual Production (Kg)], "")</f>
        <v>0</v>
      </c>
      <c r="I483" s="49">
        <f>IFERROR(Table1[[#This Row],[Actual Production (Kg)]]-Table1[[#This Row],[Re-process (Kg)]], "")</f>
        <v>2905</v>
      </c>
      <c r="J483" s="49"/>
      <c r="K483" s="72">
        <v>0</v>
      </c>
      <c r="L483" s="49" t="str">
        <f>IF(Table1[[#This Row],[Target Time (Hours)]]="","",Table1[[#This Row],[Target Time (Hours)]]-Table1[[#This Row],[Downtime (Hours)]])</f>
        <v/>
      </c>
      <c r="M483" s="49" t="str">
        <f>IFERROR(Table1[[#This Row],[Capacity (Kg)]]/Table1[[#This Row],[Target Time (Hours)]] * Table1[[#This Row],[Downtime (Hours)]], "")</f>
        <v/>
      </c>
      <c r="N483" s="50" t="str">
        <f>IFERROR(Table1[[#This Row],[Running Time (hr)]]/Table1[Target Time (Hours)], "")</f>
        <v/>
      </c>
      <c r="O483" s="50">
        <f>IFERROR(Table1[[#This Row],[Actual Production (Kg)]]/Table1[Capacity (Kg)], "")</f>
        <v>0.72624999999999995</v>
      </c>
      <c r="P483" s="50">
        <f>IFERROR(Table1[[#This Row],[Quality Pass Production]]/Table1[[#This Row],[Actual Production (Kg)]], "")</f>
        <v>1</v>
      </c>
      <c r="Q483" s="50" t="str">
        <f>IFERROR(Table1[[#This Row],[Utilization %]]*Table1[[#This Row],[Efficiency %]]*Table1[[#This Row],[Quality %]], "")</f>
        <v/>
      </c>
    </row>
    <row r="484" spans="1:18" x14ac:dyDescent="0.25">
      <c r="A484" s="47">
        <v>46153</v>
      </c>
      <c r="B484" s="48" t="s">
        <v>18</v>
      </c>
      <c r="C484" s="48" t="s">
        <v>26</v>
      </c>
      <c r="D484" s="48" t="s">
        <v>25</v>
      </c>
      <c r="E484" s="49">
        <v>7000</v>
      </c>
      <c r="F484" s="76">
        <v>7392</v>
      </c>
      <c r="G484" s="49">
        <v>0</v>
      </c>
      <c r="H484" s="50">
        <f>IFERROR(Table1[Re-process (Kg)]/Table1[Actual Production (Kg)], "")</f>
        <v>0</v>
      </c>
      <c r="I484" s="49">
        <f>IFERROR(Table1[[#This Row],[Actual Production (Kg)]]-Table1[[#This Row],[Re-process (Kg)]], "")</f>
        <v>7392</v>
      </c>
      <c r="J484" s="49">
        <v>22</v>
      </c>
      <c r="K484" s="72">
        <v>0</v>
      </c>
      <c r="L484" s="49">
        <f>IF(Table1[[#This Row],[Target Time (Hours)]]="","",Table1[[#This Row],[Target Time (Hours)]]-Table1[[#This Row],[Downtime (Hours)]])</f>
        <v>22</v>
      </c>
      <c r="M484" s="49">
        <f>IFERROR(Table1[[#This Row],[Capacity (Kg)]]/Table1[[#This Row],[Target Time (Hours)]] * Table1[[#This Row],[Downtime (Hours)]], "")</f>
        <v>0</v>
      </c>
      <c r="N484" s="50">
        <f>IFERROR(Table1[[#This Row],[Running Time (hr)]]/Table1[Target Time (Hours)], "")</f>
        <v>1</v>
      </c>
      <c r="O484" s="50">
        <f>IFERROR(Table1[[#This Row],[Actual Production (Kg)]]/Table1[Capacity (Kg)], "")</f>
        <v>1.056</v>
      </c>
      <c r="P484" s="50">
        <f>IFERROR(Table1[[#This Row],[Quality Pass Production]]/Table1[[#This Row],[Actual Production (Kg)]], "")</f>
        <v>1</v>
      </c>
      <c r="Q484" s="50">
        <f>IFERROR(Table1[[#This Row],[Utilization %]]*Table1[[#This Row],[Efficiency %]]*Table1[[#This Row],[Quality %]], "")</f>
        <v>1.056</v>
      </c>
    </row>
    <row r="485" spans="1:18" ht="30" customHeight="1" x14ac:dyDescent="0.25">
      <c r="A485" s="47">
        <v>46153</v>
      </c>
      <c r="B485" s="48" t="s">
        <v>18</v>
      </c>
      <c r="C485" s="48" t="s">
        <v>28</v>
      </c>
      <c r="D485" s="48" t="s">
        <v>29</v>
      </c>
      <c r="E485" s="49">
        <v>7800</v>
      </c>
      <c r="F485" s="76">
        <v>6412</v>
      </c>
      <c r="G485" s="49">
        <v>0</v>
      </c>
      <c r="H485" s="50">
        <f>IFERROR(Table1[Re-process (Kg)]/Table1[Actual Production (Kg)], "")</f>
        <v>0</v>
      </c>
      <c r="I485" s="49">
        <f>IFERROR(Table1[[#This Row],[Actual Production (Kg)]]-Table1[[#This Row],[Re-process (Kg)]], "")</f>
        <v>6412</v>
      </c>
      <c r="J485" s="49">
        <v>22</v>
      </c>
      <c r="K485" s="72">
        <v>0</v>
      </c>
      <c r="L485" s="49">
        <f>IF(Table1[[#This Row],[Target Time (Hours)]]="","",Table1[[#This Row],[Target Time (Hours)]]-Table1[[#This Row],[Downtime (Hours)]])</f>
        <v>22</v>
      </c>
      <c r="M485" s="49">
        <f>IFERROR(Table1[[#This Row],[Capacity (Kg)]]/Table1[[#This Row],[Target Time (Hours)]] * Table1[[#This Row],[Downtime (Hours)]], "")</f>
        <v>0</v>
      </c>
      <c r="N485" s="50">
        <f>IFERROR(Table1[[#This Row],[Running Time (hr)]]/Table1[Target Time (Hours)], "")</f>
        <v>1</v>
      </c>
      <c r="O485" s="50">
        <f>IFERROR(Table1[[#This Row],[Actual Production (Kg)]]/Table1[Capacity (Kg)], "")</f>
        <v>0.82205128205128208</v>
      </c>
      <c r="P485" s="50">
        <f>IFERROR(Table1[[#This Row],[Quality Pass Production]]/Table1[[#This Row],[Actual Production (Kg)]], "")</f>
        <v>1</v>
      </c>
      <c r="Q485" s="50">
        <f>IFERROR(Table1[[#This Row],[Utilization %]]*Table1[[#This Row],[Efficiency %]]*Table1[[#This Row],[Quality %]], "")</f>
        <v>0.82205128205128208</v>
      </c>
      <c r="R485" s="48" t="s">
        <v>148</v>
      </c>
    </row>
    <row r="486" spans="1:18" ht="30" customHeight="1" x14ac:dyDescent="0.25">
      <c r="A486" s="26">
        <v>46153</v>
      </c>
      <c r="B486" s="27" t="s">
        <v>18</v>
      </c>
      <c r="C486" s="27" t="s">
        <v>135</v>
      </c>
      <c r="D486" s="27" t="s">
        <v>29</v>
      </c>
      <c r="E486" s="79"/>
      <c r="F486" s="79">
        <v>0</v>
      </c>
      <c r="G486" s="79"/>
      <c r="H486" s="28"/>
      <c r="I486" s="79"/>
      <c r="J486" s="79"/>
      <c r="K486" s="27"/>
      <c r="L486" s="53" t="str">
        <f>IF(Table1[[#This Row],[Target Time (Hours)]]="","",Table1[[#This Row],[Target Time (Hours)]]-Table1[[#This Row],[Downtime (Hours)]])</f>
        <v/>
      </c>
      <c r="M486" s="79"/>
      <c r="N486" s="28"/>
      <c r="O486" s="28"/>
      <c r="P486" s="28"/>
      <c r="Q486" s="28"/>
      <c r="R486" s="27"/>
    </row>
    <row r="487" spans="1:18" ht="30" customHeight="1" x14ac:dyDescent="0.25">
      <c r="A487" s="47">
        <v>46153</v>
      </c>
      <c r="B487" s="48" t="s">
        <v>18</v>
      </c>
      <c r="C487" s="48" t="s">
        <v>30</v>
      </c>
      <c r="D487" s="48" t="s">
        <v>31</v>
      </c>
      <c r="E487" s="49">
        <v>9000</v>
      </c>
      <c r="F487" s="76">
        <v>6964</v>
      </c>
      <c r="G487" s="49">
        <v>0</v>
      </c>
      <c r="H487" s="50">
        <f>IFERROR(Table1[Re-process (Kg)]/Table1[Actual Production (Kg)], "")</f>
        <v>0</v>
      </c>
      <c r="I487" s="49">
        <f>IFERROR(Table1[[#This Row],[Actual Production (Kg)]]-Table1[[#This Row],[Re-process (Kg)]], "")</f>
        <v>6964</v>
      </c>
      <c r="J487" s="49">
        <v>22</v>
      </c>
      <c r="K487" s="72">
        <v>1</v>
      </c>
      <c r="L487" s="49">
        <f>IF(Table1[[#This Row],[Target Time (Hours)]]="","",Table1[[#This Row],[Target Time (Hours)]]-Table1[[#This Row],[Downtime (Hours)]])</f>
        <v>21</v>
      </c>
      <c r="M487" s="49">
        <f>IFERROR(Table1[[#This Row],[Capacity (Kg)]]/Table1[[#This Row],[Target Time (Hours)]] * Table1[[#This Row],[Downtime (Hours)]], "")</f>
        <v>409.09090909090907</v>
      </c>
      <c r="N487" s="50">
        <f>IFERROR(Table1[[#This Row],[Running Time (hr)]]/Table1[Target Time (Hours)], "")</f>
        <v>0.95454545454545459</v>
      </c>
      <c r="O487" s="50">
        <f>IFERROR(Table1[[#This Row],[Actual Production (Kg)]]/Table1[Capacity (Kg)], "")</f>
        <v>0.77377777777777779</v>
      </c>
      <c r="P487" s="50">
        <f>IFERROR(Table1[[#This Row],[Quality Pass Production]]/Table1[[#This Row],[Actual Production (Kg)]], "")</f>
        <v>1</v>
      </c>
      <c r="Q487" s="50">
        <f>IFERROR(Table1[[#This Row],[Utilization %]]*Table1[[#This Row],[Efficiency %]]*Table1[[#This Row],[Quality %]], "")</f>
        <v>0.7386060606060606</v>
      </c>
      <c r="R487" s="48" t="s">
        <v>149</v>
      </c>
    </row>
    <row r="488" spans="1:18" ht="30" customHeight="1" x14ac:dyDescent="0.25">
      <c r="A488" s="26">
        <v>46153</v>
      </c>
      <c r="B488" s="27" t="s">
        <v>18</v>
      </c>
      <c r="C488" s="27" t="s">
        <v>32</v>
      </c>
      <c r="D488" s="27" t="s">
        <v>31</v>
      </c>
      <c r="E488" s="79">
        <f>Table1[[#This Row],[Actual Production (Kg)]]</f>
        <v>0</v>
      </c>
      <c r="F488" s="79">
        <v>0</v>
      </c>
      <c r="G488" s="79"/>
      <c r="H488" s="28"/>
      <c r="I488" s="79"/>
      <c r="J488" s="79"/>
      <c r="K488" s="27"/>
      <c r="L488" s="53" t="str">
        <f>IF(Table1[[#This Row],[Target Time (Hours)]]="","",Table1[[#This Row],[Target Time (Hours)]]-Table1[[#This Row],[Downtime (Hours)]])</f>
        <v/>
      </c>
      <c r="M488" s="79"/>
      <c r="N488" s="28"/>
      <c r="O488" s="28"/>
      <c r="P488" s="28"/>
      <c r="Q488" s="28"/>
      <c r="R488" s="27" t="s">
        <v>150</v>
      </c>
    </row>
    <row r="489" spans="1:18" ht="30" customHeight="1" x14ac:dyDescent="0.25">
      <c r="A489" s="47">
        <v>46153</v>
      </c>
      <c r="B489" s="48" t="s">
        <v>33</v>
      </c>
      <c r="C489" s="48" t="s">
        <v>34</v>
      </c>
      <c r="D489" s="48" t="s">
        <v>35</v>
      </c>
      <c r="E489" s="49">
        <v>9000</v>
      </c>
      <c r="F489" s="76">
        <v>7763</v>
      </c>
      <c r="G489" s="49">
        <v>0</v>
      </c>
      <c r="H489" s="50">
        <f>IFERROR(Table1[Re-process (Kg)]/Table1[Actual Production (Kg)], "")</f>
        <v>0</v>
      </c>
      <c r="I489" s="49">
        <f>IFERROR(Table1[[#This Row],[Actual Production (Kg)]]-Table1[[#This Row],[Re-process (Kg)]], "")</f>
        <v>7763</v>
      </c>
      <c r="J489" s="49">
        <v>22</v>
      </c>
      <c r="K489" s="72">
        <v>0</v>
      </c>
      <c r="L489" s="49">
        <f>IF(Table1[[#This Row],[Target Time (Hours)]]="","",Table1[[#This Row],[Target Time (Hours)]]-Table1[[#This Row],[Downtime (Hours)]])</f>
        <v>22</v>
      </c>
      <c r="M489" s="49">
        <f>IFERROR(Table1[[#This Row],[Capacity (Kg)]]/Table1[[#This Row],[Target Time (Hours)]] * Table1[[#This Row],[Downtime (Hours)]], "")</f>
        <v>0</v>
      </c>
      <c r="N489" s="50">
        <f>IFERROR(Table1[[#This Row],[Running Time (hr)]]/Table1[Target Time (Hours)], "")</f>
        <v>1</v>
      </c>
      <c r="O489" s="50">
        <f>IFERROR(Table1[[#This Row],[Actual Production (Kg)]]/Table1[Capacity (Kg)], "")</f>
        <v>0.86255555555555552</v>
      </c>
      <c r="P489" s="50">
        <f>IFERROR(Table1[[#This Row],[Quality Pass Production]]/Table1[[#This Row],[Actual Production (Kg)]], "")</f>
        <v>1</v>
      </c>
      <c r="Q489" s="50">
        <f>IFERROR(Table1[[#This Row],[Utilization %]]*Table1[[#This Row],[Efficiency %]]*Table1[[#This Row],[Quality %]], "")</f>
        <v>0.86255555555555552</v>
      </c>
      <c r="R489" s="48" t="s">
        <v>151</v>
      </c>
    </row>
    <row r="490" spans="1:18" ht="30" customHeight="1" x14ac:dyDescent="0.25">
      <c r="A490" s="47">
        <v>46153</v>
      </c>
      <c r="B490" s="48" t="s">
        <v>33</v>
      </c>
      <c r="C490" s="48" t="s">
        <v>36</v>
      </c>
      <c r="D490" s="48" t="s">
        <v>37</v>
      </c>
      <c r="E490" s="49">
        <v>8000</v>
      </c>
      <c r="F490" s="76">
        <v>6839</v>
      </c>
      <c r="G490" s="49">
        <v>0</v>
      </c>
      <c r="H490" s="50">
        <f>IFERROR(Table1[Re-process (Kg)]/Table1[Actual Production (Kg)], "")</f>
        <v>0</v>
      </c>
      <c r="I490" s="49">
        <f>IFERROR(Table1[[#This Row],[Actual Production (Kg)]]-Table1[[#This Row],[Re-process (Kg)]], "")</f>
        <v>6839</v>
      </c>
      <c r="J490" s="49">
        <v>22</v>
      </c>
      <c r="K490" s="72">
        <v>5</v>
      </c>
      <c r="L490" s="49">
        <f>IF(Table1[[#This Row],[Target Time (Hours)]]="","",Table1[[#This Row],[Target Time (Hours)]]-Table1[[#This Row],[Downtime (Hours)]])</f>
        <v>17</v>
      </c>
      <c r="M490" s="49">
        <f>IFERROR(Table1[[#This Row],[Capacity (Kg)]]/Table1[[#This Row],[Target Time (Hours)]] * Table1[[#This Row],[Downtime (Hours)]], "")</f>
        <v>1818.181818181818</v>
      </c>
      <c r="N490" s="50">
        <f>IFERROR(Table1[[#This Row],[Running Time (hr)]]/Table1[Target Time (Hours)], "")</f>
        <v>0.77272727272727271</v>
      </c>
      <c r="O490" s="50">
        <f>IFERROR(Table1[[#This Row],[Actual Production (Kg)]]/Table1[Capacity (Kg)], "")</f>
        <v>0.85487500000000005</v>
      </c>
      <c r="P490" s="50">
        <f>IFERROR(Table1[[#This Row],[Quality Pass Production]]/Table1[[#This Row],[Actual Production (Kg)]], "")</f>
        <v>1</v>
      </c>
      <c r="Q490" s="50">
        <f>IFERROR(Table1[[#This Row],[Utilization %]]*Table1[[#This Row],[Efficiency %]]*Table1[[#This Row],[Quality %]], "")</f>
        <v>0.66058522727272728</v>
      </c>
      <c r="R490" s="48" t="s">
        <v>152</v>
      </c>
    </row>
    <row r="491" spans="1:18" ht="30" customHeight="1" x14ac:dyDescent="0.25">
      <c r="A491" s="47">
        <v>46153</v>
      </c>
      <c r="B491" s="48" t="s">
        <v>33</v>
      </c>
      <c r="C491" s="48" t="s">
        <v>39</v>
      </c>
      <c r="D491" s="48" t="s">
        <v>31</v>
      </c>
      <c r="E491" s="49">
        <v>6000</v>
      </c>
      <c r="F491" s="76">
        <v>2293</v>
      </c>
      <c r="G491" s="49">
        <v>0</v>
      </c>
      <c r="H491" s="50">
        <f>IFERROR(Table1[Re-process (Kg)]/Table1[Actual Production (Kg)], "")</f>
        <v>0</v>
      </c>
      <c r="I491" s="49">
        <f>IFERROR(Table1[[#This Row],[Actual Production (Kg)]]-Table1[[#This Row],[Re-process (Kg)]], "")</f>
        <v>2293</v>
      </c>
      <c r="J491" s="49">
        <v>22</v>
      </c>
      <c r="K491" s="72">
        <v>0</v>
      </c>
      <c r="L491" s="49">
        <f>IF(Table1[[#This Row],[Target Time (Hours)]]="","",Table1[[#This Row],[Target Time (Hours)]]-Table1[[#This Row],[Downtime (Hours)]])</f>
        <v>22</v>
      </c>
      <c r="M491" s="49">
        <f>IFERROR(Table1[[#This Row],[Capacity (Kg)]]/Table1[[#This Row],[Target Time (Hours)]] * Table1[[#This Row],[Downtime (Hours)]], "")</f>
        <v>0</v>
      </c>
      <c r="N491" s="50">
        <f>IFERROR(Table1[[#This Row],[Running Time (hr)]]/Table1[Target Time (Hours)], "")</f>
        <v>1</v>
      </c>
      <c r="O491" s="50">
        <f>IFERROR(Table1[[#This Row],[Actual Production (Kg)]]/Table1[Capacity (Kg)], "")</f>
        <v>0.38216666666666665</v>
      </c>
      <c r="P491" s="50">
        <f>IFERROR(Table1[[#This Row],[Quality Pass Production]]/Table1[[#This Row],[Actual Production (Kg)]], "")</f>
        <v>1</v>
      </c>
      <c r="Q491" s="50">
        <f>IFERROR(Table1[[#This Row],[Utilization %]]*Table1[[#This Row],[Efficiency %]]*Table1[[#This Row],[Quality %]], "")</f>
        <v>0.38216666666666665</v>
      </c>
      <c r="R491" s="48" t="s">
        <v>151</v>
      </c>
    </row>
    <row r="492" spans="1:18" ht="45" customHeight="1" x14ac:dyDescent="0.25">
      <c r="A492" s="54">
        <v>46153</v>
      </c>
      <c r="B492" s="55" t="s">
        <v>33</v>
      </c>
      <c r="C492" s="55" t="s">
        <v>40</v>
      </c>
      <c r="D492" s="55" t="s">
        <v>31</v>
      </c>
      <c r="E492" s="56">
        <v>5000</v>
      </c>
      <c r="F492" s="56">
        <v>3621</v>
      </c>
      <c r="G492" s="56">
        <v>0</v>
      </c>
      <c r="H492" s="58">
        <f>IFERROR(Table1[Re-process (Kg)]/Table1[Actual Production (Kg)], "")</f>
        <v>0</v>
      </c>
      <c r="I492" s="56">
        <f>IFERROR(Table1[[#This Row],[Actual Production (Kg)]]-Table1[[#This Row],[Re-process (Kg)]], "")</f>
        <v>3621</v>
      </c>
      <c r="J492" s="56">
        <v>22</v>
      </c>
      <c r="K492" s="55">
        <v>0</v>
      </c>
      <c r="L492" s="56">
        <f>IF(Table1[[#This Row],[Target Time (Hours)]]="","",Table1[[#This Row],[Target Time (Hours)]]-Table1[[#This Row],[Downtime (Hours)]])</f>
        <v>22</v>
      </c>
      <c r="M492" s="56">
        <f>IFERROR(Table1[[#This Row],[Capacity (Kg)]]/Table1[[#This Row],[Target Time (Hours)]] * Table1[[#This Row],[Downtime (Hours)]], "")</f>
        <v>0</v>
      </c>
      <c r="N492" s="58">
        <f>IFERROR(Table1[[#This Row],[Running Time (hr)]]/Table1[Target Time (Hours)], "")</f>
        <v>1</v>
      </c>
      <c r="O492" s="58">
        <f>IFERROR(Table1[[#This Row],[Actual Production (Kg)]]/Table1[Capacity (Kg)], "")</f>
        <v>0.72419999999999995</v>
      </c>
      <c r="P492" s="58">
        <f>IFERROR(Table1[[#This Row],[Quality Pass Production]]/Table1[[#This Row],[Actual Production (Kg)]], "")</f>
        <v>1</v>
      </c>
      <c r="Q492" s="58">
        <f>IFERROR(Table1[[#This Row],[Utilization %]]*Table1[[#This Row],[Efficiency %]]*Table1[[#This Row],[Quality %]], "")</f>
        <v>0.72419999999999995</v>
      </c>
      <c r="R492" s="55" t="s">
        <v>151</v>
      </c>
    </row>
    <row r="493" spans="1:18" ht="30" customHeight="1" x14ac:dyDescent="0.25">
      <c r="A493" s="47">
        <v>46154</v>
      </c>
      <c r="B493" s="48" t="s">
        <v>18</v>
      </c>
      <c r="C493" s="48" t="s">
        <v>19</v>
      </c>
      <c r="D493" s="48" t="s">
        <v>20</v>
      </c>
      <c r="E493" s="49">
        <v>10000</v>
      </c>
      <c r="F493" s="76">
        <v>8245</v>
      </c>
      <c r="G493" s="49">
        <v>0</v>
      </c>
      <c r="H493" s="50">
        <f>IFERROR(Table1[Re-process (Kg)]/Table1[Actual Production (Kg)], "")</f>
        <v>0</v>
      </c>
      <c r="I493" s="49">
        <f>IFERROR(Table1[[#This Row],[Actual Production (Kg)]]-Table1[[#This Row],[Re-process (Kg)]], "")</f>
        <v>8245</v>
      </c>
      <c r="J493" s="49">
        <v>22</v>
      </c>
      <c r="K493" s="72">
        <v>2</v>
      </c>
      <c r="L493" s="49">
        <f>IF(Table1[[#This Row],[Target Time (Hours)]]="","",Table1[[#This Row],[Target Time (Hours)]]-Table1[[#This Row],[Downtime (Hours)]])</f>
        <v>20</v>
      </c>
      <c r="M493" s="49">
        <f>IFERROR(Table1[[#This Row],[Capacity (Kg)]]/Table1[[#This Row],[Target Time (Hours)]] * Table1[[#This Row],[Downtime (Hours)]], "")</f>
        <v>909.09090909090912</v>
      </c>
      <c r="N493" s="50">
        <f>IFERROR(Table1[[#This Row],[Running Time (hr)]]/Table1[Target Time (Hours)], "")</f>
        <v>0.90909090909090906</v>
      </c>
      <c r="O493" s="50">
        <f>IFERROR(Table1[[#This Row],[Actual Production (Kg)]]/Table1[Capacity (Kg)], "")</f>
        <v>0.82450000000000001</v>
      </c>
      <c r="P493" s="50">
        <f>IFERROR(Table1[[#This Row],[Quality Pass Production]]/Table1[[#This Row],[Actual Production (Kg)]], "")</f>
        <v>1</v>
      </c>
      <c r="Q493" s="50">
        <f>IFERROR(Table1[[#This Row],[Utilization %]]*Table1[[#This Row],[Efficiency %]]*Table1[[#This Row],[Quality %]], "")</f>
        <v>0.74954545454545451</v>
      </c>
      <c r="R493" s="48" t="s">
        <v>153</v>
      </c>
    </row>
    <row r="494" spans="1:18" x14ac:dyDescent="0.25">
      <c r="A494" s="47">
        <v>46154</v>
      </c>
      <c r="B494" s="48" t="s">
        <v>18</v>
      </c>
      <c r="C494" s="48" t="s">
        <v>22</v>
      </c>
      <c r="D494" s="48" t="s">
        <v>23</v>
      </c>
      <c r="E494" s="49">
        <v>5000</v>
      </c>
      <c r="F494" s="76">
        <v>5581</v>
      </c>
      <c r="G494" s="49">
        <v>0</v>
      </c>
      <c r="H494" s="50">
        <f>IFERROR(Table1[Re-process (Kg)]/Table1[Actual Production (Kg)], "")</f>
        <v>0</v>
      </c>
      <c r="I494" s="49">
        <f>IFERROR(Table1[[#This Row],[Actual Production (Kg)]]-Table1[[#This Row],[Re-process (Kg)]], "")</f>
        <v>5581</v>
      </c>
      <c r="J494" s="49">
        <v>22</v>
      </c>
      <c r="K494" s="72">
        <v>0</v>
      </c>
      <c r="L494" s="49">
        <f>IF(Table1[[#This Row],[Target Time (Hours)]]="","",Table1[[#This Row],[Target Time (Hours)]]-Table1[[#This Row],[Downtime (Hours)]])</f>
        <v>22</v>
      </c>
      <c r="M494" s="49">
        <f>IFERROR(Table1[[#This Row],[Capacity (Kg)]]/Table1[[#This Row],[Target Time (Hours)]] * Table1[[#This Row],[Downtime (Hours)]], "")</f>
        <v>0</v>
      </c>
      <c r="N494" s="50">
        <f>IFERROR(Table1[[#This Row],[Running Time (hr)]]/Table1[Target Time (Hours)], "")</f>
        <v>1</v>
      </c>
      <c r="O494" s="50">
        <f>IFERROR(Table1[[#This Row],[Actual Production (Kg)]]/Table1[Capacity (Kg)], "")</f>
        <v>1.1162000000000001</v>
      </c>
      <c r="P494" s="50">
        <f>IFERROR(Table1[[#This Row],[Quality Pass Production]]/Table1[[#This Row],[Actual Production (Kg)]], "")</f>
        <v>1</v>
      </c>
      <c r="Q494" s="50">
        <f>IFERROR(Table1[[#This Row],[Utilization %]]*Table1[[#This Row],[Efficiency %]]*Table1[[#This Row],[Quality %]], "")</f>
        <v>1.1162000000000001</v>
      </c>
    </row>
    <row r="495" spans="1:18" x14ac:dyDescent="0.25">
      <c r="A495" s="47">
        <v>46154</v>
      </c>
      <c r="B495" s="48" t="s">
        <v>18</v>
      </c>
      <c r="C495" s="48" t="s">
        <v>22</v>
      </c>
      <c r="D495" s="48" t="s">
        <v>25</v>
      </c>
      <c r="E495" s="49">
        <v>4000</v>
      </c>
      <c r="F495" s="76">
        <v>2784</v>
      </c>
      <c r="G495" s="49">
        <v>0</v>
      </c>
      <c r="H495" s="50">
        <f>IFERROR(Table1[Re-process (Kg)]/Table1[Actual Production (Kg)], "")</f>
        <v>0</v>
      </c>
      <c r="I495" s="49">
        <f>IFERROR(Table1[[#This Row],[Actual Production (Kg)]]-Table1[[#This Row],[Re-process (Kg)]], "")</f>
        <v>2784</v>
      </c>
      <c r="J495" s="49"/>
      <c r="K495" s="72">
        <v>0</v>
      </c>
      <c r="L495" s="49" t="str">
        <f>IF(Table1[[#This Row],[Target Time (Hours)]]="","",Table1[[#This Row],[Target Time (Hours)]]-Table1[[#This Row],[Downtime (Hours)]])</f>
        <v/>
      </c>
      <c r="M495" s="49" t="str">
        <f>IFERROR(Table1[[#This Row],[Capacity (Kg)]]/Table1[[#This Row],[Target Time (Hours)]] * Table1[[#This Row],[Downtime (Hours)]], "")</f>
        <v/>
      </c>
      <c r="N495" s="50" t="str">
        <f>IFERROR(Table1[[#This Row],[Running Time (hr)]]/Table1[Target Time (Hours)], "")</f>
        <v/>
      </c>
      <c r="O495" s="50">
        <f>IFERROR(Table1[[#This Row],[Actual Production (Kg)]]/Table1[Capacity (Kg)], "")</f>
        <v>0.69599999999999995</v>
      </c>
      <c r="P495" s="50">
        <f>IFERROR(Table1[[#This Row],[Quality Pass Production]]/Table1[[#This Row],[Actual Production (Kg)]], "")</f>
        <v>1</v>
      </c>
      <c r="Q495" s="50" t="str">
        <f>IFERROR(Table1[[#This Row],[Utilization %]]*Table1[[#This Row],[Efficiency %]]*Table1[[#This Row],[Quality %]], "")</f>
        <v/>
      </c>
    </row>
    <row r="496" spans="1:18" x14ac:dyDescent="0.25">
      <c r="A496" s="47">
        <v>46154</v>
      </c>
      <c r="B496" s="48" t="s">
        <v>18</v>
      </c>
      <c r="C496" s="48" t="s">
        <v>26</v>
      </c>
      <c r="D496" s="48" t="s">
        <v>25</v>
      </c>
      <c r="E496" s="49">
        <v>7000</v>
      </c>
      <c r="F496" s="76">
        <v>7197</v>
      </c>
      <c r="G496" s="49">
        <v>0</v>
      </c>
      <c r="H496" s="50">
        <f>IFERROR(Table1[Re-process (Kg)]/Table1[Actual Production (Kg)], "")</f>
        <v>0</v>
      </c>
      <c r="I496" s="49">
        <f>IFERROR(Table1[[#This Row],[Actual Production (Kg)]]-Table1[[#This Row],[Re-process (Kg)]], "")</f>
        <v>7197</v>
      </c>
      <c r="J496" s="49">
        <v>22</v>
      </c>
      <c r="K496" s="72">
        <v>0</v>
      </c>
      <c r="L496" s="49">
        <f>IF(Table1[[#This Row],[Target Time (Hours)]]="","",Table1[[#This Row],[Target Time (Hours)]]-Table1[[#This Row],[Downtime (Hours)]])</f>
        <v>22</v>
      </c>
      <c r="M496" s="49">
        <f>IFERROR(Table1[[#This Row],[Capacity (Kg)]]/Table1[[#This Row],[Target Time (Hours)]] * Table1[[#This Row],[Downtime (Hours)]], "")</f>
        <v>0</v>
      </c>
      <c r="N496" s="50">
        <f>IFERROR(Table1[[#This Row],[Running Time (hr)]]/Table1[Target Time (Hours)], "")</f>
        <v>1</v>
      </c>
      <c r="O496" s="50">
        <f>IFERROR(Table1[[#This Row],[Actual Production (Kg)]]/Table1[Capacity (Kg)], "")</f>
        <v>1.0281428571428572</v>
      </c>
      <c r="P496" s="50">
        <f>IFERROR(Table1[[#This Row],[Quality Pass Production]]/Table1[[#This Row],[Actual Production (Kg)]], "")</f>
        <v>1</v>
      </c>
      <c r="Q496" s="50">
        <f>IFERROR(Table1[[#This Row],[Utilization %]]*Table1[[#This Row],[Efficiency %]]*Table1[[#This Row],[Quality %]], "")</f>
        <v>1.0281428571428572</v>
      </c>
    </row>
    <row r="497" spans="1:18" ht="30" customHeight="1" x14ac:dyDescent="0.25">
      <c r="A497" s="47">
        <v>46154</v>
      </c>
      <c r="B497" s="48" t="s">
        <v>18</v>
      </c>
      <c r="C497" s="48" t="s">
        <v>28</v>
      </c>
      <c r="D497" s="48" t="s">
        <v>29</v>
      </c>
      <c r="E497" s="49">
        <v>7800</v>
      </c>
      <c r="F497" s="76">
        <v>6766</v>
      </c>
      <c r="G497" s="49">
        <v>0</v>
      </c>
      <c r="H497" s="50">
        <f>IFERROR(Table1[Re-process (Kg)]/Table1[Actual Production (Kg)], "")</f>
        <v>0</v>
      </c>
      <c r="I497" s="49">
        <f>IFERROR(Table1[[#This Row],[Actual Production (Kg)]]-Table1[[#This Row],[Re-process (Kg)]], "")</f>
        <v>6766</v>
      </c>
      <c r="J497" s="49">
        <v>22</v>
      </c>
      <c r="K497" s="72">
        <v>0</v>
      </c>
      <c r="L497" s="49">
        <f>IF(Table1[[#This Row],[Target Time (Hours)]]="","",Table1[[#This Row],[Target Time (Hours)]]-Table1[[#This Row],[Downtime (Hours)]])</f>
        <v>22</v>
      </c>
      <c r="M497" s="49">
        <f>IFERROR(Table1[[#This Row],[Capacity (Kg)]]/Table1[[#This Row],[Target Time (Hours)]] * Table1[[#This Row],[Downtime (Hours)]], "")</f>
        <v>0</v>
      </c>
      <c r="N497" s="50">
        <f>IFERROR(Table1[[#This Row],[Running Time (hr)]]/Table1[Target Time (Hours)], "")</f>
        <v>1</v>
      </c>
      <c r="O497" s="50">
        <f>IFERROR(Table1[[#This Row],[Actual Production (Kg)]]/Table1[Capacity (Kg)], "")</f>
        <v>0.86743589743589744</v>
      </c>
      <c r="P497" s="50">
        <f>IFERROR(Table1[[#This Row],[Quality Pass Production]]/Table1[[#This Row],[Actual Production (Kg)]], "")</f>
        <v>1</v>
      </c>
      <c r="Q497" s="50">
        <f>IFERROR(Table1[[#This Row],[Utilization %]]*Table1[[#This Row],[Efficiency %]]*Table1[[#This Row],[Quality %]], "")</f>
        <v>0.86743589743589744</v>
      </c>
    </row>
    <row r="498" spans="1:18" ht="30" customHeight="1" x14ac:dyDescent="0.25">
      <c r="A498" s="26">
        <v>46154</v>
      </c>
      <c r="B498" s="27" t="s">
        <v>18</v>
      </c>
      <c r="C498" s="27" t="s">
        <v>135</v>
      </c>
      <c r="D498" s="27" t="s">
        <v>29</v>
      </c>
      <c r="E498" s="79"/>
      <c r="F498" s="79">
        <v>0</v>
      </c>
      <c r="G498" s="79"/>
      <c r="H498" s="28"/>
      <c r="I498" s="79"/>
      <c r="J498" s="79"/>
      <c r="K498" s="27"/>
      <c r="L498" s="53" t="str">
        <f>IF(Table1[[#This Row],[Target Time (Hours)]]="","",Table1[[#This Row],[Target Time (Hours)]]-Table1[[#This Row],[Downtime (Hours)]])</f>
        <v/>
      </c>
      <c r="M498" s="79"/>
      <c r="N498" s="28"/>
      <c r="O498" s="28"/>
      <c r="P498" s="28"/>
      <c r="Q498" s="28"/>
      <c r="R498" s="27"/>
    </row>
    <row r="499" spans="1:18" ht="30" customHeight="1" x14ac:dyDescent="0.25">
      <c r="A499" s="47">
        <v>46154</v>
      </c>
      <c r="B499" s="48" t="s">
        <v>18</v>
      </c>
      <c r="C499" s="48" t="s">
        <v>30</v>
      </c>
      <c r="D499" s="48" t="s">
        <v>31</v>
      </c>
      <c r="E499" s="49">
        <v>9000</v>
      </c>
      <c r="F499" s="76">
        <v>6947</v>
      </c>
      <c r="G499" s="49">
        <v>0</v>
      </c>
      <c r="H499" s="50">
        <f>IFERROR(Table1[Re-process (Kg)]/Table1[Actual Production (Kg)], "")</f>
        <v>0</v>
      </c>
      <c r="I499" s="49">
        <f>IFERROR(Table1[[#This Row],[Actual Production (Kg)]]-Table1[[#This Row],[Re-process (Kg)]], "")</f>
        <v>6947</v>
      </c>
      <c r="J499" s="49">
        <v>22</v>
      </c>
      <c r="K499" s="72">
        <v>0</v>
      </c>
      <c r="L499" s="49">
        <f>IF(Table1[[#This Row],[Target Time (Hours)]]="","",Table1[[#This Row],[Target Time (Hours)]]-Table1[[#This Row],[Downtime (Hours)]])</f>
        <v>22</v>
      </c>
      <c r="M499" s="49">
        <f>IFERROR(Table1[[#This Row],[Capacity (Kg)]]/Table1[[#This Row],[Target Time (Hours)]] * Table1[[#This Row],[Downtime (Hours)]], "")</f>
        <v>0</v>
      </c>
      <c r="N499" s="50">
        <f>IFERROR(Table1[[#This Row],[Running Time (hr)]]/Table1[Target Time (Hours)], "")</f>
        <v>1</v>
      </c>
      <c r="O499" s="50">
        <f>IFERROR(Table1[[#This Row],[Actual Production (Kg)]]/Table1[Capacity (Kg)], "")</f>
        <v>0.77188888888888885</v>
      </c>
      <c r="P499" s="50">
        <f>IFERROR(Table1[[#This Row],[Quality Pass Production]]/Table1[[#This Row],[Actual Production (Kg)]], "")</f>
        <v>1</v>
      </c>
      <c r="Q499" s="50">
        <f>IFERROR(Table1[[#This Row],[Utilization %]]*Table1[[#This Row],[Efficiency %]]*Table1[[#This Row],[Quality %]], "")</f>
        <v>0.77188888888888885</v>
      </c>
    </row>
    <row r="500" spans="1:18" ht="30" customHeight="1" x14ac:dyDescent="0.25">
      <c r="A500" s="26">
        <v>46154</v>
      </c>
      <c r="B500" s="27" t="s">
        <v>18</v>
      </c>
      <c r="C500" s="27" t="s">
        <v>32</v>
      </c>
      <c r="D500" s="27" t="s">
        <v>31</v>
      </c>
      <c r="E500" s="79">
        <f>Table1[[#This Row],[Actual Production (Kg)]]</f>
        <v>0</v>
      </c>
      <c r="F500" s="79">
        <v>0</v>
      </c>
      <c r="G500" s="79"/>
      <c r="H500" s="28"/>
      <c r="I500" s="79"/>
      <c r="J500" s="79"/>
      <c r="K500" s="27"/>
      <c r="L500" s="53" t="str">
        <f>IF(Table1[[#This Row],[Target Time (Hours)]]="","",Table1[[#This Row],[Target Time (Hours)]]-Table1[[#This Row],[Downtime (Hours)]])</f>
        <v/>
      </c>
      <c r="M500" s="79"/>
      <c r="N500" s="28"/>
      <c r="O500" s="28"/>
      <c r="P500" s="28"/>
      <c r="Q500" s="28"/>
      <c r="R500" s="27" t="s">
        <v>150</v>
      </c>
    </row>
    <row r="501" spans="1:18" ht="30" customHeight="1" x14ac:dyDescent="0.25">
      <c r="A501" s="47">
        <v>46154</v>
      </c>
      <c r="B501" s="48" t="s">
        <v>33</v>
      </c>
      <c r="C501" s="48" t="s">
        <v>34</v>
      </c>
      <c r="D501" s="48" t="s">
        <v>35</v>
      </c>
      <c r="E501" s="49">
        <v>9000</v>
      </c>
      <c r="F501" s="76">
        <v>8289</v>
      </c>
      <c r="G501" s="49">
        <v>0</v>
      </c>
      <c r="H501" s="50">
        <f>IFERROR(Table1[Re-process (Kg)]/Table1[Actual Production (Kg)], "")</f>
        <v>0</v>
      </c>
      <c r="I501" s="49">
        <f>IFERROR(Table1[[#This Row],[Actual Production (Kg)]]-Table1[[#This Row],[Re-process (Kg)]], "")</f>
        <v>8289</v>
      </c>
      <c r="J501" s="49">
        <v>22</v>
      </c>
      <c r="K501" s="72">
        <v>0</v>
      </c>
      <c r="L501" s="49">
        <f>IF(Table1[[#This Row],[Target Time (Hours)]]="","",Table1[[#This Row],[Target Time (Hours)]]-Table1[[#This Row],[Downtime (Hours)]])</f>
        <v>22</v>
      </c>
      <c r="M501" s="49">
        <f>IFERROR(Table1[[#This Row],[Capacity (Kg)]]/Table1[[#This Row],[Target Time (Hours)]] * Table1[[#This Row],[Downtime (Hours)]], "")</f>
        <v>0</v>
      </c>
      <c r="N501" s="50">
        <f>IFERROR(Table1[[#This Row],[Running Time (hr)]]/Table1[Target Time (Hours)], "")</f>
        <v>1</v>
      </c>
      <c r="O501" s="50">
        <f>IFERROR(Table1[[#This Row],[Actual Production (Kg)]]/Table1[Capacity (Kg)], "")</f>
        <v>0.92100000000000004</v>
      </c>
      <c r="P501" s="50">
        <f>IFERROR(Table1[[#This Row],[Quality Pass Production]]/Table1[[#This Row],[Actual Production (Kg)]], "")</f>
        <v>1</v>
      </c>
      <c r="Q501" s="50">
        <f>IFERROR(Table1[[#This Row],[Utilization %]]*Table1[[#This Row],[Efficiency %]]*Table1[[#This Row],[Quality %]], "")</f>
        <v>0.92100000000000004</v>
      </c>
    </row>
    <row r="502" spans="1:18" x14ac:dyDescent="0.25">
      <c r="A502" s="47">
        <v>46154</v>
      </c>
      <c r="B502" s="48" t="s">
        <v>33</v>
      </c>
      <c r="C502" s="48" t="s">
        <v>36</v>
      </c>
      <c r="D502" s="48" t="s">
        <v>37</v>
      </c>
      <c r="E502" s="49">
        <v>8000</v>
      </c>
      <c r="F502" s="76">
        <v>7977</v>
      </c>
      <c r="G502" s="49">
        <v>0</v>
      </c>
      <c r="H502" s="50">
        <f>IFERROR(Table1[Re-process (Kg)]/Table1[Actual Production (Kg)], "")</f>
        <v>0</v>
      </c>
      <c r="I502" s="49">
        <f>IFERROR(Table1[[#This Row],[Actual Production (Kg)]]-Table1[[#This Row],[Re-process (Kg)]], "")</f>
        <v>7977</v>
      </c>
      <c r="J502" s="49">
        <v>22</v>
      </c>
      <c r="K502" s="72">
        <v>1</v>
      </c>
      <c r="L502" s="49">
        <f>IF(Table1[[#This Row],[Target Time (Hours)]]="","",Table1[[#This Row],[Target Time (Hours)]]-Table1[[#This Row],[Downtime (Hours)]])</f>
        <v>21</v>
      </c>
      <c r="M502" s="49">
        <f>IFERROR(Table1[[#This Row],[Capacity (Kg)]]/Table1[[#This Row],[Target Time (Hours)]] * Table1[[#This Row],[Downtime (Hours)]], "")</f>
        <v>363.63636363636363</v>
      </c>
      <c r="N502" s="50">
        <f>IFERROR(Table1[[#This Row],[Running Time (hr)]]/Table1[Target Time (Hours)], "")</f>
        <v>0.95454545454545459</v>
      </c>
      <c r="O502" s="50">
        <f>IFERROR(Table1[[#This Row],[Actual Production (Kg)]]/Table1[Capacity (Kg)], "")</f>
        <v>0.99712500000000004</v>
      </c>
      <c r="P502" s="50">
        <f>IFERROR(Table1[[#This Row],[Quality Pass Production]]/Table1[[#This Row],[Actual Production (Kg)]], "")</f>
        <v>1</v>
      </c>
      <c r="Q502" s="50">
        <f>IFERROR(Table1[[#This Row],[Utilization %]]*Table1[[#This Row],[Efficiency %]]*Table1[[#This Row],[Quality %]], "")</f>
        <v>0.95180113636363639</v>
      </c>
      <c r="R502" s="48" t="s">
        <v>154</v>
      </c>
    </row>
    <row r="503" spans="1:18" ht="30" customHeight="1" x14ac:dyDescent="0.25">
      <c r="A503" s="47">
        <v>46154</v>
      </c>
      <c r="B503" s="48" t="s">
        <v>33</v>
      </c>
      <c r="C503" s="48" t="s">
        <v>39</v>
      </c>
      <c r="D503" s="48" t="s">
        <v>31</v>
      </c>
      <c r="E503" s="49">
        <v>6000</v>
      </c>
      <c r="F503" s="76">
        <v>3194</v>
      </c>
      <c r="G503" s="49">
        <v>0</v>
      </c>
      <c r="H503" s="50">
        <f>IFERROR(Table1[Re-process (Kg)]/Table1[Actual Production (Kg)], "")</f>
        <v>0</v>
      </c>
      <c r="I503" s="49">
        <f>IFERROR(Table1[[#This Row],[Actual Production (Kg)]]-Table1[[#This Row],[Re-process (Kg)]], "")</f>
        <v>3194</v>
      </c>
      <c r="J503" s="49">
        <v>22</v>
      </c>
      <c r="K503" s="72">
        <v>0</v>
      </c>
      <c r="L503" s="49">
        <f>IF(Table1[[#This Row],[Target Time (Hours)]]="","",Table1[[#This Row],[Target Time (Hours)]]-Table1[[#This Row],[Downtime (Hours)]])</f>
        <v>22</v>
      </c>
      <c r="M503" s="49">
        <f>IFERROR(Table1[[#This Row],[Capacity (Kg)]]/Table1[[#This Row],[Target Time (Hours)]] * Table1[[#This Row],[Downtime (Hours)]], "")</f>
        <v>0</v>
      </c>
      <c r="N503" s="50">
        <f>IFERROR(Table1[[#This Row],[Running Time (hr)]]/Table1[Target Time (Hours)], "")</f>
        <v>1</v>
      </c>
      <c r="O503" s="50">
        <f>IFERROR(Table1[[#This Row],[Actual Production (Kg)]]/Table1[Capacity (Kg)], "")</f>
        <v>0.53233333333333333</v>
      </c>
      <c r="P503" s="50">
        <f>IFERROR(Table1[[#This Row],[Quality Pass Production]]/Table1[[#This Row],[Actual Production (Kg)]], "")</f>
        <v>1</v>
      </c>
      <c r="Q503" s="50">
        <f>IFERROR(Table1[[#This Row],[Utilization %]]*Table1[[#This Row],[Efficiency %]]*Table1[[#This Row],[Quality %]], "")</f>
        <v>0.53233333333333333</v>
      </c>
    </row>
    <row r="504" spans="1:18" ht="45" customHeight="1" x14ac:dyDescent="0.25">
      <c r="A504" s="54">
        <v>46154</v>
      </c>
      <c r="B504" s="55" t="s">
        <v>33</v>
      </c>
      <c r="C504" s="55" t="s">
        <v>40</v>
      </c>
      <c r="D504" s="55" t="s">
        <v>31</v>
      </c>
      <c r="E504" s="56">
        <v>5000</v>
      </c>
      <c r="F504" s="56">
        <v>3042</v>
      </c>
      <c r="G504" s="56">
        <v>0</v>
      </c>
      <c r="H504" s="58">
        <f>IFERROR(Table1[Re-process (Kg)]/Table1[Actual Production (Kg)], "")</f>
        <v>0</v>
      </c>
      <c r="I504" s="56">
        <f>IFERROR(Table1[[#This Row],[Actual Production (Kg)]]-Table1[[#This Row],[Re-process (Kg)]], "")</f>
        <v>3042</v>
      </c>
      <c r="J504" s="56">
        <v>22</v>
      </c>
      <c r="K504" s="55">
        <v>0</v>
      </c>
      <c r="L504" s="56">
        <f>IF(Table1[[#This Row],[Target Time (Hours)]]="","",Table1[[#This Row],[Target Time (Hours)]]-Table1[[#This Row],[Downtime (Hours)]])</f>
        <v>22</v>
      </c>
      <c r="M504" s="56">
        <f>IFERROR(Table1[[#This Row],[Capacity (Kg)]]/Table1[[#This Row],[Target Time (Hours)]] * Table1[[#This Row],[Downtime (Hours)]], "")</f>
        <v>0</v>
      </c>
      <c r="N504" s="58">
        <f>IFERROR(Table1[[#This Row],[Running Time (hr)]]/Table1[Target Time (Hours)], "")</f>
        <v>1</v>
      </c>
      <c r="O504" s="58">
        <f>IFERROR(Table1[[#This Row],[Actual Production (Kg)]]/Table1[Capacity (Kg)], "")</f>
        <v>0.60840000000000005</v>
      </c>
      <c r="P504" s="58">
        <f>IFERROR(Table1[[#This Row],[Quality Pass Production]]/Table1[[#This Row],[Actual Production (Kg)]], "")</f>
        <v>1</v>
      </c>
      <c r="Q504" s="58">
        <f>IFERROR(Table1[[#This Row],[Utilization %]]*Table1[[#This Row],[Efficiency %]]*Table1[[#This Row],[Quality %]], "")</f>
        <v>0.60840000000000005</v>
      </c>
      <c r="R504" s="55"/>
    </row>
    <row r="505" spans="1:18" ht="30" customHeight="1" x14ac:dyDescent="0.25">
      <c r="A505" s="47">
        <v>46155</v>
      </c>
      <c r="B505" s="48" t="s">
        <v>18</v>
      </c>
      <c r="C505" s="48" t="s">
        <v>19</v>
      </c>
      <c r="D505" s="48" t="s">
        <v>20</v>
      </c>
      <c r="E505" s="49">
        <v>10000</v>
      </c>
      <c r="F505" s="76">
        <v>8479</v>
      </c>
      <c r="G505" s="49">
        <v>0</v>
      </c>
      <c r="H505" s="50">
        <f>IFERROR(Table1[Re-process (Kg)]/Table1[Actual Production (Kg)], "")</f>
        <v>0</v>
      </c>
      <c r="I505" s="49">
        <f>IFERROR(Table1[[#This Row],[Actual Production (Kg)]]-Table1[[#This Row],[Re-process (Kg)]], "")</f>
        <v>8479</v>
      </c>
      <c r="J505" s="49">
        <v>22</v>
      </c>
      <c r="K505" s="72">
        <v>0</v>
      </c>
      <c r="L505" s="49">
        <f>IF(Table1[[#This Row],[Target Time (Hours)]]="","",Table1[[#This Row],[Target Time (Hours)]]-Table1[[#This Row],[Downtime (Hours)]])</f>
        <v>22</v>
      </c>
      <c r="M505" s="49">
        <f>IFERROR(Table1[[#This Row],[Capacity (Kg)]]/Table1[[#This Row],[Target Time (Hours)]] * Table1[[#This Row],[Downtime (Hours)]], "")</f>
        <v>0</v>
      </c>
      <c r="N505" s="50">
        <f>IFERROR(Table1[[#This Row],[Running Time (hr)]]/Table1[Target Time (Hours)], "")</f>
        <v>1</v>
      </c>
      <c r="O505" s="50">
        <f>IFERROR(Table1[[#This Row],[Actual Production (Kg)]]/Table1[Capacity (Kg)], "")</f>
        <v>0.84789999999999999</v>
      </c>
      <c r="P505" s="50">
        <f>IFERROR(Table1[[#This Row],[Quality Pass Production]]/Table1[[#This Row],[Actual Production (Kg)]], "")</f>
        <v>1</v>
      </c>
      <c r="Q505" s="50">
        <f>IFERROR(Table1[[#This Row],[Utilization %]]*Table1[[#This Row],[Efficiency %]]*Table1[[#This Row],[Quality %]], "")</f>
        <v>0.84789999999999999</v>
      </c>
    </row>
    <row r="506" spans="1:18" x14ac:dyDescent="0.25">
      <c r="A506" s="47">
        <v>46155</v>
      </c>
      <c r="B506" s="48" t="s">
        <v>18</v>
      </c>
      <c r="C506" s="48" t="s">
        <v>22</v>
      </c>
      <c r="D506" s="48" t="s">
        <v>23</v>
      </c>
      <c r="E506" s="49">
        <v>5000</v>
      </c>
      <c r="F506" s="76">
        <v>6297</v>
      </c>
      <c r="G506" s="49">
        <v>0</v>
      </c>
      <c r="H506" s="50">
        <f>IFERROR(Table1[Re-process (Kg)]/Table1[Actual Production (Kg)], "")</f>
        <v>0</v>
      </c>
      <c r="I506" s="49">
        <f>IFERROR(Table1[[#This Row],[Actual Production (Kg)]]-Table1[[#This Row],[Re-process (Kg)]], "")</f>
        <v>6297</v>
      </c>
      <c r="J506" s="49">
        <v>22</v>
      </c>
      <c r="K506" s="72">
        <v>0</v>
      </c>
      <c r="L506" s="49">
        <f>IF(Table1[[#This Row],[Target Time (Hours)]]="","",Table1[[#This Row],[Target Time (Hours)]]-Table1[[#This Row],[Downtime (Hours)]])</f>
        <v>22</v>
      </c>
      <c r="M506" s="49">
        <f>IFERROR(Table1[[#This Row],[Capacity (Kg)]]/Table1[[#This Row],[Target Time (Hours)]] * Table1[[#This Row],[Downtime (Hours)]], "")</f>
        <v>0</v>
      </c>
      <c r="N506" s="50">
        <f>IFERROR(Table1[[#This Row],[Running Time (hr)]]/Table1[Target Time (Hours)], "")</f>
        <v>1</v>
      </c>
      <c r="O506" s="50">
        <f>IFERROR(Table1[[#This Row],[Actual Production (Kg)]]/Table1[Capacity (Kg)], "")</f>
        <v>1.2594000000000001</v>
      </c>
      <c r="P506" s="50">
        <f>IFERROR(Table1[[#This Row],[Quality Pass Production]]/Table1[[#This Row],[Actual Production (Kg)]], "")</f>
        <v>1</v>
      </c>
      <c r="Q506" s="50">
        <f>IFERROR(Table1[[#This Row],[Utilization %]]*Table1[[#This Row],[Efficiency %]]*Table1[[#This Row],[Quality %]], "")</f>
        <v>1.2594000000000001</v>
      </c>
    </row>
    <row r="507" spans="1:18" x14ac:dyDescent="0.25">
      <c r="A507" s="47">
        <v>46155</v>
      </c>
      <c r="B507" s="48" t="s">
        <v>18</v>
      </c>
      <c r="C507" s="48" t="s">
        <v>22</v>
      </c>
      <c r="D507" s="48" t="s">
        <v>25</v>
      </c>
      <c r="E507" s="49">
        <v>4000</v>
      </c>
      <c r="F507" s="76">
        <v>2497</v>
      </c>
      <c r="G507" s="49">
        <v>0</v>
      </c>
      <c r="H507" s="50">
        <f>IFERROR(Table1[Re-process (Kg)]/Table1[Actual Production (Kg)], "")</f>
        <v>0</v>
      </c>
      <c r="I507" s="49">
        <f>IFERROR(Table1[[#This Row],[Actual Production (Kg)]]-Table1[[#This Row],[Re-process (Kg)]], "")</f>
        <v>2497</v>
      </c>
      <c r="J507" s="49"/>
      <c r="K507" s="72">
        <v>0</v>
      </c>
      <c r="L507" s="49" t="str">
        <f>IF(Table1[[#This Row],[Target Time (Hours)]]="","",Table1[[#This Row],[Target Time (Hours)]]-Table1[[#This Row],[Downtime (Hours)]])</f>
        <v/>
      </c>
      <c r="M507" s="49" t="str">
        <f>IFERROR(Table1[[#This Row],[Capacity (Kg)]]/Table1[[#This Row],[Target Time (Hours)]] * Table1[[#This Row],[Downtime (Hours)]], "")</f>
        <v/>
      </c>
      <c r="N507" s="50" t="str">
        <f>IFERROR(Table1[[#This Row],[Running Time (hr)]]/Table1[Target Time (Hours)], "")</f>
        <v/>
      </c>
      <c r="O507" s="50">
        <f>IFERROR(Table1[[#This Row],[Actual Production (Kg)]]/Table1[Capacity (Kg)], "")</f>
        <v>0.62424999999999997</v>
      </c>
      <c r="P507" s="50">
        <f>IFERROR(Table1[[#This Row],[Quality Pass Production]]/Table1[[#This Row],[Actual Production (Kg)]], "")</f>
        <v>1</v>
      </c>
      <c r="Q507" s="50" t="str">
        <f>IFERROR(Table1[[#This Row],[Utilization %]]*Table1[[#This Row],[Efficiency %]]*Table1[[#This Row],[Quality %]], "")</f>
        <v/>
      </c>
    </row>
    <row r="508" spans="1:18" x14ac:dyDescent="0.25">
      <c r="A508" s="47">
        <v>46155</v>
      </c>
      <c r="B508" s="48" t="s">
        <v>18</v>
      </c>
      <c r="C508" s="48" t="s">
        <v>26</v>
      </c>
      <c r="D508" s="48" t="s">
        <v>25</v>
      </c>
      <c r="E508" s="49">
        <v>7000</v>
      </c>
      <c r="F508" s="76">
        <v>7902</v>
      </c>
      <c r="G508" s="49">
        <v>0</v>
      </c>
      <c r="H508" s="50">
        <f>IFERROR(Table1[Re-process (Kg)]/Table1[Actual Production (Kg)], "")</f>
        <v>0</v>
      </c>
      <c r="I508" s="49">
        <f>IFERROR(Table1[[#This Row],[Actual Production (Kg)]]-Table1[[#This Row],[Re-process (Kg)]], "")</f>
        <v>7902</v>
      </c>
      <c r="J508" s="49">
        <v>22</v>
      </c>
      <c r="K508" s="72">
        <v>0</v>
      </c>
      <c r="L508" s="49">
        <f>IF(Table1[[#This Row],[Target Time (Hours)]]="","",Table1[[#This Row],[Target Time (Hours)]]-Table1[[#This Row],[Downtime (Hours)]])</f>
        <v>22</v>
      </c>
      <c r="M508" s="49">
        <f>IFERROR(Table1[[#This Row],[Capacity (Kg)]]/Table1[[#This Row],[Target Time (Hours)]] * Table1[[#This Row],[Downtime (Hours)]], "")</f>
        <v>0</v>
      </c>
      <c r="N508" s="50">
        <f>IFERROR(Table1[[#This Row],[Running Time (hr)]]/Table1[Target Time (Hours)], "")</f>
        <v>1</v>
      </c>
      <c r="O508" s="50">
        <f>IFERROR(Table1[[#This Row],[Actual Production (Kg)]]/Table1[Capacity (Kg)], "")</f>
        <v>1.1288571428571428</v>
      </c>
      <c r="P508" s="50">
        <f>IFERROR(Table1[[#This Row],[Quality Pass Production]]/Table1[[#This Row],[Actual Production (Kg)]], "")</f>
        <v>1</v>
      </c>
      <c r="Q508" s="50">
        <f>IFERROR(Table1[[#This Row],[Utilization %]]*Table1[[#This Row],[Efficiency %]]*Table1[[#This Row],[Quality %]], "")</f>
        <v>1.1288571428571428</v>
      </c>
    </row>
    <row r="509" spans="1:18" ht="30" customHeight="1" x14ac:dyDescent="0.25">
      <c r="A509" s="47">
        <v>46155</v>
      </c>
      <c r="B509" s="48" t="s">
        <v>18</v>
      </c>
      <c r="C509" s="48" t="s">
        <v>28</v>
      </c>
      <c r="D509" s="48" t="s">
        <v>29</v>
      </c>
      <c r="E509" s="49">
        <v>7800</v>
      </c>
      <c r="F509" s="76">
        <v>7163</v>
      </c>
      <c r="G509" s="49">
        <v>0</v>
      </c>
      <c r="H509" s="50">
        <f>IFERROR(Table1[Re-process (Kg)]/Table1[Actual Production (Kg)], "")</f>
        <v>0</v>
      </c>
      <c r="I509" s="49">
        <f>IFERROR(Table1[[#This Row],[Actual Production (Kg)]]-Table1[[#This Row],[Re-process (Kg)]], "")</f>
        <v>7163</v>
      </c>
      <c r="J509" s="49">
        <v>22</v>
      </c>
      <c r="K509" s="72">
        <v>0</v>
      </c>
      <c r="L509" s="49">
        <f>IF(Table1[[#This Row],[Target Time (Hours)]]="","",Table1[[#This Row],[Target Time (Hours)]]-Table1[[#This Row],[Downtime (Hours)]])</f>
        <v>22</v>
      </c>
      <c r="M509" s="49">
        <f>IFERROR(Table1[[#This Row],[Capacity (Kg)]]/Table1[[#This Row],[Target Time (Hours)]] * Table1[[#This Row],[Downtime (Hours)]], "")</f>
        <v>0</v>
      </c>
      <c r="N509" s="50">
        <f>IFERROR(Table1[[#This Row],[Running Time (hr)]]/Table1[Target Time (Hours)], "")</f>
        <v>1</v>
      </c>
      <c r="O509" s="50">
        <f>IFERROR(Table1[[#This Row],[Actual Production (Kg)]]/Table1[Capacity (Kg)], "")</f>
        <v>0.91833333333333333</v>
      </c>
      <c r="P509" s="50">
        <f>IFERROR(Table1[[#This Row],[Quality Pass Production]]/Table1[[#This Row],[Actual Production (Kg)]], "")</f>
        <v>1</v>
      </c>
      <c r="Q509" s="50">
        <f>IFERROR(Table1[[#This Row],[Utilization %]]*Table1[[#This Row],[Efficiency %]]*Table1[[#This Row],[Quality %]], "")</f>
        <v>0.91833333333333333</v>
      </c>
    </row>
    <row r="510" spans="1:18" ht="30" customHeight="1" x14ac:dyDescent="0.25">
      <c r="A510" s="26">
        <v>46155</v>
      </c>
      <c r="B510" s="27" t="s">
        <v>18</v>
      </c>
      <c r="C510" s="27" t="s">
        <v>135</v>
      </c>
      <c r="D510" s="27" t="s">
        <v>29</v>
      </c>
      <c r="E510" s="79"/>
      <c r="F510" s="79">
        <v>0</v>
      </c>
      <c r="G510" s="79"/>
      <c r="H510" s="28"/>
      <c r="I510" s="79"/>
      <c r="J510" s="79"/>
      <c r="K510" s="27"/>
      <c r="L510" s="53" t="str">
        <f>IF(Table1[[#This Row],[Target Time (Hours)]]="","",Table1[[#This Row],[Target Time (Hours)]]-Table1[[#This Row],[Downtime (Hours)]])</f>
        <v/>
      </c>
      <c r="M510" s="79"/>
      <c r="N510" s="28"/>
      <c r="O510" s="28"/>
      <c r="P510" s="28"/>
      <c r="Q510" s="28"/>
      <c r="R510" s="27"/>
    </row>
    <row r="511" spans="1:18" ht="30" customHeight="1" x14ac:dyDescent="0.25">
      <c r="A511" s="47">
        <v>46155</v>
      </c>
      <c r="B511" s="48" t="s">
        <v>18</v>
      </c>
      <c r="C511" s="48" t="s">
        <v>30</v>
      </c>
      <c r="D511" s="48" t="s">
        <v>31</v>
      </c>
      <c r="E511" s="49">
        <v>9000</v>
      </c>
      <c r="F511" s="76">
        <v>6959</v>
      </c>
      <c r="G511" s="49">
        <v>0</v>
      </c>
      <c r="H511" s="50">
        <f>IFERROR(Table1[Re-process (Kg)]/Table1[Actual Production (Kg)], "")</f>
        <v>0</v>
      </c>
      <c r="I511" s="49">
        <f>IFERROR(Table1[[#This Row],[Actual Production (Kg)]]-Table1[[#This Row],[Re-process (Kg)]], "")</f>
        <v>6959</v>
      </c>
      <c r="J511" s="49">
        <v>22</v>
      </c>
      <c r="K511" s="72">
        <v>2</v>
      </c>
      <c r="L511" s="49">
        <f>IF(Table1[[#This Row],[Target Time (Hours)]]="","",Table1[[#This Row],[Target Time (Hours)]]-Table1[[#This Row],[Downtime (Hours)]])</f>
        <v>20</v>
      </c>
      <c r="M511" s="49">
        <f>IFERROR(Table1[[#This Row],[Capacity (Kg)]]/Table1[[#This Row],[Target Time (Hours)]] * Table1[[#This Row],[Downtime (Hours)]], "")</f>
        <v>818.18181818181813</v>
      </c>
      <c r="N511" s="50">
        <f>IFERROR(Table1[[#This Row],[Running Time (hr)]]/Table1[Target Time (Hours)], "")</f>
        <v>0.90909090909090906</v>
      </c>
      <c r="O511" s="50">
        <f>IFERROR(Table1[[#This Row],[Actual Production (Kg)]]/Table1[Capacity (Kg)], "")</f>
        <v>0.77322222222222226</v>
      </c>
      <c r="P511" s="50">
        <f>IFERROR(Table1[[#This Row],[Quality Pass Production]]/Table1[[#This Row],[Actual Production (Kg)]], "")</f>
        <v>1</v>
      </c>
      <c r="Q511" s="50">
        <f>IFERROR(Table1[[#This Row],[Utilization %]]*Table1[[#This Row],[Efficiency %]]*Table1[[#This Row],[Quality %]], "")</f>
        <v>0.70292929292929296</v>
      </c>
      <c r="R511" s="48" t="s">
        <v>153</v>
      </c>
    </row>
    <row r="512" spans="1:18" ht="30" customHeight="1" x14ac:dyDescent="0.25">
      <c r="A512" s="26">
        <v>46155</v>
      </c>
      <c r="B512" s="27" t="s">
        <v>18</v>
      </c>
      <c r="C512" s="27" t="s">
        <v>32</v>
      </c>
      <c r="D512" s="27" t="s">
        <v>31</v>
      </c>
      <c r="E512" s="79">
        <f>Table1[[#This Row],[Actual Production (Kg)]]</f>
        <v>0</v>
      </c>
      <c r="F512" s="79">
        <v>0</v>
      </c>
      <c r="G512" s="79"/>
      <c r="H512" s="28"/>
      <c r="I512" s="79"/>
      <c r="J512" s="79"/>
      <c r="K512" s="27"/>
      <c r="L512" s="53" t="str">
        <f>IF(Table1[[#This Row],[Target Time (Hours)]]="","",Table1[[#This Row],[Target Time (Hours)]]-Table1[[#This Row],[Downtime (Hours)]])</f>
        <v/>
      </c>
      <c r="M512" s="79"/>
      <c r="N512" s="28"/>
      <c r="O512" s="28"/>
      <c r="P512" s="28"/>
      <c r="Q512" s="28"/>
      <c r="R512" s="27" t="s">
        <v>150</v>
      </c>
    </row>
    <row r="513" spans="1:18" ht="30" customHeight="1" x14ac:dyDescent="0.25">
      <c r="A513" s="47">
        <v>46155</v>
      </c>
      <c r="B513" s="48" t="s">
        <v>33</v>
      </c>
      <c r="C513" s="48" t="s">
        <v>34</v>
      </c>
      <c r="D513" s="48" t="s">
        <v>35</v>
      </c>
      <c r="E513" s="49">
        <v>9000</v>
      </c>
      <c r="F513" s="76">
        <v>7323</v>
      </c>
      <c r="G513" s="49">
        <v>0</v>
      </c>
      <c r="H513" s="50">
        <f>IFERROR(Table1[Re-process (Kg)]/Table1[Actual Production (Kg)], "")</f>
        <v>0</v>
      </c>
      <c r="I513" s="49">
        <f>IFERROR(Table1[[#This Row],[Actual Production (Kg)]]-Table1[[#This Row],[Re-process (Kg)]], "")</f>
        <v>7323</v>
      </c>
      <c r="J513" s="49">
        <v>22</v>
      </c>
      <c r="K513" s="72">
        <v>0</v>
      </c>
      <c r="L513" s="49">
        <f>IF(Table1[[#This Row],[Target Time (Hours)]]="","",Table1[[#This Row],[Target Time (Hours)]]-Table1[[#This Row],[Downtime (Hours)]])</f>
        <v>22</v>
      </c>
      <c r="M513" s="49">
        <f>IFERROR(Table1[[#This Row],[Capacity (Kg)]]/Table1[[#This Row],[Target Time (Hours)]] * Table1[[#This Row],[Downtime (Hours)]], "")</f>
        <v>0</v>
      </c>
      <c r="N513" s="50">
        <f>IFERROR(Table1[[#This Row],[Running Time (hr)]]/Table1[Target Time (Hours)], "")</f>
        <v>1</v>
      </c>
      <c r="O513" s="50">
        <f>IFERROR(Table1[[#This Row],[Actual Production (Kg)]]/Table1[Capacity (Kg)], "")</f>
        <v>0.81366666666666665</v>
      </c>
      <c r="P513" s="50">
        <f>IFERROR(Table1[[#This Row],[Quality Pass Production]]/Table1[[#This Row],[Actual Production (Kg)]], "")</f>
        <v>1</v>
      </c>
      <c r="Q513" s="50">
        <f>IFERROR(Table1[[#This Row],[Utilization %]]*Table1[[#This Row],[Efficiency %]]*Table1[[#This Row],[Quality %]], "")</f>
        <v>0.81366666666666665</v>
      </c>
    </row>
    <row r="514" spans="1:18" x14ac:dyDescent="0.25">
      <c r="A514" s="47">
        <v>46155</v>
      </c>
      <c r="B514" s="48" t="s">
        <v>33</v>
      </c>
      <c r="C514" s="48" t="s">
        <v>36</v>
      </c>
      <c r="D514" s="48" t="s">
        <v>37</v>
      </c>
      <c r="E514" s="49">
        <v>8000</v>
      </c>
      <c r="F514" s="76">
        <v>8574</v>
      </c>
      <c r="G514" s="49">
        <v>0</v>
      </c>
      <c r="H514" s="50">
        <f>IFERROR(Table1[Re-process (Kg)]/Table1[Actual Production (Kg)], "")</f>
        <v>0</v>
      </c>
      <c r="I514" s="49">
        <f>IFERROR(Table1[[#This Row],[Actual Production (Kg)]]-Table1[[#This Row],[Re-process (Kg)]], "")</f>
        <v>8574</v>
      </c>
      <c r="J514" s="49">
        <v>22</v>
      </c>
      <c r="K514" s="72">
        <v>1</v>
      </c>
      <c r="L514" s="49">
        <f>IF(Table1[[#This Row],[Target Time (Hours)]]="","",Table1[[#This Row],[Target Time (Hours)]]-Table1[[#This Row],[Downtime (Hours)]])</f>
        <v>21</v>
      </c>
      <c r="M514" s="49">
        <f>IFERROR(Table1[[#This Row],[Capacity (Kg)]]/Table1[[#This Row],[Target Time (Hours)]] * Table1[[#This Row],[Downtime (Hours)]], "")</f>
        <v>363.63636363636363</v>
      </c>
      <c r="N514" s="50">
        <f>IFERROR(Table1[[#This Row],[Running Time (hr)]]/Table1[Target Time (Hours)], "")</f>
        <v>0.95454545454545459</v>
      </c>
      <c r="O514" s="50">
        <f>IFERROR(Table1[[#This Row],[Actual Production (Kg)]]/Table1[Capacity (Kg)], "")</f>
        <v>1.07175</v>
      </c>
      <c r="P514" s="50">
        <f>IFERROR(Table1[[#This Row],[Quality Pass Production]]/Table1[[#This Row],[Actual Production (Kg)]], "")</f>
        <v>1</v>
      </c>
      <c r="Q514" s="50">
        <f>IFERROR(Table1[[#This Row],[Utilization %]]*Table1[[#This Row],[Efficiency %]]*Table1[[#This Row],[Quality %]], "")</f>
        <v>1.0230340909090909</v>
      </c>
      <c r="R514" s="48" t="s">
        <v>154</v>
      </c>
    </row>
    <row r="515" spans="1:18" ht="30" customHeight="1" x14ac:dyDescent="0.25">
      <c r="A515" s="47">
        <v>46155</v>
      </c>
      <c r="B515" s="48" t="s">
        <v>33</v>
      </c>
      <c r="C515" s="48" t="s">
        <v>39</v>
      </c>
      <c r="D515" s="48" t="s">
        <v>31</v>
      </c>
      <c r="E515" s="49">
        <v>6000</v>
      </c>
      <c r="F515" s="76">
        <v>3278</v>
      </c>
      <c r="G515" s="49">
        <v>0</v>
      </c>
      <c r="H515" s="50">
        <f>IFERROR(Table1[Re-process (Kg)]/Table1[Actual Production (Kg)], "")</f>
        <v>0</v>
      </c>
      <c r="I515" s="49">
        <f>IFERROR(Table1[[#This Row],[Actual Production (Kg)]]-Table1[[#This Row],[Re-process (Kg)]], "")</f>
        <v>3278</v>
      </c>
      <c r="J515" s="49">
        <v>22</v>
      </c>
      <c r="K515" s="72">
        <v>0</v>
      </c>
      <c r="L515" s="49">
        <f>IF(Table1[[#This Row],[Target Time (Hours)]]="","",Table1[[#This Row],[Target Time (Hours)]]-Table1[[#This Row],[Downtime (Hours)]])</f>
        <v>22</v>
      </c>
      <c r="M515" s="49">
        <f>IFERROR(Table1[[#This Row],[Capacity (Kg)]]/Table1[[#This Row],[Target Time (Hours)]] * Table1[[#This Row],[Downtime (Hours)]], "")</f>
        <v>0</v>
      </c>
      <c r="N515" s="50">
        <f>IFERROR(Table1[[#This Row],[Running Time (hr)]]/Table1[Target Time (Hours)], "")</f>
        <v>1</v>
      </c>
      <c r="O515" s="50">
        <f>IFERROR(Table1[[#This Row],[Actual Production (Kg)]]/Table1[Capacity (Kg)], "")</f>
        <v>0.54633333333333334</v>
      </c>
      <c r="P515" s="50">
        <f>IFERROR(Table1[[#This Row],[Quality Pass Production]]/Table1[[#This Row],[Actual Production (Kg)]], "")</f>
        <v>1</v>
      </c>
      <c r="Q515" s="50">
        <f>IFERROR(Table1[[#This Row],[Utilization %]]*Table1[[#This Row],[Efficiency %]]*Table1[[#This Row],[Quality %]], "")</f>
        <v>0.54633333333333334</v>
      </c>
    </row>
    <row r="516" spans="1:18" ht="45" customHeight="1" x14ac:dyDescent="0.25">
      <c r="A516" s="54">
        <v>46155</v>
      </c>
      <c r="B516" s="55" t="s">
        <v>33</v>
      </c>
      <c r="C516" s="55" t="s">
        <v>40</v>
      </c>
      <c r="D516" s="55" t="s">
        <v>31</v>
      </c>
      <c r="E516" s="56">
        <v>5000</v>
      </c>
      <c r="F516" s="56">
        <v>4460</v>
      </c>
      <c r="G516" s="56">
        <v>0</v>
      </c>
      <c r="H516" s="58">
        <f>IFERROR(Table1[Re-process (Kg)]/Table1[Actual Production (Kg)], "")</f>
        <v>0</v>
      </c>
      <c r="I516" s="56">
        <f>IFERROR(Table1[[#This Row],[Actual Production (Kg)]]-Table1[[#This Row],[Re-process (Kg)]], "")</f>
        <v>4460</v>
      </c>
      <c r="J516" s="56">
        <v>22</v>
      </c>
      <c r="K516" s="55">
        <v>0</v>
      </c>
      <c r="L516" s="56">
        <f>IF(Table1[[#This Row],[Target Time (Hours)]]="","",Table1[[#This Row],[Target Time (Hours)]]-Table1[[#This Row],[Downtime (Hours)]])</f>
        <v>22</v>
      </c>
      <c r="M516" s="56">
        <f>IFERROR(Table1[[#This Row],[Capacity (Kg)]]/Table1[[#This Row],[Target Time (Hours)]] * Table1[[#This Row],[Downtime (Hours)]], "")</f>
        <v>0</v>
      </c>
      <c r="N516" s="58">
        <f>IFERROR(Table1[[#This Row],[Running Time (hr)]]/Table1[Target Time (Hours)], "")</f>
        <v>1</v>
      </c>
      <c r="O516" s="58">
        <f>IFERROR(Table1[[#This Row],[Actual Production (Kg)]]/Table1[Capacity (Kg)], "")</f>
        <v>0.89200000000000002</v>
      </c>
      <c r="P516" s="58">
        <f>IFERROR(Table1[[#This Row],[Quality Pass Production]]/Table1[[#This Row],[Actual Production (Kg)]], "")</f>
        <v>1</v>
      </c>
      <c r="Q516" s="58">
        <f>IFERROR(Table1[[#This Row],[Utilization %]]*Table1[[#This Row],[Efficiency %]]*Table1[[#This Row],[Quality %]], "")</f>
        <v>0.89200000000000002</v>
      </c>
      <c r="R516" s="55"/>
    </row>
    <row r="517" spans="1:18" ht="30" customHeight="1" x14ac:dyDescent="0.25">
      <c r="A517" s="47">
        <v>46156</v>
      </c>
      <c r="B517" s="48" t="s">
        <v>18</v>
      </c>
      <c r="C517" s="48" t="s">
        <v>19</v>
      </c>
      <c r="D517" s="48" t="s">
        <v>20</v>
      </c>
      <c r="E517" s="49">
        <v>10000</v>
      </c>
      <c r="F517" s="76">
        <v>8694</v>
      </c>
      <c r="G517" s="49">
        <v>0</v>
      </c>
      <c r="H517" s="50">
        <f>IFERROR(Table1[Re-process (Kg)]/Table1[Actual Production (Kg)], "")</f>
        <v>0</v>
      </c>
      <c r="I517" s="49">
        <f>IFERROR(Table1[[#This Row],[Actual Production (Kg)]]-Table1[[#This Row],[Re-process (Kg)]], "")</f>
        <v>8694</v>
      </c>
      <c r="J517" s="49">
        <v>22</v>
      </c>
      <c r="K517" s="72">
        <v>0</v>
      </c>
      <c r="L517" s="49">
        <f>IF(Table1[[#This Row],[Target Time (Hours)]]="","",Table1[[#This Row],[Target Time (Hours)]]-Table1[[#This Row],[Downtime (Hours)]])</f>
        <v>22</v>
      </c>
      <c r="M517" s="49">
        <f>IFERROR(Table1[[#This Row],[Capacity (Kg)]]/Table1[[#This Row],[Target Time (Hours)]] * Table1[[#This Row],[Downtime (Hours)]], "")</f>
        <v>0</v>
      </c>
      <c r="N517" s="50">
        <f>IFERROR(Table1[[#This Row],[Running Time (hr)]]/Table1[Target Time (Hours)], "")</f>
        <v>1</v>
      </c>
      <c r="O517" s="50">
        <f>IFERROR(Table1[[#This Row],[Actual Production (Kg)]]/Table1[Capacity (Kg)], "")</f>
        <v>0.86939999999999995</v>
      </c>
      <c r="P517" s="50">
        <f>IFERROR(Table1[[#This Row],[Quality Pass Production]]/Table1[[#This Row],[Actual Production (Kg)]], "")</f>
        <v>1</v>
      </c>
      <c r="Q517" s="50">
        <f>IFERROR(Table1[[#This Row],[Utilization %]]*Table1[[#This Row],[Efficiency %]]*Table1[[#This Row],[Quality %]], "")</f>
        <v>0.86939999999999995</v>
      </c>
    </row>
    <row r="518" spans="1:18" x14ac:dyDescent="0.25">
      <c r="A518" s="47">
        <v>46156</v>
      </c>
      <c r="B518" s="48" t="s">
        <v>18</v>
      </c>
      <c r="C518" s="48" t="s">
        <v>22</v>
      </c>
      <c r="D518" s="48" t="s">
        <v>23</v>
      </c>
      <c r="E518" s="49">
        <v>5000</v>
      </c>
      <c r="F518" s="76">
        <v>3345</v>
      </c>
      <c r="G518" s="49">
        <v>0</v>
      </c>
      <c r="H518" s="50">
        <f>IFERROR(Table1[Re-process (Kg)]/Table1[Actual Production (Kg)], "")</f>
        <v>0</v>
      </c>
      <c r="I518" s="49">
        <f>IFERROR(Table1[[#This Row],[Actual Production (Kg)]]-Table1[[#This Row],[Re-process (Kg)]], "")</f>
        <v>3345</v>
      </c>
      <c r="J518" s="49">
        <v>22</v>
      </c>
      <c r="K518" s="72">
        <v>0</v>
      </c>
      <c r="L518" s="49">
        <f>IF(Table1[[#This Row],[Target Time (Hours)]]="","",Table1[[#This Row],[Target Time (Hours)]]-Table1[[#This Row],[Downtime (Hours)]])</f>
        <v>22</v>
      </c>
      <c r="M518" s="49">
        <f>IFERROR(Table1[[#This Row],[Capacity (Kg)]]/Table1[[#This Row],[Target Time (Hours)]] * Table1[[#This Row],[Downtime (Hours)]], "")</f>
        <v>0</v>
      </c>
      <c r="N518" s="50">
        <f>IFERROR(Table1[[#This Row],[Running Time (hr)]]/Table1[Target Time (Hours)], "")</f>
        <v>1</v>
      </c>
      <c r="O518" s="50">
        <f>IFERROR(Table1[[#This Row],[Actual Production (Kg)]]/Table1[Capacity (Kg)], "")</f>
        <v>0.66900000000000004</v>
      </c>
      <c r="P518" s="50">
        <f>IFERROR(Table1[[#This Row],[Quality Pass Production]]/Table1[[#This Row],[Actual Production (Kg)]], "")</f>
        <v>1</v>
      </c>
      <c r="Q518" s="50">
        <f>IFERROR(Table1[[#This Row],[Utilization %]]*Table1[[#This Row],[Efficiency %]]*Table1[[#This Row],[Quality %]], "")</f>
        <v>0.66900000000000004</v>
      </c>
    </row>
    <row r="519" spans="1:18" x14ac:dyDescent="0.25">
      <c r="A519" s="47">
        <v>46156</v>
      </c>
      <c r="B519" s="48" t="s">
        <v>18</v>
      </c>
      <c r="C519" s="48" t="s">
        <v>22</v>
      </c>
      <c r="D519" s="48" t="s">
        <v>25</v>
      </c>
      <c r="E519" s="49">
        <v>4000</v>
      </c>
      <c r="F519" s="76">
        <v>4000</v>
      </c>
      <c r="G519" s="49">
        <v>0</v>
      </c>
      <c r="H519" s="50">
        <f>IFERROR(Table1[Re-process (Kg)]/Table1[Actual Production (Kg)], "")</f>
        <v>0</v>
      </c>
      <c r="I519" s="49">
        <f>IFERROR(Table1[[#This Row],[Actual Production (Kg)]]-Table1[[#This Row],[Re-process (Kg)]], "")</f>
        <v>4000</v>
      </c>
      <c r="J519" s="49"/>
      <c r="K519" s="72">
        <v>0</v>
      </c>
      <c r="L519" s="49" t="str">
        <f>IF(Table1[[#This Row],[Target Time (Hours)]]="","",Table1[[#This Row],[Target Time (Hours)]]-Table1[[#This Row],[Downtime (Hours)]])</f>
        <v/>
      </c>
      <c r="M519" s="49" t="str">
        <f>IFERROR(Table1[[#This Row],[Capacity (Kg)]]/Table1[[#This Row],[Target Time (Hours)]] * Table1[[#This Row],[Downtime (Hours)]], "")</f>
        <v/>
      </c>
      <c r="N519" s="50" t="str">
        <f>IFERROR(Table1[[#This Row],[Running Time (hr)]]/Table1[Target Time (Hours)], "")</f>
        <v/>
      </c>
      <c r="O519" s="50">
        <f>IFERROR(Table1[[#This Row],[Actual Production (Kg)]]/Table1[Capacity (Kg)], "")</f>
        <v>1</v>
      </c>
      <c r="P519" s="50">
        <f>IFERROR(Table1[[#This Row],[Quality Pass Production]]/Table1[[#This Row],[Actual Production (Kg)]], "")</f>
        <v>1</v>
      </c>
      <c r="Q519" s="50" t="str">
        <f>IFERROR(Table1[[#This Row],[Utilization %]]*Table1[[#This Row],[Efficiency %]]*Table1[[#This Row],[Quality %]], "")</f>
        <v/>
      </c>
    </row>
    <row r="520" spans="1:18" x14ac:dyDescent="0.25">
      <c r="A520" s="47">
        <v>46156</v>
      </c>
      <c r="B520" s="48" t="s">
        <v>18</v>
      </c>
      <c r="C520" s="48" t="s">
        <v>26</v>
      </c>
      <c r="D520" s="48" t="s">
        <v>25</v>
      </c>
      <c r="E520" s="49">
        <v>7000</v>
      </c>
      <c r="F520" s="76">
        <v>7019</v>
      </c>
      <c r="G520" s="49">
        <v>0</v>
      </c>
      <c r="H520" s="50">
        <f>IFERROR(Table1[Re-process (Kg)]/Table1[Actual Production (Kg)], "")</f>
        <v>0</v>
      </c>
      <c r="I520" s="49">
        <f>IFERROR(Table1[[#This Row],[Actual Production (Kg)]]-Table1[[#This Row],[Re-process (Kg)]], "")</f>
        <v>7019</v>
      </c>
      <c r="J520" s="49">
        <v>22</v>
      </c>
      <c r="K520" s="72">
        <v>0</v>
      </c>
      <c r="L520" s="49">
        <f>IF(Table1[[#This Row],[Target Time (Hours)]]="","",Table1[[#This Row],[Target Time (Hours)]]-Table1[[#This Row],[Downtime (Hours)]])</f>
        <v>22</v>
      </c>
      <c r="M520" s="49">
        <f>IFERROR(Table1[[#This Row],[Capacity (Kg)]]/Table1[[#This Row],[Target Time (Hours)]] * Table1[[#This Row],[Downtime (Hours)]], "")</f>
        <v>0</v>
      </c>
      <c r="N520" s="50">
        <f>IFERROR(Table1[[#This Row],[Running Time (hr)]]/Table1[Target Time (Hours)], "")</f>
        <v>1</v>
      </c>
      <c r="O520" s="50">
        <f>IFERROR(Table1[[#This Row],[Actual Production (Kg)]]/Table1[Capacity (Kg)], "")</f>
        <v>1.0027142857142857</v>
      </c>
      <c r="P520" s="50">
        <f>IFERROR(Table1[[#This Row],[Quality Pass Production]]/Table1[[#This Row],[Actual Production (Kg)]], "")</f>
        <v>1</v>
      </c>
      <c r="Q520" s="50">
        <f>IFERROR(Table1[[#This Row],[Utilization %]]*Table1[[#This Row],[Efficiency %]]*Table1[[#This Row],[Quality %]], "")</f>
        <v>1.0027142857142857</v>
      </c>
    </row>
    <row r="521" spans="1:18" ht="30" customHeight="1" x14ac:dyDescent="0.25">
      <c r="A521" s="47">
        <v>46156</v>
      </c>
      <c r="B521" s="48" t="s">
        <v>18</v>
      </c>
      <c r="C521" s="48" t="s">
        <v>28</v>
      </c>
      <c r="D521" s="48" t="s">
        <v>29</v>
      </c>
      <c r="E521" s="49">
        <v>7800</v>
      </c>
      <c r="F521" s="76">
        <v>5312</v>
      </c>
      <c r="G521" s="49">
        <v>0</v>
      </c>
      <c r="H521" s="50">
        <f>IFERROR(Table1[Re-process (Kg)]/Table1[Actual Production (Kg)], "")</f>
        <v>0</v>
      </c>
      <c r="I521" s="49">
        <f>IFERROR(Table1[[#This Row],[Actual Production (Kg)]]-Table1[[#This Row],[Re-process (Kg)]], "")</f>
        <v>5312</v>
      </c>
      <c r="J521" s="49">
        <v>22</v>
      </c>
      <c r="K521" s="72">
        <v>0</v>
      </c>
      <c r="L521" s="49">
        <f>IF(Table1[[#This Row],[Target Time (Hours)]]="","",Table1[[#This Row],[Target Time (Hours)]]-Table1[[#This Row],[Downtime (Hours)]])</f>
        <v>22</v>
      </c>
      <c r="M521" s="49">
        <f>IFERROR(Table1[[#This Row],[Capacity (Kg)]]/Table1[[#This Row],[Target Time (Hours)]] * Table1[[#This Row],[Downtime (Hours)]], "")</f>
        <v>0</v>
      </c>
      <c r="N521" s="50">
        <f>IFERROR(Table1[[#This Row],[Running Time (hr)]]/Table1[Target Time (Hours)], "")</f>
        <v>1</v>
      </c>
      <c r="O521" s="50">
        <f>IFERROR(Table1[[#This Row],[Actual Production (Kg)]]/Table1[Capacity (Kg)], "")</f>
        <v>0.681025641025641</v>
      </c>
      <c r="P521" s="50">
        <f>IFERROR(Table1[[#This Row],[Quality Pass Production]]/Table1[[#This Row],[Actual Production (Kg)]], "")</f>
        <v>1</v>
      </c>
      <c r="Q521" s="50">
        <f>IFERROR(Table1[[#This Row],[Utilization %]]*Table1[[#This Row],[Efficiency %]]*Table1[[#This Row],[Quality %]], "")</f>
        <v>0.681025641025641</v>
      </c>
      <c r="R521" s="48" t="s">
        <v>155</v>
      </c>
    </row>
    <row r="522" spans="1:18" ht="30" customHeight="1" x14ac:dyDescent="0.25">
      <c r="A522" s="26">
        <v>46156</v>
      </c>
      <c r="B522" s="27" t="s">
        <v>18</v>
      </c>
      <c r="C522" s="27" t="s">
        <v>135</v>
      </c>
      <c r="D522" s="27" t="s">
        <v>29</v>
      </c>
      <c r="E522" s="79"/>
      <c r="F522" s="79">
        <v>0</v>
      </c>
      <c r="G522" s="79"/>
      <c r="H522" s="28"/>
      <c r="I522" s="79"/>
      <c r="J522" s="79"/>
      <c r="K522" s="27"/>
      <c r="L522" s="53" t="str">
        <f>IF(Table1[[#This Row],[Target Time (Hours)]]="","",Table1[[#This Row],[Target Time (Hours)]]-Table1[[#This Row],[Downtime (Hours)]])</f>
        <v/>
      </c>
      <c r="M522" s="79"/>
      <c r="N522" s="28"/>
      <c r="O522" s="28"/>
      <c r="P522" s="28"/>
      <c r="Q522" s="28"/>
      <c r="R522" s="27" t="s">
        <v>156</v>
      </c>
    </row>
    <row r="523" spans="1:18" ht="30" customHeight="1" x14ac:dyDescent="0.25">
      <c r="A523" s="47">
        <v>46156</v>
      </c>
      <c r="B523" s="48" t="s">
        <v>18</v>
      </c>
      <c r="C523" s="48" t="s">
        <v>30</v>
      </c>
      <c r="D523" s="48" t="s">
        <v>31</v>
      </c>
      <c r="E523" s="49">
        <v>9000</v>
      </c>
      <c r="F523" s="76">
        <v>7354</v>
      </c>
      <c r="G523" s="49">
        <v>0</v>
      </c>
      <c r="H523" s="50">
        <f>IFERROR(Table1[Re-process (Kg)]/Table1[Actual Production (Kg)], "")</f>
        <v>0</v>
      </c>
      <c r="I523" s="49">
        <f>IFERROR(Table1[[#This Row],[Actual Production (Kg)]]-Table1[[#This Row],[Re-process (Kg)]], "")</f>
        <v>7354</v>
      </c>
      <c r="J523" s="49">
        <v>22</v>
      </c>
      <c r="K523" s="72">
        <v>0</v>
      </c>
      <c r="L523" s="49">
        <f>IF(Table1[[#This Row],[Target Time (Hours)]]="","",Table1[[#This Row],[Target Time (Hours)]]-Table1[[#This Row],[Downtime (Hours)]])</f>
        <v>22</v>
      </c>
      <c r="M523" s="49">
        <f>IFERROR(Table1[[#This Row],[Capacity (Kg)]]/Table1[[#This Row],[Target Time (Hours)]] * Table1[[#This Row],[Downtime (Hours)]], "")</f>
        <v>0</v>
      </c>
      <c r="N523" s="50">
        <f>IFERROR(Table1[[#This Row],[Running Time (hr)]]/Table1[Target Time (Hours)], "")</f>
        <v>1</v>
      </c>
      <c r="O523" s="50">
        <f>IFERROR(Table1[[#This Row],[Actual Production (Kg)]]/Table1[Capacity (Kg)], "")</f>
        <v>0.81711111111111112</v>
      </c>
      <c r="P523" s="50">
        <f>IFERROR(Table1[[#This Row],[Quality Pass Production]]/Table1[[#This Row],[Actual Production (Kg)]], "")</f>
        <v>1</v>
      </c>
      <c r="Q523" s="50">
        <f>IFERROR(Table1[[#This Row],[Utilization %]]*Table1[[#This Row],[Efficiency %]]*Table1[[#This Row],[Quality %]], "")</f>
        <v>0.81711111111111112</v>
      </c>
    </row>
    <row r="524" spans="1:18" ht="30" customHeight="1" x14ac:dyDescent="0.25">
      <c r="A524" s="26">
        <v>46156</v>
      </c>
      <c r="B524" s="27" t="s">
        <v>18</v>
      </c>
      <c r="C524" s="27" t="s">
        <v>32</v>
      </c>
      <c r="D524" s="27" t="s">
        <v>31</v>
      </c>
      <c r="E524" s="79">
        <f>Table1[[#This Row],[Actual Production (Kg)]]</f>
        <v>955</v>
      </c>
      <c r="F524" s="79">
        <v>955</v>
      </c>
      <c r="G524" s="79"/>
      <c r="H524" s="28"/>
      <c r="I524" s="79"/>
      <c r="J524" s="79"/>
      <c r="K524" s="27"/>
      <c r="L524" s="53" t="str">
        <f>IF(Table1[[#This Row],[Target Time (Hours)]]="","",Table1[[#This Row],[Target Time (Hours)]]-Table1[[#This Row],[Downtime (Hours)]])</f>
        <v/>
      </c>
      <c r="M524" s="79"/>
      <c r="N524" s="28"/>
      <c r="O524" s="28"/>
      <c r="P524" s="28"/>
      <c r="Q524" s="28"/>
      <c r="R524" s="27" t="s">
        <v>155</v>
      </c>
    </row>
    <row r="525" spans="1:18" ht="30" customHeight="1" x14ac:dyDescent="0.25">
      <c r="A525" s="47">
        <v>46156</v>
      </c>
      <c r="B525" s="48" t="s">
        <v>33</v>
      </c>
      <c r="C525" s="48" t="s">
        <v>34</v>
      </c>
      <c r="D525" s="48" t="s">
        <v>35</v>
      </c>
      <c r="E525" s="49">
        <v>9000</v>
      </c>
      <c r="F525" s="76">
        <v>5957</v>
      </c>
      <c r="G525" s="49">
        <v>0</v>
      </c>
      <c r="H525" s="50">
        <f>IFERROR(Table1[Re-process (Kg)]/Table1[Actual Production (Kg)], "")</f>
        <v>0</v>
      </c>
      <c r="I525" s="49">
        <f>IFERROR(Table1[[#This Row],[Actual Production (Kg)]]-Table1[[#This Row],[Re-process (Kg)]], "")</f>
        <v>5957</v>
      </c>
      <c r="J525" s="49">
        <v>22</v>
      </c>
      <c r="K525" s="72">
        <v>0</v>
      </c>
      <c r="L525" s="49">
        <f>IF(Table1[[#This Row],[Target Time (Hours)]]="","",Table1[[#This Row],[Target Time (Hours)]]-Table1[[#This Row],[Downtime (Hours)]])</f>
        <v>22</v>
      </c>
      <c r="M525" s="49">
        <f>IFERROR(Table1[[#This Row],[Capacity (Kg)]]/Table1[[#This Row],[Target Time (Hours)]] * Table1[[#This Row],[Downtime (Hours)]], "")</f>
        <v>0</v>
      </c>
      <c r="N525" s="50">
        <f>IFERROR(Table1[[#This Row],[Running Time (hr)]]/Table1[Target Time (Hours)], "")</f>
        <v>1</v>
      </c>
      <c r="O525" s="50">
        <f>IFERROR(Table1[[#This Row],[Actual Production (Kg)]]/Table1[Capacity (Kg)], "")</f>
        <v>0.66188888888888886</v>
      </c>
      <c r="P525" s="50">
        <f>IFERROR(Table1[[#This Row],[Quality Pass Production]]/Table1[[#This Row],[Actual Production (Kg)]], "")</f>
        <v>1</v>
      </c>
      <c r="Q525" s="50">
        <f>IFERROR(Table1[[#This Row],[Utilization %]]*Table1[[#This Row],[Efficiency %]]*Table1[[#This Row],[Quality %]], "")</f>
        <v>0.66188888888888886</v>
      </c>
      <c r="R525" s="48" t="s">
        <v>155</v>
      </c>
    </row>
    <row r="526" spans="1:18" x14ac:dyDescent="0.25">
      <c r="A526" s="47">
        <v>46156</v>
      </c>
      <c r="B526" s="48" t="s">
        <v>33</v>
      </c>
      <c r="C526" s="48" t="s">
        <v>36</v>
      </c>
      <c r="D526" s="48" t="s">
        <v>37</v>
      </c>
      <c r="E526" s="49">
        <v>8000</v>
      </c>
      <c r="F526" s="76">
        <v>6482</v>
      </c>
      <c r="G526" s="49">
        <v>0</v>
      </c>
      <c r="H526" s="50">
        <f>IFERROR(Table1[Re-process (Kg)]/Table1[Actual Production (Kg)], "")</f>
        <v>0</v>
      </c>
      <c r="I526" s="49">
        <f>IFERROR(Table1[[#This Row],[Actual Production (Kg)]]-Table1[[#This Row],[Re-process (Kg)]], "")</f>
        <v>6482</v>
      </c>
      <c r="J526" s="49">
        <v>22</v>
      </c>
      <c r="K526" s="72">
        <v>1</v>
      </c>
      <c r="L526" s="49">
        <f>IF(Table1[[#This Row],[Target Time (Hours)]]="","",Table1[[#This Row],[Target Time (Hours)]]-Table1[[#This Row],[Downtime (Hours)]])</f>
        <v>21</v>
      </c>
      <c r="M526" s="49">
        <f>IFERROR(Table1[[#This Row],[Capacity (Kg)]]/Table1[[#This Row],[Target Time (Hours)]] * Table1[[#This Row],[Downtime (Hours)]], "")</f>
        <v>363.63636363636363</v>
      </c>
      <c r="N526" s="50">
        <f>IFERROR(Table1[[#This Row],[Running Time (hr)]]/Table1[Target Time (Hours)], "")</f>
        <v>0.95454545454545459</v>
      </c>
      <c r="O526" s="50">
        <f>IFERROR(Table1[[#This Row],[Actual Production (Kg)]]/Table1[Capacity (Kg)], "")</f>
        <v>0.81025000000000003</v>
      </c>
      <c r="P526" s="50">
        <f>IFERROR(Table1[[#This Row],[Quality Pass Production]]/Table1[[#This Row],[Actual Production (Kg)]], "")</f>
        <v>1</v>
      </c>
      <c r="Q526" s="50">
        <f>IFERROR(Table1[[#This Row],[Utilization %]]*Table1[[#This Row],[Efficiency %]]*Table1[[#This Row],[Quality %]], "")</f>
        <v>0.77342045454545461</v>
      </c>
      <c r="R526" s="48" t="s">
        <v>154</v>
      </c>
    </row>
    <row r="527" spans="1:18" ht="30" customHeight="1" x14ac:dyDescent="0.25">
      <c r="A527" s="47">
        <v>46156</v>
      </c>
      <c r="B527" s="48" t="s">
        <v>33</v>
      </c>
      <c r="C527" s="48" t="s">
        <v>39</v>
      </c>
      <c r="D527" s="48" t="s">
        <v>31</v>
      </c>
      <c r="E527" s="49">
        <v>6000</v>
      </c>
      <c r="F527" s="76">
        <v>3145</v>
      </c>
      <c r="G527" s="49">
        <v>0</v>
      </c>
      <c r="H527" s="50">
        <f>IFERROR(Table1[Re-process (Kg)]/Table1[Actual Production (Kg)], "")</f>
        <v>0</v>
      </c>
      <c r="I527" s="49">
        <f>IFERROR(Table1[[#This Row],[Actual Production (Kg)]]-Table1[[#This Row],[Re-process (Kg)]], "")</f>
        <v>3145</v>
      </c>
      <c r="J527" s="49">
        <v>22</v>
      </c>
      <c r="K527" s="72">
        <v>0</v>
      </c>
      <c r="L527" s="49">
        <f>IF(Table1[[#This Row],[Target Time (Hours)]]="","",Table1[[#This Row],[Target Time (Hours)]]-Table1[[#This Row],[Downtime (Hours)]])</f>
        <v>22</v>
      </c>
      <c r="M527" s="49">
        <f>IFERROR(Table1[[#This Row],[Capacity (Kg)]]/Table1[[#This Row],[Target Time (Hours)]] * Table1[[#This Row],[Downtime (Hours)]], "")</f>
        <v>0</v>
      </c>
      <c r="N527" s="50">
        <f>IFERROR(Table1[[#This Row],[Running Time (hr)]]/Table1[Target Time (Hours)], "")</f>
        <v>1</v>
      </c>
      <c r="O527" s="50">
        <f>IFERROR(Table1[[#This Row],[Actual Production (Kg)]]/Table1[Capacity (Kg)], "")</f>
        <v>0.52416666666666667</v>
      </c>
      <c r="P527" s="50">
        <f>IFERROR(Table1[[#This Row],[Quality Pass Production]]/Table1[[#This Row],[Actual Production (Kg)]], "")</f>
        <v>1</v>
      </c>
      <c r="Q527" s="50">
        <f>IFERROR(Table1[[#This Row],[Utilization %]]*Table1[[#This Row],[Efficiency %]]*Table1[[#This Row],[Quality %]], "")</f>
        <v>0.52416666666666667</v>
      </c>
      <c r="R527" s="48" t="s">
        <v>155</v>
      </c>
    </row>
    <row r="528" spans="1:18" ht="45" customHeight="1" x14ac:dyDescent="0.25">
      <c r="A528" s="54">
        <v>46156</v>
      </c>
      <c r="B528" s="55" t="s">
        <v>33</v>
      </c>
      <c r="C528" s="55" t="s">
        <v>40</v>
      </c>
      <c r="D528" s="55" t="s">
        <v>31</v>
      </c>
      <c r="E528" s="56">
        <v>5000</v>
      </c>
      <c r="F528" s="56">
        <v>2419</v>
      </c>
      <c r="G528" s="56">
        <v>0</v>
      </c>
      <c r="H528" s="58">
        <f>IFERROR(Table1[Re-process (Kg)]/Table1[Actual Production (Kg)], "")</f>
        <v>0</v>
      </c>
      <c r="I528" s="56">
        <f>IFERROR(Table1[[#This Row],[Actual Production (Kg)]]-Table1[[#This Row],[Re-process (Kg)]], "")</f>
        <v>2419</v>
      </c>
      <c r="J528" s="56">
        <v>22</v>
      </c>
      <c r="K528" s="55">
        <v>0</v>
      </c>
      <c r="L528" s="56">
        <f>IF(Table1[[#This Row],[Target Time (Hours)]]="","",Table1[[#This Row],[Target Time (Hours)]]-Table1[[#This Row],[Downtime (Hours)]])</f>
        <v>22</v>
      </c>
      <c r="M528" s="56">
        <f>IFERROR(Table1[[#This Row],[Capacity (Kg)]]/Table1[[#This Row],[Target Time (Hours)]] * Table1[[#This Row],[Downtime (Hours)]], "")</f>
        <v>0</v>
      </c>
      <c r="N528" s="58">
        <f>IFERROR(Table1[[#This Row],[Running Time (hr)]]/Table1[Target Time (Hours)], "")</f>
        <v>1</v>
      </c>
      <c r="O528" s="58">
        <f>IFERROR(Table1[[#This Row],[Actual Production (Kg)]]/Table1[Capacity (Kg)], "")</f>
        <v>0.48380000000000001</v>
      </c>
      <c r="P528" s="58">
        <f>IFERROR(Table1[[#This Row],[Quality Pass Production]]/Table1[[#This Row],[Actual Production (Kg)]], "")</f>
        <v>1</v>
      </c>
      <c r="Q528" s="58">
        <f>IFERROR(Table1[[#This Row],[Utilization %]]*Table1[[#This Row],[Efficiency %]]*Table1[[#This Row],[Quality %]], "")</f>
        <v>0.48380000000000001</v>
      </c>
      <c r="R528" s="55" t="s">
        <v>155</v>
      </c>
    </row>
    <row r="529" spans="1:18" ht="30" customHeight="1" x14ac:dyDescent="0.25">
      <c r="A529" s="47">
        <v>46157</v>
      </c>
      <c r="B529" s="48" t="s">
        <v>18</v>
      </c>
      <c r="C529" s="48" t="s">
        <v>19</v>
      </c>
      <c r="D529" s="48" t="s">
        <v>20</v>
      </c>
      <c r="E529" s="49">
        <v>10000</v>
      </c>
      <c r="F529" s="76">
        <v>3725</v>
      </c>
      <c r="G529" s="49">
        <v>0</v>
      </c>
      <c r="H529" s="50">
        <f>IFERROR(Table1[Re-process (Kg)]/Table1[Actual Production (Kg)], "")</f>
        <v>0</v>
      </c>
      <c r="I529" s="49">
        <f>IFERROR(Table1[[#This Row],[Actual Production (Kg)]]-Table1[[#This Row],[Re-process (Kg)]], "")</f>
        <v>3725</v>
      </c>
      <c r="J529" s="49">
        <v>15</v>
      </c>
      <c r="K529" s="72">
        <v>0</v>
      </c>
      <c r="L529" s="49">
        <f>IF(Table1[[#This Row],[Target Time (Hours)]]="","",Table1[[#This Row],[Target Time (Hours)]]-Table1[[#This Row],[Downtime (Hours)]])</f>
        <v>15</v>
      </c>
      <c r="M529" s="49">
        <f>IFERROR(Table1[[#This Row],[Capacity (Kg)]]/Table1[[#This Row],[Target Time (Hours)]] * Table1[[#This Row],[Downtime (Hours)]], "")</f>
        <v>0</v>
      </c>
      <c r="N529" s="50">
        <f>IFERROR(Table1[[#This Row],[Running Time (hr)]]/Table1[Target Time (Hours)], "")</f>
        <v>1</v>
      </c>
      <c r="O529" s="50">
        <f>IFERROR(Table1[[#This Row],[Actual Production (Kg)]]/Table1[Capacity (Kg)], "")</f>
        <v>0.3725</v>
      </c>
      <c r="P529" s="50">
        <f>IFERROR(Table1[[#This Row],[Quality Pass Production]]/Table1[[#This Row],[Actual Production (Kg)]], "")</f>
        <v>1</v>
      </c>
      <c r="Q529" s="50">
        <f>IFERROR(Table1[[#This Row],[Utilization %]]*Table1[[#This Row],[Efficiency %]]*Table1[[#This Row],[Quality %]], "")</f>
        <v>0.3725</v>
      </c>
    </row>
    <row r="530" spans="1:18" x14ac:dyDescent="0.25">
      <c r="A530" s="47">
        <v>46157</v>
      </c>
      <c r="B530" s="48" t="s">
        <v>18</v>
      </c>
      <c r="C530" s="48" t="s">
        <v>22</v>
      </c>
      <c r="D530" s="48" t="s">
        <v>23</v>
      </c>
      <c r="E530" s="49">
        <v>5000</v>
      </c>
      <c r="F530" s="76">
        <v>1539</v>
      </c>
      <c r="G530" s="49">
        <v>0</v>
      </c>
      <c r="H530" s="50">
        <f>IFERROR(Table1[Re-process (Kg)]/Table1[Actual Production (Kg)], "")</f>
        <v>0</v>
      </c>
      <c r="I530" s="49">
        <f>IFERROR(Table1[[#This Row],[Actual Production (Kg)]]-Table1[[#This Row],[Re-process (Kg)]], "")</f>
        <v>1539</v>
      </c>
      <c r="J530" s="49">
        <v>15</v>
      </c>
      <c r="K530" s="72">
        <v>0</v>
      </c>
      <c r="L530" s="49">
        <f>IF(Table1[[#This Row],[Target Time (Hours)]]="","",Table1[[#This Row],[Target Time (Hours)]]-Table1[[#This Row],[Downtime (Hours)]])</f>
        <v>15</v>
      </c>
      <c r="M530" s="49">
        <f>IFERROR(Table1[[#This Row],[Capacity (Kg)]]/Table1[[#This Row],[Target Time (Hours)]] * Table1[[#This Row],[Downtime (Hours)]], "")</f>
        <v>0</v>
      </c>
      <c r="N530" s="50">
        <f>IFERROR(Table1[[#This Row],[Running Time (hr)]]/Table1[Target Time (Hours)], "")</f>
        <v>1</v>
      </c>
      <c r="O530" s="50">
        <f>IFERROR(Table1[[#This Row],[Actual Production (Kg)]]/Table1[Capacity (Kg)], "")</f>
        <v>0.30780000000000002</v>
      </c>
      <c r="P530" s="50">
        <f>IFERROR(Table1[[#This Row],[Quality Pass Production]]/Table1[[#This Row],[Actual Production (Kg)]], "")</f>
        <v>1</v>
      </c>
      <c r="Q530" s="50">
        <f>IFERROR(Table1[[#This Row],[Utilization %]]*Table1[[#This Row],[Efficiency %]]*Table1[[#This Row],[Quality %]], "")</f>
        <v>0.30780000000000002</v>
      </c>
    </row>
    <row r="531" spans="1:18" x14ac:dyDescent="0.25">
      <c r="A531" s="47">
        <v>46157</v>
      </c>
      <c r="B531" s="48" t="s">
        <v>18</v>
      </c>
      <c r="C531" s="48" t="s">
        <v>22</v>
      </c>
      <c r="D531" s="48" t="s">
        <v>25</v>
      </c>
      <c r="E531" s="49">
        <v>4000</v>
      </c>
      <c r="F531" s="76">
        <v>3940</v>
      </c>
      <c r="G531" s="49">
        <v>0</v>
      </c>
      <c r="H531" s="50">
        <f>IFERROR(Table1[Re-process (Kg)]/Table1[Actual Production (Kg)], "")</f>
        <v>0</v>
      </c>
      <c r="I531" s="49">
        <f>IFERROR(Table1[[#This Row],[Actual Production (Kg)]]-Table1[[#This Row],[Re-process (Kg)]], "")</f>
        <v>3940</v>
      </c>
      <c r="J531" s="49"/>
      <c r="K531" s="72">
        <v>0</v>
      </c>
      <c r="L531" s="49" t="str">
        <f>IF(Table1[[#This Row],[Target Time (Hours)]]="","",Table1[[#This Row],[Target Time (Hours)]]-Table1[[#This Row],[Downtime (Hours)]])</f>
        <v/>
      </c>
      <c r="M531" s="49" t="str">
        <f>IFERROR(Table1[[#This Row],[Capacity (Kg)]]/Table1[[#This Row],[Target Time (Hours)]] * Table1[[#This Row],[Downtime (Hours)]], "")</f>
        <v/>
      </c>
      <c r="N531" s="50" t="str">
        <f>IFERROR(Table1[[#This Row],[Running Time (hr)]]/Table1[Target Time (Hours)], "")</f>
        <v/>
      </c>
      <c r="O531" s="50">
        <f>IFERROR(Table1[[#This Row],[Actual Production (Kg)]]/Table1[Capacity (Kg)], "")</f>
        <v>0.98499999999999999</v>
      </c>
      <c r="P531" s="50">
        <f>IFERROR(Table1[[#This Row],[Quality Pass Production]]/Table1[[#This Row],[Actual Production (Kg)]], "")</f>
        <v>1</v>
      </c>
      <c r="Q531" s="50" t="str">
        <f>IFERROR(Table1[[#This Row],[Utilization %]]*Table1[[#This Row],[Efficiency %]]*Table1[[#This Row],[Quality %]], "")</f>
        <v/>
      </c>
    </row>
    <row r="532" spans="1:18" x14ac:dyDescent="0.25">
      <c r="A532" s="47">
        <v>46157</v>
      </c>
      <c r="B532" s="48" t="s">
        <v>18</v>
      </c>
      <c r="C532" s="48" t="s">
        <v>26</v>
      </c>
      <c r="D532" s="48" t="s">
        <v>25</v>
      </c>
      <c r="E532" s="49">
        <v>7000</v>
      </c>
      <c r="F532" s="76">
        <v>4204</v>
      </c>
      <c r="G532" s="49">
        <v>0</v>
      </c>
      <c r="H532" s="50">
        <f>IFERROR(Table1[Re-process (Kg)]/Table1[Actual Production (Kg)], "")</f>
        <v>0</v>
      </c>
      <c r="I532" s="49">
        <f>IFERROR(Table1[[#This Row],[Actual Production (Kg)]]-Table1[[#This Row],[Re-process (Kg)]], "")</f>
        <v>4204</v>
      </c>
      <c r="J532" s="49">
        <v>15</v>
      </c>
      <c r="K532" s="72">
        <v>0</v>
      </c>
      <c r="L532" s="49">
        <f>IF(Table1[[#This Row],[Target Time (Hours)]]="","",Table1[[#This Row],[Target Time (Hours)]]-Table1[[#This Row],[Downtime (Hours)]])</f>
        <v>15</v>
      </c>
      <c r="M532" s="49">
        <f>IFERROR(Table1[[#This Row],[Capacity (Kg)]]/Table1[[#This Row],[Target Time (Hours)]] * Table1[[#This Row],[Downtime (Hours)]], "")</f>
        <v>0</v>
      </c>
      <c r="N532" s="50">
        <f>IFERROR(Table1[[#This Row],[Running Time (hr)]]/Table1[Target Time (Hours)], "")</f>
        <v>1</v>
      </c>
      <c r="O532" s="50">
        <f>IFERROR(Table1[[#This Row],[Actual Production (Kg)]]/Table1[Capacity (Kg)], "")</f>
        <v>0.60057142857142853</v>
      </c>
      <c r="P532" s="50">
        <f>IFERROR(Table1[[#This Row],[Quality Pass Production]]/Table1[[#This Row],[Actual Production (Kg)]], "")</f>
        <v>1</v>
      </c>
      <c r="Q532" s="50">
        <f>IFERROR(Table1[[#This Row],[Utilization %]]*Table1[[#This Row],[Efficiency %]]*Table1[[#This Row],[Quality %]], "")</f>
        <v>0.60057142857142853</v>
      </c>
    </row>
    <row r="533" spans="1:18" ht="30" customHeight="1" x14ac:dyDescent="0.25">
      <c r="A533" s="47">
        <v>46157</v>
      </c>
      <c r="B533" s="48" t="s">
        <v>18</v>
      </c>
      <c r="C533" s="48" t="s">
        <v>28</v>
      </c>
      <c r="D533" s="48" t="s">
        <v>29</v>
      </c>
      <c r="E533" s="49">
        <v>7800</v>
      </c>
      <c r="F533" s="76">
        <v>3234</v>
      </c>
      <c r="G533" s="49">
        <v>0</v>
      </c>
      <c r="H533" s="50">
        <f>IFERROR(Table1[Re-process (Kg)]/Table1[Actual Production (Kg)], "")</f>
        <v>0</v>
      </c>
      <c r="I533" s="49">
        <f>IFERROR(Table1[[#This Row],[Actual Production (Kg)]]-Table1[[#This Row],[Re-process (Kg)]], "")</f>
        <v>3234</v>
      </c>
      <c r="J533" s="49">
        <v>15</v>
      </c>
      <c r="K533" s="72">
        <v>0</v>
      </c>
      <c r="L533" s="49">
        <f>IF(Table1[[#This Row],[Target Time (Hours)]]="","",Table1[[#This Row],[Target Time (Hours)]]-Table1[[#This Row],[Downtime (Hours)]])</f>
        <v>15</v>
      </c>
      <c r="M533" s="49">
        <f>IFERROR(Table1[[#This Row],[Capacity (Kg)]]/Table1[[#This Row],[Target Time (Hours)]] * Table1[[#This Row],[Downtime (Hours)]], "")</f>
        <v>0</v>
      </c>
      <c r="N533" s="50">
        <f>IFERROR(Table1[[#This Row],[Running Time (hr)]]/Table1[Target Time (Hours)], "")</f>
        <v>1</v>
      </c>
      <c r="O533" s="50">
        <f>IFERROR(Table1[[#This Row],[Actual Production (Kg)]]/Table1[Capacity (Kg)], "")</f>
        <v>0.41461538461538461</v>
      </c>
      <c r="P533" s="50">
        <f>IFERROR(Table1[[#This Row],[Quality Pass Production]]/Table1[[#This Row],[Actual Production (Kg)]], "")</f>
        <v>1</v>
      </c>
      <c r="Q533" s="50">
        <f>IFERROR(Table1[[#This Row],[Utilization %]]*Table1[[#This Row],[Efficiency %]]*Table1[[#This Row],[Quality %]], "")</f>
        <v>0.41461538461538461</v>
      </c>
      <c r="R533" s="48" t="s">
        <v>155</v>
      </c>
    </row>
    <row r="534" spans="1:18" ht="30" customHeight="1" x14ac:dyDescent="0.25">
      <c r="A534" s="26">
        <v>46157</v>
      </c>
      <c r="B534" s="27" t="s">
        <v>18</v>
      </c>
      <c r="C534" s="27" t="s">
        <v>135</v>
      </c>
      <c r="D534" s="27" t="s">
        <v>29</v>
      </c>
      <c r="E534" s="79"/>
      <c r="F534" s="79">
        <v>0</v>
      </c>
      <c r="G534" s="79"/>
      <c r="H534" s="28"/>
      <c r="I534" s="79"/>
      <c r="J534" s="53"/>
      <c r="K534" s="27"/>
      <c r="L534" s="53" t="str">
        <f>IF(Table1[[#This Row],[Target Time (Hours)]]="","",Table1[[#This Row],[Target Time (Hours)]]-Table1[[#This Row],[Downtime (Hours)]])</f>
        <v/>
      </c>
      <c r="M534" s="79"/>
      <c r="N534" s="28"/>
      <c r="O534" s="28"/>
      <c r="P534" s="28"/>
      <c r="Q534" s="28"/>
      <c r="R534" s="27" t="s">
        <v>156</v>
      </c>
    </row>
    <row r="535" spans="1:18" ht="30" customHeight="1" x14ac:dyDescent="0.25">
      <c r="A535" s="47">
        <v>46157</v>
      </c>
      <c r="B535" s="48" t="s">
        <v>18</v>
      </c>
      <c r="C535" s="48" t="s">
        <v>30</v>
      </c>
      <c r="D535" s="48" t="s">
        <v>31</v>
      </c>
      <c r="E535" s="49">
        <v>9000</v>
      </c>
      <c r="F535" s="76">
        <v>4885</v>
      </c>
      <c r="G535" s="49">
        <v>0</v>
      </c>
      <c r="H535" s="50">
        <f>IFERROR(Table1[Re-process (Kg)]/Table1[Actual Production (Kg)], "")</f>
        <v>0</v>
      </c>
      <c r="I535" s="49">
        <f>IFERROR(Table1[[#This Row],[Actual Production (Kg)]]-Table1[[#This Row],[Re-process (Kg)]], "")</f>
        <v>4885</v>
      </c>
      <c r="J535" s="49">
        <v>15</v>
      </c>
      <c r="K535" s="72">
        <v>0</v>
      </c>
      <c r="L535" s="49">
        <f>IF(Table1[[#This Row],[Target Time (Hours)]]="","",Table1[[#This Row],[Target Time (Hours)]]-Table1[[#This Row],[Downtime (Hours)]])</f>
        <v>15</v>
      </c>
      <c r="M535" s="49">
        <f>IFERROR(Table1[[#This Row],[Capacity (Kg)]]/Table1[[#This Row],[Target Time (Hours)]] * Table1[[#This Row],[Downtime (Hours)]], "")</f>
        <v>0</v>
      </c>
      <c r="N535" s="50">
        <f>IFERROR(Table1[[#This Row],[Running Time (hr)]]/Table1[Target Time (Hours)], "")</f>
        <v>1</v>
      </c>
      <c r="O535" s="50">
        <f>IFERROR(Table1[[#This Row],[Actual Production (Kg)]]/Table1[Capacity (Kg)], "")</f>
        <v>0.5427777777777778</v>
      </c>
      <c r="P535" s="50">
        <f>IFERROR(Table1[[#This Row],[Quality Pass Production]]/Table1[[#This Row],[Actual Production (Kg)]], "")</f>
        <v>1</v>
      </c>
      <c r="Q535" s="50">
        <f>IFERROR(Table1[[#This Row],[Utilization %]]*Table1[[#This Row],[Efficiency %]]*Table1[[#This Row],[Quality %]], "")</f>
        <v>0.5427777777777778</v>
      </c>
    </row>
    <row r="536" spans="1:18" ht="30" customHeight="1" x14ac:dyDescent="0.25">
      <c r="A536" s="26">
        <v>46157</v>
      </c>
      <c r="B536" s="27" t="s">
        <v>18</v>
      </c>
      <c r="C536" s="27" t="s">
        <v>32</v>
      </c>
      <c r="D536" s="27" t="s">
        <v>31</v>
      </c>
      <c r="E536" s="79">
        <f>Table1[[#This Row],[Actual Production (Kg)]]</f>
        <v>0</v>
      </c>
      <c r="F536" s="79">
        <v>0</v>
      </c>
      <c r="G536" s="79"/>
      <c r="H536" s="28"/>
      <c r="I536" s="79"/>
      <c r="J536" s="53"/>
      <c r="K536" s="27"/>
      <c r="L536" s="53" t="str">
        <f>IF(Table1[[#This Row],[Target Time (Hours)]]="","",Table1[[#This Row],[Target Time (Hours)]]-Table1[[#This Row],[Downtime (Hours)]])</f>
        <v/>
      </c>
      <c r="M536" s="79"/>
      <c r="N536" s="28"/>
      <c r="O536" s="28"/>
      <c r="P536" s="28"/>
      <c r="Q536" s="28"/>
      <c r="R536" s="27" t="s">
        <v>156</v>
      </c>
    </row>
    <row r="537" spans="1:18" ht="30" customHeight="1" x14ac:dyDescent="0.25">
      <c r="A537" s="47">
        <v>46157</v>
      </c>
      <c r="B537" s="48" t="s">
        <v>33</v>
      </c>
      <c r="C537" s="48" t="s">
        <v>34</v>
      </c>
      <c r="D537" s="48" t="s">
        <v>35</v>
      </c>
      <c r="E537" s="49">
        <v>9000</v>
      </c>
      <c r="F537" s="76">
        <v>4095</v>
      </c>
      <c r="G537" s="49">
        <v>0</v>
      </c>
      <c r="H537" s="50">
        <f>IFERROR(Table1[Re-process (Kg)]/Table1[Actual Production (Kg)], "")</f>
        <v>0</v>
      </c>
      <c r="I537" s="49">
        <f>IFERROR(Table1[[#This Row],[Actual Production (Kg)]]-Table1[[#This Row],[Re-process (Kg)]], "")</f>
        <v>4095</v>
      </c>
      <c r="J537" s="49">
        <v>15</v>
      </c>
      <c r="K537" s="72">
        <v>0</v>
      </c>
      <c r="L537" s="49">
        <f>IF(Table1[[#This Row],[Target Time (Hours)]]="","",Table1[[#This Row],[Target Time (Hours)]]-Table1[[#This Row],[Downtime (Hours)]])</f>
        <v>15</v>
      </c>
      <c r="M537" s="49">
        <f>IFERROR(Table1[[#This Row],[Capacity (Kg)]]/Table1[[#This Row],[Target Time (Hours)]] * Table1[[#This Row],[Downtime (Hours)]], "")</f>
        <v>0</v>
      </c>
      <c r="N537" s="50">
        <f>IFERROR(Table1[[#This Row],[Running Time (hr)]]/Table1[Target Time (Hours)], "")</f>
        <v>1</v>
      </c>
      <c r="O537" s="50">
        <f>IFERROR(Table1[[#This Row],[Actual Production (Kg)]]/Table1[Capacity (Kg)], "")</f>
        <v>0.45500000000000002</v>
      </c>
      <c r="P537" s="50">
        <f>IFERROR(Table1[[#This Row],[Quality Pass Production]]/Table1[[#This Row],[Actual Production (Kg)]], "")</f>
        <v>1</v>
      </c>
      <c r="Q537" s="50">
        <f>IFERROR(Table1[[#This Row],[Utilization %]]*Table1[[#This Row],[Efficiency %]]*Table1[[#This Row],[Quality %]], "")</f>
        <v>0.45500000000000002</v>
      </c>
      <c r="R537" s="48" t="s">
        <v>157</v>
      </c>
    </row>
    <row r="538" spans="1:18" ht="30" customHeight="1" x14ac:dyDescent="0.25">
      <c r="A538" s="47">
        <v>46157</v>
      </c>
      <c r="B538" s="48" t="s">
        <v>33</v>
      </c>
      <c r="C538" s="48" t="s">
        <v>36</v>
      </c>
      <c r="D538" s="48" t="s">
        <v>37</v>
      </c>
      <c r="E538" s="49">
        <v>8000</v>
      </c>
      <c r="F538" s="76">
        <v>3442</v>
      </c>
      <c r="G538" s="49">
        <v>0</v>
      </c>
      <c r="H538" s="50">
        <f>IFERROR(Table1[Re-process (Kg)]/Table1[Actual Production (Kg)], "")</f>
        <v>0</v>
      </c>
      <c r="I538" s="49">
        <f>IFERROR(Table1[[#This Row],[Actual Production (Kg)]]-Table1[[#This Row],[Re-process (Kg)]], "")</f>
        <v>3442</v>
      </c>
      <c r="J538" s="49">
        <v>15</v>
      </c>
      <c r="K538" s="72">
        <v>1</v>
      </c>
      <c r="L538" s="49">
        <f>IF(Table1[[#This Row],[Target Time (Hours)]]="","",Table1[[#This Row],[Target Time (Hours)]]-Table1[[#This Row],[Downtime (Hours)]])</f>
        <v>14</v>
      </c>
      <c r="M538" s="49">
        <f>IFERROR(Table1[[#This Row],[Capacity (Kg)]]/Table1[[#This Row],[Target Time (Hours)]] * Table1[[#This Row],[Downtime (Hours)]], "")</f>
        <v>533.33333333333337</v>
      </c>
      <c r="N538" s="50">
        <f>IFERROR(Table1[[#This Row],[Running Time (hr)]]/Table1[Target Time (Hours)], "")</f>
        <v>0.93333333333333335</v>
      </c>
      <c r="O538" s="50">
        <f>IFERROR(Table1[[#This Row],[Actual Production (Kg)]]/Table1[Capacity (Kg)], "")</f>
        <v>0.43025000000000002</v>
      </c>
      <c r="P538" s="50">
        <f>IFERROR(Table1[[#This Row],[Quality Pass Production]]/Table1[[#This Row],[Actual Production (Kg)]], "")</f>
        <v>1</v>
      </c>
      <c r="Q538" s="50">
        <f>IFERROR(Table1[[#This Row],[Utilization %]]*Table1[[#This Row],[Efficiency %]]*Table1[[#This Row],[Quality %]], "")</f>
        <v>0.40156666666666668</v>
      </c>
      <c r="R538" s="48" t="s">
        <v>157</v>
      </c>
    </row>
    <row r="539" spans="1:18" ht="30" customHeight="1" x14ac:dyDescent="0.25">
      <c r="A539" s="47">
        <v>46157</v>
      </c>
      <c r="B539" s="48" t="s">
        <v>33</v>
      </c>
      <c r="C539" s="48" t="s">
        <v>39</v>
      </c>
      <c r="D539" s="48" t="s">
        <v>31</v>
      </c>
      <c r="E539" s="49">
        <v>6000</v>
      </c>
      <c r="F539" s="76">
        <v>1686</v>
      </c>
      <c r="G539" s="49">
        <v>0</v>
      </c>
      <c r="H539" s="50">
        <f>IFERROR(Table1[Re-process (Kg)]/Table1[Actual Production (Kg)], "")</f>
        <v>0</v>
      </c>
      <c r="I539" s="49">
        <f>IFERROR(Table1[[#This Row],[Actual Production (Kg)]]-Table1[[#This Row],[Re-process (Kg)]], "")</f>
        <v>1686</v>
      </c>
      <c r="J539" s="49">
        <v>15</v>
      </c>
      <c r="K539" s="72">
        <v>0</v>
      </c>
      <c r="L539" s="49">
        <f>IF(Table1[[#This Row],[Target Time (Hours)]]="","",Table1[[#This Row],[Target Time (Hours)]]-Table1[[#This Row],[Downtime (Hours)]])</f>
        <v>15</v>
      </c>
      <c r="M539" s="49">
        <f>IFERROR(Table1[[#This Row],[Capacity (Kg)]]/Table1[[#This Row],[Target Time (Hours)]] * Table1[[#This Row],[Downtime (Hours)]], "")</f>
        <v>0</v>
      </c>
      <c r="N539" s="50">
        <f>IFERROR(Table1[[#This Row],[Running Time (hr)]]/Table1[Target Time (Hours)], "")</f>
        <v>1</v>
      </c>
      <c r="O539" s="50">
        <f>IFERROR(Table1[[#This Row],[Actual Production (Kg)]]/Table1[Capacity (Kg)], "")</f>
        <v>0.28100000000000003</v>
      </c>
      <c r="P539" s="50">
        <f>IFERROR(Table1[[#This Row],[Quality Pass Production]]/Table1[[#This Row],[Actual Production (Kg)]], "")</f>
        <v>1</v>
      </c>
      <c r="Q539" s="50">
        <f>IFERROR(Table1[[#This Row],[Utilization %]]*Table1[[#This Row],[Efficiency %]]*Table1[[#This Row],[Quality %]], "")</f>
        <v>0.28100000000000003</v>
      </c>
      <c r="R539" s="48" t="s">
        <v>157</v>
      </c>
    </row>
    <row r="540" spans="1:18" ht="45" customHeight="1" x14ac:dyDescent="0.25">
      <c r="A540" s="54">
        <v>46157</v>
      </c>
      <c r="B540" s="55" t="s">
        <v>33</v>
      </c>
      <c r="C540" s="55" t="s">
        <v>40</v>
      </c>
      <c r="D540" s="55" t="s">
        <v>31</v>
      </c>
      <c r="E540" s="56">
        <v>5000</v>
      </c>
      <c r="F540" s="56">
        <v>1836</v>
      </c>
      <c r="G540" s="56">
        <v>0</v>
      </c>
      <c r="H540" s="58">
        <f>IFERROR(Table1[Re-process (Kg)]/Table1[Actual Production (Kg)], "")</f>
        <v>0</v>
      </c>
      <c r="I540" s="56">
        <f>IFERROR(Table1[[#This Row],[Actual Production (Kg)]]-Table1[[#This Row],[Re-process (Kg)]], "")</f>
        <v>1836</v>
      </c>
      <c r="J540" s="56">
        <v>15</v>
      </c>
      <c r="K540" s="55">
        <v>2</v>
      </c>
      <c r="L540" s="56">
        <f>IF(Table1[[#This Row],[Target Time (Hours)]]="","",Table1[[#This Row],[Target Time (Hours)]]-Table1[[#This Row],[Downtime (Hours)]])</f>
        <v>13</v>
      </c>
      <c r="M540" s="56">
        <f>IFERROR(Table1[[#This Row],[Capacity (Kg)]]/Table1[[#This Row],[Target Time (Hours)]] * Table1[[#This Row],[Downtime (Hours)]], "")</f>
        <v>666.66666666666663</v>
      </c>
      <c r="N540" s="58">
        <f>IFERROR(Table1[[#This Row],[Running Time (hr)]]/Table1[Target Time (Hours)], "")</f>
        <v>0.8666666666666667</v>
      </c>
      <c r="O540" s="58">
        <f>IFERROR(Table1[[#This Row],[Actual Production (Kg)]]/Table1[Capacity (Kg)], "")</f>
        <v>0.36720000000000003</v>
      </c>
      <c r="P540" s="58">
        <f>IFERROR(Table1[[#This Row],[Quality Pass Production]]/Table1[[#This Row],[Actual Production (Kg)]], "")</f>
        <v>1</v>
      </c>
      <c r="Q540" s="58">
        <f>IFERROR(Table1[[#This Row],[Utilization %]]*Table1[[#This Row],[Efficiency %]]*Table1[[#This Row],[Quality %]], "")</f>
        <v>0.31824000000000002</v>
      </c>
      <c r="R540" s="55" t="s">
        <v>158</v>
      </c>
    </row>
    <row r="541" spans="1:18" ht="30" customHeight="1" x14ac:dyDescent="0.25">
      <c r="A541" s="47">
        <v>46158</v>
      </c>
      <c r="B541" s="48" t="s">
        <v>18</v>
      </c>
      <c r="C541" s="48" t="s">
        <v>19</v>
      </c>
      <c r="D541" s="48" t="s">
        <v>20</v>
      </c>
      <c r="E541" s="49">
        <v>10000</v>
      </c>
      <c r="F541" s="76">
        <v>7378</v>
      </c>
      <c r="G541" s="49">
        <v>0</v>
      </c>
      <c r="H541" s="50">
        <f>IFERROR(Table1[Re-process (Kg)]/Table1[Actual Production (Kg)], "")</f>
        <v>0</v>
      </c>
      <c r="I541" s="49">
        <f>IFERROR(Table1[[#This Row],[Actual Production (Kg)]]-Table1[[#This Row],[Re-process (Kg)]], "")</f>
        <v>7378</v>
      </c>
      <c r="J541" s="49">
        <v>22</v>
      </c>
      <c r="K541" s="72">
        <v>2</v>
      </c>
      <c r="L541" s="49">
        <f>IF(Table1[[#This Row],[Target Time (Hours)]]="","",Table1[[#This Row],[Target Time (Hours)]]-Table1[[#This Row],[Downtime (Hours)]])</f>
        <v>20</v>
      </c>
      <c r="M541" s="49">
        <f>IFERROR(Table1[[#This Row],[Capacity (Kg)]]/Table1[[#This Row],[Target Time (Hours)]] * Table1[[#This Row],[Downtime (Hours)]], "")</f>
        <v>909.09090909090912</v>
      </c>
      <c r="N541" s="50">
        <f>IFERROR(Table1[[#This Row],[Running Time (hr)]]/Table1[Target Time (Hours)], "")</f>
        <v>0.90909090909090906</v>
      </c>
      <c r="O541" s="50">
        <f>IFERROR(Table1[[#This Row],[Actual Production (Kg)]]/Table1[Capacity (Kg)], "")</f>
        <v>0.73780000000000001</v>
      </c>
      <c r="P541" s="50">
        <f>IFERROR(Table1[[#This Row],[Quality Pass Production]]/Table1[[#This Row],[Actual Production (Kg)]], "")</f>
        <v>1</v>
      </c>
      <c r="Q541" s="50">
        <f>IFERROR(Table1[[#This Row],[Utilization %]]*Table1[[#This Row],[Efficiency %]]*Table1[[#This Row],[Quality %]], "")</f>
        <v>0.67072727272727273</v>
      </c>
      <c r="R541" s="48" t="s">
        <v>159</v>
      </c>
    </row>
    <row r="542" spans="1:18" x14ac:dyDescent="0.25">
      <c r="A542" s="47">
        <v>46158</v>
      </c>
      <c r="B542" s="48" t="s">
        <v>18</v>
      </c>
      <c r="C542" s="48" t="s">
        <v>22</v>
      </c>
      <c r="D542" s="48" t="s">
        <v>23</v>
      </c>
      <c r="E542" s="49">
        <v>5000</v>
      </c>
      <c r="F542" s="76">
        <v>5902</v>
      </c>
      <c r="G542" s="49">
        <v>0</v>
      </c>
      <c r="H542" s="50">
        <f>IFERROR(Table1[Re-process (Kg)]/Table1[Actual Production (Kg)], "")</f>
        <v>0</v>
      </c>
      <c r="I542" s="49">
        <f>IFERROR(Table1[[#This Row],[Actual Production (Kg)]]-Table1[[#This Row],[Re-process (Kg)]], "")</f>
        <v>5902</v>
      </c>
      <c r="J542" s="49"/>
      <c r="K542" s="72"/>
      <c r="L542" s="49" t="str">
        <f>IF(Table1[[#This Row],[Target Time (Hours)]]="","",Table1[[#This Row],[Target Time (Hours)]]-Table1[[#This Row],[Downtime (Hours)]])</f>
        <v/>
      </c>
      <c r="M542" s="49" t="str">
        <f>IFERROR(Table1[[#This Row],[Capacity (Kg)]]/Table1[[#This Row],[Target Time (Hours)]] * Table1[[#This Row],[Downtime (Hours)]], "")</f>
        <v/>
      </c>
      <c r="N542" s="50" t="str">
        <f>IFERROR(Table1[[#This Row],[Running Time (hr)]]/Table1[Target Time (Hours)], "")</f>
        <v/>
      </c>
      <c r="O542" s="50">
        <f>IFERROR(Table1[[#This Row],[Actual Production (Kg)]]/Table1[Capacity (Kg)], "")</f>
        <v>1.1803999999999999</v>
      </c>
      <c r="P542" s="50">
        <f>IFERROR(Table1[[#This Row],[Quality Pass Production]]/Table1[[#This Row],[Actual Production (Kg)]], "")</f>
        <v>1</v>
      </c>
      <c r="Q542" s="50" t="str">
        <f>IFERROR(Table1[[#This Row],[Utilization %]]*Table1[[#This Row],[Efficiency %]]*Table1[[#This Row],[Quality %]], "")</f>
        <v/>
      </c>
    </row>
    <row r="543" spans="1:18" ht="30" customHeight="1" x14ac:dyDescent="0.25">
      <c r="A543" s="47">
        <v>46158</v>
      </c>
      <c r="B543" s="48" t="s">
        <v>18</v>
      </c>
      <c r="C543" s="48" t="s">
        <v>22</v>
      </c>
      <c r="D543" s="48" t="s">
        <v>25</v>
      </c>
      <c r="E543" s="49">
        <v>4000</v>
      </c>
      <c r="F543" s="76">
        <v>1760</v>
      </c>
      <c r="G543" s="49">
        <v>0</v>
      </c>
      <c r="H543" s="50">
        <f>IFERROR(Table1[Re-process (Kg)]/Table1[Actual Production (Kg)], "")</f>
        <v>0</v>
      </c>
      <c r="I543" s="49">
        <f>IFERROR(Table1[[#This Row],[Actual Production (Kg)]]-Table1[[#This Row],[Re-process (Kg)]], "")</f>
        <v>1760</v>
      </c>
      <c r="J543" s="49">
        <v>22</v>
      </c>
      <c r="K543" s="72">
        <v>2</v>
      </c>
      <c r="L543" s="49">
        <f>IF(Table1[[#This Row],[Target Time (Hours)]]="","",Table1[[#This Row],[Target Time (Hours)]]-Table1[[#This Row],[Downtime (Hours)]])</f>
        <v>20</v>
      </c>
      <c r="M543" s="49">
        <f>IFERROR(Table1[[#This Row],[Capacity (Kg)]]/Table1[[#This Row],[Target Time (Hours)]] * Table1[[#This Row],[Downtime (Hours)]], "")</f>
        <v>363.63636363636363</v>
      </c>
      <c r="N543" s="50">
        <f>IFERROR(Table1[[#This Row],[Running Time (hr)]]/Table1[Target Time (Hours)], "")</f>
        <v>0.90909090909090906</v>
      </c>
      <c r="O543" s="50">
        <f>IFERROR(Table1[[#This Row],[Actual Production (Kg)]]/Table1[Capacity (Kg)], "")</f>
        <v>0.44</v>
      </c>
      <c r="P543" s="50">
        <f>IFERROR(Table1[[#This Row],[Quality Pass Production]]/Table1[[#This Row],[Actual Production (Kg)]], "")</f>
        <v>1</v>
      </c>
      <c r="Q543" s="50">
        <f>IFERROR(Table1[[#This Row],[Utilization %]]*Table1[[#This Row],[Efficiency %]]*Table1[[#This Row],[Quality %]], "")</f>
        <v>0.39999999999999997</v>
      </c>
      <c r="R543" s="48" t="s">
        <v>159</v>
      </c>
    </row>
    <row r="544" spans="1:18" ht="30" customHeight="1" x14ac:dyDescent="0.25">
      <c r="A544" s="47">
        <v>46158</v>
      </c>
      <c r="B544" s="48" t="s">
        <v>18</v>
      </c>
      <c r="C544" s="48" t="s">
        <v>26</v>
      </c>
      <c r="D544" s="48" t="s">
        <v>25</v>
      </c>
      <c r="E544" s="49">
        <v>7000</v>
      </c>
      <c r="F544" s="76">
        <v>5699</v>
      </c>
      <c r="G544" s="49">
        <v>0</v>
      </c>
      <c r="H544" s="50">
        <f>IFERROR(Table1[Re-process (Kg)]/Table1[Actual Production (Kg)], "")</f>
        <v>0</v>
      </c>
      <c r="I544" s="49">
        <f>IFERROR(Table1[[#This Row],[Actual Production (Kg)]]-Table1[[#This Row],[Re-process (Kg)]], "")</f>
        <v>5699</v>
      </c>
      <c r="J544" s="49">
        <v>22</v>
      </c>
      <c r="K544" s="72">
        <v>2</v>
      </c>
      <c r="L544" s="49">
        <f>IF(Table1[[#This Row],[Target Time (Hours)]]="","",Table1[[#This Row],[Target Time (Hours)]]-Table1[[#This Row],[Downtime (Hours)]])</f>
        <v>20</v>
      </c>
      <c r="M544" s="49">
        <f>IFERROR(Table1[[#This Row],[Capacity (Kg)]]/Table1[[#This Row],[Target Time (Hours)]] * Table1[[#This Row],[Downtime (Hours)]], "")</f>
        <v>636.36363636363637</v>
      </c>
      <c r="N544" s="50">
        <f>IFERROR(Table1[[#This Row],[Running Time (hr)]]/Table1[Target Time (Hours)], "")</f>
        <v>0.90909090909090906</v>
      </c>
      <c r="O544" s="50">
        <f>IFERROR(Table1[[#This Row],[Actual Production (Kg)]]/Table1[Capacity (Kg)], "")</f>
        <v>0.81414285714285717</v>
      </c>
      <c r="P544" s="50">
        <f>IFERROR(Table1[[#This Row],[Quality Pass Production]]/Table1[[#This Row],[Actual Production (Kg)]], "")</f>
        <v>1</v>
      </c>
      <c r="Q544" s="50">
        <f>IFERROR(Table1[[#This Row],[Utilization %]]*Table1[[#This Row],[Efficiency %]]*Table1[[#This Row],[Quality %]], "")</f>
        <v>0.74012987012987008</v>
      </c>
      <c r="R544" s="48" t="s">
        <v>159</v>
      </c>
    </row>
    <row r="545" spans="1:18" ht="30" customHeight="1" x14ac:dyDescent="0.25">
      <c r="A545" s="47">
        <v>46158</v>
      </c>
      <c r="B545" s="48" t="s">
        <v>18</v>
      </c>
      <c r="C545" s="48" t="s">
        <v>28</v>
      </c>
      <c r="D545" s="48" t="s">
        <v>29</v>
      </c>
      <c r="E545" s="49">
        <v>7800</v>
      </c>
      <c r="F545" s="76">
        <v>6033</v>
      </c>
      <c r="G545" s="49">
        <v>0</v>
      </c>
      <c r="H545" s="50">
        <f>IFERROR(Table1[Re-process (Kg)]/Table1[Actual Production (Kg)], "")</f>
        <v>0</v>
      </c>
      <c r="I545" s="49">
        <f>IFERROR(Table1[[#This Row],[Actual Production (Kg)]]-Table1[[#This Row],[Re-process (Kg)]], "")</f>
        <v>6033</v>
      </c>
      <c r="J545" s="49">
        <v>22</v>
      </c>
      <c r="K545" s="72">
        <v>0</v>
      </c>
      <c r="L545" s="49">
        <f>IF(Table1[[#This Row],[Target Time (Hours)]]="","",Table1[[#This Row],[Target Time (Hours)]]-Table1[[#This Row],[Downtime (Hours)]])</f>
        <v>22</v>
      </c>
      <c r="M545" s="49">
        <f>IFERROR(Table1[[#This Row],[Capacity (Kg)]]/Table1[[#This Row],[Target Time (Hours)]] * Table1[[#This Row],[Downtime (Hours)]], "")</f>
        <v>0</v>
      </c>
      <c r="N545" s="50">
        <f>IFERROR(Table1[[#This Row],[Running Time (hr)]]/Table1[Target Time (Hours)], "")</f>
        <v>1</v>
      </c>
      <c r="O545" s="50">
        <f>IFERROR(Table1[[#This Row],[Actual Production (Kg)]]/Table1[Capacity (Kg)], "")</f>
        <v>0.77346153846153842</v>
      </c>
      <c r="P545" s="50">
        <f>IFERROR(Table1[[#This Row],[Quality Pass Production]]/Table1[[#This Row],[Actual Production (Kg)]], "")</f>
        <v>1</v>
      </c>
      <c r="Q545" s="50">
        <f>IFERROR(Table1[[#This Row],[Utilization %]]*Table1[[#This Row],[Efficiency %]]*Table1[[#This Row],[Quality %]], "")</f>
        <v>0.77346153846153842</v>
      </c>
      <c r="R545" s="48" t="s">
        <v>155</v>
      </c>
    </row>
    <row r="546" spans="1:18" ht="30" customHeight="1" x14ac:dyDescent="0.25">
      <c r="A546" s="26">
        <v>46158</v>
      </c>
      <c r="B546" s="27" t="s">
        <v>18</v>
      </c>
      <c r="C546" s="27" t="s">
        <v>135</v>
      </c>
      <c r="D546" s="27" t="s">
        <v>29</v>
      </c>
      <c r="E546" s="79"/>
      <c r="F546" s="79">
        <v>0</v>
      </c>
      <c r="G546" s="79"/>
      <c r="H546" s="28"/>
      <c r="I546" s="79"/>
      <c r="J546" s="79"/>
      <c r="K546" s="27"/>
      <c r="L546" s="53" t="str">
        <f>IF(Table1[[#This Row],[Target Time (Hours)]]="","",Table1[[#This Row],[Target Time (Hours)]]-Table1[[#This Row],[Downtime (Hours)]])</f>
        <v/>
      </c>
      <c r="M546" s="79"/>
      <c r="N546" s="28"/>
      <c r="O546" s="28"/>
      <c r="P546" s="28"/>
      <c r="Q546" s="28"/>
      <c r="R546" s="27" t="s">
        <v>156</v>
      </c>
    </row>
    <row r="547" spans="1:18" ht="30" customHeight="1" x14ac:dyDescent="0.25">
      <c r="A547" s="47">
        <v>46158</v>
      </c>
      <c r="B547" s="48" t="s">
        <v>18</v>
      </c>
      <c r="C547" s="48" t="s">
        <v>30</v>
      </c>
      <c r="D547" s="48" t="s">
        <v>31</v>
      </c>
      <c r="E547" s="49">
        <v>9000</v>
      </c>
      <c r="F547" s="76">
        <v>8428</v>
      </c>
      <c r="G547" s="49">
        <v>0</v>
      </c>
      <c r="H547" s="50">
        <f>IFERROR(Table1[Re-process (Kg)]/Table1[Actual Production (Kg)], "")</f>
        <v>0</v>
      </c>
      <c r="I547" s="49">
        <f>IFERROR(Table1[[#This Row],[Actual Production (Kg)]]-Table1[[#This Row],[Re-process (Kg)]], "")</f>
        <v>8428</v>
      </c>
      <c r="J547" s="49">
        <v>22</v>
      </c>
      <c r="K547" s="72">
        <v>1</v>
      </c>
      <c r="L547" s="49">
        <f>IF(Table1[[#This Row],[Target Time (Hours)]]="","",Table1[[#This Row],[Target Time (Hours)]]-Table1[[#This Row],[Downtime (Hours)]])</f>
        <v>21</v>
      </c>
      <c r="M547" s="49">
        <f>IFERROR(Table1[[#This Row],[Capacity (Kg)]]/Table1[[#This Row],[Target Time (Hours)]] * Table1[[#This Row],[Downtime (Hours)]], "")</f>
        <v>409.09090909090907</v>
      </c>
      <c r="N547" s="50">
        <f>IFERROR(Table1[[#This Row],[Running Time (hr)]]/Table1[Target Time (Hours)], "")</f>
        <v>0.95454545454545459</v>
      </c>
      <c r="O547" s="50">
        <f>IFERROR(Table1[[#This Row],[Actual Production (Kg)]]/Table1[Capacity (Kg)], "")</f>
        <v>0.93644444444444441</v>
      </c>
      <c r="P547" s="50">
        <f>IFERROR(Table1[[#This Row],[Quality Pass Production]]/Table1[[#This Row],[Actual Production (Kg)]], "")</f>
        <v>1</v>
      </c>
      <c r="Q547" s="50">
        <f>IFERROR(Table1[[#This Row],[Utilization %]]*Table1[[#This Row],[Efficiency %]]*Table1[[#This Row],[Quality %]], "")</f>
        <v>0.89387878787878794</v>
      </c>
      <c r="R547" s="48" t="s">
        <v>122</v>
      </c>
    </row>
    <row r="548" spans="1:18" ht="30" customHeight="1" x14ac:dyDescent="0.25">
      <c r="A548" s="26">
        <v>46158</v>
      </c>
      <c r="B548" s="27" t="s">
        <v>18</v>
      </c>
      <c r="C548" s="27" t="s">
        <v>32</v>
      </c>
      <c r="D548" s="27" t="s">
        <v>31</v>
      </c>
      <c r="E548" s="79">
        <f>Table1[[#This Row],[Actual Production (Kg)]]</f>
        <v>0</v>
      </c>
      <c r="F548" s="79">
        <v>0</v>
      </c>
      <c r="G548" s="79"/>
      <c r="H548" s="28"/>
      <c r="I548" s="79"/>
      <c r="J548" s="79"/>
      <c r="K548" s="27"/>
      <c r="L548" s="53" t="str">
        <f>IF(Table1[[#This Row],[Target Time (Hours)]]="","",Table1[[#This Row],[Target Time (Hours)]]-Table1[[#This Row],[Downtime (Hours)]])</f>
        <v/>
      </c>
      <c r="M548" s="79"/>
      <c r="N548" s="28"/>
      <c r="O548" s="28"/>
      <c r="P548" s="28"/>
      <c r="Q548" s="28"/>
      <c r="R548" s="27" t="s">
        <v>156</v>
      </c>
    </row>
    <row r="549" spans="1:18" ht="30" customHeight="1" x14ac:dyDescent="0.25">
      <c r="A549" s="47">
        <v>46158</v>
      </c>
      <c r="B549" s="48" t="s">
        <v>33</v>
      </c>
      <c r="C549" s="48" t="s">
        <v>34</v>
      </c>
      <c r="D549" s="48" t="s">
        <v>35</v>
      </c>
      <c r="E549" s="49">
        <v>9000</v>
      </c>
      <c r="F549" s="76">
        <v>7250</v>
      </c>
      <c r="G549" s="49">
        <v>0</v>
      </c>
      <c r="H549" s="50">
        <f>IFERROR(Table1[Re-process (Kg)]/Table1[Actual Production (Kg)], "")</f>
        <v>0</v>
      </c>
      <c r="I549" s="49">
        <f>IFERROR(Table1[[#This Row],[Actual Production (Kg)]]-Table1[[#This Row],[Re-process (Kg)]], "")</f>
        <v>7250</v>
      </c>
      <c r="J549" s="49">
        <v>22</v>
      </c>
      <c r="K549" s="72">
        <v>0</v>
      </c>
      <c r="L549" s="49">
        <f>IF(Table1[[#This Row],[Target Time (Hours)]]="","",Table1[[#This Row],[Target Time (Hours)]]-Table1[[#This Row],[Downtime (Hours)]])</f>
        <v>22</v>
      </c>
      <c r="M549" s="49">
        <f>IFERROR(Table1[[#This Row],[Capacity (Kg)]]/Table1[[#This Row],[Target Time (Hours)]] * Table1[[#This Row],[Downtime (Hours)]], "")</f>
        <v>0</v>
      </c>
      <c r="N549" s="50">
        <f>IFERROR(Table1[[#This Row],[Running Time (hr)]]/Table1[Target Time (Hours)], "")</f>
        <v>1</v>
      </c>
      <c r="O549" s="50">
        <f>IFERROR(Table1[[#This Row],[Actual Production (Kg)]]/Table1[Capacity (Kg)], "")</f>
        <v>0.80555555555555558</v>
      </c>
      <c r="P549" s="50">
        <f>IFERROR(Table1[[#This Row],[Quality Pass Production]]/Table1[[#This Row],[Actual Production (Kg)]], "")</f>
        <v>1</v>
      </c>
      <c r="Q549" s="50">
        <f>IFERROR(Table1[[#This Row],[Utilization %]]*Table1[[#This Row],[Efficiency %]]*Table1[[#This Row],[Quality %]], "")</f>
        <v>0.80555555555555558</v>
      </c>
      <c r="R549" s="48" t="s">
        <v>157</v>
      </c>
    </row>
    <row r="550" spans="1:18" ht="30" customHeight="1" x14ac:dyDescent="0.25">
      <c r="A550" s="47">
        <v>46158</v>
      </c>
      <c r="B550" s="48" t="s">
        <v>33</v>
      </c>
      <c r="C550" s="48" t="s">
        <v>36</v>
      </c>
      <c r="D550" s="48" t="s">
        <v>37</v>
      </c>
      <c r="E550" s="49">
        <v>8000</v>
      </c>
      <c r="F550" s="76">
        <v>7499</v>
      </c>
      <c r="G550" s="49">
        <v>0</v>
      </c>
      <c r="H550" s="50">
        <f>IFERROR(Table1[Re-process (Kg)]/Table1[Actual Production (Kg)], "")</f>
        <v>0</v>
      </c>
      <c r="I550" s="49">
        <f>IFERROR(Table1[[#This Row],[Actual Production (Kg)]]-Table1[[#This Row],[Re-process (Kg)]], "")</f>
        <v>7499</v>
      </c>
      <c r="J550" s="49">
        <v>22</v>
      </c>
      <c r="K550" s="72">
        <v>1</v>
      </c>
      <c r="L550" s="49">
        <f>IF(Table1[[#This Row],[Target Time (Hours)]]="","",Table1[[#This Row],[Target Time (Hours)]]-Table1[[#This Row],[Downtime (Hours)]])</f>
        <v>21</v>
      </c>
      <c r="M550" s="49">
        <f>IFERROR(Table1[[#This Row],[Capacity (Kg)]]/Table1[[#This Row],[Target Time (Hours)]] * Table1[[#This Row],[Downtime (Hours)]], "")</f>
        <v>363.63636363636363</v>
      </c>
      <c r="N550" s="50">
        <f>IFERROR(Table1[[#This Row],[Running Time (hr)]]/Table1[Target Time (Hours)], "")</f>
        <v>0.95454545454545459</v>
      </c>
      <c r="O550" s="50">
        <f>IFERROR(Table1[[#This Row],[Actual Production (Kg)]]/Table1[Capacity (Kg)], "")</f>
        <v>0.93737499999999996</v>
      </c>
      <c r="P550" s="50">
        <f>IFERROR(Table1[[#This Row],[Quality Pass Production]]/Table1[[#This Row],[Actual Production (Kg)]], "")</f>
        <v>1</v>
      </c>
      <c r="Q550" s="50">
        <f>IFERROR(Table1[[#This Row],[Utilization %]]*Table1[[#This Row],[Efficiency %]]*Table1[[#This Row],[Quality %]], "")</f>
        <v>0.89476704545454544</v>
      </c>
      <c r="R550" s="48" t="s">
        <v>160</v>
      </c>
    </row>
    <row r="551" spans="1:18" ht="30" customHeight="1" x14ac:dyDescent="0.25">
      <c r="A551" s="47">
        <v>46158</v>
      </c>
      <c r="B551" s="48" t="s">
        <v>33</v>
      </c>
      <c r="C551" s="48" t="s">
        <v>39</v>
      </c>
      <c r="D551" s="48" t="s">
        <v>31</v>
      </c>
      <c r="E551" s="49">
        <v>6000</v>
      </c>
      <c r="F551" s="76">
        <v>3280</v>
      </c>
      <c r="G551" s="49">
        <v>0</v>
      </c>
      <c r="H551" s="50">
        <f>IFERROR(Table1[Re-process (Kg)]/Table1[Actual Production (Kg)], "")</f>
        <v>0</v>
      </c>
      <c r="I551" s="49">
        <f>IFERROR(Table1[[#This Row],[Actual Production (Kg)]]-Table1[[#This Row],[Re-process (Kg)]], "")</f>
        <v>3280</v>
      </c>
      <c r="J551" s="49">
        <v>22</v>
      </c>
      <c r="K551" s="72">
        <v>0</v>
      </c>
      <c r="L551" s="49">
        <f>IF(Table1[[#This Row],[Target Time (Hours)]]="","",Table1[[#This Row],[Target Time (Hours)]]-Table1[[#This Row],[Downtime (Hours)]])</f>
        <v>22</v>
      </c>
      <c r="M551" s="49">
        <f>IFERROR(Table1[[#This Row],[Capacity (Kg)]]/Table1[[#This Row],[Target Time (Hours)]] * Table1[[#This Row],[Downtime (Hours)]], "")</f>
        <v>0</v>
      </c>
      <c r="N551" s="50">
        <f>IFERROR(Table1[[#This Row],[Running Time (hr)]]/Table1[Target Time (Hours)], "")</f>
        <v>1</v>
      </c>
      <c r="O551" s="50">
        <f>IFERROR(Table1[[#This Row],[Actual Production (Kg)]]/Table1[Capacity (Kg)], "")</f>
        <v>0.54666666666666663</v>
      </c>
      <c r="P551" s="50">
        <f>IFERROR(Table1[[#This Row],[Quality Pass Production]]/Table1[[#This Row],[Actual Production (Kg)]], "")</f>
        <v>1</v>
      </c>
      <c r="Q551" s="50">
        <f>IFERROR(Table1[[#This Row],[Utilization %]]*Table1[[#This Row],[Efficiency %]]*Table1[[#This Row],[Quality %]], "")</f>
        <v>0.54666666666666663</v>
      </c>
      <c r="R551" s="48" t="s">
        <v>161</v>
      </c>
    </row>
    <row r="552" spans="1:18" ht="45" customHeight="1" x14ac:dyDescent="0.25">
      <c r="A552" s="54">
        <v>46158</v>
      </c>
      <c r="B552" s="55" t="s">
        <v>33</v>
      </c>
      <c r="C552" s="55" t="s">
        <v>40</v>
      </c>
      <c r="D552" s="55" t="s">
        <v>31</v>
      </c>
      <c r="E552" s="56">
        <v>5000</v>
      </c>
      <c r="F552" s="56">
        <v>3799</v>
      </c>
      <c r="G552" s="56">
        <v>0</v>
      </c>
      <c r="H552" s="58">
        <f>IFERROR(Table1[Re-process (Kg)]/Table1[Actual Production (Kg)], "")</f>
        <v>0</v>
      </c>
      <c r="I552" s="56">
        <f>IFERROR(Table1[[#This Row],[Actual Production (Kg)]]-Table1[[#This Row],[Re-process (Kg)]], "")</f>
        <v>3799</v>
      </c>
      <c r="J552" s="56">
        <v>22</v>
      </c>
      <c r="K552" s="55">
        <v>3</v>
      </c>
      <c r="L552" s="56">
        <f>IF(Table1[[#This Row],[Target Time (Hours)]]="","",Table1[[#This Row],[Target Time (Hours)]]-Table1[[#This Row],[Downtime (Hours)]])</f>
        <v>19</v>
      </c>
      <c r="M552" s="56">
        <f>IFERROR(Table1[[#This Row],[Capacity (Kg)]]/Table1[[#This Row],[Target Time (Hours)]] * Table1[[#This Row],[Downtime (Hours)]], "")</f>
        <v>681.81818181818187</v>
      </c>
      <c r="N552" s="58">
        <f>IFERROR(Table1[[#This Row],[Running Time (hr)]]/Table1[Target Time (Hours)], "")</f>
        <v>0.86363636363636365</v>
      </c>
      <c r="O552" s="58">
        <f>IFERROR(Table1[[#This Row],[Actual Production (Kg)]]/Table1[Capacity (Kg)], "")</f>
        <v>0.75980000000000003</v>
      </c>
      <c r="P552" s="58">
        <f>IFERROR(Table1[[#This Row],[Quality Pass Production]]/Table1[[#This Row],[Actual Production (Kg)]], "")</f>
        <v>1</v>
      </c>
      <c r="Q552" s="58">
        <f>IFERROR(Table1[[#This Row],[Utilization %]]*Table1[[#This Row],[Efficiency %]]*Table1[[#This Row],[Quality %]], "")</f>
        <v>0.65619090909090916</v>
      </c>
      <c r="R552" s="55" t="s">
        <v>162</v>
      </c>
    </row>
    <row r="553" spans="1:18" ht="30" customHeight="1" x14ac:dyDescent="0.25">
      <c r="A553" s="47">
        <v>46159</v>
      </c>
      <c r="B553" s="48" t="s">
        <v>18</v>
      </c>
      <c r="C553" s="48" t="s">
        <v>19</v>
      </c>
      <c r="D553" s="48" t="s">
        <v>20</v>
      </c>
      <c r="E553" s="49">
        <v>10000</v>
      </c>
      <c r="F553" s="76">
        <v>8567</v>
      </c>
      <c r="G553" s="49">
        <v>0</v>
      </c>
      <c r="H553" s="50">
        <f>IFERROR(Table1[Re-process (Kg)]/Table1[Actual Production (Kg)], "")</f>
        <v>0</v>
      </c>
      <c r="I553" s="49">
        <f>IFERROR(Table1[[#This Row],[Actual Production (Kg)]]-Table1[[#This Row],[Re-process (Kg)]], "")</f>
        <v>8567</v>
      </c>
      <c r="J553" s="49">
        <v>22</v>
      </c>
      <c r="K553" s="72">
        <v>3</v>
      </c>
      <c r="L553" s="49">
        <f>IF(Table1[[#This Row],[Target Time (Hours)]]="","",Table1[[#This Row],[Target Time (Hours)]]-Table1[[#This Row],[Downtime (Hours)]])</f>
        <v>19</v>
      </c>
      <c r="M553" s="49">
        <f>IFERROR(Table1[[#This Row],[Capacity (Kg)]]/Table1[[#This Row],[Target Time (Hours)]] * Table1[[#This Row],[Downtime (Hours)]], "")</f>
        <v>1363.6363636363637</v>
      </c>
      <c r="N553" s="50">
        <f>IFERROR(Table1[[#This Row],[Running Time (hr)]]/Table1[Target Time (Hours)], "")</f>
        <v>0.86363636363636365</v>
      </c>
      <c r="O553" s="50">
        <f>IFERROR(Table1[[#This Row],[Actual Production (Kg)]]/Table1[Capacity (Kg)], "")</f>
        <v>0.85670000000000002</v>
      </c>
      <c r="P553" s="50">
        <f>IFERROR(Table1[[#This Row],[Quality Pass Production]]/Table1[[#This Row],[Actual Production (Kg)]], "")</f>
        <v>1</v>
      </c>
      <c r="Q553" s="50">
        <f>IFERROR(Table1[[#This Row],[Utilization %]]*Table1[[#This Row],[Efficiency %]]*Table1[[#This Row],[Quality %]], "")</f>
        <v>0.73987727272727277</v>
      </c>
      <c r="R553" s="48" t="s">
        <v>163</v>
      </c>
    </row>
    <row r="554" spans="1:18" x14ac:dyDescent="0.25">
      <c r="A554" s="47">
        <v>46159</v>
      </c>
      <c r="B554" s="48" t="s">
        <v>18</v>
      </c>
      <c r="C554" s="48" t="s">
        <v>22</v>
      </c>
      <c r="D554" s="48" t="s">
        <v>23</v>
      </c>
      <c r="E554" s="49">
        <v>5000</v>
      </c>
      <c r="F554" s="76">
        <v>5289</v>
      </c>
      <c r="G554" s="49">
        <v>0</v>
      </c>
      <c r="H554" s="50">
        <f>IFERROR(Table1[Re-process (Kg)]/Table1[Actual Production (Kg)], "")</f>
        <v>0</v>
      </c>
      <c r="I554" s="49">
        <f>IFERROR(Table1[[#This Row],[Actual Production (Kg)]]-Table1[[#This Row],[Re-process (Kg)]], "")</f>
        <v>5289</v>
      </c>
      <c r="J554" s="49"/>
      <c r="K554" s="72">
        <v>0</v>
      </c>
      <c r="L554" s="49" t="str">
        <f>IF(Table1[[#This Row],[Target Time (Hours)]]="","",Table1[[#This Row],[Target Time (Hours)]]-Table1[[#This Row],[Downtime (Hours)]])</f>
        <v/>
      </c>
      <c r="M554" s="49" t="str">
        <f>IFERROR(Table1[[#This Row],[Capacity (Kg)]]/Table1[[#This Row],[Target Time (Hours)]] * Table1[[#This Row],[Downtime (Hours)]], "")</f>
        <v/>
      </c>
      <c r="N554" s="50" t="str">
        <f>IFERROR(Table1[[#This Row],[Running Time (hr)]]/Table1[Target Time (Hours)], "")</f>
        <v/>
      </c>
      <c r="O554" s="50">
        <f>IFERROR(Table1[[#This Row],[Actual Production (Kg)]]/Table1[Capacity (Kg)], "")</f>
        <v>1.0578000000000001</v>
      </c>
      <c r="P554" s="50">
        <f>IFERROR(Table1[[#This Row],[Quality Pass Production]]/Table1[[#This Row],[Actual Production (Kg)]], "")</f>
        <v>1</v>
      </c>
      <c r="Q554" s="50" t="str">
        <f>IFERROR(Table1[[#This Row],[Utilization %]]*Table1[[#This Row],[Efficiency %]]*Table1[[#This Row],[Quality %]], "")</f>
        <v/>
      </c>
    </row>
    <row r="555" spans="1:18" x14ac:dyDescent="0.25">
      <c r="A555" s="47">
        <v>46159</v>
      </c>
      <c r="B555" s="48" t="s">
        <v>18</v>
      </c>
      <c r="C555" s="48" t="s">
        <v>22</v>
      </c>
      <c r="D555" s="48" t="s">
        <v>25</v>
      </c>
      <c r="E555" s="49">
        <v>4000</v>
      </c>
      <c r="F555" s="76">
        <v>3736</v>
      </c>
      <c r="G555" s="49">
        <v>0</v>
      </c>
      <c r="H555" s="50">
        <f>IFERROR(Table1[Re-process (Kg)]/Table1[Actual Production (Kg)], "")</f>
        <v>0</v>
      </c>
      <c r="I555" s="49">
        <f>IFERROR(Table1[[#This Row],[Actual Production (Kg)]]-Table1[[#This Row],[Re-process (Kg)]], "")</f>
        <v>3736</v>
      </c>
      <c r="J555" s="49">
        <v>22</v>
      </c>
      <c r="K555" s="72">
        <v>0</v>
      </c>
      <c r="L555" s="49">
        <f>IF(Table1[[#This Row],[Target Time (Hours)]]="","",Table1[[#This Row],[Target Time (Hours)]]-Table1[[#This Row],[Downtime (Hours)]])</f>
        <v>22</v>
      </c>
      <c r="M555" s="49">
        <f>IFERROR(Table1[[#This Row],[Capacity (Kg)]]/Table1[[#This Row],[Target Time (Hours)]] * Table1[[#This Row],[Downtime (Hours)]], "")</f>
        <v>0</v>
      </c>
      <c r="N555" s="50">
        <f>IFERROR(Table1[[#This Row],[Running Time (hr)]]/Table1[Target Time (Hours)], "")</f>
        <v>1</v>
      </c>
      <c r="O555" s="50">
        <f>IFERROR(Table1[[#This Row],[Actual Production (Kg)]]/Table1[Capacity (Kg)], "")</f>
        <v>0.93400000000000005</v>
      </c>
      <c r="P555" s="50">
        <f>IFERROR(Table1[[#This Row],[Quality Pass Production]]/Table1[[#This Row],[Actual Production (Kg)]], "")</f>
        <v>1</v>
      </c>
      <c r="Q555" s="50">
        <f>IFERROR(Table1[[#This Row],[Utilization %]]*Table1[[#This Row],[Efficiency %]]*Table1[[#This Row],[Quality %]], "")</f>
        <v>0.93400000000000005</v>
      </c>
    </row>
    <row r="556" spans="1:18" x14ac:dyDescent="0.25">
      <c r="A556" s="47">
        <v>46159</v>
      </c>
      <c r="B556" s="48" t="s">
        <v>18</v>
      </c>
      <c r="C556" s="48" t="s">
        <v>26</v>
      </c>
      <c r="D556" s="48" t="s">
        <v>25</v>
      </c>
      <c r="E556" s="49">
        <v>7000</v>
      </c>
      <c r="F556" s="76">
        <v>7388</v>
      </c>
      <c r="G556" s="49">
        <v>0</v>
      </c>
      <c r="H556" s="50">
        <f>IFERROR(Table1[Re-process (Kg)]/Table1[Actual Production (Kg)], "")</f>
        <v>0</v>
      </c>
      <c r="I556" s="49">
        <f>IFERROR(Table1[[#This Row],[Actual Production (Kg)]]-Table1[[#This Row],[Re-process (Kg)]], "")</f>
        <v>7388</v>
      </c>
      <c r="J556" s="49">
        <v>22</v>
      </c>
      <c r="K556" s="72">
        <v>0</v>
      </c>
      <c r="L556" s="49">
        <f>IF(Table1[[#This Row],[Target Time (Hours)]]="","",Table1[[#This Row],[Target Time (Hours)]]-Table1[[#This Row],[Downtime (Hours)]])</f>
        <v>22</v>
      </c>
      <c r="M556" s="49">
        <f>IFERROR(Table1[[#This Row],[Capacity (Kg)]]/Table1[[#This Row],[Target Time (Hours)]] * Table1[[#This Row],[Downtime (Hours)]], "")</f>
        <v>0</v>
      </c>
      <c r="N556" s="50">
        <f>IFERROR(Table1[[#This Row],[Running Time (hr)]]/Table1[Target Time (Hours)], "")</f>
        <v>1</v>
      </c>
      <c r="O556" s="50">
        <f>IFERROR(Table1[[#This Row],[Actual Production (Kg)]]/Table1[Capacity (Kg)], "")</f>
        <v>1.0554285714285714</v>
      </c>
      <c r="P556" s="50">
        <f>IFERROR(Table1[[#This Row],[Quality Pass Production]]/Table1[[#This Row],[Actual Production (Kg)]], "")</f>
        <v>1</v>
      </c>
      <c r="Q556" s="50">
        <f>IFERROR(Table1[[#This Row],[Utilization %]]*Table1[[#This Row],[Efficiency %]]*Table1[[#This Row],[Quality %]], "")</f>
        <v>1.0554285714285714</v>
      </c>
    </row>
    <row r="557" spans="1:18" ht="30" customHeight="1" x14ac:dyDescent="0.25">
      <c r="A557" s="47">
        <v>46159</v>
      </c>
      <c r="B557" s="48" t="s">
        <v>18</v>
      </c>
      <c r="C557" s="48" t="s">
        <v>28</v>
      </c>
      <c r="D557" s="48" t="s">
        <v>29</v>
      </c>
      <c r="E557" s="49">
        <v>7800</v>
      </c>
      <c r="F557" s="76">
        <v>5264</v>
      </c>
      <c r="G557" s="49">
        <v>0</v>
      </c>
      <c r="H557" s="50">
        <f>IFERROR(Table1[Re-process (Kg)]/Table1[Actual Production (Kg)], "")</f>
        <v>0</v>
      </c>
      <c r="I557" s="49">
        <f>IFERROR(Table1[[#This Row],[Actual Production (Kg)]]-Table1[[#This Row],[Re-process (Kg)]], "")</f>
        <v>5264</v>
      </c>
      <c r="J557" s="49">
        <v>22</v>
      </c>
      <c r="K557" s="72">
        <v>4</v>
      </c>
      <c r="L557" s="49">
        <f>IF(Table1[[#This Row],[Target Time (Hours)]]="","",Table1[[#This Row],[Target Time (Hours)]]-Table1[[#This Row],[Downtime (Hours)]])</f>
        <v>18</v>
      </c>
      <c r="M557" s="49">
        <f>IFERROR(Table1[[#This Row],[Capacity (Kg)]]/Table1[[#This Row],[Target Time (Hours)]] * Table1[[#This Row],[Downtime (Hours)]], "")</f>
        <v>1418.1818181818182</v>
      </c>
      <c r="N557" s="50">
        <f>IFERROR(Table1[[#This Row],[Running Time (hr)]]/Table1[Target Time (Hours)], "")</f>
        <v>0.81818181818181823</v>
      </c>
      <c r="O557" s="50">
        <f>IFERROR(Table1[[#This Row],[Actual Production (Kg)]]/Table1[Capacity (Kg)], "")</f>
        <v>0.67487179487179483</v>
      </c>
      <c r="P557" s="50">
        <f>IFERROR(Table1[[#This Row],[Quality Pass Production]]/Table1[[#This Row],[Actual Production (Kg)]], "")</f>
        <v>1</v>
      </c>
      <c r="Q557" s="50">
        <f>IFERROR(Table1[[#This Row],[Utilization %]]*Table1[[#This Row],[Efficiency %]]*Table1[[#This Row],[Quality %]], "")</f>
        <v>0.55216783216783216</v>
      </c>
      <c r="R557" s="48" t="s">
        <v>164</v>
      </c>
    </row>
    <row r="558" spans="1:18" ht="30" customHeight="1" x14ac:dyDescent="0.25">
      <c r="A558" s="51">
        <v>46159</v>
      </c>
      <c r="B558" s="27" t="s">
        <v>18</v>
      </c>
      <c r="C558" s="27" t="s">
        <v>135</v>
      </c>
      <c r="D558" s="27" t="s">
        <v>29</v>
      </c>
      <c r="E558" s="79"/>
      <c r="F558" s="53">
        <v>0</v>
      </c>
      <c r="G558" s="79"/>
      <c r="H558" s="57"/>
      <c r="I558" s="53"/>
      <c r="J558" s="79"/>
      <c r="K558" s="52"/>
      <c r="L558" s="53" t="str">
        <f>IF(Table1[[#This Row],[Target Time (Hours)]]="","",Table1[[#This Row],[Target Time (Hours)]]-Table1[[#This Row],[Downtime (Hours)]])</f>
        <v/>
      </c>
      <c r="M558" s="53"/>
      <c r="N558" s="57"/>
      <c r="O558" s="57"/>
      <c r="P558" s="57"/>
      <c r="Q558" s="57"/>
      <c r="R558" s="52" t="s">
        <v>156</v>
      </c>
    </row>
    <row r="559" spans="1:18" ht="30" customHeight="1" x14ac:dyDescent="0.25">
      <c r="A559" s="47">
        <v>46159</v>
      </c>
      <c r="B559" s="48" t="s">
        <v>18</v>
      </c>
      <c r="C559" s="48" t="s">
        <v>30</v>
      </c>
      <c r="D559" s="48" t="s">
        <v>31</v>
      </c>
      <c r="E559" s="49">
        <v>9000</v>
      </c>
      <c r="F559" s="76">
        <v>8615</v>
      </c>
      <c r="G559" s="49">
        <v>0</v>
      </c>
      <c r="H559" s="50">
        <f>IFERROR(Table1[Re-process (Kg)]/Table1[Actual Production (Kg)], "")</f>
        <v>0</v>
      </c>
      <c r="I559" s="49">
        <f>IFERROR(Table1[[#This Row],[Actual Production (Kg)]]-Table1[[#This Row],[Re-process (Kg)]], "")</f>
        <v>8615</v>
      </c>
      <c r="J559" s="49">
        <v>22</v>
      </c>
      <c r="K559" s="72">
        <v>0</v>
      </c>
      <c r="L559" s="49">
        <f>IF(Table1[[#This Row],[Target Time (Hours)]]="","",Table1[[#This Row],[Target Time (Hours)]]-Table1[[#This Row],[Downtime (Hours)]])</f>
        <v>22</v>
      </c>
      <c r="M559" s="49">
        <f>IFERROR(Table1[[#This Row],[Capacity (Kg)]]/Table1[[#This Row],[Target Time (Hours)]] * Table1[[#This Row],[Downtime (Hours)]], "")</f>
        <v>0</v>
      </c>
      <c r="N559" s="50">
        <f>IFERROR(Table1[[#This Row],[Running Time (hr)]]/Table1[Target Time (Hours)], "")</f>
        <v>1</v>
      </c>
      <c r="O559" s="50">
        <f>IFERROR(Table1[[#This Row],[Actual Production (Kg)]]/Table1[Capacity (Kg)], "")</f>
        <v>0.9572222222222222</v>
      </c>
      <c r="P559" s="50">
        <f>IFERROR(Table1[[#This Row],[Quality Pass Production]]/Table1[[#This Row],[Actual Production (Kg)]], "")</f>
        <v>1</v>
      </c>
      <c r="Q559" s="50">
        <f>IFERROR(Table1[[#This Row],[Utilization %]]*Table1[[#This Row],[Efficiency %]]*Table1[[#This Row],[Quality %]], "")</f>
        <v>0.9572222222222222</v>
      </c>
    </row>
    <row r="560" spans="1:18" ht="30" customHeight="1" x14ac:dyDescent="0.25">
      <c r="A560" s="51">
        <v>46159</v>
      </c>
      <c r="B560" s="27" t="s">
        <v>18</v>
      </c>
      <c r="C560" s="27" t="s">
        <v>32</v>
      </c>
      <c r="D560" s="27" t="s">
        <v>31</v>
      </c>
      <c r="E560" s="79">
        <f>Table1[[#This Row],[Actual Production (Kg)]]</f>
        <v>0</v>
      </c>
      <c r="F560" s="53">
        <v>0</v>
      </c>
      <c r="G560" s="79"/>
      <c r="H560" s="57"/>
      <c r="I560" s="53"/>
      <c r="J560" s="79"/>
      <c r="K560" s="52"/>
      <c r="L560" s="53" t="str">
        <f>IF(Table1[[#This Row],[Target Time (Hours)]]="","",Table1[[#This Row],[Target Time (Hours)]]-Table1[[#This Row],[Downtime (Hours)]])</f>
        <v/>
      </c>
      <c r="M560" s="53"/>
      <c r="N560" s="57"/>
      <c r="O560" s="57"/>
      <c r="P560" s="57"/>
      <c r="Q560" s="57"/>
      <c r="R560" s="52" t="s">
        <v>156</v>
      </c>
    </row>
    <row r="561" spans="1:18" ht="30" customHeight="1" x14ac:dyDescent="0.25">
      <c r="A561" s="47">
        <v>46159</v>
      </c>
      <c r="B561" s="48" t="s">
        <v>33</v>
      </c>
      <c r="C561" s="48" t="s">
        <v>34</v>
      </c>
      <c r="D561" s="48" t="s">
        <v>35</v>
      </c>
      <c r="E561" s="49">
        <v>9000</v>
      </c>
      <c r="F561" s="76">
        <v>7716</v>
      </c>
      <c r="G561" s="49">
        <v>0</v>
      </c>
      <c r="H561" s="50">
        <f>IFERROR(Table1[Re-process (Kg)]/Table1[Actual Production (Kg)], "")</f>
        <v>0</v>
      </c>
      <c r="I561" s="49">
        <f>IFERROR(Table1[[#This Row],[Actual Production (Kg)]]-Table1[[#This Row],[Re-process (Kg)]], "")</f>
        <v>7716</v>
      </c>
      <c r="J561" s="49">
        <v>22</v>
      </c>
      <c r="K561" s="72">
        <v>0</v>
      </c>
      <c r="L561" s="49">
        <f>IF(Table1[[#This Row],[Target Time (Hours)]]="","",Table1[[#This Row],[Target Time (Hours)]]-Table1[[#This Row],[Downtime (Hours)]])</f>
        <v>22</v>
      </c>
      <c r="M561" s="49">
        <f>IFERROR(Table1[[#This Row],[Capacity (Kg)]]/Table1[[#This Row],[Target Time (Hours)]] * Table1[[#This Row],[Downtime (Hours)]], "")</f>
        <v>0</v>
      </c>
      <c r="N561" s="50">
        <f>IFERROR(Table1[[#This Row],[Running Time (hr)]]/Table1[Target Time (Hours)], "")</f>
        <v>1</v>
      </c>
      <c r="O561" s="50">
        <f>IFERROR(Table1[[#This Row],[Actual Production (Kg)]]/Table1[Capacity (Kg)], "")</f>
        <v>0.85733333333333328</v>
      </c>
      <c r="P561" s="50">
        <f>IFERROR(Table1[[#This Row],[Quality Pass Production]]/Table1[[#This Row],[Actual Production (Kg)]], "")</f>
        <v>1</v>
      </c>
      <c r="Q561" s="50">
        <f>IFERROR(Table1[[#This Row],[Utilization %]]*Table1[[#This Row],[Efficiency %]]*Table1[[#This Row],[Quality %]], "")</f>
        <v>0.85733333333333328</v>
      </c>
      <c r="R561" s="48" t="s">
        <v>157</v>
      </c>
    </row>
    <row r="562" spans="1:18" ht="45" customHeight="1" x14ac:dyDescent="0.25">
      <c r="A562" s="47">
        <v>46159</v>
      </c>
      <c r="B562" s="48" t="s">
        <v>33</v>
      </c>
      <c r="C562" s="48" t="s">
        <v>36</v>
      </c>
      <c r="D562" s="48" t="s">
        <v>37</v>
      </c>
      <c r="E562" s="49">
        <v>8000</v>
      </c>
      <c r="F562" s="76">
        <v>8396</v>
      </c>
      <c r="G562" s="49">
        <v>0</v>
      </c>
      <c r="H562" s="50">
        <f>IFERROR(Table1[Re-process (Kg)]/Table1[Actual Production (Kg)], "")</f>
        <v>0</v>
      </c>
      <c r="I562" s="49">
        <f>IFERROR(Table1[[#This Row],[Actual Production (Kg)]]-Table1[[#This Row],[Re-process (Kg)]], "")</f>
        <v>8396</v>
      </c>
      <c r="J562" s="49">
        <v>22</v>
      </c>
      <c r="K562" s="72">
        <v>1</v>
      </c>
      <c r="L562" s="49">
        <f>IF(Table1[[#This Row],[Target Time (Hours)]]="","",Table1[[#This Row],[Target Time (Hours)]]-Table1[[#This Row],[Downtime (Hours)]])</f>
        <v>21</v>
      </c>
      <c r="M562" s="49">
        <f>IFERROR(Table1[[#This Row],[Capacity (Kg)]]/Table1[[#This Row],[Target Time (Hours)]] * Table1[[#This Row],[Downtime (Hours)]], "")</f>
        <v>363.63636363636363</v>
      </c>
      <c r="N562" s="50">
        <f>IFERROR(Table1[[#This Row],[Running Time (hr)]]/Table1[Target Time (Hours)], "")</f>
        <v>0.95454545454545459</v>
      </c>
      <c r="O562" s="50">
        <f>IFERROR(Table1[[#This Row],[Actual Production (Kg)]]/Table1[Capacity (Kg)], "")</f>
        <v>1.0495000000000001</v>
      </c>
      <c r="P562" s="50">
        <f>IFERROR(Table1[[#This Row],[Quality Pass Production]]/Table1[[#This Row],[Actual Production (Kg)]], "")</f>
        <v>1</v>
      </c>
      <c r="Q562" s="50">
        <f>IFERROR(Table1[[#This Row],[Utilization %]]*Table1[[#This Row],[Efficiency %]]*Table1[[#This Row],[Quality %]], "")</f>
        <v>1.0017954545454546</v>
      </c>
      <c r="R562" s="48" t="s">
        <v>165</v>
      </c>
    </row>
    <row r="563" spans="1:18" ht="30" customHeight="1" x14ac:dyDescent="0.25">
      <c r="A563" s="47">
        <v>46159</v>
      </c>
      <c r="B563" s="48" t="s">
        <v>33</v>
      </c>
      <c r="C563" s="48" t="s">
        <v>39</v>
      </c>
      <c r="D563" s="48" t="s">
        <v>31</v>
      </c>
      <c r="E563" s="49">
        <v>6000</v>
      </c>
      <c r="F563" s="76">
        <v>3375</v>
      </c>
      <c r="G563" s="49">
        <v>0</v>
      </c>
      <c r="H563" s="50">
        <f>IFERROR(Table1[Re-process (Kg)]/Table1[Actual Production (Kg)], "")</f>
        <v>0</v>
      </c>
      <c r="I563" s="49">
        <f>IFERROR(Table1[[#This Row],[Actual Production (Kg)]]-Table1[[#This Row],[Re-process (Kg)]], "")</f>
        <v>3375</v>
      </c>
      <c r="J563" s="49">
        <v>22</v>
      </c>
      <c r="K563" s="72">
        <v>0</v>
      </c>
      <c r="L563" s="49">
        <f>IF(Table1[[#This Row],[Target Time (Hours)]]="","",Table1[[#This Row],[Target Time (Hours)]]-Table1[[#This Row],[Downtime (Hours)]])</f>
        <v>22</v>
      </c>
      <c r="M563" s="49">
        <f>IFERROR(Table1[[#This Row],[Capacity (Kg)]]/Table1[[#This Row],[Target Time (Hours)]] * Table1[[#This Row],[Downtime (Hours)]], "")</f>
        <v>0</v>
      </c>
      <c r="N563" s="50">
        <f>IFERROR(Table1[[#This Row],[Running Time (hr)]]/Table1[Target Time (Hours)], "")</f>
        <v>1</v>
      </c>
      <c r="O563" s="50">
        <f>IFERROR(Table1[[#This Row],[Actual Production (Kg)]]/Table1[Capacity (Kg)], "")</f>
        <v>0.5625</v>
      </c>
      <c r="P563" s="50">
        <f>IFERROR(Table1[[#This Row],[Quality Pass Production]]/Table1[[#This Row],[Actual Production (Kg)]], "")</f>
        <v>1</v>
      </c>
      <c r="Q563" s="50">
        <f>IFERROR(Table1[[#This Row],[Utilization %]]*Table1[[#This Row],[Efficiency %]]*Table1[[#This Row],[Quality %]], "")</f>
        <v>0.5625</v>
      </c>
      <c r="R563" s="48" t="s">
        <v>161</v>
      </c>
    </row>
    <row r="564" spans="1:18" ht="45" customHeight="1" x14ac:dyDescent="0.25">
      <c r="A564" s="54">
        <v>46159</v>
      </c>
      <c r="B564" s="55" t="s">
        <v>33</v>
      </c>
      <c r="C564" s="55" t="s">
        <v>40</v>
      </c>
      <c r="D564" s="55" t="s">
        <v>31</v>
      </c>
      <c r="E564" s="56">
        <v>5000</v>
      </c>
      <c r="F564" s="56">
        <v>4080</v>
      </c>
      <c r="G564" s="56">
        <v>0</v>
      </c>
      <c r="H564" s="58">
        <f>IFERROR(Table1[Re-process (Kg)]/Table1[Actual Production (Kg)], "")</f>
        <v>0</v>
      </c>
      <c r="I564" s="56">
        <f>IFERROR(Table1[[#This Row],[Actual Production (Kg)]]-Table1[[#This Row],[Re-process (Kg)]], "")</f>
        <v>4080</v>
      </c>
      <c r="J564" s="56">
        <v>22</v>
      </c>
      <c r="K564" s="55">
        <v>0</v>
      </c>
      <c r="L564" s="56">
        <f>IF(Table1[[#This Row],[Target Time (Hours)]]="","",Table1[[#This Row],[Target Time (Hours)]]-Table1[[#This Row],[Downtime (Hours)]])</f>
        <v>22</v>
      </c>
      <c r="M564" s="56">
        <f>IFERROR(Table1[[#This Row],[Capacity (Kg)]]/Table1[[#This Row],[Target Time (Hours)]] * Table1[[#This Row],[Downtime (Hours)]], "")</f>
        <v>0</v>
      </c>
      <c r="N564" s="58">
        <f>IFERROR(Table1[[#This Row],[Running Time (hr)]]/Table1[Target Time (Hours)], "")</f>
        <v>1</v>
      </c>
      <c r="O564" s="58">
        <f>IFERROR(Table1[[#This Row],[Actual Production (Kg)]]/Table1[Capacity (Kg)], "")</f>
        <v>0.81599999999999995</v>
      </c>
      <c r="P564" s="58">
        <f>IFERROR(Table1[[#This Row],[Quality Pass Production]]/Table1[[#This Row],[Actual Production (Kg)]], "")</f>
        <v>1</v>
      </c>
      <c r="Q564" s="58">
        <f>IFERROR(Table1[[#This Row],[Utilization %]]*Table1[[#This Row],[Efficiency %]]*Table1[[#This Row],[Quality %]], "")</f>
        <v>0.81599999999999995</v>
      </c>
      <c r="R564" s="55" t="s">
        <v>166</v>
      </c>
    </row>
    <row r="565" spans="1:18" ht="30" customHeight="1" x14ac:dyDescent="0.25">
      <c r="A565" s="47">
        <v>46160</v>
      </c>
      <c r="B565" s="48" t="s">
        <v>18</v>
      </c>
      <c r="C565" s="48" t="s">
        <v>19</v>
      </c>
      <c r="D565" s="48" t="s">
        <v>20</v>
      </c>
      <c r="E565" s="49">
        <v>10000</v>
      </c>
      <c r="F565" s="76">
        <v>9198</v>
      </c>
      <c r="G565" s="49">
        <v>0</v>
      </c>
      <c r="H565" s="50">
        <f>IFERROR(Table1[Re-process (Kg)]/Table1[Actual Production (Kg)], "")</f>
        <v>0</v>
      </c>
      <c r="I565" s="49">
        <f>IFERROR(Table1[[#This Row],[Actual Production (Kg)]]-Table1[[#This Row],[Re-process (Kg)]], "")</f>
        <v>9198</v>
      </c>
      <c r="J565" s="49">
        <v>22</v>
      </c>
      <c r="K565" s="72">
        <v>3</v>
      </c>
      <c r="L565" s="49">
        <f>IF(Table1[[#This Row],[Target Time (Hours)]]="","",Table1[[#This Row],[Target Time (Hours)]]-Table1[[#This Row],[Downtime (Hours)]])</f>
        <v>19</v>
      </c>
      <c r="M565" s="49">
        <f>IFERROR(Table1[[#This Row],[Capacity (Kg)]]/Table1[[#This Row],[Target Time (Hours)]] * Table1[[#This Row],[Downtime (Hours)]], "")</f>
        <v>1363.6363636363637</v>
      </c>
      <c r="N565" s="50">
        <f>IFERROR(Table1[[#This Row],[Running Time (hr)]]/Table1[Target Time (Hours)], "")</f>
        <v>0.86363636363636365</v>
      </c>
      <c r="O565" s="50">
        <f>IFERROR(Table1[[#This Row],[Actual Production (Kg)]]/Table1[Capacity (Kg)], "")</f>
        <v>0.91979999999999995</v>
      </c>
      <c r="P565" s="50">
        <f>IFERROR(Table1[[#This Row],[Quality Pass Production]]/Table1[[#This Row],[Actual Production (Kg)]], "")</f>
        <v>1</v>
      </c>
      <c r="Q565" s="50">
        <f>IFERROR(Table1[[#This Row],[Utilization %]]*Table1[[#This Row],[Efficiency %]]*Table1[[#This Row],[Quality %]], "")</f>
        <v>0.79437272727272723</v>
      </c>
      <c r="R565" s="48" t="s">
        <v>163</v>
      </c>
    </row>
    <row r="566" spans="1:18" x14ac:dyDescent="0.25">
      <c r="A566" s="47">
        <v>46160</v>
      </c>
      <c r="B566" s="48" t="s">
        <v>18</v>
      </c>
      <c r="C566" s="48" t="s">
        <v>22</v>
      </c>
      <c r="D566" s="48" t="s">
        <v>23</v>
      </c>
      <c r="E566" s="49">
        <v>5000</v>
      </c>
      <c r="F566" s="76">
        <v>4929</v>
      </c>
      <c r="G566" s="49">
        <v>0</v>
      </c>
      <c r="H566" s="50">
        <f>IFERROR(Table1[Re-process (Kg)]/Table1[Actual Production (Kg)], "")</f>
        <v>0</v>
      </c>
      <c r="I566" s="49">
        <f>IFERROR(Table1[[#This Row],[Actual Production (Kg)]]-Table1[[#This Row],[Re-process (Kg)]], "")</f>
        <v>4929</v>
      </c>
      <c r="J566" s="49">
        <v>22</v>
      </c>
      <c r="K566" s="72">
        <v>0</v>
      </c>
      <c r="L566" s="49">
        <f>IF(Table1[[#This Row],[Target Time (Hours)]]="","",Table1[[#This Row],[Target Time (Hours)]]-Table1[[#This Row],[Downtime (Hours)]])</f>
        <v>22</v>
      </c>
      <c r="M566" s="49">
        <f>IFERROR(Table1[[#This Row],[Capacity (Kg)]]/Table1[[#This Row],[Target Time (Hours)]] * Table1[[#This Row],[Downtime (Hours)]], "")</f>
        <v>0</v>
      </c>
      <c r="N566" s="50">
        <f>IFERROR(Table1[[#This Row],[Running Time (hr)]]/Table1[Target Time (Hours)], "")</f>
        <v>1</v>
      </c>
      <c r="O566" s="50">
        <f>IFERROR(Table1[[#This Row],[Actual Production (Kg)]]/Table1[Capacity (Kg)], "")</f>
        <v>0.98580000000000001</v>
      </c>
      <c r="P566" s="50">
        <f>IFERROR(Table1[[#This Row],[Quality Pass Production]]/Table1[[#This Row],[Actual Production (Kg)]], "")</f>
        <v>1</v>
      </c>
      <c r="Q566" s="50">
        <f>IFERROR(Table1[[#This Row],[Utilization %]]*Table1[[#This Row],[Efficiency %]]*Table1[[#This Row],[Quality %]], "")</f>
        <v>0.98580000000000001</v>
      </c>
    </row>
    <row r="567" spans="1:18" x14ac:dyDescent="0.25">
      <c r="A567" s="47">
        <v>46160</v>
      </c>
      <c r="B567" s="48" t="s">
        <v>18</v>
      </c>
      <c r="C567" s="48" t="s">
        <v>22</v>
      </c>
      <c r="D567" s="48" t="s">
        <v>25</v>
      </c>
      <c r="E567" s="49">
        <v>4000</v>
      </c>
      <c r="F567" s="76">
        <v>3136</v>
      </c>
      <c r="G567" s="49">
        <v>0</v>
      </c>
      <c r="H567" s="50">
        <f>IFERROR(Table1[Re-process (Kg)]/Table1[Actual Production (Kg)], "")</f>
        <v>0</v>
      </c>
      <c r="I567" s="49">
        <f>IFERROR(Table1[[#This Row],[Actual Production (Kg)]]-Table1[[#This Row],[Re-process (Kg)]], "")</f>
        <v>3136</v>
      </c>
      <c r="J567" s="49"/>
      <c r="K567" s="72">
        <v>0</v>
      </c>
      <c r="L567" s="49" t="str">
        <f>IF(Table1[[#This Row],[Target Time (Hours)]]="","",Table1[[#This Row],[Target Time (Hours)]]-Table1[[#This Row],[Downtime (Hours)]])</f>
        <v/>
      </c>
      <c r="M567" s="49" t="str">
        <f>IFERROR(Table1[[#This Row],[Capacity (Kg)]]/Table1[[#This Row],[Target Time (Hours)]] * Table1[[#This Row],[Downtime (Hours)]], "")</f>
        <v/>
      </c>
      <c r="N567" s="50" t="str">
        <f>IFERROR(Table1[[#This Row],[Running Time (hr)]]/Table1[Target Time (Hours)], "")</f>
        <v/>
      </c>
      <c r="O567" s="50">
        <f>IFERROR(Table1[[#This Row],[Actual Production (Kg)]]/Table1[Capacity (Kg)], "")</f>
        <v>0.78400000000000003</v>
      </c>
      <c r="P567" s="50">
        <f>IFERROR(Table1[[#This Row],[Quality Pass Production]]/Table1[[#This Row],[Actual Production (Kg)]], "")</f>
        <v>1</v>
      </c>
      <c r="Q567" s="50" t="str">
        <f>IFERROR(Table1[[#This Row],[Utilization %]]*Table1[[#This Row],[Efficiency %]]*Table1[[#This Row],[Quality %]], "")</f>
        <v/>
      </c>
    </row>
    <row r="568" spans="1:18" x14ac:dyDescent="0.25">
      <c r="A568" s="47">
        <v>46160</v>
      </c>
      <c r="B568" s="48" t="s">
        <v>18</v>
      </c>
      <c r="C568" s="48" t="s">
        <v>26</v>
      </c>
      <c r="D568" s="48" t="s">
        <v>25</v>
      </c>
      <c r="E568" s="49">
        <v>7000</v>
      </c>
      <c r="F568" s="76">
        <v>7220</v>
      </c>
      <c r="G568" s="49">
        <v>0</v>
      </c>
      <c r="H568" s="50">
        <f>IFERROR(Table1[Re-process (Kg)]/Table1[Actual Production (Kg)], "")</f>
        <v>0</v>
      </c>
      <c r="I568" s="49">
        <f>IFERROR(Table1[[#This Row],[Actual Production (Kg)]]-Table1[[#This Row],[Re-process (Kg)]], "")</f>
        <v>7220</v>
      </c>
      <c r="J568" s="49">
        <v>22</v>
      </c>
      <c r="K568" s="72">
        <v>0</v>
      </c>
      <c r="L568" s="49">
        <f>IF(Table1[[#This Row],[Target Time (Hours)]]="","",Table1[[#This Row],[Target Time (Hours)]]-Table1[[#This Row],[Downtime (Hours)]])</f>
        <v>22</v>
      </c>
      <c r="M568" s="49">
        <f>IFERROR(Table1[[#This Row],[Capacity (Kg)]]/Table1[[#This Row],[Target Time (Hours)]] * Table1[[#This Row],[Downtime (Hours)]], "")</f>
        <v>0</v>
      </c>
      <c r="N568" s="50">
        <f>IFERROR(Table1[[#This Row],[Running Time (hr)]]/Table1[Target Time (Hours)], "")</f>
        <v>1</v>
      </c>
      <c r="O568" s="50">
        <f>IFERROR(Table1[[#This Row],[Actual Production (Kg)]]/Table1[Capacity (Kg)], "")</f>
        <v>1.0314285714285714</v>
      </c>
      <c r="P568" s="50">
        <f>IFERROR(Table1[[#This Row],[Quality Pass Production]]/Table1[[#This Row],[Actual Production (Kg)]], "")</f>
        <v>1</v>
      </c>
      <c r="Q568" s="50">
        <f>IFERROR(Table1[[#This Row],[Utilization %]]*Table1[[#This Row],[Efficiency %]]*Table1[[#This Row],[Quality %]], "")</f>
        <v>1.0314285714285714</v>
      </c>
    </row>
    <row r="569" spans="1:18" ht="30" customHeight="1" x14ac:dyDescent="0.25">
      <c r="A569" s="47">
        <v>46160</v>
      </c>
      <c r="B569" s="48" t="s">
        <v>18</v>
      </c>
      <c r="C569" s="48" t="s">
        <v>28</v>
      </c>
      <c r="D569" s="48" t="s">
        <v>29</v>
      </c>
      <c r="E569" s="49">
        <v>7800</v>
      </c>
      <c r="F569" s="76">
        <v>7392</v>
      </c>
      <c r="G569" s="49">
        <v>0</v>
      </c>
      <c r="H569" s="50">
        <f>IFERROR(Table1[Re-process (Kg)]/Table1[Actual Production (Kg)], "")</f>
        <v>0</v>
      </c>
      <c r="I569" s="49">
        <f>IFERROR(Table1[[#This Row],[Actual Production (Kg)]]-Table1[[#This Row],[Re-process (Kg)]], "")</f>
        <v>7392</v>
      </c>
      <c r="J569" s="49">
        <v>22</v>
      </c>
      <c r="K569" s="72">
        <v>2</v>
      </c>
      <c r="L569" s="49">
        <f>IF(Table1[[#This Row],[Target Time (Hours)]]="","",Table1[[#This Row],[Target Time (Hours)]]-Table1[[#This Row],[Downtime (Hours)]])</f>
        <v>20</v>
      </c>
      <c r="M569" s="49">
        <f>IFERROR(Table1[[#This Row],[Capacity (Kg)]]/Table1[[#This Row],[Target Time (Hours)]] * Table1[[#This Row],[Downtime (Hours)]], "")</f>
        <v>709.09090909090912</v>
      </c>
      <c r="N569" s="50">
        <f>IFERROR(Table1[[#This Row],[Running Time (hr)]]/Table1[Target Time (Hours)], "")</f>
        <v>0.90909090909090906</v>
      </c>
      <c r="O569" s="50">
        <f>IFERROR(Table1[[#This Row],[Actual Production (Kg)]]/Table1[Capacity (Kg)], "")</f>
        <v>0.94769230769230772</v>
      </c>
      <c r="P569" s="50">
        <f>IFERROR(Table1[[#This Row],[Quality Pass Production]]/Table1[[#This Row],[Actual Production (Kg)]], "")</f>
        <v>1</v>
      </c>
      <c r="Q569" s="50">
        <f>IFERROR(Table1[[#This Row],[Utilization %]]*Table1[[#This Row],[Efficiency %]]*Table1[[#This Row],[Quality %]], "")</f>
        <v>0.86153846153846159</v>
      </c>
      <c r="R569" s="48" t="s">
        <v>167</v>
      </c>
    </row>
    <row r="570" spans="1:18" ht="30" customHeight="1" x14ac:dyDescent="0.25">
      <c r="A570" s="51">
        <v>46160</v>
      </c>
      <c r="B570" s="27" t="s">
        <v>18</v>
      </c>
      <c r="C570" s="27" t="s">
        <v>135</v>
      </c>
      <c r="D570" s="27" t="s">
        <v>29</v>
      </c>
      <c r="E570" s="79"/>
      <c r="F570" s="53">
        <v>0</v>
      </c>
      <c r="G570" s="79"/>
      <c r="H570" s="57"/>
      <c r="I570" s="53"/>
      <c r="J570" s="79"/>
      <c r="K570" s="52"/>
      <c r="L570" s="53" t="str">
        <f>IF(Table1[[#This Row],[Target Time (Hours)]]="","",Table1[[#This Row],[Target Time (Hours)]]-Table1[[#This Row],[Downtime (Hours)]])</f>
        <v/>
      </c>
      <c r="M570" s="53"/>
      <c r="N570" s="57"/>
      <c r="O570" s="57"/>
      <c r="P570" s="57"/>
      <c r="Q570" s="57"/>
      <c r="R570" s="52" t="s">
        <v>156</v>
      </c>
    </row>
    <row r="571" spans="1:18" ht="30" customHeight="1" x14ac:dyDescent="0.25">
      <c r="A571" s="47">
        <v>46160</v>
      </c>
      <c r="B571" s="48" t="s">
        <v>18</v>
      </c>
      <c r="C571" s="48" t="s">
        <v>30</v>
      </c>
      <c r="D571" s="48" t="s">
        <v>31</v>
      </c>
      <c r="E571" s="49">
        <v>9000</v>
      </c>
      <c r="F571" s="76">
        <v>7609</v>
      </c>
      <c r="G571" s="49">
        <v>0</v>
      </c>
      <c r="H571" s="50">
        <f>IFERROR(Table1[Re-process (Kg)]/Table1[Actual Production (Kg)], "")</f>
        <v>0</v>
      </c>
      <c r="I571" s="49">
        <f>IFERROR(Table1[[#This Row],[Actual Production (Kg)]]-Table1[[#This Row],[Re-process (Kg)]], "")</f>
        <v>7609</v>
      </c>
      <c r="J571" s="49">
        <v>22</v>
      </c>
      <c r="K571" s="72">
        <v>0</v>
      </c>
      <c r="L571" s="49">
        <f>IF(Table1[[#This Row],[Target Time (Hours)]]="","",Table1[[#This Row],[Target Time (Hours)]]-Table1[[#This Row],[Downtime (Hours)]])</f>
        <v>22</v>
      </c>
      <c r="M571" s="49">
        <f>IFERROR(Table1[[#This Row],[Capacity (Kg)]]/Table1[[#This Row],[Target Time (Hours)]] * Table1[[#This Row],[Downtime (Hours)]], "")</f>
        <v>0</v>
      </c>
      <c r="N571" s="50">
        <f>IFERROR(Table1[[#This Row],[Running Time (hr)]]/Table1[Target Time (Hours)], "")</f>
        <v>1</v>
      </c>
      <c r="O571" s="50">
        <f>IFERROR(Table1[[#This Row],[Actual Production (Kg)]]/Table1[Capacity (Kg)], "")</f>
        <v>0.84544444444444444</v>
      </c>
      <c r="P571" s="50">
        <f>IFERROR(Table1[[#This Row],[Quality Pass Production]]/Table1[[#This Row],[Actual Production (Kg)]], "")</f>
        <v>1</v>
      </c>
      <c r="Q571" s="50">
        <f>IFERROR(Table1[[#This Row],[Utilization %]]*Table1[[#This Row],[Efficiency %]]*Table1[[#This Row],[Quality %]], "")</f>
        <v>0.84544444444444444</v>
      </c>
      <c r="R571" s="48" t="s">
        <v>168</v>
      </c>
    </row>
    <row r="572" spans="1:18" ht="30" customHeight="1" x14ac:dyDescent="0.25">
      <c r="A572" s="51">
        <v>46160</v>
      </c>
      <c r="B572" s="27" t="s">
        <v>18</v>
      </c>
      <c r="C572" s="27" t="s">
        <v>32</v>
      </c>
      <c r="D572" s="27" t="s">
        <v>31</v>
      </c>
      <c r="E572" s="79">
        <f>Table1[[#This Row],[Actual Production (Kg)]]</f>
        <v>0</v>
      </c>
      <c r="F572" s="53">
        <v>0</v>
      </c>
      <c r="G572" s="79"/>
      <c r="H572" s="57"/>
      <c r="I572" s="53"/>
      <c r="J572" s="79"/>
      <c r="K572" s="52"/>
      <c r="L572" s="53" t="str">
        <f>IF(Table1[[#This Row],[Target Time (Hours)]]="","",Table1[[#This Row],[Target Time (Hours)]]-Table1[[#This Row],[Downtime (Hours)]])</f>
        <v/>
      </c>
      <c r="M572" s="53"/>
      <c r="N572" s="57"/>
      <c r="O572" s="57"/>
      <c r="P572" s="57"/>
      <c r="Q572" s="57"/>
      <c r="R572" s="52" t="s">
        <v>156</v>
      </c>
    </row>
    <row r="573" spans="1:18" ht="30" customHeight="1" x14ac:dyDescent="0.25">
      <c r="A573" s="47">
        <v>46160</v>
      </c>
      <c r="B573" s="48" t="s">
        <v>33</v>
      </c>
      <c r="C573" s="48" t="s">
        <v>34</v>
      </c>
      <c r="D573" s="48" t="s">
        <v>35</v>
      </c>
      <c r="E573" s="49">
        <v>9000</v>
      </c>
      <c r="F573" s="76">
        <v>7847</v>
      </c>
      <c r="G573" s="49">
        <v>0</v>
      </c>
      <c r="H573" s="50">
        <f>IFERROR(Table1[Re-process (Kg)]/Table1[Actual Production (Kg)], "")</f>
        <v>0</v>
      </c>
      <c r="I573" s="49">
        <f>IFERROR(Table1[[#This Row],[Actual Production (Kg)]]-Table1[[#This Row],[Re-process (Kg)]], "")</f>
        <v>7847</v>
      </c>
      <c r="J573" s="49">
        <v>22</v>
      </c>
      <c r="K573" s="72">
        <v>0</v>
      </c>
      <c r="L573" s="49">
        <f>IF(Table1[[#This Row],[Target Time (Hours)]]="","",Table1[[#This Row],[Target Time (Hours)]]-Table1[[#This Row],[Downtime (Hours)]])</f>
        <v>22</v>
      </c>
      <c r="M573" s="49">
        <f>IFERROR(Table1[[#This Row],[Capacity (Kg)]]/Table1[[#This Row],[Target Time (Hours)]] * Table1[[#This Row],[Downtime (Hours)]], "")</f>
        <v>0</v>
      </c>
      <c r="N573" s="50">
        <f>IFERROR(Table1[[#This Row],[Running Time (hr)]]/Table1[Target Time (Hours)], "")</f>
        <v>1</v>
      </c>
      <c r="O573" s="50">
        <f>IFERROR(Table1[[#This Row],[Actual Production (Kg)]]/Table1[Capacity (Kg)], "")</f>
        <v>0.87188888888888894</v>
      </c>
      <c r="P573" s="50">
        <f>IFERROR(Table1[[#This Row],[Quality Pass Production]]/Table1[[#This Row],[Actual Production (Kg)]], "")</f>
        <v>1</v>
      </c>
      <c r="Q573" s="50">
        <f>IFERROR(Table1[[#This Row],[Utilization %]]*Table1[[#This Row],[Efficiency %]]*Table1[[#This Row],[Quality %]], "")</f>
        <v>0.87188888888888894</v>
      </c>
      <c r="R573" s="48" t="s">
        <v>157</v>
      </c>
    </row>
    <row r="574" spans="1:18" ht="45" customHeight="1" x14ac:dyDescent="0.25">
      <c r="A574" s="47">
        <v>46160</v>
      </c>
      <c r="B574" s="48" t="s">
        <v>33</v>
      </c>
      <c r="C574" s="48" t="s">
        <v>36</v>
      </c>
      <c r="D574" s="48" t="s">
        <v>37</v>
      </c>
      <c r="E574" s="49">
        <v>8000</v>
      </c>
      <c r="F574" s="76">
        <v>7376</v>
      </c>
      <c r="G574" s="49">
        <v>0</v>
      </c>
      <c r="H574" s="50">
        <f>IFERROR(Table1[Re-process (Kg)]/Table1[Actual Production (Kg)], "")</f>
        <v>0</v>
      </c>
      <c r="I574" s="49">
        <f>IFERROR(Table1[[#This Row],[Actual Production (Kg)]]-Table1[[#This Row],[Re-process (Kg)]], "")</f>
        <v>7376</v>
      </c>
      <c r="J574" s="49">
        <v>22</v>
      </c>
      <c r="K574" s="72">
        <v>2</v>
      </c>
      <c r="L574" s="49">
        <f>IF(Table1[[#This Row],[Target Time (Hours)]]="","",Table1[[#This Row],[Target Time (Hours)]]-Table1[[#This Row],[Downtime (Hours)]])</f>
        <v>20</v>
      </c>
      <c r="M574" s="49">
        <f>IFERROR(Table1[[#This Row],[Capacity (Kg)]]/Table1[[#This Row],[Target Time (Hours)]] * Table1[[#This Row],[Downtime (Hours)]], "")</f>
        <v>727.27272727272725</v>
      </c>
      <c r="N574" s="50">
        <f>IFERROR(Table1[[#This Row],[Running Time (hr)]]/Table1[Target Time (Hours)], "")</f>
        <v>0.90909090909090906</v>
      </c>
      <c r="O574" s="50">
        <f>IFERROR(Table1[[#This Row],[Actual Production (Kg)]]/Table1[Capacity (Kg)], "")</f>
        <v>0.92200000000000004</v>
      </c>
      <c r="P574" s="50">
        <f>IFERROR(Table1[[#This Row],[Quality Pass Production]]/Table1[[#This Row],[Actual Production (Kg)]], "")</f>
        <v>1</v>
      </c>
      <c r="Q574" s="50">
        <f>IFERROR(Table1[[#This Row],[Utilization %]]*Table1[[#This Row],[Efficiency %]]*Table1[[#This Row],[Quality %]], "")</f>
        <v>0.83818181818181814</v>
      </c>
      <c r="R574" s="48" t="s">
        <v>165</v>
      </c>
    </row>
    <row r="575" spans="1:18" ht="30" customHeight="1" x14ac:dyDescent="0.25">
      <c r="A575" s="47">
        <v>46160</v>
      </c>
      <c r="B575" s="48" t="s">
        <v>33</v>
      </c>
      <c r="C575" s="48" t="s">
        <v>39</v>
      </c>
      <c r="D575" s="48" t="s">
        <v>31</v>
      </c>
      <c r="E575" s="49">
        <v>6000</v>
      </c>
      <c r="F575" s="76">
        <v>3701</v>
      </c>
      <c r="G575" s="49">
        <v>0</v>
      </c>
      <c r="H575" s="50">
        <f>IFERROR(Table1[Re-process (Kg)]/Table1[Actual Production (Kg)], "")</f>
        <v>0</v>
      </c>
      <c r="I575" s="49">
        <f>IFERROR(Table1[[#This Row],[Actual Production (Kg)]]-Table1[[#This Row],[Re-process (Kg)]], "")</f>
        <v>3701</v>
      </c>
      <c r="J575" s="49">
        <v>22</v>
      </c>
      <c r="K575" s="72">
        <v>0</v>
      </c>
      <c r="L575" s="49">
        <f>IF(Table1[[#This Row],[Target Time (Hours)]]="","",Table1[[#This Row],[Target Time (Hours)]]-Table1[[#This Row],[Downtime (Hours)]])</f>
        <v>22</v>
      </c>
      <c r="M575" s="49">
        <f>IFERROR(Table1[[#This Row],[Capacity (Kg)]]/Table1[[#This Row],[Target Time (Hours)]] * Table1[[#This Row],[Downtime (Hours)]], "")</f>
        <v>0</v>
      </c>
      <c r="N575" s="50">
        <f>IFERROR(Table1[[#This Row],[Running Time (hr)]]/Table1[Target Time (Hours)], "")</f>
        <v>1</v>
      </c>
      <c r="O575" s="50">
        <f>IFERROR(Table1[[#This Row],[Actual Production (Kg)]]/Table1[Capacity (Kg)], "")</f>
        <v>0.61683333333333334</v>
      </c>
      <c r="P575" s="50">
        <f>IFERROR(Table1[[#This Row],[Quality Pass Production]]/Table1[[#This Row],[Actual Production (Kg)]], "")</f>
        <v>1</v>
      </c>
      <c r="Q575" s="50">
        <f>IFERROR(Table1[[#This Row],[Utilization %]]*Table1[[#This Row],[Efficiency %]]*Table1[[#This Row],[Quality %]], "")</f>
        <v>0.61683333333333334</v>
      </c>
      <c r="R575" s="48" t="s">
        <v>161</v>
      </c>
    </row>
    <row r="576" spans="1:18" ht="45" customHeight="1" x14ac:dyDescent="0.25">
      <c r="A576" s="54">
        <v>46160</v>
      </c>
      <c r="B576" s="55" t="s">
        <v>33</v>
      </c>
      <c r="C576" s="55" t="s">
        <v>40</v>
      </c>
      <c r="D576" s="55" t="s">
        <v>31</v>
      </c>
      <c r="E576" s="56">
        <v>5000</v>
      </c>
      <c r="F576" s="56">
        <v>3330</v>
      </c>
      <c r="G576" s="56">
        <v>0</v>
      </c>
      <c r="H576" s="58">
        <f>IFERROR(Table1[Re-process (Kg)]/Table1[Actual Production (Kg)], "")</f>
        <v>0</v>
      </c>
      <c r="I576" s="56">
        <f>IFERROR(Table1[[#This Row],[Actual Production (Kg)]]-Table1[[#This Row],[Re-process (Kg)]], "")</f>
        <v>3330</v>
      </c>
      <c r="J576" s="56">
        <v>22</v>
      </c>
      <c r="K576" s="55">
        <v>0</v>
      </c>
      <c r="L576" s="56">
        <f>IF(Table1[[#This Row],[Target Time (Hours)]]="","",Table1[[#This Row],[Target Time (Hours)]]-Table1[[#This Row],[Downtime (Hours)]])</f>
        <v>22</v>
      </c>
      <c r="M576" s="56">
        <f>IFERROR(Table1[[#This Row],[Capacity (Kg)]]/Table1[[#This Row],[Target Time (Hours)]] * Table1[[#This Row],[Downtime (Hours)]], "")</f>
        <v>0</v>
      </c>
      <c r="N576" s="58">
        <f>IFERROR(Table1[[#This Row],[Running Time (hr)]]/Table1[Target Time (Hours)], "")</f>
        <v>1</v>
      </c>
      <c r="O576" s="58">
        <f>IFERROR(Table1[[#This Row],[Actual Production (Kg)]]/Table1[Capacity (Kg)], "")</f>
        <v>0.66600000000000004</v>
      </c>
      <c r="P576" s="58">
        <f>IFERROR(Table1[[#This Row],[Quality Pass Production]]/Table1[[#This Row],[Actual Production (Kg)]], "")</f>
        <v>1</v>
      </c>
      <c r="Q576" s="58">
        <f>IFERROR(Table1[[#This Row],[Utilization %]]*Table1[[#This Row],[Efficiency %]]*Table1[[#This Row],[Quality %]], "")</f>
        <v>0.66600000000000004</v>
      </c>
      <c r="R576" s="55" t="s">
        <v>157</v>
      </c>
    </row>
    <row r="577" spans="1:18" ht="30" customHeight="1" x14ac:dyDescent="0.25">
      <c r="A577" s="47">
        <v>46161</v>
      </c>
      <c r="B577" s="48" t="s">
        <v>18</v>
      </c>
      <c r="C577" s="48" t="s">
        <v>19</v>
      </c>
      <c r="D577" s="48" t="s">
        <v>20</v>
      </c>
      <c r="E577" s="49">
        <v>10000</v>
      </c>
      <c r="F577" s="76">
        <v>8568</v>
      </c>
      <c r="G577" s="49">
        <v>0</v>
      </c>
      <c r="H577" s="50">
        <f>IFERROR(Table1[Re-process (Kg)]/Table1[Actual Production (Kg)], "")</f>
        <v>0</v>
      </c>
      <c r="I577" s="49">
        <f>IFERROR(Table1[[#This Row],[Actual Production (Kg)]]-Table1[[#This Row],[Re-process (Kg)]], "")</f>
        <v>8568</v>
      </c>
      <c r="J577" s="49">
        <v>22</v>
      </c>
      <c r="K577" s="72">
        <v>0</v>
      </c>
      <c r="L577" s="49">
        <f>IF(Table1[[#This Row],[Target Time (Hours)]]="","",Table1[[#This Row],[Target Time (Hours)]]-Table1[[#This Row],[Downtime (Hours)]])</f>
        <v>22</v>
      </c>
      <c r="M577" s="49">
        <f>IFERROR(Table1[[#This Row],[Capacity (Kg)]]/Table1[[#This Row],[Target Time (Hours)]] * Table1[[#This Row],[Downtime (Hours)]], "")</f>
        <v>0</v>
      </c>
      <c r="N577" s="50">
        <f>IFERROR(Table1[[#This Row],[Running Time (hr)]]/Table1[Target Time (Hours)], "")</f>
        <v>1</v>
      </c>
      <c r="O577" s="50">
        <f>IFERROR(Table1[[#This Row],[Actual Production (Kg)]]/Table1[Capacity (Kg)], "")</f>
        <v>0.85680000000000001</v>
      </c>
      <c r="P577" s="50">
        <f>IFERROR(Table1[[#This Row],[Quality Pass Production]]/Table1[[#This Row],[Actual Production (Kg)]], "")</f>
        <v>1</v>
      </c>
      <c r="Q577" s="50">
        <f>IFERROR(Table1[[#This Row],[Utilization %]]*Table1[[#This Row],[Efficiency %]]*Table1[[#This Row],[Quality %]], "")</f>
        <v>0.85680000000000001</v>
      </c>
    </row>
    <row r="578" spans="1:18" x14ac:dyDescent="0.25">
      <c r="A578" s="47">
        <v>46161</v>
      </c>
      <c r="B578" s="48" t="s">
        <v>18</v>
      </c>
      <c r="C578" s="48" t="s">
        <v>22</v>
      </c>
      <c r="D578" s="48" t="s">
        <v>23</v>
      </c>
      <c r="E578" s="49">
        <v>5000</v>
      </c>
      <c r="F578" s="76">
        <v>4308</v>
      </c>
      <c r="G578" s="49">
        <v>0</v>
      </c>
      <c r="H578" s="50">
        <f>IFERROR(Table1[Re-process (Kg)]/Table1[Actual Production (Kg)], "")</f>
        <v>0</v>
      </c>
      <c r="I578" s="49">
        <f>IFERROR(Table1[[#This Row],[Actual Production (Kg)]]-Table1[[#This Row],[Re-process (Kg)]], "")</f>
        <v>4308</v>
      </c>
      <c r="J578" s="49">
        <v>22</v>
      </c>
      <c r="K578" s="72">
        <v>0</v>
      </c>
      <c r="L578" s="49">
        <f>IF(Table1[[#This Row],[Target Time (Hours)]]="","",Table1[[#This Row],[Target Time (Hours)]]-Table1[[#This Row],[Downtime (Hours)]])</f>
        <v>22</v>
      </c>
      <c r="M578" s="49">
        <f>IFERROR(Table1[[#This Row],[Capacity (Kg)]]/Table1[[#This Row],[Target Time (Hours)]] * Table1[[#This Row],[Downtime (Hours)]], "")</f>
        <v>0</v>
      </c>
      <c r="N578" s="50">
        <f>IFERROR(Table1[[#This Row],[Running Time (hr)]]/Table1[Target Time (Hours)], "")</f>
        <v>1</v>
      </c>
      <c r="O578" s="50">
        <f>IFERROR(Table1[[#This Row],[Actual Production (Kg)]]/Table1[Capacity (Kg)], "")</f>
        <v>0.86160000000000003</v>
      </c>
      <c r="P578" s="50">
        <f>IFERROR(Table1[[#This Row],[Quality Pass Production]]/Table1[[#This Row],[Actual Production (Kg)]], "")</f>
        <v>1</v>
      </c>
      <c r="Q578" s="50">
        <f>IFERROR(Table1[[#This Row],[Utilization %]]*Table1[[#This Row],[Efficiency %]]*Table1[[#This Row],[Quality %]], "")</f>
        <v>0.86160000000000003</v>
      </c>
    </row>
    <row r="579" spans="1:18" x14ac:dyDescent="0.25">
      <c r="A579" s="47">
        <v>46161</v>
      </c>
      <c r="B579" s="48" t="s">
        <v>18</v>
      </c>
      <c r="C579" s="48" t="s">
        <v>22</v>
      </c>
      <c r="D579" s="48" t="s">
        <v>25</v>
      </c>
      <c r="E579" s="49">
        <v>4000</v>
      </c>
      <c r="F579" s="76">
        <v>4532</v>
      </c>
      <c r="G579" s="49">
        <v>0</v>
      </c>
      <c r="H579" s="50">
        <f>IFERROR(Table1[Re-process (Kg)]/Table1[Actual Production (Kg)], "")</f>
        <v>0</v>
      </c>
      <c r="I579" s="49">
        <f>IFERROR(Table1[[#This Row],[Actual Production (Kg)]]-Table1[[#This Row],[Re-process (Kg)]], "")</f>
        <v>4532</v>
      </c>
      <c r="J579" s="49"/>
      <c r="K579" s="72">
        <v>0</v>
      </c>
      <c r="L579" s="49" t="str">
        <f>IF(Table1[[#This Row],[Target Time (Hours)]]="","",Table1[[#This Row],[Target Time (Hours)]]-Table1[[#This Row],[Downtime (Hours)]])</f>
        <v/>
      </c>
      <c r="M579" s="49" t="str">
        <f>IFERROR(Table1[[#This Row],[Capacity (Kg)]]/Table1[[#This Row],[Target Time (Hours)]] * Table1[[#This Row],[Downtime (Hours)]], "")</f>
        <v/>
      </c>
      <c r="N579" s="50" t="str">
        <f>IFERROR(Table1[[#This Row],[Running Time (hr)]]/Table1[Target Time (Hours)], "")</f>
        <v/>
      </c>
      <c r="O579" s="50">
        <f>IFERROR(Table1[[#This Row],[Actual Production (Kg)]]/Table1[Capacity (Kg)], "")</f>
        <v>1.133</v>
      </c>
      <c r="P579" s="50">
        <f>IFERROR(Table1[[#This Row],[Quality Pass Production]]/Table1[[#This Row],[Actual Production (Kg)]], "")</f>
        <v>1</v>
      </c>
      <c r="Q579" s="50" t="str">
        <f>IFERROR(Table1[[#This Row],[Utilization %]]*Table1[[#This Row],[Efficiency %]]*Table1[[#This Row],[Quality %]], "")</f>
        <v/>
      </c>
    </row>
    <row r="580" spans="1:18" x14ac:dyDescent="0.25">
      <c r="A580" s="47">
        <v>46161</v>
      </c>
      <c r="B580" s="48" t="s">
        <v>18</v>
      </c>
      <c r="C580" s="48" t="s">
        <v>26</v>
      </c>
      <c r="D580" s="48" t="s">
        <v>25</v>
      </c>
      <c r="E580" s="49">
        <v>7000</v>
      </c>
      <c r="F580" s="76">
        <v>6940</v>
      </c>
      <c r="G580" s="49">
        <v>0</v>
      </c>
      <c r="H580" s="50">
        <f>IFERROR(Table1[Re-process (Kg)]/Table1[Actual Production (Kg)], "")</f>
        <v>0</v>
      </c>
      <c r="I580" s="49">
        <f>IFERROR(Table1[[#This Row],[Actual Production (Kg)]]-Table1[[#This Row],[Re-process (Kg)]], "")</f>
        <v>6940</v>
      </c>
      <c r="J580" s="49">
        <v>22</v>
      </c>
      <c r="K580" s="72">
        <v>0</v>
      </c>
      <c r="L580" s="49">
        <f>IF(Table1[[#This Row],[Target Time (Hours)]]="","",Table1[[#This Row],[Target Time (Hours)]]-Table1[[#This Row],[Downtime (Hours)]])</f>
        <v>22</v>
      </c>
      <c r="M580" s="49">
        <f>IFERROR(Table1[[#This Row],[Capacity (Kg)]]/Table1[[#This Row],[Target Time (Hours)]] * Table1[[#This Row],[Downtime (Hours)]], "")</f>
        <v>0</v>
      </c>
      <c r="N580" s="50">
        <f>IFERROR(Table1[[#This Row],[Running Time (hr)]]/Table1[Target Time (Hours)], "")</f>
        <v>1</v>
      </c>
      <c r="O580" s="50">
        <f>IFERROR(Table1[[#This Row],[Actual Production (Kg)]]/Table1[Capacity (Kg)], "")</f>
        <v>0.99142857142857144</v>
      </c>
      <c r="P580" s="50">
        <f>IFERROR(Table1[[#This Row],[Quality Pass Production]]/Table1[[#This Row],[Actual Production (Kg)]], "")</f>
        <v>1</v>
      </c>
      <c r="Q580" s="50">
        <f>IFERROR(Table1[[#This Row],[Utilization %]]*Table1[[#This Row],[Efficiency %]]*Table1[[#This Row],[Quality %]], "")</f>
        <v>0.99142857142857144</v>
      </c>
    </row>
    <row r="581" spans="1:18" ht="30" customHeight="1" x14ac:dyDescent="0.25">
      <c r="A581" s="47">
        <v>46161</v>
      </c>
      <c r="B581" s="48" t="s">
        <v>18</v>
      </c>
      <c r="C581" s="48" t="s">
        <v>28</v>
      </c>
      <c r="D581" s="48" t="s">
        <v>29</v>
      </c>
      <c r="E581" s="49">
        <v>7800</v>
      </c>
      <c r="F581" s="76">
        <v>4674</v>
      </c>
      <c r="G581" s="49">
        <v>0</v>
      </c>
      <c r="H581" s="50">
        <f>IFERROR(Table1[Re-process (Kg)]/Table1[Actual Production (Kg)], "")</f>
        <v>0</v>
      </c>
      <c r="I581" s="49">
        <f>IFERROR(Table1[[#This Row],[Actual Production (Kg)]]-Table1[[#This Row],[Re-process (Kg)]], "")</f>
        <v>4674</v>
      </c>
      <c r="J581" s="49">
        <v>22</v>
      </c>
      <c r="K581" s="72">
        <v>0</v>
      </c>
      <c r="L581" s="49">
        <f>IF(Table1[[#This Row],[Target Time (Hours)]]="","",Table1[[#This Row],[Target Time (Hours)]]-Table1[[#This Row],[Downtime (Hours)]])</f>
        <v>22</v>
      </c>
      <c r="M581" s="49">
        <f>IFERROR(Table1[[#This Row],[Capacity (Kg)]]/Table1[[#This Row],[Target Time (Hours)]] * Table1[[#This Row],[Downtime (Hours)]], "")</f>
        <v>0</v>
      </c>
      <c r="N581" s="50">
        <f>IFERROR(Table1[[#This Row],[Running Time (hr)]]/Table1[Target Time (Hours)], "")</f>
        <v>1</v>
      </c>
      <c r="O581" s="50">
        <f>IFERROR(Table1[[#This Row],[Actual Production (Kg)]]/Table1[Capacity (Kg)], "")</f>
        <v>0.59923076923076923</v>
      </c>
      <c r="P581" s="50">
        <f>IFERROR(Table1[[#This Row],[Quality Pass Production]]/Table1[[#This Row],[Actual Production (Kg)]], "")</f>
        <v>1</v>
      </c>
      <c r="Q581" s="50">
        <f>IFERROR(Table1[[#This Row],[Utilization %]]*Table1[[#This Row],[Efficiency %]]*Table1[[#This Row],[Quality %]], "")</f>
        <v>0.59923076923076923</v>
      </c>
    </row>
    <row r="582" spans="1:18" ht="30" customHeight="1" x14ac:dyDescent="0.25">
      <c r="A582" s="51">
        <v>46161</v>
      </c>
      <c r="B582" s="27" t="s">
        <v>18</v>
      </c>
      <c r="C582" s="27" t="s">
        <v>135</v>
      </c>
      <c r="D582" s="27" t="s">
        <v>29</v>
      </c>
      <c r="E582" s="79"/>
      <c r="F582" s="53">
        <v>0</v>
      </c>
      <c r="G582" s="79"/>
      <c r="H582" s="57"/>
      <c r="I582" s="53"/>
      <c r="J582" s="79"/>
      <c r="K582" s="52"/>
      <c r="L582" s="53" t="str">
        <f>IF(Table1[[#This Row],[Target Time (Hours)]]="","",Table1[[#This Row],[Target Time (Hours)]]-Table1[[#This Row],[Downtime (Hours)]])</f>
        <v/>
      </c>
      <c r="M582" s="53"/>
      <c r="N582" s="57"/>
      <c r="O582" s="57"/>
      <c r="P582" s="57"/>
      <c r="Q582" s="57"/>
      <c r="R582" s="52" t="s">
        <v>156</v>
      </c>
    </row>
    <row r="583" spans="1:18" ht="30" customHeight="1" x14ac:dyDescent="0.25">
      <c r="A583" s="47">
        <v>46161</v>
      </c>
      <c r="B583" s="48" t="s">
        <v>18</v>
      </c>
      <c r="C583" s="48" t="s">
        <v>30</v>
      </c>
      <c r="D583" s="48" t="s">
        <v>31</v>
      </c>
      <c r="E583" s="49">
        <v>9000</v>
      </c>
      <c r="F583" s="76">
        <v>9126</v>
      </c>
      <c r="G583" s="49">
        <v>0</v>
      </c>
      <c r="H583" s="50">
        <f>IFERROR(Table1[Re-process (Kg)]/Table1[Actual Production (Kg)], "")</f>
        <v>0</v>
      </c>
      <c r="I583" s="49">
        <f>IFERROR(Table1[[#This Row],[Actual Production (Kg)]]-Table1[[#This Row],[Re-process (Kg)]], "")</f>
        <v>9126</v>
      </c>
      <c r="J583" s="49">
        <v>22</v>
      </c>
      <c r="K583" s="72">
        <v>0</v>
      </c>
      <c r="L583" s="49">
        <f>IF(Table1[[#This Row],[Target Time (Hours)]]="","",Table1[[#This Row],[Target Time (Hours)]]-Table1[[#This Row],[Downtime (Hours)]])</f>
        <v>22</v>
      </c>
      <c r="M583" s="49">
        <f>IFERROR(Table1[[#This Row],[Capacity (Kg)]]/Table1[[#This Row],[Target Time (Hours)]] * Table1[[#This Row],[Downtime (Hours)]], "")</f>
        <v>0</v>
      </c>
      <c r="N583" s="50">
        <f>IFERROR(Table1[[#This Row],[Running Time (hr)]]/Table1[Target Time (Hours)], "")</f>
        <v>1</v>
      </c>
      <c r="O583" s="50">
        <f>IFERROR(Table1[[#This Row],[Actual Production (Kg)]]/Table1[Capacity (Kg)], "")</f>
        <v>1.014</v>
      </c>
      <c r="P583" s="50">
        <f>IFERROR(Table1[[#This Row],[Quality Pass Production]]/Table1[[#This Row],[Actual Production (Kg)]], "")</f>
        <v>1</v>
      </c>
      <c r="Q583" s="50">
        <f>IFERROR(Table1[[#This Row],[Utilization %]]*Table1[[#This Row],[Efficiency %]]*Table1[[#This Row],[Quality %]], "")</f>
        <v>1.014</v>
      </c>
    </row>
    <row r="584" spans="1:18" ht="30" customHeight="1" x14ac:dyDescent="0.25">
      <c r="A584" s="51">
        <v>46161</v>
      </c>
      <c r="B584" s="27" t="s">
        <v>18</v>
      </c>
      <c r="C584" s="27" t="s">
        <v>32</v>
      </c>
      <c r="D584" s="27" t="s">
        <v>31</v>
      </c>
      <c r="E584" s="79">
        <f>Table1[[#This Row],[Actual Production (Kg)]]</f>
        <v>0</v>
      </c>
      <c r="F584" s="53">
        <v>0</v>
      </c>
      <c r="G584" s="79"/>
      <c r="H584" s="57"/>
      <c r="I584" s="53"/>
      <c r="J584" s="79"/>
      <c r="K584" s="52"/>
      <c r="L584" s="53" t="str">
        <f>IF(Table1[[#This Row],[Target Time (Hours)]]="","",Table1[[#This Row],[Target Time (Hours)]]-Table1[[#This Row],[Downtime (Hours)]])</f>
        <v/>
      </c>
      <c r="M584" s="53"/>
      <c r="N584" s="57"/>
      <c r="O584" s="57"/>
      <c r="P584" s="57"/>
      <c r="Q584" s="57"/>
      <c r="R584" s="52" t="s">
        <v>156</v>
      </c>
    </row>
    <row r="585" spans="1:18" ht="30" customHeight="1" x14ac:dyDescent="0.25">
      <c r="A585" s="47">
        <v>46161</v>
      </c>
      <c r="B585" s="48" t="s">
        <v>33</v>
      </c>
      <c r="C585" s="48" t="s">
        <v>34</v>
      </c>
      <c r="D585" s="48" t="s">
        <v>35</v>
      </c>
      <c r="E585" s="49">
        <v>9000</v>
      </c>
      <c r="F585" s="76">
        <v>6658</v>
      </c>
      <c r="G585" s="49">
        <v>0</v>
      </c>
      <c r="H585" s="50">
        <f>IFERROR(Table1[Re-process (Kg)]/Table1[Actual Production (Kg)], "")</f>
        <v>0</v>
      </c>
      <c r="I585" s="49">
        <f>IFERROR(Table1[[#This Row],[Actual Production (Kg)]]-Table1[[#This Row],[Re-process (Kg)]], "")</f>
        <v>6658</v>
      </c>
      <c r="J585" s="49">
        <v>22</v>
      </c>
      <c r="K585" s="72">
        <v>0</v>
      </c>
      <c r="L585" s="49">
        <f>IF(Table1[[#This Row],[Target Time (Hours)]]="","",Table1[[#This Row],[Target Time (Hours)]]-Table1[[#This Row],[Downtime (Hours)]])</f>
        <v>22</v>
      </c>
      <c r="M585" s="49">
        <f>IFERROR(Table1[[#This Row],[Capacity (Kg)]]/Table1[[#This Row],[Target Time (Hours)]] * Table1[[#This Row],[Downtime (Hours)]], "")</f>
        <v>0</v>
      </c>
      <c r="N585" s="50">
        <f>IFERROR(Table1[[#This Row],[Running Time (hr)]]/Table1[Target Time (Hours)], "")</f>
        <v>1</v>
      </c>
      <c r="O585" s="50">
        <f>IFERROR(Table1[[#This Row],[Actual Production (Kg)]]/Table1[Capacity (Kg)], "")</f>
        <v>0.73977777777777776</v>
      </c>
      <c r="P585" s="50">
        <f>IFERROR(Table1[[#This Row],[Quality Pass Production]]/Table1[[#This Row],[Actual Production (Kg)]], "")</f>
        <v>1</v>
      </c>
      <c r="Q585" s="50">
        <f>IFERROR(Table1[[#This Row],[Utilization %]]*Table1[[#This Row],[Efficiency %]]*Table1[[#This Row],[Quality %]], "")</f>
        <v>0.73977777777777776</v>
      </c>
      <c r="R585" s="48" t="s">
        <v>157</v>
      </c>
    </row>
    <row r="586" spans="1:18" ht="45" customHeight="1" x14ac:dyDescent="0.25">
      <c r="A586" s="47">
        <v>46161</v>
      </c>
      <c r="B586" s="48" t="s">
        <v>33</v>
      </c>
      <c r="C586" s="48" t="s">
        <v>36</v>
      </c>
      <c r="D586" s="48" t="s">
        <v>37</v>
      </c>
      <c r="E586" s="49">
        <v>8000</v>
      </c>
      <c r="F586" s="76">
        <v>6758</v>
      </c>
      <c r="G586" s="49">
        <v>0</v>
      </c>
      <c r="H586" s="50">
        <f>IFERROR(Table1[Re-process (Kg)]/Table1[Actual Production (Kg)], "")</f>
        <v>0</v>
      </c>
      <c r="I586" s="49">
        <f>IFERROR(Table1[[#This Row],[Actual Production (Kg)]]-Table1[[#This Row],[Re-process (Kg)]], "")</f>
        <v>6758</v>
      </c>
      <c r="J586" s="49">
        <v>22</v>
      </c>
      <c r="K586" s="72">
        <v>1</v>
      </c>
      <c r="L586" s="49">
        <f>IF(Table1[[#This Row],[Target Time (Hours)]]="","",Table1[[#This Row],[Target Time (Hours)]]-Table1[[#This Row],[Downtime (Hours)]])</f>
        <v>21</v>
      </c>
      <c r="M586" s="49">
        <f>IFERROR(Table1[[#This Row],[Capacity (Kg)]]/Table1[[#This Row],[Target Time (Hours)]] * Table1[[#This Row],[Downtime (Hours)]], "")</f>
        <v>363.63636363636363</v>
      </c>
      <c r="N586" s="50">
        <f>IFERROR(Table1[[#This Row],[Running Time (hr)]]/Table1[Target Time (Hours)], "")</f>
        <v>0.95454545454545459</v>
      </c>
      <c r="O586" s="50">
        <f>IFERROR(Table1[[#This Row],[Actual Production (Kg)]]/Table1[Capacity (Kg)], "")</f>
        <v>0.84475</v>
      </c>
      <c r="P586" s="50">
        <f>IFERROR(Table1[[#This Row],[Quality Pass Production]]/Table1[[#This Row],[Actual Production (Kg)]], "")</f>
        <v>1</v>
      </c>
      <c r="Q586" s="50">
        <f>IFERROR(Table1[[#This Row],[Utilization %]]*Table1[[#This Row],[Efficiency %]]*Table1[[#This Row],[Quality %]], "")</f>
        <v>0.80635227272727272</v>
      </c>
      <c r="R586" s="48" t="s">
        <v>165</v>
      </c>
    </row>
    <row r="587" spans="1:18" ht="30" customHeight="1" x14ac:dyDescent="0.25">
      <c r="A587" s="47">
        <v>46161</v>
      </c>
      <c r="B587" s="48" t="s">
        <v>33</v>
      </c>
      <c r="C587" s="48" t="s">
        <v>39</v>
      </c>
      <c r="D587" s="48" t="s">
        <v>31</v>
      </c>
      <c r="E587" s="49">
        <v>6000</v>
      </c>
      <c r="F587" s="76">
        <v>3012</v>
      </c>
      <c r="G587" s="49">
        <v>0</v>
      </c>
      <c r="H587" s="50">
        <f>IFERROR(Table1[Re-process (Kg)]/Table1[Actual Production (Kg)], "")</f>
        <v>0</v>
      </c>
      <c r="I587" s="49">
        <f>IFERROR(Table1[[#This Row],[Actual Production (Kg)]]-Table1[[#This Row],[Re-process (Kg)]], "")</f>
        <v>3012</v>
      </c>
      <c r="J587" s="49">
        <v>22</v>
      </c>
      <c r="K587" s="72">
        <v>0</v>
      </c>
      <c r="L587" s="49">
        <f>IF(Table1[[#This Row],[Target Time (Hours)]]="","",Table1[[#This Row],[Target Time (Hours)]]-Table1[[#This Row],[Downtime (Hours)]])</f>
        <v>22</v>
      </c>
      <c r="M587" s="49">
        <f>IFERROR(Table1[[#This Row],[Capacity (Kg)]]/Table1[[#This Row],[Target Time (Hours)]] * Table1[[#This Row],[Downtime (Hours)]], "")</f>
        <v>0</v>
      </c>
      <c r="N587" s="50">
        <f>IFERROR(Table1[[#This Row],[Running Time (hr)]]/Table1[Target Time (Hours)], "")</f>
        <v>1</v>
      </c>
      <c r="O587" s="50">
        <f>IFERROR(Table1[[#This Row],[Actual Production (Kg)]]/Table1[Capacity (Kg)], "")</f>
        <v>0.502</v>
      </c>
      <c r="P587" s="50">
        <f>IFERROR(Table1[[#This Row],[Quality Pass Production]]/Table1[[#This Row],[Actual Production (Kg)]], "")</f>
        <v>1</v>
      </c>
      <c r="Q587" s="50">
        <f>IFERROR(Table1[[#This Row],[Utilization %]]*Table1[[#This Row],[Efficiency %]]*Table1[[#This Row],[Quality %]], "")</f>
        <v>0.502</v>
      </c>
      <c r="R587" s="48" t="s">
        <v>169</v>
      </c>
    </row>
    <row r="588" spans="1:18" ht="45" customHeight="1" x14ac:dyDescent="0.25">
      <c r="A588" s="54">
        <v>46161</v>
      </c>
      <c r="B588" s="55" t="s">
        <v>33</v>
      </c>
      <c r="C588" s="55" t="s">
        <v>40</v>
      </c>
      <c r="D588" s="55" t="s">
        <v>31</v>
      </c>
      <c r="E588" s="56">
        <v>5000</v>
      </c>
      <c r="F588" s="56">
        <v>2570</v>
      </c>
      <c r="G588" s="56">
        <v>0</v>
      </c>
      <c r="H588" s="58">
        <f>IFERROR(Table1[Re-process (Kg)]/Table1[Actual Production (Kg)], "")</f>
        <v>0</v>
      </c>
      <c r="I588" s="56">
        <f>IFERROR(Table1[[#This Row],[Actual Production (Kg)]]-Table1[[#This Row],[Re-process (Kg)]], "")</f>
        <v>2570</v>
      </c>
      <c r="J588" s="56">
        <v>22</v>
      </c>
      <c r="K588" s="55">
        <v>0</v>
      </c>
      <c r="L588" s="56">
        <f>IF(Table1[[#This Row],[Target Time (Hours)]]="","",Table1[[#This Row],[Target Time (Hours)]]-Table1[[#This Row],[Downtime (Hours)]])</f>
        <v>22</v>
      </c>
      <c r="M588" s="56">
        <f>IFERROR(Table1[[#This Row],[Capacity (Kg)]]/Table1[[#This Row],[Target Time (Hours)]] * Table1[[#This Row],[Downtime (Hours)]], "")</f>
        <v>0</v>
      </c>
      <c r="N588" s="58">
        <f>IFERROR(Table1[[#This Row],[Running Time (hr)]]/Table1[Target Time (Hours)], "")</f>
        <v>1</v>
      </c>
      <c r="O588" s="58">
        <f>IFERROR(Table1[[#This Row],[Actual Production (Kg)]]/Table1[Capacity (Kg)], "")</f>
        <v>0.51400000000000001</v>
      </c>
      <c r="P588" s="58">
        <f>IFERROR(Table1[[#This Row],[Quality Pass Production]]/Table1[[#This Row],[Actual Production (Kg)]], "")</f>
        <v>1</v>
      </c>
      <c r="Q588" s="58">
        <f>IFERROR(Table1[[#This Row],[Utilization %]]*Table1[[#This Row],[Efficiency %]]*Table1[[#This Row],[Quality %]], "")</f>
        <v>0.51400000000000001</v>
      </c>
      <c r="R588" s="55" t="s">
        <v>166</v>
      </c>
    </row>
    <row r="589" spans="1:18" ht="30" customHeight="1" x14ac:dyDescent="0.25">
      <c r="A589" s="47">
        <v>46162</v>
      </c>
      <c r="B589" s="48" t="s">
        <v>18</v>
      </c>
      <c r="C589" s="48" t="s">
        <v>19</v>
      </c>
      <c r="D589" s="48" t="s">
        <v>20</v>
      </c>
      <c r="E589" s="49">
        <v>10000</v>
      </c>
      <c r="F589" s="76">
        <v>8351</v>
      </c>
      <c r="G589" s="49">
        <v>0</v>
      </c>
      <c r="H589" s="50">
        <f>IFERROR(Table1[Re-process (Kg)]/Table1[Actual Production (Kg)], "")</f>
        <v>0</v>
      </c>
      <c r="I589" s="49">
        <f>IFERROR(Table1[[#This Row],[Actual Production (Kg)]]-Table1[[#This Row],[Re-process (Kg)]], "")</f>
        <v>8351</v>
      </c>
      <c r="J589" s="49">
        <v>22</v>
      </c>
      <c r="K589" s="72">
        <v>0</v>
      </c>
      <c r="L589" s="49">
        <f>IF(Table1[[#This Row],[Target Time (Hours)]]="","",Table1[[#This Row],[Target Time (Hours)]]-Table1[[#This Row],[Downtime (Hours)]])</f>
        <v>22</v>
      </c>
      <c r="M589" s="49">
        <f>IFERROR(Table1[[#This Row],[Capacity (Kg)]]/Table1[[#This Row],[Target Time (Hours)]] * Table1[[#This Row],[Downtime (Hours)]], "")</f>
        <v>0</v>
      </c>
      <c r="N589" s="50">
        <f>IFERROR(Table1[[#This Row],[Running Time (hr)]]/Table1[Target Time (Hours)], "")</f>
        <v>1</v>
      </c>
      <c r="O589" s="50">
        <f>IFERROR(Table1[[#This Row],[Actual Production (Kg)]]/Table1[Capacity (Kg)], "")</f>
        <v>0.83509999999999995</v>
      </c>
      <c r="P589" s="50">
        <f>IFERROR(Table1[[#This Row],[Quality Pass Production]]/Table1[[#This Row],[Actual Production (Kg)]], "")</f>
        <v>1</v>
      </c>
      <c r="Q589" s="50">
        <f>IFERROR(Table1[[#This Row],[Utilization %]]*Table1[[#This Row],[Efficiency %]]*Table1[[#This Row],[Quality %]], "")</f>
        <v>0.83509999999999995</v>
      </c>
    </row>
    <row r="590" spans="1:18" x14ac:dyDescent="0.25">
      <c r="A590" s="47">
        <v>46162</v>
      </c>
      <c r="B590" s="48" t="s">
        <v>18</v>
      </c>
      <c r="C590" s="48" t="s">
        <v>22</v>
      </c>
      <c r="D590" s="48" t="s">
        <v>23</v>
      </c>
      <c r="E590" s="49">
        <v>5000</v>
      </c>
      <c r="F590" s="76">
        <v>6314</v>
      </c>
      <c r="G590" s="49">
        <v>0</v>
      </c>
      <c r="H590" s="50">
        <f>IFERROR(Table1[Re-process (Kg)]/Table1[Actual Production (Kg)], "")</f>
        <v>0</v>
      </c>
      <c r="I590" s="49">
        <f>IFERROR(Table1[[#This Row],[Actual Production (Kg)]]-Table1[[#This Row],[Re-process (Kg)]], "")</f>
        <v>6314</v>
      </c>
      <c r="J590" s="49"/>
      <c r="K590" s="72">
        <v>0</v>
      </c>
      <c r="L590" s="49" t="str">
        <f>IF(Table1[[#This Row],[Target Time (Hours)]]="","",Table1[[#This Row],[Target Time (Hours)]]-Table1[[#This Row],[Downtime (Hours)]])</f>
        <v/>
      </c>
      <c r="M590" s="49" t="str">
        <f>IFERROR(Table1[[#This Row],[Capacity (Kg)]]/Table1[[#This Row],[Target Time (Hours)]] * Table1[[#This Row],[Downtime (Hours)]], "")</f>
        <v/>
      </c>
      <c r="N590" s="50" t="str">
        <f>IFERROR(Table1[[#This Row],[Running Time (hr)]]/Table1[Target Time (Hours)], "")</f>
        <v/>
      </c>
      <c r="O590" s="50">
        <f>IFERROR(Table1[[#This Row],[Actual Production (Kg)]]/Table1[Capacity (Kg)], "")</f>
        <v>1.2627999999999999</v>
      </c>
      <c r="P590" s="50">
        <f>IFERROR(Table1[[#This Row],[Quality Pass Production]]/Table1[[#This Row],[Actual Production (Kg)]], "")</f>
        <v>1</v>
      </c>
      <c r="Q590" s="50" t="str">
        <f>IFERROR(Table1[[#This Row],[Utilization %]]*Table1[[#This Row],[Efficiency %]]*Table1[[#This Row],[Quality %]], "")</f>
        <v/>
      </c>
    </row>
    <row r="591" spans="1:18" x14ac:dyDescent="0.25">
      <c r="A591" s="47">
        <v>46162</v>
      </c>
      <c r="B591" s="48" t="s">
        <v>18</v>
      </c>
      <c r="C591" s="48" t="s">
        <v>22</v>
      </c>
      <c r="D591" s="48" t="s">
        <v>25</v>
      </c>
      <c r="E591" s="49">
        <v>4000</v>
      </c>
      <c r="F591" s="76">
        <v>1360</v>
      </c>
      <c r="G591" s="49">
        <v>0</v>
      </c>
      <c r="H591" s="50">
        <f>IFERROR(Table1[Re-process (Kg)]/Table1[Actual Production (Kg)], "")</f>
        <v>0</v>
      </c>
      <c r="I591" s="49">
        <f>IFERROR(Table1[[#This Row],[Actual Production (Kg)]]-Table1[[#This Row],[Re-process (Kg)]], "")</f>
        <v>1360</v>
      </c>
      <c r="J591" s="49">
        <v>22</v>
      </c>
      <c r="K591" s="72">
        <v>0</v>
      </c>
      <c r="L591" s="49">
        <f>IF(Table1[[#This Row],[Target Time (Hours)]]="","",Table1[[#This Row],[Target Time (Hours)]]-Table1[[#This Row],[Downtime (Hours)]])</f>
        <v>22</v>
      </c>
      <c r="M591" s="49">
        <f>IFERROR(Table1[[#This Row],[Capacity (Kg)]]/Table1[[#This Row],[Target Time (Hours)]] * Table1[[#This Row],[Downtime (Hours)]], "")</f>
        <v>0</v>
      </c>
      <c r="N591" s="50">
        <f>IFERROR(Table1[[#This Row],[Running Time (hr)]]/Table1[Target Time (Hours)], "")</f>
        <v>1</v>
      </c>
      <c r="O591" s="50">
        <f>IFERROR(Table1[[#This Row],[Actual Production (Kg)]]/Table1[Capacity (Kg)], "")</f>
        <v>0.34</v>
      </c>
      <c r="P591" s="50">
        <f>IFERROR(Table1[[#This Row],[Quality Pass Production]]/Table1[[#This Row],[Actual Production (Kg)]], "")</f>
        <v>1</v>
      </c>
      <c r="Q591" s="50">
        <f>IFERROR(Table1[[#This Row],[Utilization %]]*Table1[[#This Row],[Efficiency %]]*Table1[[#This Row],[Quality %]], "")</f>
        <v>0.34</v>
      </c>
    </row>
    <row r="592" spans="1:18" ht="30" customHeight="1" x14ac:dyDescent="0.25">
      <c r="A592" s="47">
        <v>46162</v>
      </c>
      <c r="B592" s="48" t="s">
        <v>18</v>
      </c>
      <c r="C592" s="48" t="s">
        <v>26</v>
      </c>
      <c r="D592" s="48" t="s">
        <v>25</v>
      </c>
      <c r="E592" s="49">
        <v>7000</v>
      </c>
      <c r="F592" s="76">
        <v>6355</v>
      </c>
      <c r="G592" s="49">
        <v>0</v>
      </c>
      <c r="H592" s="50">
        <f>IFERROR(Table1[Re-process (Kg)]/Table1[Actual Production (Kg)], "")</f>
        <v>0</v>
      </c>
      <c r="I592" s="49">
        <f>IFERROR(Table1[[#This Row],[Actual Production (Kg)]]-Table1[[#This Row],[Re-process (Kg)]], "")</f>
        <v>6355</v>
      </c>
      <c r="J592" s="49">
        <v>22</v>
      </c>
      <c r="K592" s="72">
        <v>3</v>
      </c>
      <c r="L592" s="49">
        <f>IF(Table1[[#This Row],[Target Time (Hours)]]="","",Table1[[#This Row],[Target Time (Hours)]]-Table1[[#This Row],[Downtime (Hours)]])</f>
        <v>19</v>
      </c>
      <c r="M592" s="49">
        <f>IFERROR(Table1[[#This Row],[Capacity (Kg)]]/Table1[[#This Row],[Target Time (Hours)]] * Table1[[#This Row],[Downtime (Hours)]], "")</f>
        <v>954.5454545454545</v>
      </c>
      <c r="N592" s="50">
        <f>IFERROR(Table1[[#This Row],[Running Time (hr)]]/Table1[Target Time (Hours)], "")</f>
        <v>0.86363636363636365</v>
      </c>
      <c r="O592" s="50">
        <f>IFERROR(Table1[[#This Row],[Actual Production (Kg)]]/Table1[Capacity (Kg)], "")</f>
        <v>0.90785714285714281</v>
      </c>
      <c r="P592" s="50">
        <f>IFERROR(Table1[[#This Row],[Quality Pass Production]]/Table1[[#This Row],[Actual Production (Kg)]], "")</f>
        <v>1</v>
      </c>
      <c r="Q592" s="50">
        <f>IFERROR(Table1[[#This Row],[Utilization %]]*Table1[[#This Row],[Efficiency %]]*Table1[[#This Row],[Quality %]], "")</f>
        <v>0.78405844155844151</v>
      </c>
      <c r="R592" s="48" t="s">
        <v>170</v>
      </c>
    </row>
    <row r="593" spans="1:18" ht="30" customHeight="1" x14ac:dyDescent="0.25">
      <c r="A593" s="47">
        <v>46162</v>
      </c>
      <c r="B593" s="48" t="s">
        <v>18</v>
      </c>
      <c r="C593" s="48" t="s">
        <v>28</v>
      </c>
      <c r="D593" s="48" t="s">
        <v>29</v>
      </c>
      <c r="E593" s="49">
        <v>7800</v>
      </c>
      <c r="F593" s="76">
        <v>7474</v>
      </c>
      <c r="G593" s="49">
        <v>0</v>
      </c>
      <c r="H593" s="50">
        <f>IFERROR(Table1[Re-process (Kg)]/Table1[Actual Production (Kg)], "")</f>
        <v>0</v>
      </c>
      <c r="I593" s="49">
        <f>IFERROR(Table1[[#This Row],[Actual Production (Kg)]]-Table1[[#This Row],[Re-process (Kg)]], "")</f>
        <v>7474</v>
      </c>
      <c r="J593" s="49">
        <v>22</v>
      </c>
      <c r="K593" s="72">
        <v>0</v>
      </c>
      <c r="L593" s="49">
        <f>IF(Table1[[#This Row],[Target Time (Hours)]]="","",Table1[[#This Row],[Target Time (Hours)]]-Table1[[#This Row],[Downtime (Hours)]])</f>
        <v>22</v>
      </c>
      <c r="M593" s="49">
        <f>IFERROR(Table1[[#This Row],[Capacity (Kg)]]/Table1[[#This Row],[Target Time (Hours)]] * Table1[[#This Row],[Downtime (Hours)]], "")</f>
        <v>0</v>
      </c>
      <c r="N593" s="50">
        <f>IFERROR(Table1[[#This Row],[Running Time (hr)]]/Table1[Target Time (Hours)], "")</f>
        <v>1</v>
      </c>
      <c r="O593" s="50">
        <f>IFERROR(Table1[[#This Row],[Actual Production (Kg)]]/Table1[Capacity (Kg)], "")</f>
        <v>0.95820512820512815</v>
      </c>
      <c r="P593" s="50">
        <f>IFERROR(Table1[[#This Row],[Quality Pass Production]]/Table1[[#This Row],[Actual Production (Kg)]], "")</f>
        <v>1</v>
      </c>
      <c r="Q593" s="50">
        <f>IFERROR(Table1[[#This Row],[Utilization %]]*Table1[[#This Row],[Efficiency %]]*Table1[[#This Row],[Quality %]], "")</f>
        <v>0.95820512820512815</v>
      </c>
    </row>
    <row r="594" spans="1:18" ht="30" customHeight="1" x14ac:dyDescent="0.25">
      <c r="A594" s="51">
        <v>46162</v>
      </c>
      <c r="B594" s="27" t="s">
        <v>18</v>
      </c>
      <c r="C594" s="27" t="s">
        <v>135</v>
      </c>
      <c r="D594" s="27" t="s">
        <v>29</v>
      </c>
      <c r="E594" s="79"/>
      <c r="F594" s="53">
        <v>0</v>
      </c>
      <c r="G594" s="79"/>
      <c r="H594" s="57"/>
      <c r="I594" s="53"/>
      <c r="J594" s="79"/>
      <c r="K594" s="52"/>
      <c r="L594" s="53" t="str">
        <f>IF(Table1[[#This Row],[Target Time (Hours)]]="","",Table1[[#This Row],[Target Time (Hours)]]-Table1[[#This Row],[Downtime (Hours)]])</f>
        <v/>
      </c>
      <c r="M594" s="53"/>
      <c r="N594" s="57"/>
      <c r="O594" s="57"/>
      <c r="P594" s="57"/>
      <c r="Q594" s="57"/>
      <c r="R594" s="52" t="s">
        <v>156</v>
      </c>
    </row>
    <row r="595" spans="1:18" ht="30" customHeight="1" x14ac:dyDescent="0.25">
      <c r="A595" s="47">
        <v>46162</v>
      </c>
      <c r="B595" s="48" t="s">
        <v>18</v>
      </c>
      <c r="C595" s="48" t="s">
        <v>30</v>
      </c>
      <c r="D595" s="48" t="s">
        <v>31</v>
      </c>
      <c r="E595" s="49">
        <v>9000</v>
      </c>
      <c r="F595" s="76">
        <v>7570</v>
      </c>
      <c r="G595" s="49">
        <v>0</v>
      </c>
      <c r="H595" s="50">
        <f>IFERROR(Table1[Re-process (Kg)]/Table1[Actual Production (Kg)], "")</f>
        <v>0</v>
      </c>
      <c r="I595" s="49">
        <f>IFERROR(Table1[[#This Row],[Actual Production (Kg)]]-Table1[[#This Row],[Re-process (Kg)]], "")</f>
        <v>7570</v>
      </c>
      <c r="J595" s="49">
        <v>22</v>
      </c>
      <c r="K595" s="72">
        <v>0</v>
      </c>
      <c r="L595" s="49">
        <f>IF(Table1[[#This Row],[Target Time (Hours)]]="","",Table1[[#This Row],[Target Time (Hours)]]-Table1[[#This Row],[Downtime (Hours)]])</f>
        <v>22</v>
      </c>
      <c r="M595" s="49">
        <f>IFERROR(Table1[[#This Row],[Capacity (Kg)]]/Table1[[#This Row],[Target Time (Hours)]] * Table1[[#This Row],[Downtime (Hours)]], "")</f>
        <v>0</v>
      </c>
      <c r="N595" s="50">
        <f>IFERROR(Table1[[#This Row],[Running Time (hr)]]/Table1[Target Time (Hours)], "")</f>
        <v>1</v>
      </c>
      <c r="O595" s="50">
        <f>IFERROR(Table1[[#This Row],[Actual Production (Kg)]]/Table1[Capacity (Kg)], "")</f>
        <v>0.84111111111111114</v>
      </c>
      <c r="P595" s="50">
        <f>IFERROR(Table1[[#This Row],[Quality Pass Production]]/Table1[[#This Row],[Actual Production (Kg)]], "")</f>
        <v>1</v>
      </c>
      <c r="Q595" s="50">
        <f>IFERROR(Table1[[#This Row],[Utilization %]]*Table1[[#This Row],[Efficiency %]]*Table1[[#This Row],[Quality %]], "")</f>
        <v>0.84111111111111114</v>
      </c>
    </row>
    <row r="596" spans="1:18" ht="30" customHeight="1" x14ac:dyDescent="0.25">
      <c r="A596" s="51">
        <v>46162</v>
      </c>
      <c r="B596" s="27" t="s">
        <v>18</v>
      </c>
      <c r="C596" s="27" t="s">
        <v>32</v>
      </c>
      <c r="D596" s="27" t="s">
        <v>31</v>
      </c>
      <c r="E596" s="79">
        <f>Table1[[#This Row],[Actual Production (Kg)]]</f>
        <v>0</v>
      </c>
      <c r="F596" s="53">
        <v>0</v>
      </c>
      <c r="G596" s="79"/>
      <c r="H596" s="57"/>
      <c r="I596" s="53"/>
      <c r="J596" s="79"/>
      <c r="K596" s="52"/>
      <c r="L596" s="53" t="str">
        <f>IF(Table1[[#This Row],[Target Time (Hours)]]="","",Table1[[#This Row],[Target Time (Hours)]]-Table1[[#This Row],[Downtime (Hours)]])</f>
        <v/>
      </c>
      <c r="M596" s="53"/>
      <c r="N596" s="57"/>
      <c r="O596" s="57"/>
      <c r="P596" s="57"/>
      <c r="Q596" s="57"/>
      <c r="R596" s="52" t="s">
        <v>156</v>
      </c>
    </row>
    <row r="597" spans="1:18" ht="30" customHeight="1" x14ac:dyDescent="0.25">
      <c r="A597" s="47">
        <v>46162</v>
      </c>
      <c r="B597" s="48" t="s">
        <v>33</v>
      </c>
      <c r="C597" s="48" t="s">
        <v>34</v>
      </c>
      <c r="D597" s="48" t="s">
        <v>35</v>
      </c>
      <c r="E597" s="49">
        <v>9000</v>
      </c>
      <c r="F597" s="76">
        <v>7652</v>
      </c>
      <c r="G597" s="49">
        <v>0</v>
      </c>
      <c r="H597" s="50">
        <f>IFERROR(Table1[Re-process (Kg)]/Table1[Actual Production (Kg)], "")</f>
        <v>0</v>
      </c>
      <c r="I597" s="49">
        <f>IFERROR(Table1[[#This Row],[Actual Production (Kg)]]-Table1[[#This Row],[Re-process (Kg)]], "")</f>
        <v>7652</v>
      </c>
      <c r="J597" s="49">
        <v>22</v>
      </c>
      <c r="K597" s="72">
        <v>0</v>
      </c>
      <c r="L597" s="49">
        <f>IF(Table1[[#This Row],[Target Time (Hours)]]="","",Table1[[#This Row],[Target Time (Hours)]]-Table1[[#This Row],[Downtime (Hours)]])</f>
        <v>22</v>
      </c>
      <c r="M597" s="49">
        <f>IFERROR(Table1[[#This Row],[Capacity (Kg)]]/Table1[[#This Row],[Target Time (Hours)]] * Table1[[#This Row],[Downtime (Hours)]], "")</f>
        <v>0</v>
      </c>
      <c r="N597" s="50">
        <f>IFERROR(Table1[[#This Row],[Running Time (hr)]]/Table1[Target Time (Hours)], "")</f>
        <v>1</v>
      </c>
      <c r="O597" s="50">
        <f>IFERROR(Table1[[#This Row],[Actual Production (Kg)]]/Table1[Capacity (Kg)], "")</f>
        <v>0.85022222222222221</v>
      </c>
      <c r="P597" s="50">
        <f>IFERROR(Table1[[#This Row],[Quality Pass Production]]/Table1[[#This Row],[Actual Production (Kg)]], "")</f>
        <v>1</v>
      </c>
      <c r="Q597" s="50">
        <f>IFERROR(Table1[[#This Row],[Utilization %]]*Table1[[#This Row],[Efficiency %]]*Table1[[#This Row],[Quality %]], "")</f>
        <v>0.85022222222222221</v>
      </c>
      <c r="R597" s="48" t="s">
        <v>157</v>
      </c>
    </row>
    <row r="598" spans="1:18" ht="45" customHeight="1" x14ac:dyDescent="0.25">
      <c r="A598" s="47">
        <v>46162</v>
      </c>
      <c r="B598" s="48" t="s">
        <v>33</v>
      </c>
      <c r="C598" s="48" t="s">
        <v>36</v>
      </c>
      <c r="D598" s="48" t="s">
        <v>37</v>
      </c>
      <c r="E598" s="49">
        <v>8000</v>
      </c>
      <c r="F598" s="76">
        <v>7653</v>
      </c>
      <c r="G598" s="49">
        <v>0</v>
      </c>
      <c r="H598" s="50">
        <f>IFERROR(Table1[Re-process (Kg)]/Table1[Actual Production (Kg)], "")</f>
        <v>0</v>
      </c>
      <c r="I598" s="49">
        <f>IFERROR(Table1[[#This Row],[Actual Production (Kg)]]-Table1[[#This Row],[Re-process (Kg)]], "")</f>
        <v>7653</v>
      </c>
      <c r="J598" s="49">
        <v>22</v>
      </c>
      <c r="K598" s="72">
        <v>1</v>
      </c>
      <c r="L598" s="49">
        <f>IF(Table1[[#This Row],[Target Time (Hours)]]="","",Table1[[#This Row],[Target Time (Hours)]]-Table1[[#This Row],[Downtime (Hours)]])</f>
        <v>21</v>
      </c>
      <c r="M598" s="49">
        <f>IFERROR(Table1[[#This Row],[Capacity (Kg)]]/Table1[[#This Row],[Target Time (Hours)]] * Table1[[#This Row],[Downtime (Hours)]], "")</f>
        <v>363.63636363636363</v>
      </c>
      <c r="N598" s="50">
        <f>IFERROR(Table1[[#This Row],[Running Time (hr)]]/Table1[Target Time (Hours)], "")</f>
        <v>0.95454545454545459</v>
      </c>
      <c r="O598" s="50">
        <f>IFERROR(Table1[[#This Row],[Actual Production (Kg)]]/Table1[Capacity (Kg)], "")</f>
        <v>0.95662499999999995</v>
      </c>
      <c r="P598" s="50">
        <f>IFERROR(Table1[[#This Row],[Quality Pass Production]]/Table1[[#This Row],[Actual Production (Kg)]], "")</f>
        <v>1</v>
      </c>
      <c r="Q598" s="50">
        <f>IFERROR(Table1[[#This Row],[Utilization %]]*Table1[[#This Row],[Efficiency %]]*Table1[[#This Row],[Quality %]], "")</f>
        <v>0.91314204545454547</v>
      </c>
      <c r="R598" s="48" t="s">
        <v>165</v>
      </c>
    </row>
    <row r="599" spans="1:18" ht="30" customHeight="1" x14ac:dyDescent="0.25">
      <c r="A599" s="47">
        <v>46162</v>
      </c>
      <c r="B599" s="48" t="s">
        <v>33</v>
      </c>
      <c r="C599" s="48" t="s">
        <v>39</v>
      </c>
      <c r="D599" s="48" t="s">
        <v>31</v>
      </c>
      <c r="E599" s="49">
        <v>6000</v>
      </c>
      <c r="F599" s="76">
        <v>2845</v>
      </c>
      <c r="G599" s="49">
        <v>0</v>
      </c>
      <c r="H599" s="50">
        <f>IFERROR(Table1[Re-process (Kg)]/Table1[Actual Production (Kg)], "")</f>
        <v>0</v>
      </c>
      <c r="I599" s="49">
        <f>IFERROR(Table1[[#This Row],[Actual Production (Kg)]]-Table1[[#This Row],[Re-process (Kg)]], "")</f>
        <v>2845</v>
      </c>
      <c r="J599" s="49">
        <v>22</v>
      </c>
      <c r="K599" s="72">
        <v>0</v>
      </c>
      <c r="L599" s="49">
        <f>IF(Table1[[#This Row],[Target Time (Hours)]]="","",Table1[[#This Row],[Target Time (Hours)]]-Table1[[#This Row],[Downtime (Hours)]])</f>
        <v>22</v>
      </c>
      <c r="M599" s="49">
        <f>IFERROR(Table1[[#This Row],[Capacity (Kg)]]/Table1[[#This Row],[Target Time (Hours)]] * Table1[[#This Row],[Downtime (Hours)]], "")</f>
        <v>0</v>
      </c>
      <c r="N599" s="50">
        <f>IFERROR(Table1[[#This Row],[Running Time (hr)]]/Table1[Target Time (Hours)], "")</f>
        <v>1</v>
      </c>
      <c r="O599" s="50">
        <f>IFERROR(Table1[[#This Row],[Actual Production (Kg)]]/Table1[Capacity (Kg)], "")</f>
        <v>0.47416666666666668</v>
      </c>
      <c r="P599" s="50">
        <f>IFERROR(Table1[[#This Row],[Quality Pass Production]]/Table1[[#This Row],[Actual Production (Kg)]], "")</f>
        <v>1</v>
      </c>
      <c r="Q599" s="50">
        <f>IFERROR(Table1[[#This Row],[Utilization %]]*Table1[[#This Row],[Efficiency %]]*Table1[[#This Row],[Quality %]], "")</f>
        <v>0.47416666666666668</v>
      </c>
      <c r="R599" s="48" t="s">
        <v>161</v>
      </c>
    </row>
    <row r="600" spans="1:18" ht="45" customHeight="1" x14ac:dyDescent="0.25">
      <c r="A600" s="54">
        <v>46162</v>
      </c>
      <c r="B600" s="55" t="s">
        <v>33</v>
      </c>
      <c r="C600" s="55" t="s">
        <v>40</v>
      </c>
      <c r="D600" s="55" t="s">
        <v>31</v>
      </c>
      <c r="E600" s="56">
        <v>5000</v>
      </c>
      <c r="F600" s="56">
        <v>4571</v>
      </c>
      <c r="G600" s="56">
        <v>0</v>
      </c>
      <c r="H600" s="58">
        <f>IFERROR(Table1[Re-process (Kg)]/Table1[Actual Production (Kg)], "")</f>
        <v>0</v>
      </c>
      <c r="I600" s="56">
        <f>IFERROR(Table1[[#This Row],[Actual Production (Kg)]]-Table1[[#This Row],[Re-process (Kg)]], "")</f>
        <v>4571</v>
      </c>
      <c r="J600" s="56">
        <v>22</v>
      </c>
      <c r="K600" s="55">
        <v>0</v>
      </c>
      <c r="L600" s="56">
        <f>IF(Table1[[#This Row],[Target Time (Hours)]]="","",Table1[[#This Row],[Target Time (Hours)]]-Table1[[#This Row],[Downtime (Hours)]])</f>
        <v>22</v>
      </c>
      <c r="M600" s="56">
        <f>IFERROR(Table1[[#This Row],[Capacity (Kg)]]/Table1[[#This Row],[Target Time (Hours)]] * Table1[[#This Row],[Downtime (Hours)]], "")</f>
        <v>0</v>
      </c>
      <c r="N600" s="58">
        <f>IFERROR(Table1[[#This Row],[Running Time (hr)]]/Table1[Target Time (Hours)], "")</f>
        <v>1</v>
      </c>
      <c r="O600" s="58">
        <f>IFERROR(Table1[[#This Row],[Actual Production (Kg)]]/Table1[Capacity (Kg)], "")</f>
        <v>0.91420000000000001</v>
      </c>
      <c r="P600" s="58">
        <f>IFERROR(Table1[[#This Row],[Quality Pass Production]]/Table1[[#This Row],[Actual Production (Kg)]], "")</f>
        <v>1</v>
      </c>
      <c r="Q600" s="58">
        <f>IFERROR(Table1[[#This Row],[Utilization %]]*Table1[[#This Row],[Efficiency %]]*Table1[[#This Row],[Quality %]], "")</f>
        <v>0.91420000000000001</v>
      </c>
      <c r="R600" s="55" t="s">
        <v>166</v>
      </c>
    </row>
    <row r="601" spans="1:18" ht="30" customHeight="1" x14ac:dyDescent="0.25">
      <c r="A601" s="47">
        <v>46163</v>
      </c>
      <c r="B601" s="48" t="s">
        <v>18</v>
      </c>
      <c r="C601" s="48" t="s">
        <v>19</v>
      </c>
      <c r="D601" s="48" t="s">
        <v>20</v>
      </c>
      <c r="E601" s="49">
        <v>10000</v>
      </c>
      <c r="F601" s="76">
        <v>9481</v>
      </c>
      <c r="G601" s="49">
        <v>0</v>
      </c>
      <c r="H601" s="50">
        <f>IFERROR(Table1[Re-process (Kg)]/Table1[Actual Production (Kg)], "")</f>
        <v>0</v>
      </c>
      <c r="I601" s="49">
        <f>IFERROR(Table1[[#This Row],[Actual Production (Kg)]]-Table1[[#This Row],[Re-process (Kg)]], "")</f>
        <v>9481</v>
      </c>
      <c r="J601" s="49">
        <v>22</v>
      </c>
      <c r="K601" s="72">
        <v>0</v>
      </c>
      <c r="L601" s="49">
        <f>IF(Table1[[#This Row],[Target Time (Hours)]]="","",Table1[[#This Row],[Target Time (Hours)]]-Table1[[#This Row],[Downtime (Hours)]])</f>
        <v>22</v>
      </c>
      <c r="M601" s="49">
        <f>IFERROR(Table1[[#This Row],[Capacity (Kg)]]/Table1[[#This Row],[Target Time (Hours)]] * Table1[[#This Row],[Downtime (Hours)]], "")</f>
        <v>0</v>
      </c>
      <c r="N601" s="50">
        <f>IFERROR(Table1[[#This Row],[Running Time (hr)]]/Table1[Target Time (Hours)], "")</f>
        <v>1</v>
      </c>
      <c r="O601" s="50">
        <f>IFERROR(Table1[[#This Row],[Actual Production (Kg)]]/Table1[Capacity (Kg)], "")</f>
        <v>0.94810000000000005</v>
      </c>
      <c r="P601" s="50">
        <f>IFERROR(Table1[[#This Row],[Quality Pass Production]]/Table1[[#This Row],[Actual Production (Kg)]], "")</f>
        <v>1</v>
      </c>
      <c r="Q601" s="50">
        <f>IFERROR(Table1[[#This Row],[Utilization %]]*Table1[[#This Row],[Efficiency %]]*Table1[[#This Row],[Quality %]], "")</f>
        <v>0.94810000000000005</v>
      </c>
    </row>
    <row r="602" spans="1:18" x14ac:dyDescent="0.25">
      <c r="A602" s="47">
        <v>46163</v>
      </c>
      <c r="B602" s="48" t="s">
        <v>18</v>
      </c>
      <c r="C602" s="48" t="s">
        <v>22</v>
      </c>
      <c r="D602" s="48" t="s">
        <v>23</v>
      </c>
      <c r="E602" s="49">
        <v>5000</v>
      </c>
      <c r="F602" s="76">
        <v>1923</v>
      </c>
      <c r="G602" s="49">
        <v>0</v>
      </c>
      <c r="H602" s="50">
        <f>IFERROR(Table1[Re-process (Kg)]/Table1[Actual Production (Kg)], "")</f>
        <v>0</v>
      </c>
      <c r="I602" s="49">
        <f>IFERROR(Table1[[#This Row],[Actual Production (Kg)]]-Table1[[#This Row],[Re-process (Kg)]], "")</f>
        <v>1923</v>
      </c>
      <c r="J602" s="49"/>
      <c r="K602" s="72">
        <v>0</v>
      </c>
      <c r="L602" s="49" t="str">
        <f>IF(Table1[[#This Row],[Target Time (Hours)]]="","",Table1[[#This Row],[Target Time (Hours)]]-Table1[[#This Row],[Downtime (Hours)]])</f>
        <v/>
      </c>
      <c r="M602" s="49" t="str">
        <f>IFERROR(Table1[[#This Row],[Capacity (Kg)]]/Table1[[#This Row],[Target Time (Hours)]] * Table1[[#This Row],[Downtime (Hours)]], "")</f>
        <v/>
      </c>
      <c r="N602" s="50" t="str">
        <f>IFERROR(Table1[[#This Row],[Running Time (hr)]]/Table1[Target Time (Hours)], "")</f>
        <v/>
      </c>
      <c r="O602" s="50">
        <f>IFERROR(Table1[[#This Row],[Actual Production (Kg)]]/Table1[Capacity (Kg)], "")</f>
        <v>0.3846</v>
      </c>
      <c r="P602" s="50">
        <f>IFERROR(Table1[[#This Row],[Quality Pass Production]]/Table1[[#This Row],[Actual Production (Kg)]], "")</f>
        <v>1</v>
      </c>
      <c r="Q602" s="50" t="str">
        <f>IFERROR(Table1[[#This Row],[Utilization %]]*Table1[[#This Row],[Efficiency %]]*Table1[[#This Row],[Quality %]], "")</f>
        <v/>
      </c>
    </row>
    <row r="603" spans="1:18" x14ac:dyDescent="0.25">
      <c r="A603" s="47">
        <v>46163</v>
      </c>
      <c r="B603" s="48" t="s">
        <v>18</v>
      </c>
      <c r="C603" s="48" t="s">
        <v>22</v>
      </c>
      <c r="D603" s="48" t="s">
        <v>25</v>
      </c>
      <c r="E603" s="49">
        <v>4000</v>
      </c>
      <c r="F603" s="76">
        <v>6764</v>
      </c>
      <c r="G603" s="49">
        <v>0</v>
      </c>
      <c r="H603" s="50">
        <f>IFERROR(Table1[Re-process (Kg)]/Table1[Actual Production (Kg)], "")</f>
        <v>0</v>
      </c>
      <c r="I603" s="49">
        <f>IFERROR(Table1[[#This Row],[Actual Production (Kg)]]-Table1[[#This Row],[Re-process (Kg)]], "")</f>
        <v>6764</v>
      </c>
      <c r="J603" s="49">
        <v>22</v>
      </c>
      <c r="K603" s="72">
        <v>0</v>
      </c>
      <c r="L603" s="49">
        <f>IF(Table1[[#This Row],[Target Time (Hours)]]="","",Table1[[#This Row],[Target Time (Hours)]]-Table1[[#This Row],[Downtime (Hours)]])</f>
        <v>22</v>
      </c>
      <c r="M603" s="49">
        <f>IFERROR(Table1[[#This Row],[Capacity (Kg)]]/Table1[[#This Row],[Target Time (Hours)]] * Table1[[#This Row],[Downtime (Hours)]], "")</f>
        <v>0</v>
      </c>
      <c r="N603" s="50">
        <f>IFERROR(Table1[[#This Row],[Running Time (hr)]]/Table1[Target Time (Hours)], "")</f>
        <v>1</v>
      </c>
      <c r="O603" s="50">
        <f>IFERROR(Table1[[#This Row],[Actual Production (Kg)]]/Table1[Capacity (Kg)], "")</f>
        <v>1.6910000000000001</v>
      </c>
      <c r="P603" s="50">
        <f>IFERROR(Table1[[#This Row],[Quality Pass Production]]/Table1[[#This Row],[Actual Production (Kg)]], "")</f>
        <v>1</v>
      </c>
      <c r="Q603" s="50">
        <f>IFERROR(Table1[[#This Row],[Utilization %]]*Table1[[#This Row],[Efficiency %]]*Table1[[#This Row],[Quality %]], "")</f>
        <v>1.6910000000000001</v>
      </c>
    </row>
    <row r="604" spans="1:18" x14ac:dyDescent="0.25">
      <c r="A604" s="47">
        <v>46163</v>
      </c>
      <c r="B604" s="48" t="s">
        <v>18</v>
      </c>
      <c r="C604" s="48" t="s">
        <v>26</v>
      </c>
      <c r="D604" s="48" t="s">
        <v>25</v>
      </c>
      <c r="E604" s="49">
        <v>7000</v>
      </c>
      <c r="F604" s="76">
        <v>7524</v>
      </c>
      <c r="G604" s="49">
        <v>0</v>
      </c>
      <c r="H604" s="50">
        <f>IFERROR(Table1[Re-process (Kg)]/Table1[Actual Production (Kg)], "")</f>
        <v>0</v>
      </c>
      <c r="I604" s="49">
        <f>IFERROR(Table1[[#This Row],[Actual Production (Kg)]]-Table1[[#This Row],[Re-process (Kg)]], "")</f>
        <v>7524</v>
      </c>
      <c r="J604" s="49">
        <v>22</v>
      </c>
      <c r="K604" s="72">
        <v>3</v>
      </c>
      <c r="L604" s="49">
        <f>IF(Table1[[#This Row],[Target Time (Hours)]]="","",Table1[[#This Row],[Target Time (Hours)]]-Table1[[#This Row],[Downtime (Hours)]])</f>
        <v>19</v>
      </c>
      <c r="M604" s="49">
        <f>IFERROR(Table1[[#This Row],[Capacity (Kg)]]/Table1[[#This Row],[Target Time (Hours)]] * Table1[[#This Row],[Downtime (Hours)]], "")</f>
        <v>954.5454545454545</v>
      </c>
      <c r="N604" s="50">
        <f>IFERROR(Table1[[#This Row],[Running Time (hr)]]/Table1[Target Time (Hours)], "")</f>
        <v>0.86363636363636365</v>
      </c>
      <c r="O604" s="50">
        <f>IFERROR(Table1[[#This Row],[Actual Production (Kg)]]/Table1[Capacity (Kg)], "")</f>
        <v>1.074857142857143</v>
      </c>
      <c r="P604" s="50">
        <f>IFERROR(Table1[[#This Row],[Quality Pass Production]]/Table1[[#This Row],[Actual Production (Kg)]], "")</f>
        <v>1</v>
      </c>
      <c r="Q604" s="50">
        <f>IFERROR(Table1[[#This Row],[Utilization %]]*Table1[[#This Row],[Efficiency %]]*Table1[[#This Row],[Quality %]], "")</f>
        <v>0.92828571428571438</v>
      </c>
    </row>
    <row r="605" spans="1:18" ht="30" customHeight="1" x14ac:dyDescent="0.25">
      <c r="A605" s="47">
        <v>46163</v>
      </c>
      <c r="B605" s="48" t="s">
        <v>18</v>
      </c>
      <c r="C605" s="48" t="s">
        <v>28</v>
      </c>
      <c r="D605" s="48" t="s">
        <v>29</v>
      </c>
      <c r="E605" s="49">
        <v>7800</v>
      </c>
      <c r="F605" s="76">
        <v>6524</v>
      </c>
      <c r="G605" s="49">
        <v>0</v>
      </c>
      <c r="H605" s="50">
        <f>IFERROR(Table1[Re-process (Kg)]/Table1[Actual Production (Kg)], "")</f>
        <v>0</v>
      </c>
      <c r="I605" s="49">
        <f>IFERROR(Table1[[#This Row],[Actual Production (Kg)]]-Table1[[#This Row],[Re-process (Kg)]], "")</f>
        <v>6524</v>
      </c>
      <c r="J605" s="49">
        <v>22</v>
      </c>
      <c r="K605" s="72">
        <v>0</v>
      </c>
      <c r="L605" s="49">
        <f>IF(Table1[[#This Row],[Target Time (Hours)]]="","",Table1[[#This Row],[Target Time (Hours)]]-Table1[[#This Row],[Downtime (Hours)]])</f>
        <v>22</v>
      </c>
      <c r="M605" s="49">
        <f>IFERROR(Table1[[#This Row],[Capacity (Kg)]]/Table1[[#This Row],[Target Time (Hours)]] * Table1[[#This Row],[Downtime (Hours)]], "")</f>
        <v>0</v>
      </c>
      <c r="N605" s="50">
        <f>IFERROR(Table1[[#This Row],[Running Time (hr)]]/Table1[Target Time (Hours)], "")</f>
        <v>1</v>
      </c>
      <c r="O605" s="50">
        <f>IFERROR(Table1[[#This Row],[Actual Production (Kg)]]/Table1[Capacity (Kg)], "")</f>
        <v>0.83641025641025646</v>
      </c>
      <c r="P605" s="50">
        <f>IFERROR(Table1[[#This Row],[Quality Pass Production]]/Table1[[#This Row],[Actual Production (Kg)]], "")</f>
        <v>1</v>
      </c>
      <c r="Q605" s="50">
        <f>IFERROR(Table1[[#This Row],[Utilization %]]*Table1[[#This Row],[Efficiency %]]*Table1[[#This Row],[Quality %]], "")</f>
        <v>0.83641025641025646</v>
      </c>
      <c r="R605" s="48" t="s">
        <v>171</v>
      </c>
    </row>
    <row r="606" spans="1:18" ht="30" customHeight="1" x14ac:dyDescent="0.25">
      <c r="A606" s="51">
        <v>46163</v>
      </c>
      <c r="B606" s="27" t="s">
        <v>18</v>
      </c>
      <c r="C606" s="27" t="s">
        <v>135</v>
      </c>
      <c r="D606" s="27" t="s">
        <v>29</v>
      </c>
      <c r="E606" s="79"/>
      <c r="F606" s="53">
        <v>0</v>
      </c>
      <c r="G606" s="79"/>
      <c r="H606" s="57"/>
      <c r="I606" s="53"/>
      <c r="J606" s="79"/>
      <c r="K606" s="52"/>
      <c r="L606" s="53" t="str">
        <f>IF(Table1[[#This Row],[Target Time (Hours)]]="","",Table1[[#This Row],[Target Time (Hours)]]-Table1[[#This Row],[Downtime (Hours)]])</f>
        <v/>
      </c>
      <c r="M606" s="53"/>
      <c r="N606" s="57"/>
      <c r="O606" s="57"/>
      <c r="P606" s="57"/>
      <c r="Q606" s="57"/>
      <c r="R606" s="52" t="s">
        <v>156</v>
      </c>
    </row>
    <row r="607" spans="1:18" ht="30" customHeight="1" x14ac:dyDescent="0.25">
      <c r="A607" s="47">
        <v>46163</v>
      </c>
      <c r="B607" s="48" t="s">
        <v>18</v>
      </c>
      <c r="C607" s="48" t="s">
        <v>30</v>
      </c>
      <c r="D607" s="48" t="s">
        <v>31</v>
      </c>
      <c r="E607" s="49">
        <v>9000</v>
      </c>
      <c r="F607" s="76">
        <v>8501</v>
      </c>
      <c r="G607" s="49">
        <v>0</v>
      </c>
      <c r="H607" s="50">
        <f>IFERROR(Table1[Re-process (Kg)]/Table1[Actual Production (Kg)], "")</f>
        <v>0</v>
      </c>
      <c r="I607" s="49">
        <f>IFERROR(Table1[[#This Row],[Actual Production (Kg)]]-Table1[[#This Row],[Re-process (Kg)]], "")</f>
        <v>8501</v>
      </c>
      <c r="J607" s="49">
        <v>22</v>
      </c>
      <c r="K607" s="72">
        <v>0</v>
      </c>
      <c r="L607" s="49">
        <f>IF(Table1[[#This Row],[Target Time (Hours)]]="","",Table1[[#This Row],[Target Time (Hours)]]-Table1[[#This Row],[Downtime (Hours)]])</f>
        <v>22</v>
      </c>
      <c r="M607" s="49">
        <f>IFERROR(Table1[[#This Row],[Capacity (Kg)]]/Table1[[#This Row],[Target Time (Hours)]] * Table1[[#This Row],[Downtime (Hours)]], "")</f>
        <v>0</v>
      </c>
      <c r="N607" s="50">
        <f>IFERROR(Table1[[#This Row],[Running Time (hr)]]/Table1[Target Time (Hours)], "")</f>
        <v>1</v>
      </c>
      <c r="O607" s="50">
        <f>IFERROR(Table1[[#This Row],[Actual Production (Kg)]]/Table1[Capacity (Kg)], "")</f>
        <v>0.94455555555555559</v>
      </c>
      <c r="P607" s="50">
        <f>IFERROR(Table1[[#This Row],[Quality Pass Production]]/Table1[[#This Row],[Actual Production (Kg)]], "")</f>
        <v>1</v>
      </c>
      <c r="Q607" s="50">
        <f>IFERROR(Table1[[#This Row],[Utilization %]]*Table1[[#This Row],[Efficiency %]]*Table1[[#This Row],[Quality %]], "")</f>
        <v>0.94455555555555559</v>
      </c>
    </row>
    <row r="608" spans="1:18" ht="30" customHeight="1" x14ac:dyDescent="0.25">
      <c r="A608" s="51">
        <v>46163</v>
      </c>
      <c r="B608" s="27" t="s">
        <v>18</v>
      </c>
      <c r="C608" s="27" t="s">
        <v>32</v>
      </c>
      <c r="D608" s="27" t="s">
        <v>31</v>
      </c>
      <c r="E608" s="79">
        <f>Table1[[#This Row],[Actual Production (Kg)]]</f>
        <v>0</v>
      </c>
      <c r="F608" s="53">
        <v>0</v>
      </c>
      <c r="G608" s="79"/>
      <c r="H608" s="57"/>
      <c r="I608" s="53"/>
      <c r="J608" s="79"/>
      <c r="K608" s="52"/>
      <c r="L608" s="53" t="str">
        <f>IF(Table1[[#This Row],[Target Time (Hours)]]="","",Table1[[#This Row],[Target Time (Hours)]]-Table1[[#This Row],[Downtime (Hours)]])</f>
        <v/>
      </c>
      <c r="M608" s="53"/>
      <c r="N608" s="57"/>
      <c r="O608" s="57"/>
      <c r="P608" s="57"/>
      <c r="Q608" s="57"/>
      <c r="R608" s="52" t="s">
        <v>156</v>
      </c>
    </row>
    <row r="609" spans="1:18" ht="30" customHeight="1" x14ac:dyDescent="0.25">
      <c r="A609" s="47">
        <v>46163</v>
      </c>
      <c r="B609" s="48" t="s">
        <v>33</v>
      </c>
      <c r="C609" s="48" t="s">
        <v>34</v>
      </c>
      <c r="D609" s="48" t="s">
        <v>35</v>
      </c>
      <c r="E609" s="49">
        <v>9000</v>
      </c>
      <c r="F609" s="76">
        <v>5446</v>
      </c>
      <c r="G609" s="49">
        <v>0</v>
      </c>
      <c r="H609" s="50">
        <f>IFERROR(Table1[Re-process (Kg)]/Table1[Actual Production (Kg)], "")</f>
        <v>0</v>
      </c>
      <c r="I609" s="49">
        <f>IFERROR(Table1[[#This Row],[Actual Production (Kg)]]-Table1[[#This Row],[Re-process (Kg)]], "")</f>
        <v>5446</v>
      </c>
      <c r="J609" s="49">
        <v>22</v>
      </c>
      <c r="K609" s="72">
        <v>0</v>
      </c>
      <c r="L609" s="49">
        <f>IF(Table1[[#This Row],[Target Time (Hours)]]="","",Table1[[#This Row],[Target Time (Hours)]]-Table1[[#This Row],[Downtime (Hours)]])</f>
        <v>22</v>
      </c>
      <c r="M609" s="49">
        <f>IFERROR(Table1[[#This Row],[Capacity (Kg)]]/Table1[[#This Row],[Target Time (Hours)]] * Table1[[#This Row],[Downtime (Hours)]], "")</f>
        <v>0</v>
      </c>
      <c r="N609" s="50">
        <f>IFERROR(Table1[[#This Row],[Running Time (hr)]]/Table1[Target Time (Hours)], "")</f>
        <v>1</v>
      </c>
      <c r="O609" s="50">
        <f>IFERROR(Table1[[#This Row],[Actual Production (Kg)]]/Table1[Capacity (Kg)], "")</f>
        <v>0.60511111111111116</v>
      </c>
      <c r="P609" s="50">
        <f>IFERROR(Table1[[#This Row],[Quality Pass Production]]/Table1[[#This Row],[Actual Production (Kg)]], "")</f>
        <v>1</v>
      </c>
      <c r="Q609" s="50">
        <f>IFERROR(Table1[[#This Row],[Utilization %]]*Table1[[#This Row],[Efficiency %]]*Table1[[#This Row],[Quality %]], "")</f>
        <v>0.60511111111111116</v>
      </c>
      <c r="R609" s="48" t="s">
        <v>157</v>
      </c>
    </row>
    <row r="610" spans="1:18" ht="45" customHeight="1" x14ac:dyDescent="0.25">
      <c r="A610" s="47">
        <v>46163</v>
      </c>
      <c r="B610" s="48" t="s">
        <v>33</v>
      </c>
      <c r="C610" s="48" t="s">
        <v>36</v>
      </c>
      <c r="D610" s="48" t="s">
        <v>37</v>
      </c>
      <c r="E610" s="49">
        <v>8000</v>
      </c>
      <c r="F610" s="76">
        <v>6201</v>
      </c>
      <c r="G610" s="49">
        <v>0</v>
      </c>
      <c r="H610" s="50">
        <f>IFERROR(Table1[Re-process (Kg)]/Table1[Actual Production (Kg)], "")</f>
        <v>0</v>
      </c>
      <c r="I610" s="49">
        <f>IFERROR(Table1[[#This Row],[Actual Production (Kg)]]-Table1[[#This Row],[Re-process (Kg)]], "")</f>
        <v>6201</v>
      </c>
      <c r="J610" s="49">
        <v>22</v>
      </c>
      <c r="K610" s="72">
        <v>1</v>
      </c>
      <c r="L610" s="49">
        <f>IF(Table1[[#This Row],[Target Time (Hours)]]="","",Table1[[#This Row],[Target Time (Hours)]]-Table1[[#This Row],[Downtime (Hours)]])</f>
        <v>21</v>
      </c>
      <c r="M610" s="49">
        <f>IFERROR(Table1[[#This Row],[Capacity (Kg)]]/Table1[[#This Row],[Target Time (Hours)]] * Table1[[#This Row],[Downtime (Hours)]], "")</f>
        <v>363.63636363636363</v>
      </c>
      <c r="N610" s="50">
        <f>IFERROR(Table1[[#This Row],[Running Time (hr)]]/Table1[Target Time (Hours)], "")</f>
        <v>0.95454545454545459</v>
      </c>
      <c r="O610" s="50">
        <f>IFERROR(Table1[[#This Row],[Actual Production (Kg)]]/Table1[Capacity (Kg)], "")</f>
        <v>0.77512499999999995</v>
      </c>
      <c r="P610" s="50">
        <f>IFERROR(Table1[[#This Row],[Quality Pass Production]]/Table1[[#This Row],[Actual Production (Kg)]], "")</f>
        <v>1</v>
      </c>
      <c r="Q610" s="50">
        <f>IFERROR(Table1[[#This Row],[Utilization %]]*Table1[[#This Row],[Efficiency %]]*Table1[[#This Row],[Quality %]], "")</f>
        <v>0.73989204545454546</v>
      </c>
      <c r="R610" s="48" t="s">
        <v>165</v>
      </c>
    </row>
    <row r="611" spans="1:18" ht="30" customHeight="1" x14ac:dyDescent="0.25">
      <c r="A611" s="47">
        <v>46163</v>
      </c>
      <c r="B611" s="48" t="s">
        <v>33</v>
      </c>
      <c r="C611" s="48" t="s">
        <v>39</v>
      </c>
      <c r="D611" s="48" t="s">
        <v>31</v>
      </c>
      <c r="E611" s="49">
        <v>6000</v>
      </c>
      <c r="F611" s="76">
        <v>2350</v>
      </c>
      <c r="G611" s="49">
        <v>0</v>
      </c>
      <c r="H611" s="50">
        <f>IFERROR(Table1[Re-process (Kg)]/Table1[Actual Production (Kg)], "")</f>
        <v>0</v>
      </c>
      <c r="I611" s="49">
        <f>IFERROR(Table1[[#This Row],[Actual Production (Kg)]]-Table1[[#This Row],[Re-process (Kg)]], "")</f>
        <v>2350</v>
      </c>
      <c r="J611" s="49">
        <v>22</v>
      </c>
      <c r="K611" s="72">
        <v>0</v>
      </c>
      <c r="L611" s="49">
        <f>IF(Table1[[#This Row],[Target Time (Hours)]]="","",Table1[[#This Row],[Target Time (Hours)]]-Table1[[#This Row],[Downtime (Hours)]])</f>
        <v>22</v>
      </c>
      <c r="M611" s="49">
        <f>IFERROR(Table1[[#This Row],[Capacity (Kg)]]/Table1[[#This Row],[Target Time (Hours)]] * Table1[[#This Row],[Downtime (Hours)]], "")</f>
        <v>0</v>
      </c>
      <c r="N611" s="50">
        <f>IFERROR(Table1[[#This Row],[Running Time (hr)]]/Table1[Target Time (Hours)], "")</f>
        <v>1</v>
      </c>
      <c r="O611" s="50">
        <f>IFERROR(Table1[[#This Row],[Actual Production (Kg)]]/Table1[Capacity (Kg)], "")</f>
        <v>0.39166666666666666</v>
      </c>
      <c r="P611" s="50">
        <f>IFERROR(Table1[[#This Row],[Quality Pass Production]]/Table1[[#This Row],[Actual Production (Kg)]], "")</f>
        <v>1</v>
      </c>
      <c r="Q611" s="50">
        <f>IFERROR(Table1[[#This Row],[Utilization %]]*Table1[[#This Row],[Efficiency %]]*Table1[[#This Row],[Quality %]], "")</f>
        <v>0.39166666666666666</v>
      </c>
      <c r="R611" s="48" t="s">
        <v>161</v>
      </c>
    </row>
    <row r="612" spans="1:18" ht="45" customHeight="1" x14ac:dyDescent="0.25">
      <c r="A612" s="54">
        <v>46163</v>
      </c>
      <c r="B612" s="55" t="s">
        <v>33</v>
      </c>
      <c r="C612" s="55" t="s">
        <v>40</v>
      </c>
      <c r="D612" s="55" t="s">
        <v>31</v>
      </c>
      <c r="E612" s="56">
        <v>5000</v>
      </c>
      <c r="F612" s="56">
        <v>2443</v>
      </c>
      <c r="G612" s="56">
        <v>0</v>
      </c>
      <c r="H612" s="58">
        <f>IFERROR(Table1[Re-process (Kg)]/Table1[Actual Production (Kg)], "")</f>
        <v>0</v>
      </c>
      <c r="I612" s="56">
        <f>IFERROR(Table1[[#This Row],[Actual Production (Kg)]]-Table1[[#This Row],[Re-process (Kg)]], "")</f>
        <v>2443</v>
      </c>
      <c r="J612" s="56">
        <v>22</v>
      </c>
      <c r="K612" s="55">
        <v>0</v>
      </c>
      <c r="L612" s="56">
        <f>IF(Table1[[#This Row],[Target Time (Hours)]]="","",Table1[[#This Row],[Target Time (Hours)]]-Table1[[#This Row],[Downtime (Hours)]])</f>
        <v>22</v>
      </c>
      <c r="M612" s="56">
        <f>IFERROR(Table1[[#This Row],[Capacity (Kg)]]/Table1[[#This Row],[Target Time (Hours)]] * Table1[[#This Row],[Downtime (Hours)]], "")</f>
        <v>0</v>
      </c>
      <c r="N612" s="58">
        <f>IFERROR(Table1[[#This Row],[Running Time (hr)]]/Table1[Target Time (Hours)], "")</f>
        <v>1</v>
      </c>
      <c r="O612" s="58">
        <f>IFERROR(Table1[[#This Row],[Actual Production (Kg)]]/Table1[Capacity (Kg)], "")</f>
        <v>0.48859999999999998</v>
      </c>
      <c r="P612" s="58">
        <f>IFERROR(Table1[[#This Row],[Quality Pass Production]]/Table1[[#This Row],[Actual Production (Kg)]], "")</f>
        <v>1</v>
      </c>
      <c r="Q612" s="58">
        <f>IFERROR(Table1[[#This Row],[Utilization %]]*Table1[[#This Row],[Efficiency %]]*Table1[[#This Row],[Quality %]], "")</f>
        <v>0.48859999999999998</v>
      </c>
      <c r="R612" s="55" t="s">
        <v>166</v>
      </c>
    </row>
    <row r="613" spans="1:18" ht="30" customHeight="1" x14ac:dyDescent="0.25">
      <c r="A613" s="47">
        <v>46165</v>
      </c>
      <c r="B613" s="48" t="s">
        <v>18</v>
      </c>
      <c r="C613" s="48" t="s">
        <v>19</v>
      </c>
      <c r="D613" s="48" t="s">
        <v>20</v>
      </c>
      <c r="E613" s="49">
        <v>10000</v>
      </c>
      <c r="F613" s="76">
        <v>8268</v>
      </c>
      <c r="G613" s="49">
        <v>0</v>
      </c>
      <c r="H613" s="50">
        <f>IFERROR(Table1[Re-process (Kg)]/Table1[Actual Production (Kg)], "")</f>
        <v>0</v>
      </c>
      <c r="I613" s="49">
        <f>IFERROR(Table1[[#This Row],[Actual Production (Kg)]]-Table1[[#This Row],[Re-process (Kg)]], "")</f>
        <v>8268</v>
      </c>
      <c r="J613" s="49">
        <v>22</v>
      </c>
      <c r="K613" s="72">
        <v>0</v>
      </c>
      <c r="L613" s="49">
        <f>IF(Table1[[#This Row],[Target Time (Hours)]]="","",Table1[[#This Row],[Target Time (Hours)]]-Table1[[#This Row],[Downtime (Hours)]])</f>
        <v>22</v>
      </c>
      <c r="M613" s="49">
        <f>IFERROR(Table1[[#This Row],[Capacity (Kg)]]/Table1[[#This Row],[Target Time (Hours)]] * Table1[[#This Row],[Downtime (Hours)]], "")</f>
        <v>0</v>
      </c>
      <c r="N613" s="50">
        <f>IFERROR(Table1[[#This Row],[Running Time (hr)]]/Table1[Target Time (Hours)], "")</f>
        <v>1</v>
      </c>
      <c r="O613" s="50">
        <f>IFERROR(Table1[[#This Row],[Actual Production (Kg)]]/Table1[Capacity (Kg)], "")</f>
        <v>0.82679999999999998</v>
      </c>
      <c r="P613" s="50">
        <f>IFERROR(Table1[[#This Row],[Quality Pass Production]]/Table1[[#This Row],[Actual Production (Kg)]], "")</f>
        <v>1</v>
      </c>
      <c r="Q613" s="50">
        <f>IFERROR(Table1[[#This Row],[Utilization %]]*Table1[[#This Row],[Efficiency %]]*Table1[[#This Row],[Quality %]], "")</f>
        <v>0.82679999999999998</v>
      </c>
    </row>
    <row r="614" spans="1:18" x14ac:dyDescent="0.25">
      <c r="A614" s="47">
        <v>46165</v>
      </c>
      <c r="B614" s="48" t="s">
        <v>18</v>
      </c>
      <c r="C614" s="48" t="s">
        <v>22</v>
      </c>
      <c r="D614" s="48" t="s">
        <v>23</v>
      </c>
      <c r="E614" s="49">
        <v>5000</v>
      </c>
      <c r="F614" s="76">
        <v>4586</v>
      </c>
      <c r="G614" s="49">
        <v>0</v>
      </c>
      <c r="H614" s="50">
        <f>IFERROR(Table1[Re-process (Kg)]/Table1[Actual Production (Kg)], "")</f>
        <v>0</v>
      </c>
      <c r="I614" s="49">
        <f>IFERROR(Table1[[#This Row],[Actual Production (Kg)]]-Table1[[#This Row],[Re-process (Kg)]], "")</f>
        <v>4586</v>
      </c>
      <c r="J614" s="49">
        <v>22</v>
      </c>
      <c r="K614" s="72">
        <v>0</v>
      </c>
      <c r="L614" s="49">
        <f>IF(Table1[[#This Row],[Target Time (Hours)]]="","",Table1[[#This Row],[Target Time (Hours)]]-Table1[[#This Row],[Downtime (Hours)]])</f>
        <v>22</v>
      </c>
      <c r="M614" s="49">
        <f>IFERROR(Table1[[#This Row],[Capacity (Kg)]]/Table1[[#This Row],[Target Time (Hours)]] * Table1[[#This Row],[Downtime (Hours)]], "")</f>
        <v>0</v>
      </c>
      <c r="N614" s="50">
        <f>IFERROR(Table1[[#This Row],[Running Time (hr)]]/Table1[Target Time (Hours)], "")</f>
        <v>1</v>
      </c>
      <c r="O614" s="50">
        <f>IFERROR(Table1[[#This Row],[Actual Production (Kg)]]/Table1[Capacity (Kg)], "")</f>
        <v>0.91720000000000002</v>
      </c>
      <c r="P614" s="50">
        <f>IFERROR(Table1[[#This Row],[Quality Pass Production]]/Table1[[#This Row],[Actual Production (Kg)]], "")</f>
        <v>1</v>
      </c>
      <c r="Q614" s="50">
        <f>IFERROR(Table1[[#This Row],[Utilization %]]*Table1[[#This Row],[Efficiency %]]*Table1[[#This Row],[Quality %]], "")</f>
        <v>0.91720000000000002</v>
      </c>
    </row>
    <row r="615" spans="1:18" x14ac:dyDescent="0.25">
      <c r="A615" s="47">
        <v>46165</v>
      </c>
      <c r="B615" s="48" t="s">
        <v>18</v>
      </c>
      <c r="C615" s="48" t="s">
        <v>22</v>
      </c>
      <c r="D615" s="48" t="s">
        <v>25</v>
      </c>
      <c r="E615" s="49">
        <v>4000</v>
      </c>
      <c r="F615" s="76">
        <v>4125</v>
      </c>
      <c r="G615" s="49">
        <v>0</v>
      </c>
      <c r="H615" s="50">
        <f>IFERROR(Table1[Re-process (Kg)]/Table1[Actual Production (Kg)], "")</f>
        <v>0</v>
      </c>
      <c r="I615" s="49">
        <f>IFERROR(Table1[[#This Row],[Actual Production (Kg)]]-Table1[[#This Row],[Re-process (Kg)]], "")</f>
        <v>4125</v>
      </c>
      <c r="J615" s="49"/>
      <c r="K615" s="72">
        <v>0</v>
      </c>
      <c r="L615" s="49" t="str">
        <f>IF(Table1[[#This Row],[Target Time (Hours)]]="","",Table1[[#This Row],[Target Time (Hours)]]-Table1[[#This Row],[Downtime (Hours)]])</f>
        <v/>
      </c>
      <c r="M615" s="49" t="str">
        <f>IFERROR(Table1[[#This Row],[Capacity (Kg)]]/Table1[[#This Row],[Target Time (Hours)]] * Table1[[#This Row],[Downtime (Hours)]], "")</f>
        <v/>
      </c>
      <c r="N615" s="50" t="str">
        <f>IFERROR(Table1[[#This Row],[Running Time (hr)]]/Table1[Target Time (Hours)], "")</f>
        <v/>
      </c>
      <c r="O615" s="50">
        <f>IFERROR(Table1[[#This Row],[Actual Production (Kg)]]/Table1[Capacity (Kg)], "")</f>
        <v>1.03125</v>
      </c>
      <c r="P615" s="50">
        <f>IFERROR(Table1[[#This Row],[Quality Pass Production]]/Table1[[#This Row],[Actual Production (Kg)]], "")</f>
        <v>1</v>
      </c>
      <c r="Q615" s="50" t="str">
        <f>IFERROR(Table1[[#This Row],[Utilization %]]*Table1[[#This Row],[Efficiency %]]*Table1[[#This Row],[Quality %]], "")</f>
        <v/>
      </c>
    </row>
    <row r="616" spans="1:18" x14ac:dyDescent="0.25">
      <c r="A616" s="47">
        <v>46165</v>
      </c>
      <c r="B616" s="48" t="s">
        <v>18</v>
      </c>
      <c r="C616" s="48" t="s">
        <v>26</v>
      </c>
      <c r="D616" s="48" t="s">
        <v>25</v>
      </c>
      <c r="E616" s="49">
        <v>7000</v>
      </c>
      <c r="F616" s="76">
        <v>7376</v>
      </c>
      <c r="G616" s="49">
        <v>0</v>
      </c>
      <c r="H616" s="50">
        <f>IFERROR(Table1[Re-process (Kg)]/Table1[Actual Production (Kg)], "")</f>
        <v>0</v>
      </c>
      <c r="I616" s="49">
        <f>IFERROR(Table1[[#This Row],[Actual Production (Kg)]]-Table1[[#This Row],[Re-process (Kg)]], "")</f>
        <v>7376</v>
      </c>
      <c r="J616" s="49">
        <v>22</v>
      </c>
      <c r="K616" s="72">
        <v>3</v>
      </c>
      <c r="L616" s="49">
        <f>IF(Table1[[#This Row],[Target Time (Hours)]]="","",Table1[[#This Row],[Target Time (Hours)]]-Table1[[#This Row],[Downtime (Hours)]])</f>
        <v>19</v>
      </c>
      <c r="M616" s="49">
        <f>IFERROR(Table1[[#This Row],[Capacity (Kg)]]/Table1[[#This Row],[Target Time (Hours)]] * Table1[[#This Row],[Downtime (Hours)]], "")</f>
        <v>954.5454545454545</v>
      </c>
      <c r="N616" s="50">
        <f>IFERROR(Table1[[#This Row],[Running Time (hr)]]/Table1[Target Time (Hours)], "")</f>
        <v>0.86363636363636365</v>
      </c>
      <c r="O616" s="50">
        <f>IFERROR(Table1[[#This Row],[Actual Production (Kg)]]/Table1[Capacity (Kg)], "")</f>
        <v>1.0537142857142856</v>
      </c>
      <c r="P616" s="50">
        <f>IFERROR(Table1[[#This Row],[Quality Pass Production]]/Table1[[#This Row],[Actual Production (Kg)]], "")</f>
        <v>1</v>
      </c>
      <c r="Q616" s="50">
        <f>IFERROR(Table1[[#This Row],[Utilization %]]*Table1[[#This Row],[Efficiency %]]*Table1[[#This Row],[Quality %]], "")</f>
        <v>0.91002597402597396</v>
      </c>
    </row>
    <row r="617" spans="1:18" ht="30" customHeight="1" x14ac:dyDescent="0.25">
      <c r="A617" s="47">
        <v>46165</v>
      </c>
      <c r="B617" s="48" t="s">
        <v>18</v>
      </c>
      <c r="C617" s="48" t="s">
        <v>28</v>
      </c>
      <c r="D617" s="48" t="s">
        <v>29</v>
      </c>
      <c r="E617" s="49">
        <v>7800</v>
      </c>
      <c r="F617" s="76">
        <v>5508</v>
      </c>
      <c r="G617" s="49">
        <v>0</v>
      </c>
      <c r="H617" s="50">
        <f>IFERROR(Table1[Re-process (Kg)]/Table1[Actual Production (Kg)], "")</f>
        <v>0</v>
      </c>
      <c r="I617" s="49">
        <f>IFERROR(Table1[[#This Row],[Actual Production (Kg)]]-Table1[[#This Row],[Re-process (Kg)]], "")</f>
        <v>5508</v>
      </c>
      <c r="J617" s="49">
        <v>22</v>
      </c>
      <c r="K617" s="72">
        <v>0</v>
      </c>
      <c r="L617" s="49">
        <f>IF(Table1[[#This Row],[Target Time (Hours)]]="","",Table1[[#This Row],[Target Time (Hours)]]-Table1[[#This Row],[Downtime (Hours)]])</f>
        <v>22</v>
      </c>
      <c r="M617" s="49">
        <f>IFERROR(Table1[[#This Row],[Capacity (Kg)]]/Table1[[#This Row],[Target Time (Hours)]] * Table1[[#This Row],[Downtime (Hours)]], "")</f>
        <v>0</v>
      </c>
      <c r="N617" s="50">
        <f>IFERROR(Table1[[#This Row],[Running Time (hr)]]/Table1[Target Time (Hours)], "")</f>
        <v>1</v>
      </c>
      <c r="O617" s="50">
        <f>IFERROR(Table1[[#This Row],[Actual Production (Kg)]]/Table1[Capacity (Kg)], "")</f>
        <v>0.70615384615384613</v>
      </c>
      <c r="P617" s="50">
        <f>IFERROR(Table1[[#This Row],[Quality Pass Production]]/Table1[[#This Row],[Actual Production (Kg)]], "")</f>
        <v>1</v>
      </c>
      <c r="Q617" s="50">
        <f>IFERROR(Table1[[#This Row],[Utilization %]]*Table1[[#This Row],[Efficiency %]]*Table1[[#This Row],[Quality %]], "")</f>
        <v>0.70615384615384613</v>
      </c>
      <c r="R617" s="48" t="s">
        <v>171</v>
      </c>
    </row>
    <row r="618" spans="1:18" ht="30" customHeight="1" x14ac:dyDescent="0.25">
      <c r="A618" s="51">
        <v>46165</v>
      </c>
      <c r="B618" s="52" t="s">
        <v>18</v>
      </c>
      <c r="C618" s="52" t="s">
        <v>135</v>
      </c>
      <c r="D618" s="52" t="s">
        <v>29</v>
      </c>
      <c r="E618" s="53"/>
      <c r="F618" s="53">
        <v>0</v>
      </c>
      <c r="G618" s="79"/>
      <c r="H618" s="57"/>
      <c r="I618" s="53"/>
      <c r="J618" s="79"/>
      <c r="K618" s="52"/>
      <c r="L618" s="53" t="str">
        <f>IF(Table1[[#This Row],[Target Time (Hours)]]="","",Table1[[#This Row],[Target Time (Hours)]]-Table1[[#This Row],[Downtime (Hours)]])</f>
        <v/>
      </c>
      <c r="M618" s="53"/>
      <c r="N618" s="57"/>
      <c r="O618" s="57"/>
      <c r="P618" s="57"/>
      <c r="Q618" s="57"/>
      <c r="R618" s="52" t="s">
        <v>156</v>
      </c>
    </row>
    <row r="619" spans="1:18" ht="30" customHeight="1" x14ac:dyDescent="0.25">
      <c r="A619" s="47">
        <v>46165</v>
      </c>
      <c r="B619" s="48" t="s">
        <v>18</v>
      </c>
      <c r="C619" s="48" t="s">
        <v>30</v>
      </c>
      <c r="D619" s="48" t="s">
        <v>31</v>
      </c>
      <c r="E619" s="49">
        <v>9000</v>
      </c>
      <c r="F619" s="76">
        <v>8141</v>
      </c>
      <c r="G619" s="49">
        <v>0</v>
      </c>
      <c r="H619" s="50">
        <f>IFERROR(Table1[Re-process (Kg)]/Table1[Actual Production (Kg)], "")</f>
        <v>0</v>
      </c>
      <c r="I619" s="49">
        <f>IFERROR(Table1[[#This Row],[Actual Production (Kg)]]-Table1[[#This Row],[Re-process (Kg)]], "")</f>
        <v>8141</v>
      </c>
      <c r="J619" s="49">
        <v>22</v>
      </c>
      <c r="K619" s="72">
        <v>0</v>
      </c>
      <c r="L619" s="49">
        <f>IF(Table1[[#This Row],[Target Time (Hours)]]="","",Table1[[#This Row],[Target Time (Hours)]]-Table1[[#This Row],[Downtime (Hours)]])</f>
        <v>22</v>
      </c>
      <c r="M619" s="49">
        <f>IFERROR(Table1[[#This Row],[Capacity (Kg)]]/Table1[[#This Row],[Target Time (Hours)]] * Table1[[#This Row],[Downtime (Hours)]], "")</f>
        <v>0</v>
      </c>
      <c r="N619" s="50">
        <f>IFERROR(Table1[[#This Row],[Running Time (hr)]]/Table1[Target Time (Hours)], "")</f>
        <v>1</v>
      </c>
      <c r="O619" s="50">
        <f>IFERROR(Table1[[#This Row],[Actual Production (Kg)]]/Table1[Capacity (Kg)], "")</f>
        <v>0.90455555555555556</v>
      </c>
      <c r="P619" s="50">
        <f>IFERROR(Table1[[#This Row],[Quality Pass Production]]/Table1[[#This Row],[Actual Production (Kg)]], "")</f>
        <v>1</v>
      </c>
      <c r="Q619" s="50">
        <f>IFERROR(Table1[[#This Row],[Utilization %]]*Table1[[#This Row],[Efficiency %]]*Table1[[#This Row],[Quality %]], "")</f>
        <v>0.90455555555555556</v>
      </c>
    </row>
    <row r="620" spans="1:18" ht="45" customHeight="1" x14ac:dyDescent="0.25">
      <c r="A620" s="51">
        <v>46165</v>
      </c>
      <c r="B620" s="52" t="s">
        <v>18</v>
      </c>
      <c r="C620" s="52" t="s">
        <v>32</v>
      </c>
      <c r="D620" s="52" t="s">
        <v>31</v>
      </c>
      <c r="E620" s="79">
        <f>Table1[[#This Row],[Actual Production (Kg)]]</f>
        <v>1708</v>
      </c>
      <c r="F620" s="53">
        <v>1708</v>
      </c>
      <c r="G620" s="79"/>
      <c r="H620" s="57"/>
      <c r="I620" s="53"/>
      <c r="J620" s="79"/>
      <c r="K620" s="52"/>
      <c r="L620" s="53" t="str">
        <f>IF(Table1[[#This Row],[Target Time (Hours)]]="","",Table1[[#This Row],[Target Time (Hours)]]-Table1[[#This Row],[Downtime (Hours)]])</f>
        <v/>
      </c>
      <c r="M620" s="53"/>
      <c r="N620" s="57"/>
      <c r="O620" s="57"/>
      <c r="P620" s="57"/>
      <c r="Q620" s="57"/>
      <c r="R620" s="52" t="s">
        <v>172</v>
      </c>
    </row>
    <row r="621" spans="1:18" ht="30" customHeight="1" x14ac:dyDescent="0.25">
      <c r="A621" s="47">
        <v>46165</v>
      </c>
      <c r="B621" s="48" t="s">
        <v>33</v>
      </c>
      <c r="C621" s="48" t="s">
        <v>34</v>
      </c>
      <c r="D621" s="48" t="s">
        <v>35</v>
      </c>
      <c r="E621" s="49">
        <v>9000</v>
      </c>
      <c r="F621" s="76">
        <v>7091</v>
      </c>
      <c r="G621" s="49">
        <v>0</v>
      </c>
      <c r="H621" s="50">
        <f>IFERROR(Table1[Re-process (Kg)]/Table1[Actual Production (Kg)], "")</f>
        <v>0</v>
      </c>
      <c r="I621" s="49">
        <f>IFERROR(Table1[[#This Row],[Actual Production (Kg)]]-Table1[[#This Row],[Re-process (Kg)]], "")</f>
        <v>7091</v>
      </c>
      <c r="J621" s="49">
        <v>22</v>
      </c>
      <c r="K621" s="72">
        <v>0</v>
      </c>
      <c r="L621" s="49">
        <f>IF(Table1[[#This Row],[Target Time (Hours)]]="","",Table1[[#This Row],[Target Time (Hours)]]-Table1[[#This Row],[Downtime (Hours)]])</f>
        <v>22</v>
      </c>
      <c r="M621" s="49">
        <f>IFERROR(Table1[[#This Row],[Capacity (Kg)]]/Table1[[#This Row],[Target Time (Hours)]] * Table1[[#This Row],[Downtime (Hours)]], "")</f>
        <v>0</v>
      </c>
      <c r="N621" s="50">
        <f>IFERROR(Table1[[#This Row],[Running Time (hr)]]/Table1[Target Time (Hours)], "")</f>
        <v>1</v>
      </c>
      <c r="O621" s="50">
        <f>IFERROR(Table1[[#This Row],[Actual Production (Kg)]]/Table1[Capacity (Kg)], "")</f>
        <v>0.78788888888888886</v>
      </c>
      <c r="P621" s="50">
        <f>IFERROR(Table1[[#This Row],[Quality Pass Production]]/Table1[[#This Row],[Actual Production (Kg)]], "")</f>
        <v>1</v>
      </c>
      <c r="Q621" s="50">
        <f>IFERROR(Table1[[#This Row],[Utilization %]]*Table1[[#This Row],[Efficiency %]]*Table1[[#This Row],[Quality %]], "")</f>
        <v>0.78788888888888886</v>
      </c>
      <c r="R621" s="48" t="s">
        <v>157</v>
      </c>
    </row>
    <row r="622" spans="1:18" ht="45" customHeight="1" x14ac:dyDescent="0.25">
      <c r="A622" s="47">
        <v>46165</v>
      </c>
      <c r="B622" s="48" t="s">
        <v>33</v>
      </c>
      <c r="C622" s="48" t="s">
        <v>36</v>
      </c>
      <c r="D622" s="48" t="s">
        <v>37</v>
      </c>
      <c r="E622" s="49">
        <v>8000</v>
      </c>
      <c r="F622" s="76">
        <v>5846</v>
      </c>
      <c r="G622" s="49">
        <v>0</v>
      </c>
      <c r="H622" s="50">
        <f>IFERROR(Table1[Re-process (Kg)]/Table1[Actual Production (Kg)], "")</f>
        <v>0</v>
      </c>
      <c r="I622" s="49">
        <f>IFERROR(Table1[[#This Row],[Actual Production (Kg)]]-Table1[[#This Row],[Re-process (Kg)]], "")</f>
        <v>5846</v>
      </c>
      <c r="J622" s="49">
        <v>22</v>
      </c>
      <c r="K622" s="72">
        <v>1</v>
      </c>
      <c r="L622" s="49">
        <f>IF(Table1[[#This Row],[Target Time (Hours)]]="","",Table1[[#This Row],[Target Time (Hours)]]-Table1[[#This Row],[Downtime (Hours)]])</f>
        <v>21</v>
      </c>
      <c r="M622" s="49">
        <f>IFERROR(Table1[[#This Row],[Capacity (Kg)]]/Table1[[#This Row],[Target Time (Hours)]] * Table1[[#This Row],[Downtime (Hours)]], "")</f>
        <v>363.63636363636363</v>
      </c>
      <c r="N622" s="50">
        <f>IFERROR(Table1[[#This Row],[Running Time (hr)]]/Table1[Target Time (Hours)], "")</f>
        <v>0.95454545454545459</v>
      </c>
      <c r="O622" s="50">
        <f>IFERROR(Table1[[#This Row],[Actual Production (Kg)]]/Table1[Capacity (Kg)], "")</f>
        <v>0.73075000000000001</v>
      </c>
      <c r="P622" s="50">
        <f>IFERROR(Table1[[#This Row],[Quality Pass Production]]/Table1[[#This Row],[Actual Production (Kg)]], "")</f>
        <v>1</v>
      </c>
      <c r="Q622" s="50">
        <f>IFERROR(Table1[[#This Row],[Utilization %]]*Table1[[#This Row],[Efficiency %]]*Table1[[#This Row],[Quality %]], "")</f>
        <v>0.69753409090909091</v>
      </c>
      <c r="R622" s="48" t="s">
        <v>165</v>
      </c>
    </row>
    <row r="623" spans="1:18" ht="30" customHeight="1" x14ac:dyDescent="0.25">
      <c r="A623" s="47">
        <v>46165</v>
      </c>
      <c r="B623" s="48" t="s">
        <v>33</v>
      </c>
      <c r="C623" s="48" t="s">
        <v>39</v>
      </c>
      <c r="D623" s="48" t="s">
        <v>31</v>
      </c>
      <c r="E623" s="49">
        <v>6000</v>
      </c>
      <c r="F623" s="76">
        <v>2410</v>
      </c>
      <c r="G623" s="49">
        <v>0</v>
      </c>
      <c r="H623" s="50">
        <f>IFERROR(Table1[Re-process (Kg)]/Table1[Actual Production (Kg)], "")</f>
        <v>0</v>
      </c>
      <c r="I623" s="49">
        <f>IFERROR(Table1[[#This Row],[Actual Production (Kg)]]-Table1[[#This Row],[Re-process (Kg)]], "")</f>
        <v>2410</v>
      </c>
      <c r="J623" s="49">
        <v>22</v>
      </c>
      <c r="K623" s="72">
        <v>0</v>
      </c>
      <c r="L623" s="49">
        <f>IF(Table1[[#This Row],[Target Time (Hours)]]="","",Table1[[#This Row],[Target Time (Hours)]]-Table1[[#This Row],[Downtime (Hours)]])</f>
        <v>22</v>
      </c>
      <c r="M623" s="49">
        <f>IFERROR(Table1[[#This Row],[Capacity (Kg)]]/Table1[[#This Row],[Target Time (Hours)]] * Table1[[#This Row],[Downtime (Hours)]], "")</f>
        <v>0</v>
      </c>
      <c r="N623" s="50">
        <f>IFERROR(Table1[[#This Row],[Running Time (hr)]]/Table1[Target Time (Hours)], "")</f>
        <v>1</v>
      </c>
      <c r="O623" s="50">
        <f>IFERROR(Table1[[#This Row],[Actual Production (Kg)]]/Table1[Capacity (Kg)], "")</f>
        <v>0.40166666666666667</v>
      </c>
      <c r="P623" s="50">
        <f>IFERROR(Table1[[#This Row],[Quality Pass Production]]/Table1[[#This Row],[Actual Production (Kg)]], "")</f>
        <v>1</v>
      </c>
      <c r="Q623" s="50">
        <f>IFERROR(Table1[[#This Row],[Utilization %]]*Table1[[#This Row],[Efficiency %]]*Table1[[#This Row],[Quality %]], "")</f>
        <v>0.40166666666666667</v>
      </c>
      <c r="R623" s="48" t="s">
        <v>161</v>
      </c>
    </row>
    <row r="624" spans="1:18" ht="45" customHeight="1" x14ac:dyDescent="0.25">
      <c r="A624" s="54">
        <v>46165</v>
      </c>
      <c r="B624" s="55" t="s">
        <v>33</v>
      </c>
      <c r="C624" s="55" t="s">
        <v>40</v>
      </c>
      <c r="D624" s="55" t="s">
        <v>31</v>
      </c>
      <c r="E624" s="56">
        <v>5000</v>
      </c>
      <c r="F624" s="56">
        <v>3105</v>
      </c>
      <c r="G624" s="56">
        <v>0</v>
      </c>
      <c r="H624" s="58">
        <f>IFERROR(Table1[Re-process (Kg)]/Table1[Actual Production (Kg)], "")</f>
        <v>0</v>
      </c>
      <c r="I624" s="56">
        <f>IFERROR(Table1[[#This Row],[Actual Production (Kg)]]-Table1[[#This Row],[Re-process (Kg)]], "")</f>
        <v>3105</v>
      </c>
      <c r="J624" s="56">
        <v>22</v>
      </c>
      <c r="K624" s="55">
        <v>0</v>
      </c>
      <c r="L624" s="56">
        <f>IF(Table1[[#This Row],[Target Time (Hours)]]="","",Table1[[#This Row],[Target Time (Hours)]]-Table1[[#This Row],[Downtime (Hours)]])</f>
        <v>22</v>
      </c>
      <c r="M624" s="56">
        <f>IFERROR(Table1[[#This Row],[Capacity (Kg)]]/Table1[[#This Row],[Target Time (Hours)]] * Table1[[#This Row],[Downtime (Hours)]], "")</f>
        <v>0</v>
      </c>
      <c r="N624" s="58">
        <f>IFERROR(Table1[[#This Row],[Running Time (hr)]]/Table1[Target Time (Hours)], "")</f>
        <v>1</v>
      </c>
      <c r="O624" s="58">
        <f>IFERROR(Table1[[#This Row],[Actual Production (Kg)]]/Table1[Capacity (Kg)], "")</f>
        <v>0.621</v>
      </c>
      <c r="P624" s="58">
        <f>IFERROR(Table1[[#This Row],[Quality Pass Production]]/Table1[[#This Row],[Actual Production (Kg)]], "")</f>
        <v>1</v>
      </c>
      <c r="Q624" s="58">
        <f>IFERROR(Table1[[#This Row],[Utilization %]]*Table1[[#This Row],[Efficiency %]]*Table1[[#This Row],[Quality %]], "")</f>
        <v>0.621</v>
      </c>
      <c r="R624" s="55" t="s">
        <v>166</v>
      </c>
    </row>
    <row r="625" spans="1:18" ht="30" customHeight="1" x14ac:dyDescent="0.25">
      <c r="A625" s="47">
        <v>46166</v>
      </c>
      <c r="B625" s="48" t="s">
        <v>18</v>
      </c>
      <c r="C625" s="48" t="s">
        <v>19</v>
      </c>
      <c r="D625" s="48" t="s">
        <v>20</v>
      </c>
      <c r="E625" s="49">
        <v>10000</v>
      </c>
      <c r="F625" s="76">
        <v>8196</v>
      </c>
      <c r="G625" s="49">
        <v>0</v>
      </c>
      <c r="H625" s="50">
        <f>IFERROR(Table1[Re-process (Kg)]/Table1[Actual Production (Kg)], "")</f>
        <v>0</v>
      </c>
      <c r="I625" s="49">
        <f>IFERROR(Table1[[#This Row],[Actual Production (Kg)]]-Table1[[#This Row],[Re-process (Kg)]], "")</f>
        <v>8196</v>
      </c>
      <c r="J625" s="49">
        <v>22</v>
      </c>
      <c r="K625" s="72">
        <v>0</v>
      </c>
      <c r="L625" s="49">
        <f>IF(Table1[[#This Row],[Target Time (Hours)]]="","",Table1[[#This Row],[Target Time (Hours)]]-Table1[[#This Row],[Downtime (Hours)]])</f>
        <v>22</v>
      </c>
      <c r="M625" s="49">
        <f>IFERROR(Table1[[#This Row],[Capacity (Kg)]]/Table1[[#This Row],[Target Time (Hours)]] * Table1[[#This Row],[Downtime (Hours)]], "")</f>
        <v>0</v>
      </c>
      <c r="N625" s="50">
        <f>IFERROR(Table1[[#This Row],[Running Time (hr)]]/Table1[Target Time (Hours)], "")</f>
        <v>1</v>
      </c>
      <c r="O625" s="50">
        <f>IFERROR(Table1[[#This Row],[Actual Production (Kg)]]/Table1[Capacity (Kg)], "")</f>
        <v>0.8196</v>
      </c>
      <c r="P625" s="50">
        <f>IFERROR(Table1[[#This Row],[Quality Pass Production]]/Table1[[#This Row],[Actual Production (Kg)]], "")</f>
        <v>1</v>
      </c>
      <c r="Q625" s="50">
        <f>IFERROR(Table1[[#This Row],[Utilization %]]*Table1[[#This Row],[Efficiency %]]*Table1[[#This Row],[Quality %]], "")</f>
        <v>0.8196</v>
      </c>
    </row>
    <row r="626" spans="1:18" x14ac:dyDescent="0.25">
      <c r="A626" s="47">
        <v>46166</v>
      </c>
      <c r="B626" s="48" t="s">
        <v>18</v>
      </c>
      <c r="C626" s="48" t="s">
        <v>22</v>
      </c>
      <c r="D626" s="48" t="s">
        <v>23</v>
      </c>
      <c r="E626" s="49">
        <v>5000</v>
      </c>
      <c r="F626" s="76">
        <v>4404</v>
      </c>
      <c r="G626" s="49">
        <v>0</v>
      </c>
      <c r="H626" s="50">
        <f>IFERROR(Table1[Re-process (Kg)]/Table1[Actual Production (Kg)], "")</f>
        <v>0</v>
      </c>
      <c r="I626" s="49">
        <f>IFERROR(Table1[[#This Row],[Actual Production (Kg)]]-Table1[[#This Row],[Re-process (Kg)]], "")</f>
        <v>4404</v>
      </c>
      <c r="J626" s="49">
        <v>22</v>
      </c>
      <c r="K626" s="72">
        <v>0</v>
      </c>
      <c r="L626" s="49">
        <f>IF(Table1[[#This Row],[Target Time (Hours)]]="","",Table1[[#This Row],[Target Time (Hours)]]-Table1[[#This Row],[Downtime (Hours)]])</f>
        <v>22</v>
      </c>
      <c r="M626" s="49">
        <f>IFERROR(Table1[[#This Row],[Capacity (Kg)]]/Table1[[#This Row],[Target Time (Hours)]] * Table1[[#This Row],[Downtime (Hours)]], "")</f>
        <v>0</v>
      </c>
      <c r="N626" s="50">
        <f>IFERROR(Table1[[#This Row],[Running Time (hr)]]/Table1[Target Time (Hours)], "")</f>
        <v>1</v>
      </c>
      <c r="O626" s="50">
        <f>IFERROR(Table1[[#This Row],[Actual Production (Kg)]]/Table1[Capacity (Kg)], "")</f>
        <v>0.88080000000000003</v>
      </c>
      <c r="P626" s="50">
        <f>IFERROR(Table1[[#This Row],[Quality Pass Production]]/Table1[[#This Row],[Actual Production (Kg)]], "")</f>
        <v>1</v>
      </c>
      <c r="Q626" s="50">
        <f>IFERROR(Table1[[#This Row],[Utilization %]]*Table1[[#This Row],[Efficiency %]]*Table1[[#This Row],[Quality %]], "")</f>
        <v>0.88080000000000003</v>
      </c>
    </row>
    <row r="627" spans="1:18" x14ac:dyDescent="0.25">
      <c r="A627" s="47">
        <v>46166</v>
      </c>
      <c r="B627" s="48" t="s">
        <v>18</v>
      </c>
      <c r="C627" s="48" t="s">
        <v>22</v>
      </c>
      <c r="D627" s="48" t="s">
        <v>25</v>
      </c>
      <c r="E627" s="49">
        <v>4000</v>
      </c>
      <c r="F627" s="76">
        <v>4233</v>
      </c>
      <c r="G627" s="49">
        <v>0</v>
      </c>
      <c r="H627" s="50">
        <f>IFERROR(Table1[Re-process (Kg)]/Table1[Actual Production (Kg)], "")</f>
        <v>0</v>
      </c>
      <c r="I627" s="49">
        <f>IFERROR(Table1[[#This Row],[Actual Production (Kg)]]-Table1[[#This Row],[Re-process (Kg)]], "")</f>
        <v>4233</v>
      </c>
      <c r="J627" s="49"/>
      <c r="K627" s="72"/>
      <c r="L627" s="49" t="str">
        <f>IF(Table1[[#This Row],[Target Time (Hours)]]="","",Table1[[#This Row],[Target Time (Hours)]]-Table1[[#This Row],[Downtime (Hours)]])</f>
        <v/>
      </c>
      <c r="M627" s="49" t="str">
        <f>IFERROR(Table1[[#This Row],[Capacity (Kg)]]/Table1[[#This Row],[Target Time (Hours)]] * Table1[[#This Row],[Downtime (Hours)]], "")</f>
        <v/>
      </c>
      <c r="N627" s="50" t="str">
        <f>IFERROR(Table1[[#This Row],[Running Time (hr)]]/Table1[Target Time (Hours)], "")</f>
        <v/>
      </c>
      <c r="O627" s="50">
        <f>IFERROR(Table1[[#This Row],[Actual Production (Kg)]]/Table1[Capacity (Kg)], "")</f>
        <v>1.0582499999999999</v>
      </c>
      <c r="P627" s="50">
        <f>IFERROR(Table1[[#This Row],[Quality Pass Production]]/Table1[[#This Row],[Actual Production (Kg)]], "")</f>
        <v>1</v>
      </c>
      <c r="Q627" s="50" t="str">
        <f>IFERROR(Table1[[#This Row],[Utilization %]]*Table1[[#This Row],[Efficiency %]]*Table1[[#This Row],[Quality %]], "")</f>
        <v/>
      </c>
    </row>
    <row r="628" spans="1:18" x14ac:dyDescent="0.25">
      <c r="A628" s="47">
        <v>46166</v>
      </c>
      <c r="B628" s="48" t="s">
        <v>18</v>
      </c>
      <c r="C628" s="48" t="s">
        <v>26</v>
      </c>
      <c r="D628" s="48" t="s">
        <v>25</v>
      </c>
      <c r="E628" s="49">
        <v>7000</v>
      </c>
      <c r="F628" s="76">
        <v>6227</v>
      </c>
      <c r="G628" s="49">
        <v>0</v>
      </c>
      <c r="H628" s="50">
        <f>IFERROR(Table1[Re-process (Kg)]/Table1[Actual Production (Kg)], "")</f>
        <v>0</v>
      </c>
      <c r="I628" s="49">
        <f>IFERROR(Table1[[#This Row],[Actual Production (Kg)]]-Table1[[#This Row],[Re-process (Kg)]], "")</f>
        <v>6227</v>
      </c>
      <c r="J628" s="49">
        <v>22</v>
      </c>
      <c r="K628" s="72">
        <v>3</v>
      </c>
      <c r="L628" s="49">
        <f>IF(Table1[[#This Row],[Target Time (Hours)]]="","",Table1[[#This Row],[Target Time (Hours)]]-Table1[[#This Row],[Downtime (Hours)]])</f>
        <v>19</v>
      </c>
      <c r="M628" s="49">
        <f>IFERROR(Table1[[#This Row],[Capacity (Kg)]]/Table1[[#This Row],[Target Time (Hours)]] * Table1[[#This Row],[Downtime (Hours)]], "")</f>
        <v>954.5454545454545</v>
      </c>
      <c r="N628" s="50">
        <f>IFERROR(Table1[[#This Row],[Running Time (hr)]]/Table1[Target Time (Hours)], "")</f>
        <v>0.86363636363636365</v>
      </c>
      <c r="O628" s="50">
        <f>IFERROR(Table1[[#This Row],[Actual Production (Kg)]]/Table1[Capacity (Kg)], "")</f>
        <v>0.88957142857142857</v>
      </c>
      <c r="P628" s="50">
        <f>IFERROR(Table1[[#This Row],[Quality Pass Production]]/Table1[[#This Row],[Actual Production (Kg)]], "")</f>
        <v>1</v>
      </c>
      <c r="Q628" s="50">
        <f>IFERROR(Table1[[#This Row],[Utilization %]]*Table1[[#This Row],[Efficiency %]]*Table1[[#This Row],[Quality %]], "")</f>
        <v>0.76826623376623382</v>
      </c>
    </row>
    <row r="629" spans="1:18" ht="30" customHeight="1" x14ac:dyDescent="0.25">
      <c r="A629" s="47">
        <v>46166</v>
      </c>
      <c r="B629" s="48" t="s">
        <v>18</v>
      </c>
      <c r="C629" s="48" t="s">
        <v>28</v>
      </c>
      <c r="D629" s="48" t="s">
        <v>29</v>
      </c>
      <c r="E629" s="49">
        <v>7800</v>
      </c>
      <c r="F629" s="76">
        <v>4652</v>
      </c>
      <c r="G629" s="49">
        <v>0</v>
      </c>
      <c r="H629" s="50">
        <f>IFERROR(Table1[Re-process (Kg)]/Table1[Actual Production (Kg)], "")</f>
        <v>0</v>
      </c>
      <c r="I629" s="49">
        <f>IFERROR(Table1[[#This Row],[Actual Production (Kg)]]-Table1[[#This Row],[Re-process (Kg)]], "")</f>
        <v>4652</v>
      </c>
      <c r="J629" s="49">
        <v>22</v>
      </c>
      <c r="K629" s="72">
        <v>6</v>
      </c>
      <c r="L629" s="49">
        <f>IF(Table1[[#This Row],[Target Time (Hours)]]="","",Table1[[#This Row],[Target Time (Hours)]]-Table1[[#This Row],[Downtime (Hours)]])</f>
        <v>16</v>
      </c>
      <c r="M629" s="49">
        <f>IFERROR(Table1[[#This Row],[Capacity (Kg)]]/Table1[[#This Row],[Target Time (Hours)]] * Table1[[#This Row],[Downtime (Hours)]], "")</f>
        <v>2127.2727272727275</v>
      </c>
      <c r="N629" s="50">
        <f>IFERROR(Table1[[#This Row],[Running Time (hr)]]/Table1[Target Time (Hours)], "")</f>
        <v>0.72727272727272729</v>
      </c>
      <c r="O629" s="50">
        <f>IFERROR(Table1[[#This Row],[Actual Production (Kg)]]/Table1[Capacity (Kg)], "")</f>
        <v>0.59641025641025636</v>
      </c>
      <c r="P629" s="50">
        <f>IFERROR(Table1[[#This Row],[Quality Pass Production]]/Table1[[#This Row],[Actual Production (Kg)]], "")</f>
        <v>1</v>
      </c>
      <c r="Q629" s="50">
        <f>IFERROR(Table1[[#This Row],[Utilization %]]*Table1[[#This Row],[Efficiency %]]*Table1[[#This Row],[Quality %]], "")</f>
        <v>0.43375291375291375</v>
      </c>
      <c r="R629" s="48" t="s">
        <v>173</v>
      </c>
    </row>
    <row r="630" spans="1:18" ht="30" customHeight="1" x14ac:dyDescent="0.25">
      <c r="A630" s="51">
        <v>46166</v>
      </c>
      <c r="B630" s="52" t="s">
        <v>18</v>
      </c>
      <c r="C630" s="52" t="s">
        <v>135</v>
      </c>
      <c r="D630" s="52" t="s">
        <v>29</v>
      </c>
      <c r="E630" s="53"/>
      <c r="F630" s="53">
        <v>0</v>
      </c>
      <c r="G630" s="79"/>
      <c r="H630" s="57"/>
      <c r="I630" s="53"/>
      <c r="J630" s="79"/>
      <c r="K630" s="52"/>
      <c r="L630" s="53" t="str">
        <f>IF(Table1[[#This Row],[Target Time (Hours)]]="","",Table1[[#This Row],[Target Time (Hours)]]-Table1[[#This Row],[Downtime (Hours)]])</f>
        <v/>
      </c>
      <c r="M630" s="53"/>
      <c r="N630" s="57"/>
      <c r="O630" s="57"/>
      <c r="P630" s="57"/>
      <c r="Q630" s="57"/>
      <c r="R630" s="52" t="s">
        <v>156</v>
      </c>
    </row>
    <row r="631" spans="1:18" ht="30" customHeight="1" x14ac:dyDescent="0.25">
      <c r="A631" s="47">
        <v>46166</v>
      </c>
      <c r="B631" s="48" t="s">
        <v>18</v>
      </c>
      <c r="C631" s="48" t="s">
        <v>30</v>
      </c>
      <c r="D631" s="48" t="s">
        <v>31</v>
      </c>
      <c r="E631" s="49">
        <v>9000</v>
      </c>
      <c r="F631" s="76">
        <v>7179</v>
      </c>
      <c r="G631" s="49">
        <v>0</v>
      </c>
      <c r="H631" s="50">
        <f>IFERROR(Table1[Re-process (Kg)]/Table1[Actual Production (Kg)], "")</f>
        <v>0</v>
      </c>
      <c r="I631" s="49">
        <f>IFERROR(Table1[[#This Row],[Actual Production (Kg)]]-Table1[[#This Row],[Re-process (Kg)]], "")</f>
        <v>7179</v>
      </c>
      <c r="J631" s="49">
        <v>22</v>
      </c>
      <c r="K631" s="72">
        <v>0</v>
      </c>
      <c r="L631" s="49">
        <f>IF(Table1[[#This Row],[Target Time (Hours)]]="","",Table1[[#This Row],[Target Time (Hours)]]-Table1[[#This Row],[Downtime (Hours)]])</f>
        <v>22</v>
      </c>
      <c r="M631" s="49">
        <f>IFERROR(Table1[[#This Row],[Capacity (Kg)]]/Table1[[#This Row],[Target Time (Hours)]] * Table1[[#This Row],[Downtime (Hours)]], "")</f>
        <v>0</v>
      </c>
      <c r="N631" s="50">
        <f>IFERROR(Table1[[#This Row],[Running Time (hr)]]/Table1[Target Time (Hours)], "")</f>
        <v>1</v>
      </c>
      <c r="O631" s="50">
        <f>IFERROR(Table1[[#This Row],[Actual Production (Kg)]]/Table1[Capacity (Kg)], "")</f>
        <v>0.79766666666666663</v>
      </c>
      <c r="P631" s="50">
        <f>IFERROR(Table1[[#This Row],[Quality Pass Production]]/Table1[[#This Row],[Actual Production (Kg)]], "")</f>
        <v>1</v>
      </c>
      <c r="Q631" s="50">
        <f>IFERROR(Table1[[#This Row],[Utilization %]]*Table1[[#This Row],[Efficiency %]]*Table1[[#This Row],[Quality %]], "")</f>
        <v>0.79766666666666663</v>
      </c>
    </row>
    <row r="632" spans="1:18" ht="30" customHeight="1" x14ac:dyDescent="0.25">
      <c r="A632" s="51">
        <v>46166</v>
      </c>
      <c r="B632" s="52" t="s">
        <v>18</v>
      </c>
      <c r="C632" s="52" t="s">
        <v>32</v>
      </c>
      <c r="D632" s="52" t="s">
        <v>31</v>
      </c>
      <c r="E632" s="79">
        <f>Table1[[#This Row],[Actual Production (Kg)]]</f>
        <v>0</v>
      </c>
      <c r="F632" s="53">
        <v>0</v>
      </c>
      <c r="G632" s="79"/>
      <c r="H632" s="57"/>
      <c r="I632" s="53"/>
      <c r="J632" s="79"/>
      <c r="K632" s="52"/>
      <c r="L632" s="53" t="str">
        <f>IF(Table1[[#This Row],[Target Time (Hours)]]="","",Table1[[#This Row],[Target Time (Hours)]]-Table1[[#This Row],[Downtime (Hours)]])</f>
        <v/>
      </c>
      <c r="M632" s="53"/>
      <c r="N632" s="57"/>
      <c r="O632" s="57"/>
      <c r="P632" s="57"/>
      <c r="Q632" s="57"/>
      <c r="R632" s="52" t="s">
        <v>156</v>
      </c>
    </row>
    <row r="633" spans="1:18" ht="30" customHeight="1" x14ac:dyDescent="0.25">
      <c r="A633" s="47">
        <v>46166</v>
      </c>
      <c r="B633" s="48" t="s">
        <v>33</v>
      </c>
      <c r="C633" s="48" t="s">
        <v>34</v>
      </c>
      <c r="D633" s="48" t="s">
        <v>35</v>
      </c>
      <c r="E633" s="49">
        <v>9000</v>
      </c>
      <c r="F633" s="76">
        <v>5719</v>
      </c>
      <c r="G633" s="49">
        <v>0</v>
      </c>
      <c r="H633" s="50">
        <f>IFERROR(Table1[Re-process (Kg)]/Table1[Actual Production (Kg)], "")</f>
        <v>0</v>
      </c>
      <c r="I633" s="49">
        <f>IFERROR(Table1[[#This Row],[Actual Production (Kg)]]-Table1[[#This Row],[Re-process (Kg)]], "")</f>
        <v>5719</v>
      </c>
      <c r="J633" s="49">
        <v>22</v>
      </c>
      <c r="K633" s="72">
        <v>0</v>
      </c>
      <c r="L633" s="49">
        <f>IF(Table1[[#This Row],[Target Time (Hours)]]="","",Table1[[#This Row],[Target Time (Hours)]]-Table1[[#This Row],[Downtime (Hours)]])</f>
        <v>22</v>
      </c>
      <c r="M633" s="49">
        <f>IFERROR(Table1[[#This Row],[Capacity (Kg)]]/Table1[[#This Row],[Target Time (Hours)]] * Table1[[#This Row],[Downtime (Hours)]], "")</f>
        <v>0</v>
      </c>
      <c r="N633" s="50">
        <f>IFERROR(Table1[[#This Row],[Running Time (hr)]]/Table1[Target Time (Hours)], "")</f>
        <v>1</v>
      </c>
      <c r="O633" s="50">
        <f>IFERROR(Table1[[#This Row],[Actual Production (Kg)]]/Table1[Capacity (Kg)], "")</f>
        <v>0.63544444444444448</v>
      </c>
      <c r="P633" s="50">
        <f>IFERROR(Table1[[#This Row],[Quality Pass Production]]/Table1[[#This Row],[Actual Production (Kg)]], "")</f>
        <v>1</v>
      </c>
      <c r="Q633" s="50">
        <f>IFERROR(Table1[[#This Row],[Utilization %]]*Table1[[#This Row],[Efficiency %]]*Table1[[#This Row],[Quality %]], "")</f>
        <v>0.63544444444444448</v>
      </c>
      <c r="R633" s="48" t="s">
        <v>157</v>
      </c>
    </row>
    <row r="634" spans="1:18" ht="45" customHeight="1" x14ac:dyDescent="0.25">
      <c r="A634" s="47">
        <v>46166</v>
      </c>
      <c r="B634" s="48" t="s">
        <v>33</v>
      </c>
      <c r="C634" s="48" t="s">
        <v>36</v>
      </c>
      <c r="D634" s="48" t="s">
        <v>37</v>
      </c>
      <c r="E634" s="49">
        <v>8000</v>
      </c>
      <c r="F634" s="76">
        <v>6539</v>
      </c>
      <c r="G634" s="49">
        <v>0</v>
      </c>
      <c r="H634" s="50">
        <f>IFERROR(Table1[Re-process (Kg)]/Table1[Actual Production (Kg)], "")</f>
        <v>0</v>
      </c>
      <c r="I634" s="49">
        <f>IFERROR(Table1[[#This Row],[Actual Production (Kg)]]-Table1[[#This Row],[Re-process (Kg)]], "")</f>
        <v>6539</v>
      </c>
      <c r="J634" s="49">
        <v>22</v>
      </c>
      <c r="K634" s="72">
        <v>1</v>
      </c>
      <c r="L634" s="49">
        <f>IF(Table1[[#This Row],[Target Time (Hours)]]="","",Table1[[#This Row],[Target Time (Hours)]]-Table1[[#This Row],[Downtime (Hours)]])</f>
        <v>21</v>
      </c>
      <c r="M634" s="49">
        <f>IFERROR(Table1[[#This Row],[Capacity (Kg)]]/Table1[[#This Row],[Target Time (Hours)]] * Table1[[#This Row],[Downtime (Hours)]], "")</f>
        <v>363.63636363636363</v>
      </c>
      <c r="N634" s="50">
        <f>IFERROR(Table1[[#This Row],[Running Time (hr)]]/Table1[Target Time (Hours)], "")</f>
        <v>0.95454545454545459</v>
      </c>
      <c r="O634" s="50">
        <f>IFERROR(Table1[[#This Row],[Actual Production (Kg)]]/Table1[Capacity (Kg)], "")</f>
        <v>0.81737499999999996</v>
      </c>
      <c r="P634" s="50">
        <f>IFERROR(Table1[[#This Row],[Quality Pass Production]]/Table1[[#This Row],[Actual Production (Kg)]], "")</f>
        <v>1</v>
      </c>
      <c r="Q634" s="50">
        <f>IFERROR(Table1[[#This Row],[Utilization %]]*Table1[[#This Row],[Efficiency %]]*Table1[[#This Row],[Quality %]], "")</f>
        <v>0.78022159090909093</v>
      </c>
      <c r="R634" s="48" t="s">
        <v>165</v>
      </c>
    </row>
    <row r="635" spans="1:18" ht="30" customHeight="1" x14ac:dyDescent="0.25">
      <c r="A635" s="47">
        <v>46166</v>
      </c>
      <c r="B635" s="48" t="s">
        <v>33</v>
      </c>
      <c r="C635" s="48" t="s">
        <v>39</v>
      </c>
      <c r="D635" s="48" t="s">
        <v>31</v>
      </c>
      <c r="E635" s="49">
        <v>6000</v>
      </c>
      <c r="F635" s="76">
        <v>1895</v>
      </c>
      <c r="G635" s="49">
        <v>0</v>
      </c>
      <c r="H635" s="50">
        <f>IFERROR(Table1[Re-process (Kg)]/Table1[Actual Production (Kg)], "")</f>
        <v>0</v>
      </c>
      <c r="I635" s="49">
        <f>IFERROR(Table1[[#This Row],[Actual Production (Kg)]]-Table1[[#This Row],[Re-process (Kg)]], "")</f>
        <v>1895</v>
      </c>
      <c r="J635" s="49">
        <v>22</v>
      </c>
      <c r="K635" s="72">
        <v>0</v>
      </c>
      <c r="L635" s="49">
        <f>IF(Table1[[#This Row],[Target Time (Hours)]]="","",Table1[[#This Row],[Target Time (Hours)]]-Table1[[#This Row],[Downtime (Hours)]])</f>
        <v>22</v>
      </c>
      <c r="M635" s="49">
        <f>IFERROR(Table1[[#This Row],[Capacity (Kg)]]/Table1[[#This Row],[Target Time (Hours)]] * Table1[[#This Row],[Downtime (Hours)]], "")</f>
        <v>0</v>
      </c>
      <c r="N635" s="50">
        <f>IFERROR(Table1[[#This Row],[Running Time (hr)]]/Table1[Target Time (Hours)], "")</f>
        <v>1</v>
      </c>
      <c r="O635" s="50">
        <f>IFERROR(Table1[[#This Row],[Actual Production (Kg)]]/Table1[Capacity (Kg)], "")</f>
        <v>0.31583333333333335</v>
      </c>
      <c r="P635" s="50">
        <f>IFERROR(Table1[[#This Row],[Quality Pass Production]]/Table1[[#This Row],[Actual Production (Kg)]], "")</f>
        <v>1</v>
      </c>
      <c r="Q635" s="50">
        <f>IFERROR(Table1[[#This Row],[Utilization %]]*Table1[[#This Row],[Efficiency %]]*Table1[[#This Row],[Quality %]], "")</f>
        <v>0.31583333333333335</v>
      </c>
      <c r="R635" s="48" t="s">
        <v>161</v>
      </c>
    </row>
    <row r="636" spans="1:18" ht="45" customHeight="1" x14ac:dyDescent="0.25">
      <c r="A636" s="54">
        <v>46166</v>
      </c>
      <c r="B636" s="55" t="s">
        <v>33</v>
      </c>
      <c r="C636" s="55" t="s">
        <v>40</v>
      </c>
      <c r="D636" s="55" t="s">
        <v>31</v>
      </c>
      <c r="E636" s="56">
        <v>5000</v>
      </c>
      <c r="F636" s="56">
        <v>3423</v>
      </c>
      <c r="G636" s="56">
        <v>0</v>
      </c>
      <c r="H636" s="58">
        <f>IFERROR(Table1[Re-process (Kg)]/Table1[Actual Production (Kg)], "")</f>
        <v>0</v>
      </c>
      <c r="I636" s="56">
        <f>IFERROR(Table1[[#This Row],[Actual Production (Kg)]]-Table1[[#This Row],[Re-process (Kg)]], "")</f>
        <v>3423</v>
      </c>
      <c r="J636" s="56">
        <v>22</v>
      </c>
      <c r="K636" s="55">
        <v>0</v>
      </c>
      <c r="L636" s="56">
        <f>IF(Table1[[#This Row],[Target Time (Hours)]]="","",Table1[[#This Row],[Target Time (Hours)]]-Table1[[#This Row],[Downtime (Hours)]])</f>
        <v>22</v>
      </c>
      <c r="M636" s="56">
        <f>IFERROR(Table1[[#This Row],[Capacity (Kg)]]/Table1[[#This Row],[Target Time (Hours)]] * Table1[[#This Row],[Downtime (Hours)]], "")</f>
        <v>0</v>
      </c>
      <c r="N636" s="58">
        <f>IFERROR(Table1[[#This Row],[Running Time (hr)]]/Table1[Target Time (Hours)], "")</f>
        <v>1</v>
      </c>
      <c r="O636" s="58">
        <f>IFERROR(Table1[[#This Row],[Actual Production (Kg)]]/Table1[Capacity (Kg)], "")</f>
        <v>0.68459999999999999</v>
      </c>
      <c r="P636" s="58">
        <f>IFERROR(Table1[[#This Row],[Quality Pass Production]]/Table1[[#This Row],[Actual Production (Kg)]], "")</f>
        <v>1</v>
      </c>
      <c r="Q636" s="58">
        <f>IFERROR(Table1[[#This Row],[Utilization %]]*Table1[[#This Row],[Efficiency %]]*Table1[[#This Row],[Quality %]], "")</f>
        <v>0.68459999999999999</v>
      </c>
      <c r="R636" s="55" t="s">
        <v>166</v>
      </c>
    </row>
    <row r="637" spans="1:18" ht="30" customHeight="1" x14ac:dyDescent="0.25">
      <c r="A637" s="47">
        <v>46167</v>
      </c>
      <c r="B637" s="48" t="s">
        <v>18</v>
      </c>
      <c r="C637" s="48" t="s">
        <v>19</v>
      </c>
      <c r="D637" s="48" t="s">
        <v>20</v>
      </c>
      <c r="E637" s="49">
        <v>7272</v>
      </c>
      <c r="F637" s="76">
        <v>4839</v>
      </c>
      <c r="G637" s="49">
        <v>0</v>
      </c>
      <c r="H637" s="50">
        <f>IFERROR(Table1[Re-process (Kg)]/Table1[Actual Production (Kg)], "")</f>
        <v>0</v>
      </c>
      <c r="I637" s="49">
        <f>IFERROR(Table1[[#This Row],[Actual Production (Kg)]]-Table1[[#This Row],[Re-process (Kg)]], "")</f>
        <v>4839</v>
      </c>
      <c r="J637" s="49">
        <v>16</v>
      </c>
      <c r="K637" s="72">
        <v>0</v>
      </c>
      <c r="L637" s="49">
        <f>IF(Table1[[#This Row],[Target Time (Hours)]]="","",Table1[[#This Row],[Target Time (Hours)]]-Table1[[#This Row],[Downtime (Hours)]])</f>
        <v>16</v>
      </c>
      <c r="M637" s="49">
        <f>IFERROR(Table1[[#This Row],[Capacity (Kg)]]/Table1[[#This Row],[Target Time (Hours)]] * Table1[[#This Row],[Downtime (Hours)]], "")</f>
        <v>0</v>
      </c>
      <c r="N637" s="50">
        <f>IFERROR(Table1[[#This Row],[Running Time (hr)]]/Table1[Target Time (Hours)], "")</f>
        <v>1</v>
      </c>
      <c r="O637" s="50">
        <f>IFERROR(Table1[[#This Row],[Actual Production (Kg)]]/Table1[Capacity (Kg)], "")</f>
        <v>0.66542904290429039</v>
      </c>
      <c r="P637" s="50">
        <f>IFERROR(Table1[[#This Row],[Quality Pass Production]]/Table1[[#This Row],[Actual Production (Kg)]], "")</f>
        <v>1</v>
      </c>
      <c r="Q637" s="50">
        <f>IFERROR(Table1[[#This Row],[Utilization %]]*Table1[[#This Row],[Efficiency %]]*Table1[[#This Row],[Quality %]], "")</f>
        <v>0.66542904290429039</v>
      </c>
    </row>
    <row r="638" spans="1:18" x14ac:dyDescent="0.25">
      <c r="A638" s="47">
        <v>46167</v>
      </c>
      <c r="B638" s="48" t="s">
        <v>18</v>
      </c>
      <c r="C638" s="48" t="s">
        <v>22</v>
      </c>
      <c r="D638" s="48" t="s">
        <v>23</v>
      </c>
      <c r="E638" s="49">
        <v>3272</v>
      </c>
      <c r="F638" s="76">
        <v>0</v>
      </c>
      <c r="G638" s="49">
        <v>0</v>
      </c>
      <c r="H638" s="50" t="str">
        <f>IFERROR(Table1[Re-process (Kg)]/Table1[Actual Production (Kg)], "")</f>
        <v/>
      </c>
      <c r="I638" s="49">
        <f>IFERROR(Table1[[#This Row],[Actual Production (Kg)]]-Table1[[#This Row],[Re-process (Kg)]], "")</f>
        <v>0</v>
      </c>
      <c r="J638" s="49"/>
      <c r="K638" s="72">
        <v>0</v>
      </c>
      <c r="L638" s="49" t="str">
        <f>IF(Table1[[#This Row],[Target Time (Hours)]]="","",Table1[[#This Row],[Target Time (Hours)]]-Table1[[#This Row],[Downtime (Hours)]])</f>
        <v/>
      </c>
      <c r="M638" s="49" t="str">
        <f>IFERROR(Table1[[#This Row],[Capacity (Kg)]]/Table1[[#This Row],[Target Time (Hours)]] * Table1[[#This Row],[Downtime (Hours)]], "")</f>
        <v/>
      </c>
      <c r="N638" s="50" t="str">
        <f>IFERROR(Table1[[#This Row],[Running Time (hr)]]/Table1[Target Time (Hours)], "")</f>
        <v/>
      </c>
      <c r="O638" s="50">
        <f>IFERROR(Table1[[#This Row],[Actual Production (Kg)]]/Table1[Capacity (Kg)], "")</f>
        <v>0</v>
      </c>
      <c r="P638" s="50" t="str">
        <f>IFERROR(Table1[[#This Row],[Quality Pass Production]]/Table1[[#This Row],[Actual Production (Kg)]], "")</f>
        <v/>
      </c>
      <c r="Q638" s="50" t="str">
        <f>IFERROR(Table1[[#This Row],[Utilization %]]*Table1[[#This Row],[Efficiency %]]*Table1[[#This Row],[Quality %]], "")</f>
        <v/>
      </c>
    </row>
    <row r="639" spans="1:18" x14ac:dyDescent="0.25">
      <c r="A639" s="47">
        <v>46167</v>
      </c>
      <c r="B639" s="48" t="s">
        <v>18</v>
      </c>
      <c r="C639" s="48" t="s">
        <v>22</v>
      </c>
      <c r="D639" s="48" t="s">
        <v>25</v>
      </c>
      <c r="E639" s="49">
        <v>3272</v>
      </c>
      <c r="F639" s="76">
        <v>5366</v>
      </c>
      <c r="G639" s="49">
        <v>0</v>
      </c>
      <c r="H639" s="50">
        <f>IFERROR(Table1[Re-process (Kg)]/Table1[Actual Production (Kg)], "")</f>
        <v>0</v>
      </c>
      <c r="I639" s="49">
        <f>IFERROR(Table1[[#This Row],[Actual Production (Kg)]]-Table1[[#This Row],[Re-process (Kg)]], "")</f>
        <v>5366</v>
      </c>
      <c r="J639" s="49">
        <v>16</v>
      </c>
      <c r="K639" s="72">
        <v>0</v>
      </c>
      <c r="L639" s="49">
        <f>IF(Table1[[#This Row],[Target Time (Hours)]]="","",Table1[[#This Row],[Target Time (Hours)]]-Table1[[#This Row],[Downtime (Hours)]])</f>
        <v>16</v>
      </c>
      <c r="M639" s="49">
        <f>IFERROR(Table1[[#This Row],[Capacity (Kg)]]/Table1[[#This Row],[Target Time (Hours)]] * Table1[[#This Row],[Downtime (Hours)]], "")</f>
        <v>0</v>
      </c>
      <c r="N639" s="50">
        <f>IFERROR(Table1[[#This Row],[Running Time (hr)]]/Table1[Target Time (Hours)], "")</f>
        <v>1</v>
      </c>
      <c r="O639" s="50">
        <f>IFERROR(Table1[[#This Row],[Actual Production (Kg)]]/Table1[Capacity (Kg)], "")</f>
        <v>1.6399755501222495</v>
      </c>
      <c r="P639" s="50">
        <f>IFERROR(Table1[[#This Row],[Quality Pass Production]]/Table1[[#This Row],[Actual Production (Kg)]], "")</f>
        <v>1</v>
      </c>
      <c r="Q639" s="50">
        <f>IFERROR(Table1[[#This Row],[Utilization %]]*Table1[[#This Row],[Efficiency %]]*Table1[[#This Row],[Quality %]], "")</f>
        <v>1.6399755501222495</v>
      </c>
    </row>
    <row r="640" spans="1:18" x14ac:dyDescent="0.25">
      <c r="A640" s="47">
        <v>46167</v>
      </c>
      <c r="B640" s="48" t="s">
        <v>18</v>
      </c>
      <c r="C640" s="48" t="s">
        <v>26</v>
      </c>
      <c r="D640" s="48" t="s">
        <v>25</v>
      </c>
      <c r="E640" s="49">
        <v>5090</v>
      </c>
      <c r="F640" s="76">
        <v>4157</v>
      </c>
      <c r="G640" s="49">
        <v>0</v>
      </c>
      <c r="H640" s="50">
        <f>IFERROR(Table1[Re-process (Kg)]/Table1[Actual Production (Kg)], "")</f>
        <v>0</v>
      </c>
      <c r="I640" s="49">
        <f>IFERROR(Table1[[#This Row],[Actual Production (Kg)]]-Table1[[#This Row],[Re-process (Kg)]], "")</f>
        <v>4157</v>
      </c>
      <c r="J640" s="49">
        <v>16</v>
      </c>
      <c r="K640" s="72">
        <v>0</v>
      </c>
      <c r="L640" s="49">
        <f>IF(Table1[[#This Row],[Target Time (Hours)]]="","",Table1[[#This Row],[Target Time (Hours)]]-Table1[[#This Row],[Downtime (Hours)]])</f>
        <v>16</v>
      </c>
      <c r="M640" s="49">
        <f>IFERROR(Table1[[#This Row],[Capacity (Kg)]]/Table1[[#This Row],[Target Time (Hours)]] * Table1[[#This Row],[Downtime (Hours)]], "")</f>
        <v>0</v>
      </c>
      <c r="N640" s="50">
        <f>IFERROR(Table1[[#This Row],[Running Time (hr)]]/Table1[Target Time (Hours)], "")</f>
        <v>1</v>
      </c>
      <c r="O640" s="50">
        <f>IFERROR(Table1[[#This Row],[Actual Production (Kg)]]/Table1[Capacity (Kg)], "")</f>
        <v>0.81669941060903728</v>
      </c>
      <c r="P640" s="50">
        <f>IFERROR(Table1[[#This Row],[Quality Pass Production]]/Table1[[#This Row],[Actual Production (Kg)]], "")</f>
        <v>1</v>
      </c>
      <c r="Q640" s="50">
        <f>IFERROR(Table1[[#This Row],[Utilization %]]*Table1[[#This Row],[Efficiency %]]*Table1[[#This Row],[Quality %]], "")</f>
        <v>0.81669941060903728</v>
      </c>
    </row>
    <row r="641" spans="1:18" ht="30" customHeight="1" x14ac:dyDescent="0.25">
      <c r="A641" s="47">
        <v>46167</v>
      </c>
      <c r="B641" s="48" t="s">
        <v>18</v>
      </c>
      <c r="C641" s="48" t="s">
        <v>28</v>
      </c>
      <c r="D641" s="48" t="s">
        <v>29</v>
      </c>
      <c r="E641" s="49">
        <v>5672</v>
      </c>
      <c r="F641" s="76">
        <v>3440</v>
      </c>
      <c r="G641" s="49">
        <v>0</v>
      </c>
      <c r="H641" s="50">
        <f>IFERROR(Table1[Re-process (Kg)]/Table1[Actual Production (Kg)], "")</f>
        <v>0</v>
      </c>
      <c r="I641" s="49">
        <f>IFERROR(Table1[[#This Row],[Actual Production (Kg)]]-Table1[[#This Row],[Re-process (Kg)]], "")</f>
        <v>3440</v>
      </c>
      <c r="J641" s="49">
        <v>16</v>
      </c>
      <c r="K641" s="72">
        <v>0</v>
      </c>
      <c r="L641" s="49">
        <f>IF(Table1[[#This Row],[Target Time (Hours)]]="","",Table1[[#This Row],[Target Time (Hours)]]-Table1[[#This Row],[Downtime (Hours)]])</f>
        <v>16</v>
      </c>
      <c r="M641" s="49">
        <f>IFERROR(Table1[[#This Row],[Capacity (Kg)]]/Table1[[#This Row],[Target Time (Hours)]] * Table1[[#This Row],[Downtime (Hours)]], "")</f>
        <v>0</v>
      </c>
      <c r="N641" s="50">
        <f>IFERROR(Table1[[#This Row],[Running Time (hr)]]/Table1[Target Time (Hours)], "")</f>
        <v>1</v>
      </c>
      <c r="O641" s="50">
        <f>IFERROR(Table1[[#This Row],[Actual Production (Kg)]]/Table1[Capacity (Kg)], "")</f>
        <v>0.60648801128349783</v>
      </c>
      <c r="P641" s="50">
        <f>IFERROR(Table1[[#This Row],[Quality Pass Production]]/Table1[[#This Row],[Actual Production (Kg)]], "")</f>
        <v>1</v>
      </c>
      <c r="Q641" s="50">
        <f>IFERROR(Table1[[#This Row],[Utilization %]]*Table1[[#This Row],[Efficiency %]]*Table1[[#This Row],[Quality %]], "")</f>
        <v>0.60648801128349783</v>
      </c>
    </row>
    <row r="642" spans="1:18" ht="30" customHeight="1" x14ac:dyDescent="0.25">
      <c r="A642" s="51">
        <v>46167</v>
      </c>
      <c r="B642" s="52" t="s">
        <v>18</v>
      </c>
      <c r="C642" s="52" t="s">
        <v>135</v>
      </c>
      <c r="D642" s="52" t="s">
        <v>29</v>
      </c>
      <c r="E642" s="53"/>
      <c r="F642" s="53">
        <v>0</v>
      </c>
      <c r="G642" s="53"/>
      <c r="H642" s="57"/>
      <c r="I642" s="53"/>
      <c r="J642" s="53"/>
      <c r="K642" s="52"/>
      <c r="L642" s="53" t="str">
        <f>IF(Table1[[#This Row],[Target Time (Hours)]]="","",Table1[[#This Row],[Target Time (Hours)]]-Table1[[#This Row],[Downtime (Hours)]])</f>
        <v/>
      </c>
      <c r="M642" s="53"/>
      <c r="N642" s="57"/>
      <c r="O642" s="57"/>
      <c r="P642" s="57"/>
      <c r="Q642" s="57"/>
      <c r="R642" s="52" t="s">
        <v>156</v>
      </c>
    </row>
    <row r="643" spans="1:18" ht="30" customHeight="1" x14ac:dyDescent="0.25">
      <c r="A643" s="47">
        <v>46167</v>
      </c>
      <c r="B643" s="48" t="s">
        <v>18</v>
      </c>
      <c r="C643" s="48" t="s">
        <v>30</v>
      </c>
      <c r="D643" s="48" t="s">
        <v>31</v>
      </c>
      <c r="E643" s="49">
        <v>6545</v>
      </c>
      <c r="F643" s="76">
        <v>4530</v>
      </c>
      <c r="G643" s="49">
        <v>0</v>
      </c>
      <c r="H643" s="50">
        <f>IFERROR(Table1[Re-process (Kg)]/Table1[Actual Production (Kg)], "")</f>
        <v>0</v>
      </c>
      <c r="I643" s="49">
        <f>IFERROR(Table1[[#This Row],[Actual Production (Kg)]]-Table1[[#This Row],[Re-process (Kg)]], "")</f>
        <v>4530</v>
      </c>
      <c r="J643" s="49">
        <v>16</v>
      </c>
      <c r="K643" s="72">
        <v>0</v>
      </c>
      <c r="L643" s="49">
        <f>IF(Table1[[#This Row],[Target Time (Hours)]]="","",Table1[[#This Row],[Target Time (Hours)]]-Table1[[#This Row],[Downtime (Hours)]])</f>
        <v>16</v>
      </c>
      <c r="M643" s="49">
        <f>IFERROR(Table1[[#This Row],[Capacity (Kg)]]/Table1[[#This Row],[Target Time (Hours)]] * Table1[[#This Row],[Downtime (Hours)]], "")</f>
        <v>0</v>
      </c>
      <c r="N643" s="50">
        <f>IFERROR(Table1[[#This Row],[Running Time (hr)]]/Table1[Target Time (Hours)], "")</f>
        <v>1</v>
      </c>
      <c r="O643" s="50">
        <f>IFERROR(Table1[[#This Row],[Actual Production (Kg)]]/Table1[Capacity (Kg)], "")</f>
        <v>0.69213139801375101</v>
      </c>
      <c r="P643" s="50">
        <f>IFERROR(Table1[[#This Row],[Quality Pass Production]]/Table1[[#This Row],[Actual Production (Kg)]], "")</f>
        <v>1</v>
      </c>
      <c r="Q643" s="50">
        <f>IFERROR(Table1[[#This Row],[Utilization %]]*Table1[[#This Row],[Efficiency %]]*Table1[[#This Row],[Quality %]], "")</f>
        <v>0.69213139801375101</v>
      </c>
    </row>
    <row r="644" spans="1:18" ht="30" customHeight="1" x14ac:dyDescent="0.25">
      <c r="A644" s="51">
        <v>46167</v>
      </c>
      <c r="B644" s="52" t="s">
        <v>18</v>
      </c>
      <c r="C644" s="52" t="s">
        <v>32</v>
      </c>
      <c r="D644" s="52" t="s">
        <v>31</v>
      </c>
      <c r="E644" s="79">
        <f>Table1[[#This Row],[Actual Production (Kg)]]</f>
        <v>0</v>
      </c>
      <c r="F644" s="53">
        <v>0</v>
      </c>
      <c r="G644" s="53"/>
      <c r="H644" s="57"/>
      <c r="I644" s="53"/>
      <c r="J644" s="53"/>
      <c r="K644" s="52"/>
      <c r="L644" s="53" t="str">
        <f>IF(Table1[[#This Row],[Target Time (Hours)]]="","",Table1[[#This Row],[Target Time (Hours)]]-Table1[[#This Row],[Downtime (Hours)]])</f>
        <v/>
      </c>
      <c r="M644" s="53"/>
      <c r="N644" s="57"/>
      <c r="O644" s="57"/>
      <c r="P644" s="57"/>
      <c r="Q644" s="57"/>
      <c r="R644" s="52" t="s">
        <v>156</v>
      </c>
    </row>
    <row r="645" spans="1:18" ht="30" customHeight="1" x14ac:dyDescent="0.25">
      <c r="A645" s="47">
        <v>46167</v>
      </c>
      <c r="B645" s="48" t="s">
        <v>33</v>
      </c>
      <c r="C645" s="48" t="s">
        <v>34</v>
      </c>
      <c r="D645" s="48" t="s">
        <v>35</v>
      </c>
      <c r="E645" s="49">
        <v>6545</v>
      </c>
      <c r="F645" s="76">
        <v>3105</v>
      </c>
      <c r="G645" s="49">
        <v>0</v>
      </c>
      <c r="H645" s="50">
        <f>IFERROR(Table1[Re-process (Kg)]/Table1[Actual Production (Kg)], "")</f>
        <v>0</v>
      </c>
      <c r="I645" s="49">
        <f>IFERROR(Table1[[#This Row],[Actual Production (Kg)]]-Table1[[#This Row],[Re-process (Kg)]], "")</f>
        <v>3105</v>
      </c>
      <c r="J645" s="49">
        <v>16</v>
      </c>
      <c r="K645" s="72">
        <v>0</v>
      </c>
      <c r="L645" s="49">
        <f>IF(Table1[[#This Row],[Target Time (Hours)]]="","",Table1[[#This Row],[Target Time (Hours)]]-Table1[[#This Row],[Downtime (Hours)]])</f>
        <v>16</v>
      </c>
      <c r="M645" s="49">
        <f>IFERROR(Table1[[#This Row],[Capacity (Kg)]]/Table1[[#This Row],[Target Time (Hours)]] * Table1[[#This Row],[Downtime (Hours)]], "")</f>
        <v>0</v>
      </c>
      <c r="N645" s="50">
        <f>IFERROR(Table1[[#This Row],[Running Time (hr)]]/Table1[Target Time (Hours)], "")</f>
        <v>1</v>
      </c>
      <c r="O645" s="50">
        <f>IFERROR(Table1[[#This Row],[Actual Production (Kg)]]/Table1[Capacity (Kg)], "")</f>
        <v>0.47440794499618028</v>
      </c>
      <c r="P645" s="50">
        <f>IFERROR(Table1[[#This Row],[Quality Pass Production]]/Table1[[#This Row],[Actual Production (Kg)]], "")</f>
        <v>1</v>
      </c>
      <c r="Q645" s="50">
        <f>IFERROR(Table1[[#This Row],[Utilization %]]*Table1[[#This Row],[Efficiency %]]*Table1[[#This Row],[Quality %]], "")</f>
        <v>0.47440794499618028</v>
      </c>
      <c r="R645" s="48" t="s">
        <v>157</v>
      </c>
    </row>
    <row r="646" spans="1:18" ht="45" customHeight="1" x14ac:dyDescent="0.25">
      <c r="A646" s="47">
        <v>46167</v>
      </c>
      <c r="B646" s="48" t="s">
        <v>33</v>
      </c>
      <c r="C646" s="48" t="s">
        <v>36</v>
      </c>
      <c r="D646" s="48" t="s">
        <v>37</v>
      </c>
      <c r="E646" s="49">
        <v>5818</v>
      </c>
      <c r="F646" s="76">
        <v>3646</v>
      </c>
      <c r="G646" s="49">
        <v>0</v>
      </c>
      <c r="H646" s="50">
        <f>IFERROR(Table1[Re-process (Kg)]/Table1[Actual Production (Kg)], "")</f>
        <v>0</v>
      </c>
      <c r="I646" s="49">
        <f>IFERROR(Table1[[#This Row],[Actual Production (Kg)]]-Table1[[#This Row],[Re-process (Kg)]], "")</f>
        <v>3646</v>
      </c>
      <c r="J646" s="49">
        <v>16</v>
      </c>
      <c r="K646" s="72">
        <v>1</v>
      </c>
      <c r="L646" s="49">
        <f>IF(Table1[[#This Row],[Target Time (Hours)]]="","",Table1[[#This Row],[Target Time (Hours)]]-Table1[[#This Row],[Downtime (Hours)]])</f>
        <v>15</v>
      </c>
      <c r="M646" s="49">
        <f>IFERROR(Table1[[#This Row],[Capacity (Kg)]]/Table1[[#This Row],[Target Time (Hours)]] * Table1[[#This Row],[Downtime (Hours)]], "")</f>
        <v>363.625</v>
      </c>
      <c r="N646" s="50">
        <f>IFERROR(Table1[[#This Row],[Running Time (hr)]]/Table1[Target Time (Hours)], "")</f>
        <v>0.9375</v>
      </c>
      <c r="O646" s="50">
        <f>IFERROR(Table1[[#This Row],[Actual Production (Kg)]]/Table1[Capacity (Kg)], "")</f>
        <v>0.62667583361980062</v>
      </c>
      <c r="P646" s="50">
        <f>IFERROR(Table1[[#This Row],[Quality Pass Production]]/Table1[[#This Row],[Actual Production (Kg)]], "")</f>
        <v>1</v>
      </c>
      <c r="Q646" s="50">
        <f>IFERROR(Table1[[#This Row],[Utilization %]]*Table1[[#This Row],[Efficiency %]]*Table1[[#This Row],[Quality %]], "")</f>
        <v>0.58750859401856304</v>
      </c>
      <c r="R646" s="48" t="s">
        <v>165</v>
      </c>
    </row>
    <row r="647" spans="1:18" ht="30" customHeight="1" x14ac:dyDescent="0.25">
      <c r="A647" s="47">
        <v>46167</v>
      </c>
      <c r="B647" s="48" t="s">
        <v>33</v>
      </c>
      <c r="C647" s="48" t="s">
        <v>39</v>
      </c>
      <c r="D647" s="48" t="s">
        <v>31</v>
      </c>
      <c r="E647" s="49">
        <v>4363</v>
      </c>
      <c r="F647" s="76">
        <v>2238</v>
      </c>
      <c r="G647" s="49">
        <v>0</v>
      </c>
      <c r="H647" s="50">
        <f>IFERROR(Table1[Re-process (Kg)]/Table1[Actual Production (Kg)], "")</f>
        <v>0</v>
      </c>
      <c r="I647" s="49">
        <f>IFERROR(Table1[[#This Row],[Actual Production (Kg)]]-Table1[[#This Row],[Re-process (Kg)]], "")</f>
        <v>2238</v>
      </c>
      <c r="J647" s="49">
        <v>16</v>
      </c>
      <c r="K647" s="72">
        <v>0</v>
      </c>
      <c r="L647" s="49">
        <f>IF(Table1[[#This Row],[Target Time (Hours)]]="","",Table1[[#This Row],[Target Time (Hours)]]-Table1[[#This Row],[Downtime (Hours)]])</f>
        <v>16</v>
      </c>
      <c r="M647" s="49">
        <f>IFERROR(Table1[[#This Row],[Capacity (Kg)]]/Table1[[#This Row],[Target Time (Hours)]] * Table1[[#This Row],[Downtime (Hours)]], "")</f>
        <v>0</v>
      </c>
      <c r="N647" s="50">
        <f>IFERROR(Table1[[#This Row],[Running Time (hr)]]/Table1[Target Time (Hours)], "")</f>
        <v>1</v>
      </c>
      <c r="O647" s="50">
        <f>IFERROR(Table1[[#This Row],[Actual Production (Kg)]]/Table1[Capacity (Kg)], "")</f>
        <v>0.51294980517992206</v>
      </c>
      <c r="P647" s="50">
        <f>IFERROR(Table1[[#This Row],[Quality Pass Production]]/Table1[[#This Row],[Actual Production (Kg)]], "")</f>
        <v>1</v>
      </c>
      <c r="Q647" s="50">
        <f>IFERROR(Table1[[#This Row],[Utilization %]]*Table1[[#This Row],[Efficiency %]]*Table1[[#This Row],[Quality %]], "")</f>
        <v>0.51294980517992206</v>
      </c>
      <c r="R647" s="48" t="s">
        <v>166</v>
      </c>
    </row>
    <row r="648" spans="1:18" ht="45" customHeight="1" x14ac:dyDescent="0.25">
      <c r="A648" s="54">
        <v>46167</v>
      </c>
      <c r="B648" s="55" t="s">
        <v>33</v>
      </c>
      <c r="C648" s="55" t="s">
        <v>40</v>
      </c>
      <c r="D648" s="55" t="s">
        <v>31</v>
      </c>
      <c r="E648" s="56">
        <v>3636</v>
      </c>
      <c r="F648" s="56">
        <v>2294</v>
      </c>
      <c r="G648" s="56">
        <v>0</v>
      </c>
      <c r="H648" s="58">
        <f>IFERROR(Table1[Re-process (Kg)]/Table1[Actual Production (Kg)], "")</f>
        <v>0</v>
      </c>
      <c r="I648" s="56">
        <f>IFERROR(Table1[[#This Row],[Actual Production (Kg)]]-Table1[[#This Row],[Re-process (Kg)]], "")</f>
        <v>2294</v>
      </c>
      <c r="J648" s="56">
        <v>16</v>
      </c>
      <c r="K648" s="55">
        <v>0</v>
      </c>
      <c r="L648" s="56">
        <f>IF(Table1[[#This Row],[Target Time (Hours)]]="","",Table1[[#This Row],[Target Time (Hours)]]-Table1[[#This Row],[Downtime (Hours)]])</f>
        <v>16</v>
      </c>
      <c r="M648" s="56">
        <f>IFERROR(Table1[[#This Row],[Capacity (Kg)]]/Table1[[#This Row],[Target Time (Hours)]] * Table1[[#This Row],[Downtime (Hours)]], "")</f>
        <v>0</v>
      </c>
      <c r="N648" s="58">
        <f>IFERROR(Table1[[#This Row],[Running Time (hr)]]/Table1[Target Time (Hours)], "")</f>
        <v>1</v>
      </c>
      <c r="O648" s="58">
        <f>IFERROR(Table1[[#This Row],[Actual Production (Kg)]]/Table1[Capacity (Kg)], "")</f>
        <v>0.63091309130913087</v>
      </c>
      <c r="P648" s="58">
        <f>IFERROR(Table1[[#This Row],[Quality Pass Production]]/Table1[[#This Row],[Actual Production (Kg)]], "")</f>
        <v>1</v>
      </c>
      <c r="Q648" s="58">
        <f>IFERROR(Table1[[#This Row],[Utilization %]]*Table1[[#This Row],[Efficiency %]]*Table1[[#This Row],[Quality %]], "")</f>
        <v>0.63091309130913087</v>
      </c>
      <c r="R648" s="55" t="s">
        <v>166</v>
      </c>
    </row>
    <row r="649" spans="1:18" ht="30" customHeight="1" x14ac:dyDescent="0.25">
      <c r="A649" s="47">
        <v>46175</v>
      </c>
      <c r="B649" s="48" t="s">
        <v>18</v>
      </c>
      <c r="C649" s="48" t="s">
        <v>19</v>
      </c>
      <c r="D649" s="48" t="s">
        <v>20</v>
      </c>
      <c r="E649" s="49">
        <v>10000</v>
      </c>
      <c r="F649" s="76">
        <v>3952</v>
      </c>
      <c r="G649" s="49">
        <v>0</v>
      </c>
      <c r="H649" s="50">
        <f>IFERROR(Table1[Re-process (Kg)]/Table1[Actual Production (Kg)], "")</f>
        <v>0</v>
      </c>
      <c r="I649" s="49">
        <f>IFERROR(Table1[[#This Row],[Actual Production (Kg)]]-Table1[[#This Row],[Re-process (Kg)]], "")</f>
        <v>3952</v>
      </c>
      <c r="J649" s="49">
        <v>22</v>
      </c>
      <c r="K649" s="72">
        <v>3</v>
      </c>
      <c r="L649" s="49">
        <f>IF(Table1[[#This Row],[Target Time (Hours)]]="","",Table1[[#This Row],[Target Time (Hours)]]-Table1[[#This Row],[Downtime (Hours)]])</f>
        <v>19</v>
      </c>
      <c r="M649" s="49">
        <f>IFERROR(Table1[[#This Row],[Capacity (Kg)]]/Table1[[#This Row],[Target Time (Hours)]] * Table1[[#This Row],[Downtime (Hours)]], "")</f>
        <v>1363.6363636363637</v>
      </c>
      <c r="N649" s="50">
        <f>IFERROR(Table1[[#This Row],[Running Time (hr)]]/Table1[Target Time (Hours)], "")</f>
        <v>0.86363636363636365</v>
      </c>
      <c r="O649" s="50">
        <f>IFERROR(Table1[[#This Row],[Actual Production (Kg)]]/Table1[Capacity (Kg)], "")</f>
        <v>0.3952</v>
      </c>
      <c r="P649" s="50">
        <f>IFERROR(Table1[[#This Row],[Quality Pass Production]]/Table1[[#This Row],[Actual Production (Kg)]], "")</f>
        <v>1</v>
      </c>
      <c r="Q649" s="50">
        <f>IFERROR(Table1[[#This Row],[Utilization %]]*Table1[[#This Row],[Efficiency %]]*Table1[[#This Row],[Quality %]], "")</f>
        <v>0.3413090909090909</v>
      </c>
      <c r="R649" s="48" t="s">
        <v>174</v>
      </c>
    </row>
    <row r="650" spans="1:18" ht="30" customHeight="1" x14ac:dyDescent="0.25">
      <c r="A650" s="47">
        <v>46175</v>
      </c>
      <c r="B650" s="48" t="s">
        <v>18</v>
      </c>
      <c r="C650" s="48" t="s">
        <v>22</v>
      </c>
      <c r="D650" s="48" t="s">
        <v>23</v>
      </c>
      <c r="E650" s="49"/>
      <c r="F650" s="76">
        <v>0</v>
      </c>
      <c r="G650" s="49"/>
      <c r="H650" s="50" t="str">
        <f>IFERROR(Table1[Re-process (Kg)]/Table1[Actual Production (Kg)], "")</f>
        <v/>
      </c>
      <c r="I650" s="49"/>
      <c r="J650" s="49">
        <v>22</v>
      </c>
      <c r="K650" s="72">
        <v>22</v>
      </c>
      <c r="L650" s="49">
        <f>IF(Table1[[#This Row],[Target Time (Hours)]]="","",Table1[[#This Row],[Target Time (Hours)]]-Table1[[#This Row],[Downtime (Hours)]])</f>
        <v>0</v>
      </c>
      <c r="M650" s="49">
        <f>IFERROR(Table1[[#This Row],[Capacity (Kg)]]/Table1[[#This Row],[Target Time (Hours)]] * Table1[[#This Row],[Downtime (Hours)]], "")</f>
        <v>0</v>
      </c>
      <c r="N650" s="50">
        <f>IFERROR(Table1[[#This Row],[Running Time (hr)]]/Table1[Target Time (Hours)], "")</f>
        <v>0</v>
      </c>
      <c r="O650" s="50" t="str">
        <f>IFERROR(Table1[[#This Row],[Actual Production (Kg)]]/Table1[Capacity (Kg)], "")</f>
        <v/>
      </c>
      <c r="P650" s="50" t="str">
        <f>IFERROR(Table1[[#This Row],[Quality Pass Production]]/Table1[[#This Row],[Actual Production (Kg)]], "")</f>
        <v/>
      </c>
      <c r="Q650" s="50" t="str">
        <f>IFERROR(Table1[[#This Row],[Utilization %]]*Table1[[#This Row],[Efficiency %]]*Table1[[#This Row],[Quality %]], "")</f>
        <v/>
      </c>
      <c r="R650" s="48" t="s">
        <v>175</v>
      </c>
    </row>
    <row r="651" spans="1:18" x14ac:dyDescent="0.25">
      <c r="A651" s="47">
        <v>46175</v>
      </c>
      <c r="B651" s="48" t="s">
        <v>18</v>
      </c>
      <c r="C651" s="48" t="s">
        <v>22</v>
      </c>
      <c r="D651" s="48" t="s">
        <v>25</v>
      </c>
      <c r="E651" s="49"/>
      <c r="F651" s="76">
        <v>0</v>
      </c>
      <c r="G651" s="49"/>
      <c r="H651" s="50" t="str">
        <f>IFERROR(Table1[Re-process (Kg)]/Table1[Actual Production (Kg)], "")</f>
        <v/>
      </c>
      <c r="I651" s="49"/>
      <c r="J651" s="49"/>
      <c r="K651" s="72"/>
      <c r="L651" s="49" t="str">
        <f>IF(Table1[[#This Row],[Target Time (Hours)]]="","",Table1[[#This Row],[Target Time (Hours)]]-Table1[[#This Row],[Downtime (Hours)]])</f>
        <v/>
      </c>
      <c r="M651" s="49" t="str">
        <f>IFERROR(Table1[[#This Row],[Capacity (Kg)]]/Table1[[#This Row],[Target Time (Hours)]] * Table1[[#This Row],[Downtime (Hours)]], "")</f>
        <v/>
      </c>
      <c r="N651" s="50" t="str">
        <f>IFERROR(Table1[[#This Row],[Running Time (hr)]]/Table1[Target Time (Hours)], "")</f>
        <v/>
      </c>
      <c r="O651" s="50" t="str">
        <f>IFERROR(Table1[[#This Row],[Actual Production (Kg)]]/Table1[Capacity (Kg)], "")</f>
        <v/>
      </c>
      <c r="P651" s="50" t="str">
        <f>IFERROR(Table1[[#This Row],[Quality Pass Production]]/Table1[[#This Row],[Actual Production (Kg)]], "")</f>
        <v/>
      </c>
      <c r="Q651" s="50" t="str">
        <f>IFERROR(Table1[[#This Row],[Utilization %]]*Table1[[#This Row],[Efficiency %]]*Table1[[#This Row],[Quality %]], "")</f>
        <v/>
      </c>
    </row>
    <row r="652" spans="1:18" ht="30" customHeight="1" x14ac:dyDescent="0.25">
      <c r="A652" s="47">
        <v>46175</v>
      </c>
      <c r="B652" s="48" t="s">
        <v>18</v>
      </c>
      <c r="C652" s="48" t="s">
        <v>26</v>
      </c>
      <c r="D652" s="48" t="s">
        <v>25</v>
      </c>
      <c r="E652" s="49">
        <v>7000</v>
      </c>
      <c r="F652" s="76">
        <v>5035</v>
      </c>
      <c r="G652" s="49">
        <v>0</v>
      </c>
      <c r="H652" s="50">
        <f>IFERROR(Table1[Re-process (Kg)]/Table1[Actual Production (Kg)], "")</f>
        <v>0</v>
      </c>
      <c r="I652" s="49">
        <f>IFERROR(Table1[[#This Row],[Actual Production (Kg)]]-Table1[[#This Row],[Re-process (Kg)]], "")</f>
        <v>5035</v>
      </c>
      <c r="J652" s="49">
        <v>22</v>
      </c>
      <c r="K652" s="72">
        <v>3</v>
      </c>
      <c r="L652" s="49">
        <f>IF(Table1[[#This Row],[Target Time (Hours)]]="","",Table1[[#This Row],[Target Time (Hours)]]-Table1[[#This Row],[Downtime (Hours)]])</f>
        <v>19</v>
      </c>
      <c r="M652" s="49">
        <f>IFERROR(Table1[[#This Row],[Capacity (Kg)]]/Table1[[#This Row],[Target Time (Hours)]] * Table1[[#This Row],[Downtime (Hours)]], "")</f>
        <v>954.5454545454545</v>
      </c>
      <c r="N652" s="50">
        <f>IFERROR(Table1[[#This Row],[Running Time (hr)]]/Table1[Target Time (Hours)], "")</f>
        <v>0.86363636363636365</v>
      </c>
      <c r="O652" s="50">
        <f>IFERROR(Table1[[#This Row],[Actual Production (Kg)]]/Table1[Capacity (Kg)], "")</f>
        <v>0.71928571428571431</v>
      </c>
      <c r="P652" s="50">
        <f>IFERROR(Table1[[#This Row],[Quality Pass Production]]/Table1[[#This Row],[Actual Production (Kg)]], "")</f>
        <v>1</v>
      </c>
      <c r="Q652" s="50">
        <f>IFERROR(Table1[[#This Row],[Utilization %]]*Table1[[#This Row],[Efficiency %]]*Table1[[#This Row],[Quality %]], "")</f>
        <v>0.6212012987012987</v>
      </c>
      <c r="R652" s="48" t="s">
        <v>176</v>
      </c>
    </row>
    <row r="653" spans="1:18" ht="45" customHeight="1" x14ac:dyDescent="0.25">
      <c r="A653" s="47">
        <v>46175</v>
      </c>
      <c r="B653" s="48" t="s">
        <v>18</v>
      </c>
      <c r="C653" s="48" t="s">
        <v>28</v>
      </c>
      <c r="D653" s="48" t="s">
        <v>29</v>
      </c>
      <c r="E653" s="49">
        <v>7800</v>
      </c>
      <c r="F653" s="76">
        <v>4511</v>
      </c>
      <c r="G653" s="49">
        <v>0</v>
      </c>
      <c r="H653" s="50">
        <f>IFERROR(Table1[Re-process (Kg)]/Table1[Actual Production (Kg)], "")</f>
        <v>0</v>
      </c>
      <c r="I653" s="49">
        <f>IFERROR(Table1[[#This Row],[Actual Production (Kg)]]-Table1[[#This Row],[Re-process (Kg)]], "")</f>
        <v>4511</v>
      </c>
      <c r="J653" s="49">
        <v>22</v>
      </c>
      <c r="K653" s="72">
        <v>2</v>
      </c>
      <c r="L653" s="49">
        <f>IF(Table1[[#This Row],[Target Time (Hours)]]="","",Table1[[#This Row],[Target Time (Hours)]]-Table1[[#This Row],[Downtime (Hours)]])</f>
        <v>20</v>
      </c>
      <c r="M653" s="49">
        <f>IFERROR(Table1[[#This Row],[Capacity (Kg)]]/Table1[[#This Row],[Target Time (Hours)]] * Table1[[#This Row],[Downtime (Hours)]], "")</f>
        <v>709.09090909090912</v>
      </c>
      <c r="N653" s="50">
        <f>IFERROR(Table1[[#This Row],[Running Time (hr)]]/Table1[Target Time (Hours)], "")</f>
        <v>0.90909090909090906</v>
      </c>
      <c r="O653" s="50">
        <f>IFERROR(Table1[[#This Row],[Actual Production (Kg)]]/Table1[Capacity (Kg)], "")</f>
        <v>0.57833333333333337</v>
      </c>
      <c r="P653" s="50">
        <f>IFERROR(Table1[[#This Row],[Quality Pass Production]]/Table1[[#This Row],[Actual Production (Kg)]], "")</f>
        <v>1</v>
      </c>
      <c r="Q653" s="50">
        <f>IFERROR(Table1[[#This Row],[Utilization %]]*Table1[[#This Row],[Efficiency %]]*Table1[[#This Row],[Quality %]], "")</f>
        <v>0.52575757575757576</v>
      </c>
      <c r="R653" s="48" t="s">
        <v>177</v>
      </c>
    </row>
    <row r="654" spans="1:18" ht="30" customHeight="1" x14ac:dyDescent="0.25">
      <c r="A654" s="51">
        <v>46175</v>
      </c>
      <c r="B654" s="52" t="s">
        <v>18</v>
      </c>
      <c r="C654" s="52" t="s">
        <v>135</v>
      </c>
      <c r="D654" s="52" t="s">
        <v>29</v>
      </c>
      <c r="E654" s="53"/>
      <c r="F654" s="53">
        <v>0</v>
      </c>
      <c r="G654" s="53"/>
      <c r="H654" s="57" t="str">
        <f>IFERROR(Table1[Re-process (Kg)]/Table1[Actual Production (Kg)], "")</f>
        <v/>
      </c>
      <c r="I654" s="53">
        <f>IFERROR(Table1[[#This Row],[Actual Production (Kg)]]-Table1[[#This Row],[Re-process (Kg)]], "")</f>
        <v>0</v>
      </c>
      <c r="J654" s="79"/>
      <c r="K654" s="52"/>
      <c r="L654" s="53" t="str">
        <f>IF(Table1[[#This Row],[Target Time (Hours)]]="","",Table1[[#This Row],[Target Time (Hours)]]-Table1[[#This Row],[Downtime (Hours)]])</f>
        <v/>
      </c>
      <c r="M654" s="53" t="str">
        <f>IFERROR(Table1[[#This Row],[Capacity (Kg)]]/Table1[[#This Row],[Target Time (Hours)]] * Table1[[#This Row],[Downtime (Hours)]], "")</f>
        <v/>
      </c>
      <c r="N654" s="57" t="str">
        <f>IFERROR(Table1[[#This Row],[Running Time (hr)]]/Table1[Target Time (Hours)], "")</f>
        <v/>
      </c>
      <c r="O654" s="57" t="str">
        <f>IFERROR(Table1[[#This Row],[Actual Production (Kg)]]/Table1[Capacity (Kg)], "")</f>
        <v/>
      </c>
      <c r="P654" s="57" t="str">
        <f>IFERROR(Table1[[#This Row],[Quality Pass Production]]/Table1[[#This Row],[Actual Production (Kg)]], "")</f>
        <v/>
      </c>
      <c r="Q654" s="57" t="str">
        <f>IFERROR(Table1[[#This Row],[Utilization %]]*Table1[[#This Row],[Efficiency %]]*Table1[[#This Row],[Quality %]], "")</f>
        <v/>
      </c>
      <c r="R654" s="52" t="s">
        <v>156</v>
      </c>
    </row>
    <row r="655" spans="1:18" ht="45" customHeight="1" x14ac:dyDescent="0.25">
      <c r="A655" s="47">
        <v>46175</v>
      </c>
      <c r="B655" s="48" t="s">
        <v>18</v>
      </c>
      <c r="C655" s="48" t="s">
        <v>30</v>
      </c>
      <c r="D655" s="48" t="s">
        <v>31</v>
      </c>
      <c r="E655" s="49">
        <v>9000</v>
      </c>
      <c r="F655" s="76">
        <v>3807</v>
      </c>
      <c r="G655" s="49">
        <v>0</v>
      </c>
      <c r="H655" s="50">
        <f>IFERROR(Table1[Re-process (Kg)]/Table1[Actual Production (Kg)], "")</f>
        <v>0</v>
      </c>
      <c r="I655" s="49">
        <f>IFERROR(Table1[[#This Row],[Actual Production (Kg)]]-Table1[[#This Row],[Re-process (Kg)]], "")</f>
        <v>3807</v>
      </c>
      <c r="J655" s="49">
        <v>22</v>
      </c>
      <c r="K655" s="72">
        <v>1</v>
      </c>
      <c r="L655" s="49">
        <f>IF(Table1[[#This Row],[Target Time (Hours)]]="","",Table1[[#This Row],[Target Time (Hours)]]-Table1[[#This Row],[Downtime (Hours)]])</f>
        <v>21</v>
      </c>
      <c r="M655" s="49">
        <f>IFERROR(Table1[[#This Row],[Capacity (Kg)]]/Table1[[#This Row],[Target Time (Hours)]] * Table1[[#This Row],[Downtime (Hours)]], "")</f>
        <v>409.09090909090907</v>
      </c>
      <c r="N655" s="50">
        <f>IFERROR(Table1[[#This Row],[Running Time (hr)]]/Table1[Target Time (Hours)], "")</f>
        <v>0.95454545454545459</v>
      </c>
      <c r="O655" s="50">
        <f>IFERROR(Table1[[#This Row],[Actual Production (Kg)]]/Table1[Capacity (Kg)], "")</f>
        <v>0.42299999999999999</v>
      </c>
      <c r="P655" s="50">
        <f>IFERROR(Table1[[#This Row],[Quality Pass Production]]/Table1[[#This Row],[Actual Production (Kg)]], "")</f>
        <v>1</v>
      </c>
      <c r="Q655" s="50">
        <f>IFERROR(Table1[[#This Row],[Utilization %]]*Table1[[#This Row],[Efficiency %]]*Table1[[#This Row],[Quality %]], "")</f>
        <v>0.40377272727272728</v>
      </c>
      <c r="R655" s="48" t="s">
        <v>177</v>
      </c>
    </row>
    <row r="656" spans="1:18" ht="30" customHeight="1" x14ac:dyDescent="0.25">
      <c r="A656" s="51">
        <v>46175</v>
      </c>
      <c r="B656" s="52" t="s">
        <v>18</v>
      </c>
      <c r="C656" s="52" t="s">
        <v>32</v>
      </c>
      <c r="D656" s="52" t="s">
        <v>31</v>
      </c>
      <c r="E656" s="79">
        <f>Table1[[#This Row],[Actual Production (Kg)]]</f>
        <v>0</v>
      </c>
      <c r="F656" s="53">
        <v>0</v>
      </c>
      <c r="G656" s="53"/>
      <c r="H656" s="57" t="str">
        <f>IFERROR(Table1[Re-process (Kg)]/Table1[Actual Production (Kg)], "")</f>
        <v/>
      </c>
      <c r="I656" s="53">
        <f>IFERROR(Table1[[#This Row],[Actual Production (Kg)]]-Table1[[#This Row],[Re-process (Kg)]], "")</f>
        <v>0</v>
      </c>
      <c r="J656" s="79"/>
      <c r="K656" s="52"/>
      <c r="L656" s="53" t="str">
        <f>IF(Table1[[#This Row],[Target Time (Hours)]]="","",Table1[[#This Row],[Target Time (Hours)]]-Table1[[#This Row],[Downtime (Hours)]])</f>
        <v/>
      </c>
      <c r="M656" s="53" t="str">
        <f>IFERROR(Table1[[#This Row],[Capacity (Kg)]]/Table1[[#This Row],[Target Time (Hours)]] * Table1[[#This Row],[Downtime (Hours)]], "")</f>
        <v/>
      </c>
      <c r="N656" s="57" t="str">
        <f>IFERROR(Table1[[#This Row],[Running Time (hr)]]/Table1[Target Time (Hours)], "")</f>
        <v/>
      </c>
      <c r="O656" s="57" t="str">
        <f>IFERROR(Table1[[#This Row],[Actual Production (Kg)]]/Table1[Capacity (Kg)], "")</f>
        <v/>
      </c>
      <c r="P656" s="57" t="str">
        <f>IFERROR(Table1[[#This Row],[Quality Pass Production]]/Table1[[#This Row],[Actual Production (Kg)]], "")</f>
        <v/>
      </c>
      <c r="Q656" s="57" t="str">
        <f>IFERROR(Table1[[#This Row],[Utilization %]]*Table1[[#This Row],[Efficiency %]]*Table1[[#This Row],[Quality %]], "")</f>
        <v/>
      </c>
      <c r="R656" s="52" t="s">
        <v>118</v>
      </c>
    </row>
    <row r="657" spans="1:18" ht="30" customHeight="1" x14ac:dyDescent="0.25">
      <c r="A657" s="47">
        <v>46175</v>
      </c>
      <c r="B657" s="48" t="s">
        <v>33</v>
      </c>
      <c r="C657" s="48" t="s">
        <v>34</v>
      </c>
      <c r="D657" s="48" t="s">
        <v>35</v>
      </c>
      <c r="E657" s="49">
        <v>9000</v>
      </c>
      <c r="F657" s="76">
        <v>3474</v>
      </c>
      <c r="G657" s="49">
        <v>0</v>
      </c>
      <c r="H657" s="50">
        <f>IFERROR(Table1[Re-process (Kg)]/Table1[Actual Production (Kg)], "")</f>
        <v>0</v>
      </c>
      <c r="I657" s="49">
        <f>IFERROR(Table1[[#This Row],[Actual Production (Kg)]]-Table1[[#This Row],[Re-process (Kg)]], "")</f>
        <v>3474</v>
      </c>
      <c r="J657" s="49">
        <v>22</v>
      </c>
      <c r="K657" s="72">
        <v>0</v>
      </c>
      <c r="L657" s="49">
        <f>IF(Table1[[#This Row],[Target Time (Hours)]]="","",Table1[[#This Row],[Target Time (Hours)]]-Table1[[#This Row],[Downtime (Hours)]])</f>
        <v>22</v>
      </c>
      <c r="M657" s="49">
        <f>IFERROR(Table1[[#This Row],[Capacity (Kg)]]/Table1[[#This Row],[Target Time (Hours)]] * Table1[[#This Row],[Downtime (Hours)]], "")</f>
        <v>0</v>
      </c>
      <c r="N657" s="50">
        <f>IFERROR(Table1[[#This Row],[Running Time (hr)]]/Table1[Target Time (Hours)], "")</f>
        <v>1</v>
      </c>
      <c r="O657" s="50">
        <f>IFERROR(Table1[[#This Row],[Actual Production (Kg)]]/Table1[Capacity (Kg)], "")</f>
        <v>0.38600000000000001</v>
      </c>
      <c r="P657" s="50">
        <f>IFERROR(Table1[[#This Row],[Quality Pass Production]]/Table1[[#This Row],[Actual Production (Kg)]], "")</f>
        <v>1</v>
      </c>
      <c r="Q657" s="50">
        <f>IFERROR(Table1[[#This Row],[Utilization %]]*Table1[[#This Row],[Efficiency %]]*Table1[[#This Row],[Quality %]], "")</f>
        <v>0.38600000000000001</v>
      </c>
      <c r="R657" s="48" t="s">
        <v>106</v>
      </c>
    </row>
    <row r="658" spans="1:18" ht="30" customHeight="1" x14ac:dyDescent="0.25">
      <c r="A658" s="47">
        <v>46175</v>
      </c>
      <c r="B658" s="48" t="s">
        <v>33</v>
      </c>
      <c r="C658" s="48" t="s">
        <v>36</v>
      </c>
      <c r="D658" s="48" t="s">
        <v>37</v>
      </c>
      <c r="E658" s="49">
        <v>8000</v>
      </c>
      <c r="F658" s="76">
        <v>3065</v>
      </c>
      <c r="G658" s="49">
        <v>0</v>
      </c>
      <c r="H658" s="50">
        <f>IFERROR(Table1[Re-process (Kg)]/Table1[Actual Production (Kg)], "")</f>
        <v>0</v>
      </c>
      <c r="I658" s="49">
        <f>IFERROR(Table1[[#This Row],[Actual Production (Kg)]]-Table1[[#This Row],[Re-process (Kg)]], "")</f>
        <v>3065</v>
      </c>
      <c r="J658" s="49">
        <v>22</v>
      </c>
      <c r="K658" s="72">
        <v>2</v>
      </c>
      <c r="L658" s="49">
        <f>IF(Table1[[#This Row],[Target Time (Hours)]]="","",Table1[[#This Row],[Target Time (Hours)]]-Table1[[#This Row],[Downtime (Hours)]])</f>
        <v>20</v>
      </c>
      <c r="M658" s="49">
        <f>IFERROR(Table1[[#This Row],[Capacity (Kg)]]/Table1[[#This Row],[Target Time (Hours)]] * Table1[[#This Row],[Downtime (Hours)]], "")</f>
        <v>727.27272727272725</v>
      </c>
      <c r="N658" s="50">
        <f>IFERROR(Table1[[#This Row],[Running Time (hr)]]/Table1[Target Time (Hours)], "")</f>
        <v>0.90909090909090906</v>
      </c>
      <c r="O658" s="50">
        <f>IFERROR(Table1[[#This Row],[Actual Production (Kg)]]/Table1[Capacity (Kg)], "")</f>
        <v>0.38312499999999999</v>
      </c>
      <c r="P658" s="50">
        <f>IFERROR(Table1[[#This Row],[Quality Pass Production]]/Table1[[#This Row],[Actual Production (Kg)]], "")</f>
        <v>1</v>
      </c>
      <c r="Q658" s="50">
        <f>IFERROR(Table1[[#This Row],[Utilization %]]*Table1[[#This Row],[Efficiency %]]*Table1[[#This Row],[Quality %]], "")</f>
        <v>0.34829545454545452</v>
      </c>
      <c r="R658" s="48" t="s">
        <v>119</v>
      </c>
    </row>
    <row r="659" spans="1:18" ht="30" customHeight="1" x14ac:dyDescent="0.25">
      <c r="A659" s="47">
        <v>46175</v>
      </c>
      <c r="B659" s="48" t="s">
        <v>33</v>
      </c>
      <c r="C659" s="48" t="s">
        <v>39</v>
      </c>
      <c r="D659" s="48" t="s">
        <v>31</v>
      </c>
      <c r="E659" s="49">
        <v>6000</v>
      </c>
      <c r="F659" s="76">
        <v>931</v>
      </c>
      <c r="G659" s="49">
        <v>0</v>
      </c>
      <c r="H659" s="50">
        <f>IFERROR(Table1[Re-process (Kg)]/Table1[Actual Production (Kg)], "")</f>
        <v>0</v>
      </c>
      <c r="I659" s="49">
        <f>IFERROR(Table1[[#This Row],[Actual Production (Kg)]]-Table1[[#This Row],[Re-process (Kg)]], "")</f>
        <v>931</v>
      </c>
      <c r="J659" s="49">
        <v>22</v>
      </c>
      <c r="K659" s="72">
        <v>0</v>
      </c>
      <c r="L659" s="49">
        <f>IF(Table1[[#This Row],[Target Time (Hours)]]="","",Table1[[#This Row],[Target Time (Hours)]]-Table1[[#This Row],[Downtime (Hours)]])</f>
        <v>22</v>
      </c>
      <c r="M659" s="49">
        <f>IFERROR(Table1[[#This Row],[Capacity (Kg)]]/Table1[[#This Row],[Target Time (Hours)]] * Table1[[#This Row],[Downtime (Hours)]], "")</f>
        <v>0</v>
      </c>
      <c r="N659" s="50">
        <f>IFERROR(Table1[[#This Row],[Running Time (hr)]]/Table1[Target Time (Hours)], "")</f>
        <v>1</v>
      </c>
      <c r="O659" s="50">
        <f>IFERROR(Table1[[#This Row],[Actual Production (Kg)]]/Table1[Capacity (Kg)], "")</f>
        <v>0.15516666666666667</v>
      </c>
      <c r="P659" s="50">
        <f>IFERROR(Table1[[#This Row],[Quality Pass Production]]/Table1[[#This Row],[Actual Production (Kg)]], "")</f>
        <v>1</v>
      </c>
      <c r="Q659" s="50">
        <f>IFERROR(Table1[[#This Row],[Utilization %]]*Table1[[#This Row],[Efficiency %]]*Table1[[#This Row],[Quality %]], "")</f>
        <v>0.15516666666666667</v>
      </c>
      <c r="R659" s="48" t="s">
        <v>106</v>
      </c>
    </row>
    <row r="660" spans="1:18" ht="45" customHeight="1" x14ac:dyDescent="0.25">
      <c r="A660" s="54">
        <v>46175</v>
      </c>
      <c r="B660" s="55" t="s">
        <v>33</v>
      </c>
      <c r="C660" s="55" t="s">
        <v>40</v>
      </c>
      <c r="D660" s="55" t="s">
        <v>31</v>
      </c>
      <c r="E660" s="56">
        <v>5000</v>
      </c>
      <c r="F660" s="56">
        <v>1003</v>
      </c>
      <c r="G660" s="56">
        <v>0</v>
      </c>
      <c r="H660" s="58">
        <f>IFERROR(Table1[Re-process (Kg)]/Table1[Actual Production (Kg)], "")</f>
        <v>0</v>
      </c>
      <c r="I660" s="56">
        <f>IFERROR(Table1[[#This Row],[Actual Production (Kg)]]-Table1[[#This Row],[Re-process (Kg)]], "")</f>
        <v>1003</v>
      </c>
      <c r="J660" s="56">
        <v>22</v>
      </c>
      <c r="K660" s="55">
        <v>0</v>
      </c>
      <c r="L660" s="56">
        <f>IF(Table1[[#This Row],[Target Time (Hours)]]="","",Table1[[#This Row],[Target Time (Hours)]]-Table1[[#This Row],[Downtime (Hours)]])</f>
        <v>22</v>
      </c>
      <c r="M660" s="56">
        <f>IFERROR(Table1[[#This Row],[Capacity (Kg)]]/Table1[[#This Row],[Target Time (Hours)]] * Table1[[#This Row],[Downtime (Hours)]], "")</f>
        <v>0</v>
      </c>
      <c r="N660" s="58">
        <f>IFERROR(Table1[[#This Row],[Running Time (hr)]]/Table1[Target Time (Hours)], "")</f>
        <v>1</v>
      </c>
      <c r="O660" s="58">
        <f>IFERROR(Table1[[#This Row],[Actual Production (Kg)]]/Table1[Capacity (Kg)], "")</f>
        <v>0.2006</v>
      </c>
      <c r="P660" s="58">
        <f>IFERROR(Table1[[#This Row],[Quality Pass Production]]/Table1[[#This Row],[Actual Production (Kg)]], "")</f>
        <v>1</v>
      </c>
      <c r="Q660" s="58">
        <f>IFERROR(Table1[[#This Row],[Utilization %]]*Table1[[#This Row],[Efficiency %]]*Table1[[#This Row],[Quality %]], "")</f>
        <v>0.2006</v>
      </c>
      <c r="R660" s="55" t="s">
        <v>178</v>
      </c>
    </row>
    <row r="661" spans="1:18" ht="30" customHeight="1" x14ac:dyDescent="0.25">
      <c r="A661" s="47">
        <v>46176</v>
      </c>
      <c r="B661" s="48" t="s">
        <v>18</v>
      </c>
      <c r="C661" s="48" t="s">
        <v>19</v>
      </c>
      <c r="D661" s="48" t="s">
        <v>20</v>
      </c>
      <c r="E661" s="49">
        <v>10000</v>
      </c>
      <c r="F661" s="76">
        <v>7044</v>
      </c>
      <c r="G661" s="49">
        <v>0</v>
      </c>
      <c r="H661" s="50">
        <f>IFERROR(Table1[Re-process (Kg)]/Table1[Actual Production (Kg)], "")</f>
        <v>0</v>
      </c>
      <c r="I661" s="49">
        <f>IFERROR(Table1[[#This Row],[Actual Production (Kg)]]-Table1[[#This Row],[Re-process (Kg)]], "")</f>
        <v>7044</v>
      </c>
      <c r="J661" s="49">
        <v>22</v>
      </c>
      <c r="K661" s="72">
        <v>0</v>
      </c>
      <c r="L661" s="49">
        <f>IF(Table1[[#This Row],[Target Time (Hours)]]="","",Table1[[#This Row],[Target Time (Hours)]]-Table1[[#This Row],[Downtime (Hours)]])</f>
        <v>22</v>
      </c>
      <c r="M661" s="49">
        <f>IFERROR(Table1[[#This Row],[Capacity (Kg)]]/Table1[[#This Row],[Target Time (Hours)]] * Table1[[#This Row],[Downtime (Hours)]], "")</f>
        <v>0</v>
      </c>
      <c r="N661" s="50">
        <f>IFERROR(Table1[[#This Row],[Running Time (hr)]]/Table1[Target Time (Hours)], "")</f>
        <v>1</v>
      </c>
      <c r="O661" s="50">
        <f>IFERROR(Table1[[#This Row],[Actual Production (Kg)]]/Table1[Capacity (Kg)], "")</f>
        <v>0.70440000000000003</v>
      </c>
      <c r="P661" s="50">
        <f>IFERROR(Table1[[#This Row],[Quality Pass Production]]/Table1[[#This Row],[Actual Production (Kg)]], "")</f>
        <v>1</v>
      </c>
      <c r="Q661" s="50">
        <f>IFERROR(Table1[[#This Row],[Utilization %]]*Table1[[#This Row],[Efficiency %]]*Table1[[#This Row],[Quality %]], "")</f>
        <v>0.70440000000000003</v>
      </c>
    </row>
    <row r="662" spans="1:18" ht="30" customHeight="1" x14ac:dyDescent="0.25">
      <c r="A662" s="47">
        <v>46176</v>
      </c>
      <c r="B662" s="48" t="s">
        <v>18</v>
      </c>
      <c r="C662" s="48" t="s">
        <v>22</v>
      </c>
      <c r="D662" s="48" t="s">
        <v>23</v>
      </c>
      <c r="E662" s="49"/>
      <c r="F662" s="76"/>
      <c r="G662" s="49"/>
      <c r="H662" s="50" t="str">
        <f>IFERROR(Table1[Re-process (Kg)]/Table1[Actual Production (Kg)], "")</f>
        <v/>
      </c>
      <c r="I662" s="49">
        <f>IFERROR(Table1[[#This Row],[Actual Production (Kg)]]-Table1[[#This Row],[Re-process (Kg)]], "")</f>
        <v>0</v>
      </c>
      <c r="J662" s="49">
        <v>22</v>
      </c>
      <c r="K662" s="72">
        <v>22</v>
      </c>
      <c r="L662" s="49">
        <f>IF(Table1[[#This Row],[Target Time (Hours)]]="","",Table1[[#This Row],[Target Time (Hours)]]-Table1[[#This Row],[Downtime (Hours)]])</f>
        <v>0</v>
      </c>
      <c r="M662" s="49">
        <f>IFERROR(Table1[[#This Row],[Capacity (Kg)]]/Table1[[#This Row],[Target Time (Hours)]] * Table1[[#This Row],[Downtime (Hours)]], "")</f>
        <v>0</v>
      </c>
      <c r="N662" s="50">
        <f>IFERROR(Table1[[#This Row],[Running Time (hr)]]/Table1[Target Time (Hours)], "")</f>
        <v>0</v>
      </c>
      <c r="O662" s="50" t="str">
        <f>IFERROR(Table1[[#This Row],[Actual Production (Kg)]]/Table1[Capacity (Kg)], "")</f>
        <v/>
      </c>
      <c r="P662" s="50" t="str">
        <f>IFERROR(Table1[[#This Row],[Quality Pass Production]]/Table1[[#This Row],[Actual Production (Kg)]], "")</f>
        <v/>
      </c>
      <c r="Q662" s="50" t="str">
        <f>IFERROR(Table1[[#This Row],[Utilization %]]*Table1[[#This Row],[Efficiency %]]*Table1[[#This Row],[Quality %]], "")</f>
        <v/>
      </c>
      <c r="R662" s="48" t="s">
        <v>175</v>
      </c>
    </row>
    <row r="663" spans="1:18" x14ac:dyDescent="0.25">
      <c r="A663" s="47">
        <v>46176</v>
      </c>
      <c r="B663" s="48" t="s">
        <v>18</v>
      </c>
      <c r="C663" s="48" t="s">
        <v>22</v>
      </c>
      <c r="D663" s="48" t="s">
        <v>25</v>
      </c>
      <c r="E663" s="49"/>
      <c r="F663" s="76"/>
      <c r="G663" s="49"/>
      <c r="H663" s="50" t="str">
        <f>IFERROR(Table1[Re-process (Kg)]/Table1[Actual Production (Kg)], "")</f>
        <v/>
      </c>
      <c r="I663" s="49">
        <f>IFERROR(Table1[[#This Row],[Actual Production (Kg)]]-Table1[[#This Row],[Re-process (Kg)]], "")</f>
        <v>0</v>
      </c>
      <c r="J663" s="49"/>
      <c r="K663" s="72"/>
      <c r="L663" s="49" t="str">
        <f>IF(Table1[[#This Row],[Target Time (Hours)]]="","",Table1[[#This Row],[Target Time (Hours)]]-Table1[[#This Row],[Downtime (Hours)]])</f>
        <v/>
      </c>
      <c r="M663" s="49" t="str">
        <f>IFERROR(Table1[[#This Row],[Capacity (Kg)]]/Table1[[#This Row],[Target Time (Hours)]] * Table1[[#This Row],[Downtime (Hours)]], "")</f>
        <v/>
      </c>
      <c r="N663" s="50" t="str">
        <f>IFERROR(Table1[[#This Row],[Running Time (hr)]]/Table1[Target Time (Hours)], "")</f>
        <v/>
      </c>
      <c r="O663" s="50" t="str">
        <f>IFERROR(Table1[[#This Row],[Actual Production (Kg)]]/Table1[Capacity (Kg)], "")</f>
        <v/>
      </c>
      <c r="P663" s="50" t="str">
        <f>IFERROR(Table1[[#This Row],[Quality Pass Production]]/Table1[[#This Row],[Actual Production (Kg)]], "")</f>
        <v/>
      </c>
      <c r="Q663" s="50" t="str">
        <f>IFERROR(Table1[[#This Row],[Utilization %]]*Table1[[#This Row],[Efficiency %]]*Table1[[#This Row],[Quality %]], "")</f>
        <v/>
      </c>
    </row>
    <row r="664" spans="1:18" x14ac:dyDescent="0.25">
      <c r="A664" s="47">
        <v>46176</v>
      </c>
      <c r="B664" s="48" t="s">
        <v>18</v>
      </c>
      <c r="C664" s="48" t="s">
        <v>26</v>
      </c>
      <c r="D664" s="48" t="s">
        <v>25</v>
      </c>
      <c r="E664" s="49">
        <v>7000</v>
      </c>
      <c r="F664" s="76">
        <v>7619</v>
      </c>
      <c r="G664" s="49">
        <v>0</v>
      </c>
      <c r="H664" s="50">
        <f>IFERROR(Table1[Re-process (Kg)]/Table1[Actual Production (Kg)], "")</f>
        <v>0</v>
      </c>
      <c r="I664" s="49">
        <f>IFERROR(Table1[[#This Row],[Actual Production (Kg)]]-Table1[[#This Row],[Re-process (Kg)]], "")</f>
        <v>7619</v>
      </c>
      <c r="J664" s="49">
        <v>22</v>
      </c>
      <c r="K664" s="72">
        <v>0</v>
      </c>
      <c r="L664" s="49">
        <f>IF(Table1[[#This Row],[Target Time (Hours)]]="","",Table1[[#This Row],[Target Time (Hours)]]-Table1[[#This Row],[Downtime (Hours)]])</f>
        <v>22</v>
      </c>
      <c r="M664" s="49">
        <f>IFERROR(Table1[[#This Row],[Capacity (Kg)]]/Table1[[#This Row],[Target Time (Hours)]] * Table1[[#This Row],[Downtime (Hours)]], "")</f>
        <v>0</v>
      </c>
      <c r="N664" s="50">
        <f>IFERROR(Table1[[#This Row],[Running Time (hr)]]/Table1[Target Time (Hours)], "")</f>
        <v>1</v>
      </c>
      <c r="O664" s="50">
        <f>IFERROR(Table1[[#This Row],[Actual Production (Kg)]]/Table1[Capacity (Kg)], "")</f>
        <v>1.0884285714285715</v>
      </c>
      <c r="P664" s="50">
        <f>IFERROR(Table1[[#This Row],[Quality Pass Production]]/Table1[[#This Row],[Actual Production (Kg)]], "")</f>
        <v>1</v>
      </c>
      <c r="Q664" s="50">
        <f>IFERROR(Table1[[#This Row],[Utilization %]]*Table1[[#This Row],[Efficiency %]]*Table1[[#This Row],[Quality %]], "")</f>
        <v>1.0884285714285715</v>
      </c>
    </row>
    <row r="665" spans="1:18" ht="45" customHeight="1" x14ac:dyDescent="0.25">
      <c r="A665" s="47">
        <v>46176</v>
      </c>
      <c r="B665" s="48" t="s">
        <v>18</v>
      </c>
      <c r="C665" s="48" t="s">
        <v>28</v>
      </c>
      <c r="D665" s="48" t="s">
        <v>29</v>
      </c>
      <c r="E665" s="49">
        <v>7800</v>
      </c>
      <c r="F665" s="76">
        <v>2672</v>
      </c>
      <c r="G665" s="49">
        <v>0</v>
      </c>
      <c r="H665" s="50">
        <f>IFERROR(Table1[Re-process (Kg)]/Table1[Actual Production (Kg)], "")</f>
        <v>0</v>
      </c>
      <c r="I665" s="49">
        <f>IFERROR(Table1[[#This Row],[Actual Production (Kg)]]-Table1[[#This Row],[Re-process (Kg)]], "")</f>
        <v>2672</v>
      </c>
      <c r="J665" s="49">
        <v>22</v>
      </c>
      <c r="K665" s="72">
        <v>0</v>
      </c>
      <c r="L665" s="49">
        <f>IF(Table1[[#This Row],[Target Time (Hours)]]="","",Table1[[#This Row],[Target Time (Hours)]]-Table1[[#This Row],[Downtime (Hours)]])</f>
        <v>22</v>
      </c>
      <c r="M665" s="49">
        <f>IFERROR(Table1[[#This Row],[Capacity (Kg)]]/Table1[[#This Row],[Target Time (Hours)]] * Table1[[#This Row],[Downtime (Hours)]], "")</f>
        <v>0</v>
      </c>
      <c r="N665" s="50">
        <f>IFERROR(Table1[[#This Row],[Running Time (hr)]]/Table1[Target Time (Hours)], "")</f>
        <v>1</v>
      </c>
      <c r="O665" s="50">
        <f>IFERROR(Table1[[#This Row],[Actual Production (Kg)]]/Table1[Capacity (Kg)], "")</f>
        <v>0.34256410256410258</v>
      </c>
      <c r="P665" s="50">
        <f>IFERROR(Table1[[#This Row],[Quality Pass Production]]/Table1[[#This Row],[Actual Production (Kg)]], "")</f>
        <v>1</v>
      </c>
      <c r="Q665" s="50">
        <f>IFERROR(Table1[[#This Row],[Utilization %]]*Table1[[#This Row],[Efficiency %]]*Table1[[#This Row],[Quality %]], "")</f>
        <v>0.34256410256410258</v>
      </c>
      <c r="R665" s="48" t="s">
        <v>177</v>
      </c>
    </row>
    <row r="666" spans="1:18" ht="30" customHeight="1" x14ac:dyDescent="0.25">
      <c r="A666" s="51">
        <v>46176</v>
      </c>
      <c r="B666" s="52" t="s">
        <v>18</v>
      </c>
      <c r="C666" s="52" t="s">
        <v>135</v>
      </c>
      <c r="D666" s="52" t="s">
        <v>29</v>
      </c>
      <c r="E666" s="53"/>
      <c r="F666" s="53">
        <v>0</v>
      </c>
      <c r="G666" s="53"/>
      <c r="H666" s="57" t="str">
        <f>IFERROR(Table1[Re-process (Kg)]/Table1[Actual Production (Kg)], "")</f>
        <v/>
      </c>
      <c r="I666" s="53">
        <f>IFERROR(Table1[[#This Row],[Actual Production (Kg)]]-Table1[[#This Row],[Re-process (Kg)]], "")</f>
        <v>0</v>
      </c>
      <c r="J666" s="79"/>
      <c r="K666" s="52"/>
      <c r="L666" s="53" t="str">
        <f>IF(Table1[[#This Row],[Target Time (Hours)]]="","",Table1[[#This Row],[Target Time (Hours)]]-Table1[[#This Row],[Downtime (Hours)]])</f>
        <v/>
      </c>
      <c r="M666" s="53" t="str">
        <f>IFERROR(Table1[[#This Row],[Capacity (Kg)]]/Table1[[#This Row],[Target Time (Hours)]] * Table1[[#This Row],[Downtime (Hours)]], "")</f>
        <v/>
      </c>
      <c r="N666" s="57" t="str">
        <f>IFERROR(Table1[[#This Row],[Running Time (hr)]]/Table1[Target Time (Hours)], "")</f>
        <v/>
      </c>
      <c r="O666" s="57" t="str">
        <f>IFERROR(Table1[[#This Row],[Actual Production (Kg)]]/Table1[Capacity (Kg)], "")</f>
        <v/>
      </c>
      <c r="P666" s="57" t="str">
        <f>IFERROR(Table1[[#This Row],[Quality Pass Production]]/Table1[[#This Row],[Actual Production (Kg)]], "")</f>
        <v/>
      </c>
      <c r="Q666" s="57" t="str">
        <f>IFERROR(Table1[[#This Row],[Utilization %]]*Table1[[#This Row],[Efficiency %]]*Table1[[#This Row],[Quality %]], "")</f>
        <v/>
      </c>
      <c r="R666" s="52" t="s">
        <v>156</v>
      </c>
    </row>
    <row r="667" spans="1:18" ht="30" customHeight="1" x14ac:dyDescent="0.25">
      <c r="A667" s="47">
        <v>46176</v>
      </c>
      <c r="B667" s="48" t="s">
        <v>18</v>
      </c>
      <c r="C667" s="48" t="s">
        <v>30</v>
      </c>
      <c r="D667" s="48" t="s">
        <v>31</v>
      </c>
      <c r="E667" s="49">
        <v>9000</v>
      </c>
      <c r="F667" s="76">
        <v>6284</v>
      </c>
      <c r="G667" s="49">
        <v>0</v>
      </c>
      <c r="H667" s="50">
        <f>IFERROR(Table1[Re-process (Kg)]/Table1[Actual Production (Kg)], "")</f>
        <v>0</v>
      </c>
      <c r="I667" s="49">
        <f>IFERROR(Table1[[#This Row],[Actual Production (Kg)]]-Table1[[#This Row],[Re-process (Kg)]], "")</f>
        <v>6284</v>
      </c>
      <c r="J667" s="49">
        <v>22</v>
      </c>
      <c r="K667" s="72">
        <v>2</v>
      </c>
      <c r="L667" s="49">
        <f>IF(Table1[[#This Row],[Target Time (Hours)]]="","",Table1[[#This Row],[Target Time (Hours)]]-Table1[[#This Row],[Downtime (Hours)]])</f>
        <v>20</v>
      </c>
      <c r="M667" s="49">
        <f>IFERROR(Table1[[#This Row],[Capacity (Kg)]]/Table1[[#This Row],[Target Time (Hours)]] * Table1[[#This Row],[Downtime (Hours)]], "")</f>
        <v>818.18181818181813</v>
      </c>
      <c r="N667" s="50">
        <f>IFERROR(Table1[[#This Row],[Running Time (hr)]]/Table1[Target Time (Hours)], "")</f>
        <v>0.90909090909090906</v>
      </c>
      <c r="O667" s="50">
        <f>IFERROR(Table1[[#This Row],[Actual Production (Kg)]]/Table1[Capacity (Kg)], "")</f>
        <v>0.69822222222222219</v>
      </c>
      <c r="P667" s="50">
        <f>IFERROR(Table1[[#This Row],[Quality Pass Production]]/Table1[[#This Row],[Actual Production (Kg)]], "")</f>
        <v>1</v>
      </c>
      <c r="Q667" s="50">
        <f>IFERROR(Table1[[#This Row],[Utilization %]]*Table1[[#This Row],[Efficiency %]]*Table1[[#This Row],[Quality %]], "")</f>
        <v>0.63474747474747473</v>
      </c>
      <c r="R667" s="48" t="s">
        <v>179</v>
      </c>
    </row>
    <row r="668" spans="1:18" ht="30" customHeight="1" x14ac:dyDescent="0.25">
      <c r="A668" s="51">
        <v>46176</v>
      </c>
      <c r="B668" s="52" t="s">
        <v>18</v>
      </c>
      <c r="C668" s="52" t="s">
        <v>32</v>
      </c>
      <c r="D668" s="52" t="s">
        <v>31</v>
      </c>
      <c r="E668" s="79">
        <f>Table1[[#This Row],[Actual Production (Kg)]]</f>
        <v>0</v>
      </c>
      <c r="F668" s="53">
        <v>0</v>
      </c>
      <c r="G668" s="53"/>
      <c r="H668" s="57" t="str">
        <f>IFERROR(Table1[Re-process (Kg)]/Table1[Actual Production (Kg)], "")</f>
        <v/>
      </c>
      <c r="I668" s="53">
        <f>IFERROR(Table1[[#This Row],[Actual Production (Kg)]]-Table1[[#This Row],[Re-process (Kg)]], "")</f>
        <v>0</v>
      </c>
      <c r="J668" s="79"/>
      <c r="K668" s="52"/>
      <c r="L668" s="53" t="str">
        <f>IF(Table1[[#This Row],[Target Time (Hours)]]="","",Table1[[#This Row],[Target Time (Hours)]]-Table1[[#This Row],[Downtime (Hours)]])</f>
        <v/>
      </c>
      <c r="M668" s="53" t="str">
        <f>IFERROR(Table1[[#This Row],[Capacity (Kg)]]/Table1[[#This Row],[Target Time (Hours)]] * Table1[[#This Row],[Downtime (Hours)]], "")</f>
        <v/>
      </c>
      <c r="N668" s="57" t="str">
        <f>IFERROR(Table1[[#This Row],[Running Time (hr)]]/Table1[Target Time (Hours)], "")</f>
        <v/>
      </c>
      <c r="O668" s="57" t="str">
        <f>IFERROR(Table1[[#This Row],[Actual Production (Kg)]]/Table1[Capacity (Kg)], "")</f>
        <v/>
      </c>
      <c r="P668" s="57" t="str">
        <f>IFERROR(Table1[[#This Row],[Quality Pass Production]]/Table1[[#This Row],[Actual Production (Kg)]], "")</f>
        <v/>
      </c>
      <c r="Q668" s="57" t="str">
        <f>IFERROR(Table1[[#This Row],[Utilization %]]*Table1[[#This Row],[Efficiency %]]*Table1[[#This Row],[Quality %]], "")</f>
        <v/>
      </c>
      <c r="R668" s="52" t="s">
        <v>156</v>
      </c>
    </row>
    <row r="669" spans="1:18" ht="30" customHeight="1" x14ac:dyDescent="0.25">
      <c r="A669" s="47">
        <v>46176</v>
      </c>
      <c r="B669" s="48" t="s">
        <v>33</v>
      </c>
      <c r="C669" s="48" t="s">
        <v>34</v>
      </c>
      <c r="D669" s="48" t="s">
        <v>35</v>
      </c>
      <c r="E669" s="49">
        <v>9000</v>
      </c>
      <c r="F669" s="76">
        <v>7313</v>
      </c>
      <c r="G669" s="49">
        <v>0</v>
      </c>
      <c r="H669" s="50">
        <f>IFERROR(Table1[Re-process (Kg)]/Table1[Actual Production (Kg)], "")</f>
        <v>0</v>
      </c>
      <c r="I669" s="49">
        <f>IFERROR(Table1[[#This Row],[Actual Production (Kg)]]-Table1[[#This Row],[Re-process (Kg)]], "")</f>
        <v>7313</v>
      </c>
      <c r="J669" s="49">
        <v>22</v>
      </c>
      <c r="K669" s="72">
        <v>0</v>
      </c>
      <c r="L669" s="49">
        <f>IF(Table1[[#This Row],[Target Time (Hours)]]="","",Table1[[#This Row],[Target Time (Hours)]]-Table1[[#This Row],[Downtime (Hours)]])</f>
        <v>22</v>
      </c>
      <c r="M669" s="49">
        <f>IFERROR(Table1[[#This Row],[Capacity (Kg)]]/Table1[[#This Row],[Target Time (Hours)]] * Table1[[#This Row],[Downtime (Hours)]], "")</f>
        <v>0</v>
      </c>
      <c r="N669" s="50">
        <f>IFERROR(Table1[[#This Row],[Running Time (hr)]]/Table1[Target Time (Hours)], "")</f>
        <v>1</v>
      </c>
      <c r="O669" s="50">
        <f>IFERROR(Table1[[#This Row],[Actual Production (Kg)]]/Table1[Capacity (Kg)], "")</f>
        <v>0.81255555555555559</v>
      </c>
      <c r="P669" s="50">
        <f>IFERROR(Table1[[#This Row],[Quality Pass Production]]/Table1[[#This Row],[Actual Production (Kg)]], "")</f>
        <v>1</v>
      </c>
      <c r="Q669" s="50">
        <f>IFERROR(Table1[[#This Row],[Utilization %]]*Table1[[#This Row],[Efficiency %]]*Table1[[#This Row],[Quality %]], "")</f>
        <v>0.81255555555555559</v>
      </c>
      <c r="R669" s="48" t="s">
        <v>157</v>
      </c>
    </row>
    <row r="670" spans="1:18" ht="45" customHeight="1" x14ac:dyDescent="0.25">
      <c r="A670" s="47">
        <v>46176</v>
      </c>
      <c r="B670" s="48" t="s">
        <v>33</v>
      </c>
      <c r="C670" s="48" t="s">
        <v>36</v>
      </c>
      <c r="D670" s="48" t="s">
        <v>37</v>
      </c>
      <c r="E670" s="49">
        <v>8000</v>
      </c>
      <c r="F670" s="76">
        <v>7123</v>
      </c>
      <c r="G670" s="49">
        <v>0</v>
      </c>
      <c r="H670" s="50">
        <f>IFERROR(Table1[Re-process (Kg)]/Table1[Actual Production (Kg)], "")</f>
        <v>0</v>
      </c>
      <c r="I670" s="49">
        <f>IFERROR(Table1[[#This Row],[Actual Production (Kg)]]-Table1[[#This Row],[Re-process (Kg)]], "")</f>
        <v>7123</v>
      </c>
      <c r="J670" s="49">
        <v>22</v>
      </c>
      <c r="K670" s="72">
        <v>1</v>
      </c>
      <c r="L670" s="49">
        <f>IF(Table1[[#This Row],[Target Time (Hours)]]="","",Table1[[#This Row],[Target Time (Hours)]]-Table1[[#This Row],[Downtime (Hours)]])</f>
        <v>21</v>
      </c>
      <c r="M670" s="49">
        <f>IFERROR(Table1[[#This Row],[Capacity (Kg)]]/Table1[[#This Row],[Target Time (Hours)]] * Table1[[#This Row],[Downtime (Hours)]], "")</f>
        <v>363.63636363636363</v>
      </c>
      <c r="N670" s="50">
        <f>IFERROR(Table1[[#This Row],[Running Time (hr)]]/Table1[Target Time (Hours)], "")</f>
        <v>0.95454545454545459</v>
      </c>
      <c r="O670" s="50">
        <f>IFERROR(Table1[[#This Row],[Actual Production (Kg)]]/Table1[Capacity (Kg)], "")</f>
        <v>0.89037500000000003</v>
      </c>
      <c r="P670" s="50">
        <f>IFERROR(Table1[[#This Row],[Quality Pass Production]]/Table1[[#This Row],[Actual Production (Kg)]], "")</f>
        <v>1</v>
      </c>
      <c r="Q670" s="50">
        <f>IFERROR(Table1[[#This Row],[Utilization %]]*Table1[[#This Row],[Efficiency %]]*Table1[[#This Row],[Quality %]], "")</f>
        <v>0.84990340909090911</v>
      </c>
      <c r="R670" s="48" t="s">
        <v>165</v>
      </c>
    </row>
    <row r="671" spans="1:18" ht="30" customHeight="1" x14ac:dyDescent="0.25">
      <c r="A671" s="47">
        <v>46176</v>
      </c>
      <c r="B671" s="48" t="s">
        <v>33</v>
      </c>
      <c r="C671" s="48" t="s">
        <v>39</v>
      </c>
      <c r="D671" s="48" t="s">
        <v>31</v>
      </c>
      <c r="E671" s="49">
        <v>6000</v>
      </c>
      <c r="F671" s="76">
        <v>2638</v>
      </c>
      <c r="G671" s="49">
        <v>0</v>
      </c>
      <c r="H671" s="50">
        <f>IFERROR(Table1[Re-process (Kg)]/Table1[Actual Production (Kg)], "")</f>
        <v>0</v>
      </c>
      <c r="I671" s="49">
        <f>IFERROR(Table1[[#This Row],[Actual Production (Kg)]]-Table1[[#This Row],[Re-process (Kg)]], "")</f>
        <v>2638</v>
      </c>
      <c r="J671" s="49">
        <v>22</v>
      </c>
      <c r="K671" s="72">
        <v>0</v>
      </c>
      <c r="L671" s="49">
        <f>IF(Table1[[#This Row],[Target Time (Hours)]]="","",Table1[[#This Row],[Target Time (Hours)]]-Table1[[#This Row],[Downtime (Hours)]])</f>
        <v>22</v>
      </c>
      <c r="M671" s="49">
        <f>IFERROR(Table1[[#This Row],[Capacity (Kg)]]/Table1[[#This Row],[Target Time (Hours)]] * Table1[[#This Row],[Downtime (Hours)]], "")</f>
        <v>0</v>
      </c>
      <c r="N671" s="50">
        <f>IFERROR(Table1[[#This Row],[Running Time (hr)]]/Table1[Target Time (Hours)], "")</f>
        <v>1</v>
      </c>
      <c r="O671" s="50">
        <f>IFERROR(Table1[[#This Row],[Actual Production (Kg)]]/Table1[Capacity (Kg)], "")</f>
        <v>0.43966666666666665</v>
      </c>
      <c r="P671" s="50">
        <f>IFERROR(Table1[[#This Row],[Quality Pass Production]]/Table1[[#This Row],[Actual Production (Kg)]], "")</f>
        <v>1</v>
      </c>
      <c r="Q671" s="50">
        <f>IFERROR(Table1[[#This Row],[Utilization %]]*Table1[[#This Row],[Efficiency %]]*Table1[[#This Row],[Quality %]], "")</f>
        <v>0.43966666666666665</v>
      </c>
      <c r="R671" s="48" t="s">
        <v>161</v>
      </c>
    </row>
    <row r="672" spans="1:18" ht="45" customHeight="1" x14ac:dyDescent="0.25">
      <c r="A672" s="54">
        <v>46176</v>
      </c>
      <c r="B672" s="55" t="s">
        <v>33</v>
      </c>
      <c r="C672" s="55" t="s">
        <v>40</v>
      </c>
      <c r="D672" s="55" t="s">
        <v>31</v>
      </c>
      <c r="E672" s="56">
        <v>5000</v>
      </c>
      <c r="F672" s="56">
        <v>3973</v>
      </c>
      <c r="G672" s="56">
        <v>0</v>
      </c>
      <c r="H672" s="58">
        <f>IFERROR(Table1[Re-process (Kg)]/Table1[Actual Production (Kg)], "")</f>
        <v>0</v>
      </c>
      <c r="I672" s="56">
        <f>IFERROR(Table1[[#This Row],[Actual Production (Kg)]]-Table1[[#This Row],[Re-process (Kg)]], "")</f>
        <v>3973</v>
      </c>
      <c r="J672" s="56">
        <v>22</v>
      </c>
      <c r="K672" s="55">
        <v>0</v>
      </c>
      <c r="L672" s="56">
        <f>IF(Table1[[#This Row],[Target Time (Hours)]]="","",Table1[[#This Row],[Target Time (Hours)]]-Table1[[#This Row],[Downtime (Hours)]])</f>
        <v>22</v>
      </c>
      <c r="M672" s="56">
        <f>IFERROR(Table1[[#This Row],[Capacity (Kg)]]/Table1[[#This Row],[Target Time (Hours)]] * Table1[[#This Row],[Downtime (Hours)]], "")</f>
        <v>0</v>
      </c>
      <c r="N672" s="58">
        <f>IFERROR(Table1[[#This Row],[Running Time (hr)]]/Table1[Target Time (Hours)], "")</f>
        <v>1</v>
      </c>
      <c r="O672" s="58">
        <f>IFERROR(Table1[[#This Row],[Actual Production (Kg)]]/Table1[Capacity (Kg)], "")</f>
        <v>0.79459999999999997</v>
      </c>
      <c r="P672" s="58">
        <f>IFERROR(Table1[[#This Row],[Quality Pass Production]]/Table1[[#This Row],[Actual Production (Kg)]], "")</f>
        <v>1</v>
      </c>
      <c r="Q672" s="58">
        <f>IFERROR(Table1[[#This Row],[Utilization %]]*Table1[[#This Row],[Efficiency %]]*Table1[[#This Row],[Quality %]], "")</f>
        <v>0.79459999999999997</v>
      </c>
      <c r="R672" s="55" t="s">
        <v>166</v>
      </c>
    </row>
    <row r="673" spans="1:18" ht="30" customHeight="1" x14ac:dyDescent="0.25">
      <c r="A673" s="47">
        <v>46177</v>
      </c>
      <c r="B673" s="48" t="s">
        <v>18</v>
      </c>
      <c r="C673" s="48" t="s">
        <v>19</v>
      </c>
      <c r="D673" s="48" t="s">
        <v>20</v>
      </c>
      <c r="E673" s="49">
        <v>10000</v>
      </c>
      <c r="F673" s="76">
        <v>7175</v>
      </c>
      <c r="G673" s="49">
        <v>0</v>
      </c>
      <c r="H673" s="50">
        <f>IFERROR(Table1[Re-process (Kg)]/Table1[Actual Production (Kg)], "")</f>
        <v>0</v>
      </c>
      <c r="I673" s="49">
        <f>IFERROR(Table1[[#This Row],[Actual Production (Kg)]]-Table1[[#This Row],[Re-process (Kg)]], "")</f>
        <v>7175</v>
      </c>
      <c r="J673" s="49">
        <v>22</v>
      </c>
      <c r="K673" s="72">
        <v>0</v>
      </c>
      <c r="L673" s="49">
        <f>IF(Table1[[#This Row],[Target Time (Hours)]]="","",Table1[[#This Row],[Target Time (Hours)]]-Table1[[#This Row],[Downtime (Hours)]])</f>
        <v>22</v>
      </c>
      <c r="M673" s="49">
        <f>IFERROR(Table1[[#This Row],[Capacity (Kg)]]/Table1[[#This Row],[Target Time (Hours)]] * Table1[[#This Row],[Downtime (Hours)]], "")</f>
        <v>0</v>
      </c>
      <c r="N673" s="50">
        <f>IFERROR(Table1[[#This Row],[Running Time (hr)]]/Table1[Target Time (Hours)], "")</f>
        <v>1</v>
      </c>
      <c r="O673" s="50">
        <f>IFERROR(Table1[[#This Row],[Actual Production (Kg)]]/Table1[Capacity (Kg)], "")</f>
        <v>0.71750000000000003</v>
      </c>
      <c r="P673" s="50">
        <f>IFERROR(Table1[[#This Row],[Quality Pass Production]]/Table1[[#This Row],[Actual Production (Kg)]], "")</f>
        <v>1</v>
      </c>
      <c r="Q673" s="50">
        <f>IFERROR(Table1[[#This Row],[Utilization %]]*Table1[[#This Row],[Efficiency %]]*Table1[[#This Row],[Quality %]], "")</f>
        <v>0.71750000000000003</v>
      </c>
    </row>
    <row r="674" spans="1:18" ht="30" customHeight="1" x14ac:dyDescent="0.25">
      <c r="A674" s="47">
        <v>46177</v>
      </c>
      <c r="B674" s="48" t="s">
        <v>18</v>
      </c>
      <c r="C674" s="48" t="s">
        <v>22</v>
      </c>
      <c r="D674" s="48" t="s">
        <v>23</v>
      </c>
      <c r="E674" s="49"/>
      <c r="F674" s="76"/>
      <c r="G674" s="49"/>
      <c r="H674" s="50" t="str">
        <f>IFERROR(Table1[Re-process (Kg)]/Table1[Actual Production (Kg)], "")</f>
        <v/>
      </c>
      <c r="I674" s="49">
        <f>IFERROR(Table1[[#This Row],[Actual Production (Kg)]]-Table1[[#This Row],[Re-process (Kg)]], "")</f>
        <v>0</v>
      </c>
      <c r="J674" s="49">
        <v>22</v>
      </c>
      <c r="K674" s="72">
        <v>22</v>
      </c>
      <c r="L674" s="49">
        <f>IF(Table1[[#This Row],[Target Time (Hours)]]="","",Table1[[#This Row],[Target Time (Hours)]]-Table1[[#This Row],[Downtime (Hours)]])</f>
        <v>0</v>
      </c>
      <c r="M674" s="49">
        <f>IFERROR(Table1[[#This Row],[Capacity (Kg)]]/Table1[[#This Row],[Target Time (Hours)]] * Table1[[#This Row],[Downtime (Hours)]], "")</f>
        <v>0</v>
      </c>
      <c r="N674" s="50">
        <f>IFERROR(Table1[[#This Row],[Running Time (hr)]]/Table1[Target Time (Hours)], "")</f>
        <v>0</v>
      </c>
      <c r="O674" s="50" t="str">
        <f>IFERROR(Table1[[#This Row],[Actual Production (Kg)]]/Table1[Capacity (Kg)], "")</f>
        <v/>
      </c>
      <c r="P674" s="50" t="str">
        <f>IFERROR(Table1[[#This Row],[Quality Pass Production]]/Table1[[#This Row],[Actual Production (Kg)]], "")</f>
        <v/>
      </c>
      <c r="Q674" s="50" t="str">
        <f>IFERROR(Table1[[#This Row],[Utilization %]]*Table1[[#This Row],[Efficiency %]]*Table1[[#This Row],[Quality %]], "")</f>
        <v/>
      </c>
      <c r="R674" s="48" t="s">
        <v>175</v>
      </c>
    </row>
    <row r="675" spans="1:18" x14ac:dyDescent="0.25">
      <c r="A675" s="47">
        <v>46177</v>
      </c>
      <c r="B675" s="48" t="s">
        <v>18</v>
      </c>
      <c r="C675" s="48" t="s">
        <v>22</v>
      </c>
      <c r="D675" s="48" t="s">
        <v>25</v>
      </c>
      <c r="E675" s="49"/>
      <c r="F675" s="76"/>
      <c r="G675" s="49"/>
      <c r="H675" s="50" t="str">
        <f>IFERROR(Table1[Re-process (Kg)]/Table1[Actual Production (Kg)], "")</f>
        <v/>
      </c>
      <c r="I675" s="49">
        <f>IFERROR(Table1[[#This Row],[Actual Production (Kg)]]-Table1[[#This Row],[Re-process (Kg)]], "")</f>
        <v>0</v>
      </c>
      <c r="J675" s="49"/>
      <c r="K675" s="72">
        <v>0</v>
      </c>
      <c r="L675" s="49" t="str">
        <f>IF(Table1[[#This Row],[Target Time (Hours)]]="","",Table1[[#This Row],[Target Time (Hours)]]-Table1[[#This Row],[Downtime (Hours)]])</f>
        <v/>
      </c>
      <c r="M675" s="49" t="str">
        <f>IFERROR(Table1[[#This Row],[Capacity (Kg)]]/Table1[[#This Row],[Target Time (Hours)]] * Table1[[#This Row],[Downtime (Hours)]], "")</f>
        <v/>
      </c>
      <c r="N675" s="50" t="str">
        <f>IFERROR(Table1[[#This Row],[Running Time (hr)]]/Table1[Target Time (Hours)], "")</f>
        <v/>
      </c>
      <c r="O675" s="50" t="str">
        <f>IFERROR(Table1[[#This Row],[Actual Production (Kg)]]/Table1[Capacity (Kg)], "")</f>
        <v/>
      </c>
      <c r="P675" s="50" t="str">
        <f>IFERROR(Table1[[#This Row],[Quality Pass Production]]/Table1[[#This Row],[Actual Production (Kg)]], "")</f>
        <v/>
      </c>
      <c r="Q675" s="50" t="str">
        <f>IFERROR(Table1[[#This Row],[Utilization %]]*Table1[[#This Row],[Efficiency %]]*Table1[[#This Row],[Quality %]], "")</f>
        <v/>
      </c>
    </row>
    <row r="676" spans="1:18" x14ac:dyDescent="0.25">
      <c r="A676" s="47">
        <v>46177</v>
      </c>
      <c r="B676" s="48" t="s">
        <v>18</v>
      </c>
      <c r="C676" s="48" t="s">
        <v>26</v>
      </c>
      <c r="D676" s="48" t="s">
        <v>25</v>
      </c>
      <c r="E676" s="49">
        <v>7000</v>
      </c>
      <c r="F676" s="76">
        <v>7907</v>
      </c>
      <c r="G676" s="49">
        <v>0</v>
      </c>
      <c r="H676" s="50">
        <f>IFERROR(Table1[Re-process (Kg)]/Table1[Actual Production (Kg)], "")</f>
        <v>0</v>
      </c>
      <c r="I676" s="49">
        <f>IFERROR(Table1[[#This Row],[Actual Production (Kg)]]-Table1[[#This Row],[Re-process (Kg)]], "")</f>
        <v>7907</v>
      </c>
      <c r="J676" s="49">
        <v>22</v>
      </c>
      <c r="K676" s="72">
        <v>0</v>
      </c>
      <c r="L676" s="49">
        <f>IF(Table1[[#This Row],[Target Time (Hours)]]="","",Table1[[#This Row],[Target Time (Hours)]]-Table1[[#This Row],[Downtime (Hours)]])</f>
        <v>22</v>
      </c>
      <c r="M676" s="49">
        <f>IFERROR(Table1[[#This Row],[Capacity (Kg)]]/Table1[[#This Row],[Target Time (Hours)]] * Table1[[#This Row],[Downtime (Hours)]], "")</f>
        <v>0</v>
      </c>
      <c r="N676" s="50">
        <f>IFERROR(Table1[[#This Row],[Running Time (hr)]]/Table1[Target Time (Hours)], "")</f>
        <v>1</v>
      </c>
      <c r="O676" s="50">
        <f>IFERROR(Table1[[#This Row],[Actual Production (Kg)]]/Table1[Capacity (Kg)], "")</f>
        <v>1.1295714285714287</v>
      </c>
      <c r="P676" s="50">
        <f>IFERROR(Table1[[#This Row],[Quality Pass Production]]/Table1[[#This Row],[Actual Production (Kg)]], "")</f>
        <v>1</v>
      </c>
      <c r="Q676" s="50">
        <f>IFERROR(Table1[[#This Row],[Utilization %]]*Table1[[#This Row],[Efficiency %]]*Table1[[#This Row],[Quality %]], "")</f>
        <v>1.1295714285714287</v>
      </c>
    </row>
    <row r="677" spans="1:18" ht="45" customHeight="1" x14ac:dyDescent="0.25">
      <c r="A677" s="47">
        <v>46177</v>
      </c>
      <c r="B677" s="48" t="s">
        <v>18</v>
      </c>
      <c r="C677" s="48" t="s">
        <v>28</v>
      </c>
      <c r="D677" s="48" t="s">
        <v>29</v>
      </c>
      <c r="E677" s="49">
        <v>7800</v>
      </c>
      <c r="F677" s="76">
        <v>2146</v>
      </c>
      <c r="G677" s="49">
        <v>0</v>
      </c>
      <c r="H677" s="50">
        <f>IFERROR(Table1[Re-process (Kg)]/Table1[Actual Production (Kg)], "")</f>
        <v>0</v>
      </c>
      <c r="I677" s="49">
        <f>IFERROR(Table1[[#This Row],[Actual Production (Kg)]]-Table1[[#This Row],[Re-process (Kg)]], "")</f>
        <v>2146</v>
      </c>
      <c r="J677" s="49">
        <v>22</v>
      </c>
      <c r="K677" s="72">
        <v>0</v>
      </c>
      <c r="L677" s="49">
        <f>IF(Table1[[#This Row],[Target Time (Hours)]]="","",Table1[[#This Row],[Target Time (Hours)]]-Table1[[#This Row],[Downtime (Hours)]])</f>
        <v>22</v>
      </c>
      <c r="M677" s="49">
        <f>IFERROR(Table1[[#This Row],[Capacity (Kg)]]/Table1[[#This Row],[Target Time (Hours)]] * Table1[[#This Row],[Downtime (Hours)]], "")</f>
        <v>0</v>
      </c>
      <c r="N677" s="50">
        <f>IFERROR(Table1[[#This Row],[Running Time (hr)]]/Table1[Target Time (Hours)], "")</f>
        <v>1</v>
      </c>
      <c r="O677" s="50">
        <f>IFERROR(Table1[[#This Row],[Actual Production (Kg)]]/Table1[Capacity (Kg)], "")</f>
        <v>0.27512820512820513</v>
      </c>
      <c r="P677" s="50">
        <f>IFERROR(Table1[[#This Row],[Quality Pass Production]]/Table1[[#This Row],[Actual Production (Kg)]], "")</f>
        <v>1</v>
      </c>
      <c r="Q677" s="50">
        <f>IFERROR(Table1[[#This Row],[Utilization %]]*Table1[[#This Row],[Efficiency %]]*Table1[[#This Row],[Quality %]], "")</f>
        <v>0.27512820512820513</v>
      </c>
      <c r="R677" s="48" t="s">
        <v>177</v>
      </c>
    </row>
    <row r="678" spans="1:18" ht="30" customHeight="1" x14ac:dyDescent="0.25">
      <c r="A678" s="51">
        <v>46177</v>
      </c>
      <c r="B678" s="52" t="s">
        <v>18</v>
      </c>
      <c r="C678" s="52" t="s">
        <v>135</v>
      </c>
      <c r="D678" s="52" t="s">
        <v>29</v>
      </c>
      <c r="E678" s="53"/>
      <c r="F678" s="53"/>
      <c r="G678" s="53"/>
      <c r="H678" s="57" t="str">
        <f>IFERROR(Table1[Re-process (Kg)]/Table1[Actual Production (Kg)], "")</f>
        <v/>
      </c>
      <c r="I678" s="53">
        <f>IFERROR(Table1[[#This Row],[Actual Production (Kg)]]-Table1[[#This Row],[Re-process (Kg)]], "")</f>
        <v>0</v>
      </c>
      <c r="J678" s="79"/>
      <c r="K678" s="52">
        <v>0</v>
      </c>
      <c r="L678" s="53" t="str">
        <f>IF(Table1[[#This Row],[Target Time (Hours)]]="","",Table1[[#This Row],[Target Time (Hours)]]-Table1[[#This Row],[Downtime (Hours)]])</f>
        <v/>
      </c>
      <c r="M678" s="53" t="str">
        <f>IFERROR(Table1[[#This Row],[Capacity (Kg)]]/Table1[[#This Row],[Target Time (Hours)]] * Table1[[#This Row],[Downtime (Hours)]], "")</f>
        <v/>
      </c>
      <c r="N678" s="57" t="str">
        <f>IFERROR(Table1[[#This Row],[Running Time (hr)]]/Table1[Target Time (Hours)], "")</f>
        <v/>
      </c>
      <c r="O678" s="57" t="str">
        <f>IFERROR(Table1[[#This Row],[Actual Production (Kg)]]/Table1[Capacity (Kg)], "")</f>
        <v/>
      </c>
      <c r="P678" s="57" t="str">
        <f>IFERROR(Table1[[#This Row],[Quality Pass Production]]/Table1[[#This Row],[Actual Production (Kg)]], "")</f>
        <v/>
      </c>
      <c r="Q678" s="57" t="str">
        <f>IFERROR(Table1[[#This Row],[Utilization %]]*Table1[[#This Row],[Efficiency %]]*Table1[[#This Row],[Quality %]], "")</f>
        <v/>
      </c>
      <c r="R678" s="52" t="s">
        <v>156</v>
      </c>
    </row>
    <row r="679" spans="1:18" ht="30" customHeight="1" x14ac:dyDescent="0.25">
      <c r="A679" s="47">
        <v>46177</v>
      </c>
      <c r="B679" s="48" t="s">
        <v>18</v>
      </c>
      <c r="C679" s="48" t="s">
        <v>30</v>
      </c>
      <c r="D679" s="48" t="s">
        <v>31</v>
      </c>
      <c r="E679" s="49">
        <v>9000</v>
      </c>
      <c r="F679" s="76">
        <v>4804</v>
      </c>
      <c r="G679" s="49">
        <v>0</v>
      </c>
      <c r="H679" s="50">
        <f>IFERROR(Table1[Re-process (Kg)]/Table1[Actual Production (Kg)], "")</f>
        <v>0</v>
      </c>
      <c r="I679" s="49">
        <f>IFERROR(Table1[[#This Row],[Actual Production (Kg)]]-Table1[[#This Row],[Re-process (Kg)]], "")</f>
        <v>4804</v>
      </c>
      <c r="J679" s="49">
        <v>22</v>
      </c>
      <c r="K679" s="72">
        <v>6</v>
      </c>
      <c r="L679" s="49">
        <f>IF(Table1[[#This Row],[Target Time (Hours)]]="","",Table1[[#This Row],[Target Time (Hours)]]-Table1[[#This Row],[Downtime (Hours)]])</f>
        <v>16</v>
      </c>
      <c r="M679" s="49">
        <f>IFERROR(Table1[[#This Row],[Capacity (Kg)]]/Table1[[#This Row],[Target Time (Hours)]] * Table1[[#This Row],[Downtime (Hours)]], "")</f>
        <v>2454.5454545454545</v>
      </c>
      <c r="N679" s="50">
        <f>IFERROR(Table1[[#This Row],[Running Time (hr)]]/Table1[Target Time (Hours)], "")</f>
        <v>0.72727272727272729</v>
      </c>
      <c r="O679" s="50">
        <f>IFERROR(Table1[[#This Row],[Actual Production (Kg)]]/Table1[Capacity (Kg)], "")</f>
        <v>0.5337777777777778</v>
      </c>
      <c r="P679" s="50">
        <f>IFERROR(Table1[[#This Row],[Quality Pass Production]]/Table1[[#This Row],[Actual Production (Kg)]], "")</f>
        <v>1</v>
      </c>
      <c r="Q679" s="50">
        <f>IFERROR(Table1[[#This Row],[Utilization %]]*Table1[[#This Row],[Efficiency %]]*Table1[[#This Row],[Quality %]], "")</f>
        <v>0.38820202020202021</v>
      </c>
      <c r="R679" s="48" t="s">
        <v>180</v>
      </c>
    </row>
    <row r="680" spans="1:18" ht="30" customHeight="1" x14ac:dyDescent="0.25">
      <c r="A680" s="51">
        <v>46177</v>
      </c>
      <c r="B680" s="52" t="s">
        <v>18</v>
      </c>
      <c r="C680" s="52" t="s">
        <v>32</v>
      </c>
      <c r="D680" s="52" t="s">
        <v>31</v>
      </c>
      <c r="E680" s="79">
        <f>Table1[[#This Row],[Actual Production (Kg)]]</f>
        <v>0</v>
      </c>
      <c r="F680" s="53"/>
      <c r="G680" s="53"/>
      <c r="H680" s="57" t="str">
        <f>IFERROR(Table1[Re-process (Kg)]/Table1[Actual Production (Kg)], "")</f>
        <v/>
      </c>
      <c r="I680" s="53">
        <f>IFERROR(Table1[[#This Row],[Actual Production (Kg)]]-Table1[[#This Row],[Re-process (Kg)]], "")</f>
        <v>0</v>
      </c>
      <c r="J680" s="79"/>
      <c r="K680" s="52">
        <v>0</v>
      </c>
      <c r="L680" s="53" t="str">
        <f>IF(Table1[[#This Row],[Target Time (Hours)]]="","",Table1[[#This Row],[Target Time (Hours)]]-Table1[[#This Row],[Downtime (Hours)]])</f>
        <v/>
      </c>
      <c r="M680" s="53" t="str">
        <f>IFERROR(Table1[[#This Row],[Capacity (Kg)]]/Table1[[#This Row],[Target Time (Hours)]] * Table1[[#This Row],[Downtime (Hours)]], "")</f>
        <v/>
      </c>
      <c r="N680" s="57" t="str">
        <f>IFERROR(Table1[[#This Row],[Running Time (hr)]]/Table1[Target Time (Hours)], "")</f>
        <v/>
      </c>
      <c r="O680" s="57" t="str">
        <f>IFERROR(Table1[[#This Row],[Actual Production (Kg)]]/Table1[Capacity (Kg)], "")</f>
        <v/>
      </c>
      <c r="P680" s="57" t="str">
        <f>IFERROR(Table1[[#This Row],[Quality Pass Production]]/Table1[[#This Row],[Actual Production (Kg)]], "")</f>
        <v/>
      </c>
      <c r="Q680" s="57" t="str">
        <f>IFERROR(Table1[[#This Row],[Utilization %]]*Table1[[#This Row],[Efficiency %]]*Table1[[#This Row],[Quality %]], "")</f>
        <v/>
      </c>
      <c r="R680" s="52" t="s">
        <v>156</v>
      </c>
    </row>
    <row r="681" spans="1:18" ht="30" customHeight="1" x14ac:dyDescent="0.25">
      <c r="A681" s="47">
        <v>46177</v>
      </c>
      <c r="B681" s="48" t="s">
        <v>33</v>
      </c>
      <c r="C681" s="48" t="s">
        <v>34</v>
      </c>
      <c r="D681" s="48" t="s">
        <v>35</v>
      </c>
      <c r="E681" s="49">
        <v>9000</v>
      </c>
      <c r="F681" s="76">
        <v>7831</v>
      </c>
      <c r="G681" s="49">
        <v>0</v>
      </c>
      <c r="H681" s="50">
        <f>IFERROR(Table1[Re-process (Kg)]/Table1[Actual Production (Kg)], "")</f>
        <v>0</v>
      </c>
      <c r="I681" s="49">
        <f>IFERROR(Table1[[#This Row],[Actual Production (Kg)]]-Table1[[#This Row],[Re-process (Kg)]], "")</f>
        <v>7831</v>
      </c>
      <c r="J681" s="49">
        <v>22</v>
      </c>
      <c r="K681" s="72">
        <v>0</v>
      </c>
      <c r="L681" s="49">
        <f>IF(Table1[[#This Row],[Target Time (Hours)]]="","",Table1[[#This Row],[Target Time (Hours)]]-Table1[[#This Row],[Downtime (Hours)]])</f>
        <v>22</v>
      </c>
      <c r="M681" s="49">
        <f>IFERROR(Table1[[#This Row],[Capacity (Kg)]]/Table1[[#This Row],[Target Time (Hours)]] * Table1[[#This Row],[Downtime (Hours)]], "")</f>
        <v>0</v>
      </c>
      <c r="N681" s="50">
        <f>IFERROR(Table1[[#This Row],[Running Time (hr)]]/Table1[Target Time (Hours)], "")</f>
        <v>1</v>
      </c>
      <c r="O681" s="50">
        <f>IFERROR(Table1[[#This Row],[Actual Production (Kg)]]/Table1[Capacity (Kg)], "")</f>
        <v>0.87011111111111106</v>
      </c>
      <c r="P681" s="50">
        <f>IFERROR(Table1[[#This Row],[Quality Pass Production]]/Table1[[#This Row],[Actual Production (Kg)]], "")</f>
        <v>1</v>
      </c>
      <c r="Q681" s="50">
        <f>IFERROR(Table1[[#This Row],[Utilization %]]*Table1[[#This Row],[Efficiency %]]*Table1[[#This Row],[Quality %]], "")</f>
        <v>0.87011111111111106</v>
      </c>
      <c r="R681" s="48" t="s">
        <v>157</v>
      </c>
    </row>
    <row r="682" spans="1:18" ht="30" customHeight="1" x14ac:dyDescent="0.25">
      <c r="A682" s="47">
        <v>46177</v>
      </c>
      <c r="B682" s="48" t="s">
        <v>33</v>
      </c>
      <c r="C682" s="48" t="s">
        <v>36</v>
      </c>
      <c r="D682" s="48" t="s">
        <v>37</v>
      </c>
      <c r="E682" s="49">
        <v>8000</v>
      </c>
      <c r="F682" s="76">
        <v>7470</v>
      </c>
      <c r="G682" s="49">
        <v>0</v>
      </c>
      <c r="H682" s="50">
        <f>IFERROR(Table1[Re-process (Kg)]/Table1[Actual Production (Kg)], "")</f>
        <v>0</v>
      </c>
      <c r="I682" s="49">
        <f>IFERROR(Table1[[#This Row],[Actual Production (Kg)]]-Table1[[#This Row],[Re-process (Kg)]], "")</f>
        <v>7470</v>
      </c>
      <c r="J682" s="49">
        <v>22</v>
      </c>
      <c r="K682" s="72">
        <v>1</v>
      </c>
      <c r="L682" s="49">
        <f>IF(Table1[[#This Row],[Target Time (Hours)]]="","",Table1[[#This Row],[Target Time (Hours)]]-Table1[[#This Row],[Downtime (Hours)]])</f>
        <v>21</v>
      </c>
      <c r="M682" s="49">
        <f>IFERROR(Table1[[#This Row],[Capacity (Kg)]]/Table1[[#This Row],[Target Time (Hours)]] * Table1[[#This Row],[Downtime (Hours)]], "")</f>
        <v>363.63636363636363</v>
      </c>
      <c r="N682" s="50">
        <f>IFERROR(Table1[[#This Row],[Running Time (hr)]]/Table1[Target Time (Hours)], "")</f>
        <v>0.95454545454545459</v>
      </c>
      <c r="O682" s="50">
        <f>IFERROR(Table1[[#This Row],[Actual Production (Kg)]]/Table1[Capacity (Kg)], "")</f>
        <v>0.93374999999999997</v>
      </c>
      <c r="P682" s="50">
        <f>IFERROR(Table1[[#This Row],[Quality Pass Production]]/Table1[[#This Row],[Actual Production (Kg)]], "")</f>
        <v>1</v>
      </c>
      <c r="Q682" s="50">
        <f>IFERROR(Table1[[#This Row],[Utilization %]]*Table1[[#This Row],[Efficiency %]]*Table1[[#This Row],[Quality %]], "")</f>
        <v>0.89130681818181823</v>
      </c>
      <c r="R682" s="48" t="s">
        <v>181</v>
      </c>
    </row>
    <row r="683" spans="1:18" ht="30" customHeight="1" x14ac:dyDescent="0.25">
      <c r="A683" s="47">
        <v>46177</v>
      </c>
      <c r="B683" s="48" t="s">
        <v>33</v>
      </c>
      <c r="C683" s="48" t="s">
        <v>39</v>
      </c>
      <c r="D683" s="48" t="s">
        <v>31</v>
      </c>
      <c r="E683" s="49">
        <v>6000</v>
      </c>
      <c r="F683" s="76">
        <v>3152</v>
      </c>
      <c r="G683" s="49">
        <v>0</v>
      </c>
      <c r="H683" s="50">
        <f>IFERROR(Table1[Re-process (Kg)]/Table1[Actual Production (Kg)], "")</f>
        <v>0</v>
      </c>
      <c r="I683" s="49">
        <f>IFERROR(Table1[[#This Row],[Actual Production (Kg)]]-Table1[[#This Row],[Re-process (Kg)]], "")</f>
        <v>3152</v>
      </c>
      <c r="J683" s="49">
        <v>22</v>
      </c>
      <c r="K683" s="72">
        <v>0</v>
      </c>
      <c r="L683" s="49">
        <f>IF(Table1[[#This Row],[Target Time (Hours)]]="","",Table1[[#This Row],[Target Time (Hours)]]-Table1[[#This Row],[Downtime (Hours)]])</f>
        <v>22</v>
      </c>
      <c r="M683" s="49">
        <f>IFERROR(Table1[[#This Row],[Capacity (Kg)]]/Table1[[#This Row],[Target Time (Hours)]] * Table1[[#This Row],[Downtime (Hours)]], "")</f>
        <v>0</v>
      </c>
      <c r="N683" s="50">
        <f>IFERROR(Table1[[#This Row],[Running Time (hr)]]/Table1[Target Time (Hours)], "")</f>
        <v>1</v>
      </c>
      <c r="O683" s="50">
        <f>IFERROR(Table1[[#This Row],[Actual Production (Kg)]]/Table1[Capacity (Kg)], "")</f>
        <v>0.52533333333333332</v>
      </c>
      <c r="P683" s="50">
        <f>IFERROR(Table1[[#This Row],[Quality Pass Production]]/Table1[[#This Row],[Actual Production (Kg)]], "")</f>
        <v>1</v>
      </c>
      <c r="Q683" s="50">
        <f>IFERROR(Table1[[#This Row],[Utilization %]]*Table1[[#This Row],[Efficiency %]]*Table1[[#This Row],[Quality %]], "")</f>
        <v>0.52533333333333332</v>
      </c>
      <c r="R683" s="48" t="s">
        <v>161</v>
      </c>
    </row>
    <row r="684" spans="1:18" ht="45" customHeight="1" x14ac:dyDescent="0.25">
      <c r="A684" s="54">
        <v>46177</v>
      </c>
      <c r="B684" s="55" t="s">
        <v>33</v>
      </c>
      <c r="C684" s="55" t="s">
        <v>40</v>
      </c>
      <c r="D684" s="55" t="s">
        <v>31</v>
      </c>
      <c r="E684" s="56">
        <v>5000</v>
      </c>
      <c r="F684" s="56">
        <v>3115</v>
      </c>
      <c r="G684" s="56">
        <v>0</v>
      </c>
      <c r="H684" s="58">
        <f>IFERROR(Table1[Re-process (Kg)]/Table1[Actual Production (Kg)], "")</f>
        <v>0</v>
      </c>
      <c r="I684" s="56">
        <f>IFERROR(Table1[[#This Row],[Actual Production (Kg)]]-Table1[[#This Row],[Re-process (Kg)]], "")</f>
        <v>3115</v>
      </c>
      <c r="J684" s="56">
        <v>22</v>
      </c>
      <c r="K684" s="55">
        <v>6</v>
      </c>
      <c r="L684" s="56">
        <f>IF(Table1[[#This Row],[Target Time (Hours)]]="","",Table1[[#This Row],[Target Time (Hours)]]-Table1[[#This Row],[Downtime (Hours)]])</f>
        <v>16</v>
      </c>
      <c r="M684" s="56">
        <f>IFERROR(Table1[[#This Row],[Capacity (Kg)]]/Table1[[#This Row],[Target Time (Hours)]] * Table1[[#This Row],[Downtime (Hours)]], "")</f>
        <v>1363.6363636363637</v>
      </c>
      <c r="N684" s="58">
        <f>IFERROR(Table1[[#This Row],[Running Time (hr)]]/Table1[Target Time (Hours)], "")</f>
        <v>0.72727272727272729</v>
      </c>
      <c r="O684" s="58">
        <f>IFERROR(Table1[[#This Row],[Actual Production (Kg)]]/Table1[Capacity (Kg)], "")</f>
        <v>0.623</v>
      </c>
      <c r="P684" s="58">
        <f>IFERROR(Table1[[#This Row],[Quality Pass Production]]/Table1[[#This Row],[Actual Production (Kg)]], "")</f>
        <v>1</v>
      </c>
      <c r="Q684" s="58">
        <f>IFERROR(Table1[[#This Row],[Utilization %]]*Table1[[#This Row],[Efficiency %]]*Table1[[#This Row],[Quality %]], "")</f>
        <v>0.4530909090909091</v>
      </c>
      <c r="R684" s="55" t="s">
        <v>182</v>
      </c>
    </row>
    <row r="685" spans="1:18" ht="30" customHeight="1" x14ac:dyDescent="0.25">
      <c r="A685" s="47">
        <v>46178</v>
      </c>
      <c r="B685" s="48" t="s">
        <v>18</v>
      </c>
      <c r="C685" s="48" t="s">
        <v>19</v>
      </c>
      <c r="D685" s="48" t="s">
        <v>20</v>
      </c>
      <c r="E685" s="49">
        <v>10000</v>
      </c>
      <c r="F685" s="76">
        <v>1665</v>
      </c>
      <c r="G685" s="49">
        <v>0</v>
      </c>
      <c r="H685" s="50">
        <f>IFERROR(Table1[Re-process (Kg)]/Table1[Actual Production (Kg)], "")</f>
        <v>0</v>
      </c>
      <c r="I685" s="49">
        <f>IFERROR(Table1[[#This Row],[Actual Production (Kg)]]-Table1[[#This Row],[Re-process (Kg)]], "")</f>
        <v>1665</v>
      </c>
      <c r="J685" s="49">
        <v>8</v>
      </c>
      <c r="K685" s="72"/>
      <c r="L685" s="49">
        <f>IF(Table1[[#This Row],[Target Time (Hours)]]="","",Table1[[#This Row],[Target Time (Hours)]]-Table1[[#This Row],[Downtime (Hours)]])</f>
        <v>8</v>
      </c>
      <c r="M685" s="49">
        <f>IFERROR(Table1[[#This Row],[Capacity (Kg)]]/Table1[[#This Row],[Target Time (Hours)]] * Table1[[#This Row],[Downtime (Hours)]], "")</f>
        <v>0</v>
      </c>
      <c r="N685" s="50">
        <f>IFERROR(Table1[[#This Row],[Running Time (hr)]]/Table1[Target Time (Hours)], "")</f>
        <v>1</v>
      </c>
      <c r="O685" s="50">
        <f>IFERROR(Table1[[#This Row],[Actual Production (Kg)]]/Table1[Capacity (Kg)], "")</f>
        <v>0.16650000000000001</v>
      </c>
      <c r="P685" s="50">
        <f>IFERROR(Table1[[#This Row],[Quality Pass Production]]/Table1[[#This Row],[Actual Production (Kg)]], "")</f>
        <v>1</v>
      </c>
      <c r="Q685" s="50">
        <f>IFERROR(Table1[[#This Row],[Utilization %]]*Table1[[#This Row],[Efficiency %]]*Table1[[#This Row],[Quality %]], "")</f>
        <v>0.16650000000000001</v>
      </c>
    </row>
    <row r="686" spans="1:18" x14ac:dyDescent="0.25">
      <c r="A686" s="47">
        <v>46178</v>
      </c>
      <c r="B686" s="48" t="s">
        <v>18</v>
      </c>
      <c r="C686" s="48" t="s">
        <v>22</v>
      </c>
      <c r="D686" s="48" t="s">
        <v>23</v>
      </c>
      <c r="E686" s="49"/>
      <c r="F686" s="76"/>
      <c r="G686" s="49"/>
      <c r="H686" s="50" t="str">
        <f>IFERROR(Table1[Re-process (Kg)]/Table1[Actual Production (Kg)], "")</f>
        <v/>
      </c>
      <c r="I686" s="49">
        <f>IFERROR(Table1[[#This Row],[Actual Production (Kg)]]-Table1[[#This Row],[Re-process (Kg)]], "")</f>
        <v>0</v>
      </c>
      <c r="J686" s="49"/>
      <c r="K686" s="72"/>
      <c r="L686" s="49" t="str">
        <f>IF(Table1[[#This Row],[Target Time (Hours)]]="","",Table1[[#This Row],[Target Time (Hours)]]-Table1[[#This Row],[Downtime (Hours)]])</f>
        <v/>
      </c>
      <c r="M686" s="49" t="str">
        <f>IFERROR(Table1[[#This Row],[Capacity (Kg)]]/Table1[[#This Row],[Target Time (Hours)]] * Table1[[#This Row],[Downtime (Hours)]], "")</f>
        <v/>
      </c>
      <c r="N686" s="50" t="str">
        <f>IFERROR(Table1[[#This Row],[Running Time (hr)]]/Table1[Target Time (Hours)], "")</f>
        <v/>
      </c>
      <c r="O686" s="50" t="str">
        <f>IFERROR(Table1[[#This Row],[Actual Production (Kg)]]/Table1[Capacity (Kg)], "")</f>
        <v/>
      </c>
      <c r="P686" s="50" t="str">
        <f>IFERROR(Table1[[#This Row],[Quality Pass Production]]/Table1[[#This Row],[Actual Production (Kg)]], "")</f>
        <v/>
      </c>
      <c r="Q686" s="50" t="str">
        <f>IFERROR(Table1[[#This Row],[Utilization %]]*Table1[[#This Row],[Efficiency %]]*Table1[[#This Row],[Quality %]], "")</f>
        <v/>
      </c>
    </row>
    <row r="687" spans="1:18" x14ac:dyDescent="0.25">
      <c r="A687" s="47">
        <v>46178</v>
      </c>
      <c r="B687" s="48" t="s">
        <v>18</v>
      </c>
      <c r="C687" s="48" t="s">
        <v>22</v>
      </c>
      <c r="D687" s="48" t="s">
        <v>25</v>
      </c>
      <c r="E687" s="49"/>
      <c r="F687" s="76"/>
      <c r="G687" s="49"/>
      <c r="H687" s="50" t="str">
        <f>IFERROR(Table1[Re-process (Kg)]/Table1[Actual Production (Kg)], "")</f>
        <v/>
      </c>
      <c r="I687" s="49">
        <f>IFERROR(Table1[[#This Row],[Actual Production (Kg)]]-Table1[[#This Row],[Re-process (Kg)]], "")</f>
        <v>0</v>
      </c>
      <c r="J687" s="49"/>
      <c r="K687" s="72"/>
      <c r="L687" s="49" t="str">
        <f>IF(Table1[[#This Row],[Target Time (Hours)]]="","",Table1[[#This Row],[Target Time (Hours)]]-Table1[[#This Row],[Downtime (Hours)]])</f>
        <v/>
      </c>
      <c r="M687" s="49" t="str">
        <f>IFERROR(Table1[[#This Row],[Capacity (Kg)]]/Table1[[#This Row],[Target Time (Hours)]] * Table1[[#This Row],[Downtime (Hours)]], "")</f>
        <v/>
      </c>
      <c r="N687" s="50" t="str">
        <f>IFERROR(Table1[[#This Row],[Running Time (hr)]]/Table1[Target Time (Hours)], "")</f>
        <v/>
      </c>
      <c r="O687" s="50" t="str">
        <f>IFERROR(Table1[[#This Row],[Actual Production (Kg)]]/Table1[Capacity (Kg)], "")</f>
        <v/>
      </c>
      <c r="P687" s="50" t="str">
        <f>IFERROR(Table1[[#This Row],[Quality Pass Production]]/Table1[[#This Row],[Actual Production (Kg)]], "")</f>
        <v/>
      </c>
      <c r="Q687" s="50" t="str">
        <f>IFERROR(Table1[[#This Row],[Utilization %]]*Table1[[#This Row],[Efficiency %]]*Table1[[#This Row],[Quality %]], "")</f>
        <v/>
      </c>
    </row>
    <row r="688" spans="1:18" x14ac:dyDescent="0.25">
      <c r="A688" s="47">
        <v>46178</v>
      </c>
      <c r="B688" s="48" t="s">
        <v>18</v>
      </c>
      <c r="C688" s="48" t="s">
        <v>26</v>
      </c>
      <c r="D688" s="48" t="s">
        <v>25</v>
      </c>
      <c r="E688" s="49">
        <v>7000</v>
      </c>
      <c r="F688" s="76">
        <v>2214</v>
      </c>
      <c r="G688" s="49">
        <v>0</v>
      </c>
      <c r="H688" s="50">
        <f>IFERROR(Table1[Re-process (Kg)]/Table1[Actual Production (Kg)], "")</f>
        <v>0</v>
      </c>
      <c r="I688" s="49">
        <f>IFERROR(Table1[[#This Row],[Actual Production (Kg)]]-Table1[[#This Row],[Re-process (Kg)]], "")</f>
        <v>2214</v>
      </c>
      <c r="J688" s="49">
        <v>8</v>
      </c>
      <c r="K688" s="72">
        <v>0</v>
      </c>
      <c r="L688" s="49">
        <f>IF(Table1[[#This Row],[Target Time (Hours)]]="","",Table1[[#This Row],[Target Time (Hours)]]-Table1[[#This Row],[Downtime (Hours)]])</f>
        <v>8</v>
      </c>
      <c r="M688" s="49">
        <f>IFERROR(Table1[[#This Row],[Capacity (Kg)]]/Table1[[#This Row],[Target Time (Hours)]] * Table1[[#This Row],[Downtime (Hours)]], "")</f>
        <v>0</v>
      </c>
      <c r="N688" s="50">
        <f>IFERROR(Table1[[#This Row],[Running Time (hr)]]/Table1[Target Time (Hours)], "")</f>
        <v>1</v>
      </c>
      <c r="O688" s="50">
        <f>IFERROR(Table1[[#This Row],[Actual Production (Kg)]]/Table1[Capacity (Kg)], "")</f>
        <v>0.31628571428571428</v>
      </c>
      <c r="P688" s="50">
        <f>IFERROR(Table1[[#This Row],[Quality Pass Production]]/Table1[[#This Row],[Actual Production (Kg)]], "")</f>
        <v>1</v>
      </c>
      <c r="Q688" s="50">
        <f>IFERROR(Table1[[#This Row],[Utilization %]]*Table1[[#This Row],[Efficiency %]]*Table1[[#This Row],[Quality %]], "")</f>
        <v>0.31628571428571428</v>
      </c>
    </row>
    <row r="689" spans="1:18" ht="30" customHeight="1" x14ac:dyDescent="0.25">
      <c r="A689" s="47">
        <v>46178</v>
      </c>
      <c r="B689" s="48" t="s">
        <v>18</v>
      </c>
      <c r="C689" s="48" t="s">
        <v>28</v>
      </c>
      <c r="D689" s="48" t="s">
        <v>29</v>
      </c>
      <c r="E689" s="49"/>
      <c r="F689" s="76"/>
      <c r="G689" s="49"/>
      <c r="H689" s="50" t="str">
        <f>IFERROR(Table1[Re-process (Kg)]/Table1[Actual Production (Kg)], "")</f>
        <v/>
      </c>
      <c r="I689" s="49">
        <f>IFERROR(Table1[[#This Row],[Actual Production (Kg)]]-Table1[[#This Row],[Re-process (Kg)]], "")</f>
        <v>0</v>
      </c>
      <c r="J689" s="49"/>
      <c r="K689" s="72"/>
      <c r="L689" s="49" t="str">
        <f>IF(Table1[[#This Row],[Target Time (Hours)]]="","",Table1[[#This Row],[Target Time (Hours)]]-Table1[[#This Row],[Downtime (Hours)]])</f>
        <v/>
      </c>
      <c r="M689" s="49" t="str">
        <f>IFERROR(Table1[[#This Row],[Capacity (Kg)]]/Table1[[#This Row],[Target Time (Hours)]] * Table1[[#This Row],[Downtime (Hours)]], "")</f>
        <v/>
      </c>
      <c r="N689" s="50" t="str">
        <f>IFERROR(Table1[[#This Row],[Running Time (hr)]]/Table1[Target Time (Hours)], "")</f>
        <v/>
      </c>
      <c r="O689" s="50" t="str">
        <f>IFERROR(Table1[[#This Row],[Actual Production (Kg)]]/Table1[Capacity (Kg)], "")</f>
        <v/>
      </c>
      <c r="P689" s="50" t="str">
        <f>IFERROR(Table1[[#This Row],[Quality Pass Production]]/Table1[[#This Row],[Actual Production (Kg)]], "")</f>
        <v/>
      </c>
      <c r="Q689" s="50" t="str">
        <f>IFERROR(Table1[[#This Row],[Utilization %]]*Table1[[#This Row],[Efficiency %]]*Table1[[#This Row],[Quality %]], "")</f>
        <v/>
      </c>
    </row>
    <row r="690" spans="1:18" ht="30" customHeight="1" x14ac:dyDescent="0.25">
      <c r="A690" s="51">
        <v>46178</v>
      </c>
      <c r="B690" s="52" t="s">
        <v>18</v>
      </c>
      <c r="C690" s="52" t="s">
        <v>135</v>
      </c>
      <c r="D690" s="52" t="s">
        <v>29</v>
      </c>
      <c r="E690" s="53"/>
      <c r="F690" s="53"/>
      <c r="G690" s="53"/>
      <c r="H690" s="57" t="str">
        <f>IFERROR(Table1[Re-process (Kg)]/Table1[Actual Production (Kg)], "")</f>
        <v/>
      </c>
      <c r="I690" s="53">
        <f>IFERROR(Table1[[#This Row],[Actual Production (Kg)]]-Table1[[#This Row],[Re-process (Kg)]], "")</f>
        <v>0</v>
      </c>
      <c r="J690" s="53"/>
      <c r="K690" s="52"/>
      <c r="L690" s="53" t="str">
        <f>IF(Table1[[#This Row],[Target Time (Hours)]]="","",Table1[[#This Row],[Target Time (Hours)]]-Table1[[#This Row],[Downtime (Hours)]])</f>
        <v/>
      </c>
      <c r="M690" s="53" t="str">
        <f>IFERROR(Table1[[#This Row],[Capacity (Kg)]]/Table1[[#This Row],[Target Time (Hours)]] * Table1[[#This Row],[Downtime (Hours)]], "")</f>
        <v/>
      </c>
      <c r="N690" s="57" t="str">
        <f>IFERROR(Table1[[#This Row],[Running Time (hr)]]/Table1[Target Time (Hours)], "")</f>
        <v/>
      </c>
      <c r="O690" s="57" t="str">
        <f>IFERROR(Table1[[#This Row],[Actual Production (Kg)]]/Table1[Capacity (Kg)], "")</f>
        <v/>
      </c>
      <c r="P690" s="57" t="str">
        <f>IFERROR(Table1[[#This Row],[Quality Pass Production]]/Table1[[#This Row],[Actual Production (Kg)]], "")</f>
        <v/>
      </c>
      <c r="Q690" s="57" t="str">
        <f>IFERROR(Table1[[#This Row],[Utilization %]]*Table1[[#This Row],[Efficiency %]]*Table1[[#This Row],[Quality %]], "")</f>
        <v/>
      </c>
      <c r="R690" s="52" t="s">
        <v>156</v>
      </c>
    </row>
    <row r="691" spans="1:18" ht="30" customHeight="1" x14ac:dyDescent="0.25">
      <c r="A691" s="47">
        <v>46178</v>
      </c>
      <c r="B691" s="48" t="s">
        <v>18</v>
      </c>
      <c r="C691" s="48" t="s">
        <v>30</v>
      </c>
      <c r="D691" s="48" t="s">
        <v>31</v>
      </c>
      <c r="E691" s="49"/>
      <c r="F691" s="76"/>
      <c r="G691" s="49"/>
      <c r="H691" s="50" t="str">
        <f>IFERROR(Table1[Re-process (Kg)]/Table1[Actual Production (Kg)], "")</f>
        <v/>
      </c>
      <c r="I691" s="49">
        <f>IFERROR(Table1[[#This Row],[Actual Production (Kg)]]-Table1[[#This Row],[Re-process (Kg)]], "")</f>
        <v>0</v>
      </c>
      <c r="J691" s="49"/>
      <c r="K691" s="72"/>
      <c r="L691" s="49" t="str">
        <f>IF(Table1[[#This Row],[Target Time (Hours)]]="","",Table1[[#This Row],[Target Time (Hours)]]-Table1[[#This Row],[Downtime (Hours)]])</f>
        <v/>
      </c>
      <c r="M691" s="49" t="str">
        <f>IFERROR(Table1[[#This Row],[Capacity (Kg)]]/Table1[[#This Row],[Target Time (Hours)]] * Table1[[#This Row],[Downtime (Hours)]], "")</f>
        <v/>
      </c>
      <c r="N691" s="50" t="str">
        <f>IFERROR(Table1[[#This Row],[Running Time (hr)]]/Table1[Target Time (Hours)], "")</f>
        <v/>
      </c>
      <c r="O691" s="50" t="str">
        <f>IFERROR(Table1[[#This Row],[Actual Production (Kg)]]/Table1[Capacity (Kg)], "")</f>
        <v/>
      </c>
      <c r="P691" s="50" t="str">
        <f>IFERROR(Table1[[#This Row],[Quality Pass Production]]/Table1[[#This Row],[Actual Production (Kg)]], "")</f>
        <v/>
      </c>
      <c r="Q691" s="50" t="str">
        <f>IFERROR(Table1[[#This Row],[Utilization %]]*Table1[[#This Row],[Efficiency %]]*Table1[[#This Row],[Quality %]], "")</f>
        <v/>
      </c>
    </row>
    <row r="692" spans="1:18" ht="30" customHeight="1" x14ac:dyDescent="0.25">
      <c r="A692" s="51">
        <v>46178</v>
      </c>
      <c r="B692" s="52" t="s">
        <v>18</v>
      </c>
      <c r="C692" s="52" t="s">
        <v>32</v>
      </c>
      <c r="D692" s="52" t="s">
        <v>31</v>
      </c>
      <c r="E692" s="79">
        <f>Table1[[#This Row],[Actual Production (Kg)]]</f>
        <v>0</v>
      </c>
      <c r="F692" s="53"/>
      <c r="G692" s="53"/>
      <c r="H692" s="57" t="str">
        <f>IFERROR(Table1[Re-process (Kg)]/Table1[Actual Production (Kg)], "")</f>
        <v/>
      </c>
      <c r="I692" s="53">
        <f>IFERROR(Table1[[#This Row],[Actual Production (Kg)]]-Table1[[#This Row],[Re-process (Kg)]], "")</f>
        <v>0</v>
      </c>
      <c r="J692" s="53"/>
      <c r="K692" s="52"/>
      <c r="L692" s="53" t="str">
        <f>IF(Table1[[#This Row],[Target Time (Hours)]]="","",Table1[[#This Row],[Target Time (Hours)]]-Table1[[#This Row],[Downtime (Hours)]])</f>
        <v/>
      </c>
      <c r="M692" s="53" t="str">
        <f>IFERROR(Table1[[#This Row],[Capacity (Kg)]]/Table1[[#This Row],[Target Time (Hours)]] * Table1[[#This Row],[Downtime (Hours)]], "")</f>
        <v/>
      </c>
      <c r="N692" s="57" t="str">
        <f>IFERROR(Table1[[#This Row],[Running Time (hr)]]/Table1[Target Time (Hours)], "")</f>
        <v/>
      </c>
      <c r="O692" s="57" t="str">
        <f>IFERROR(Table1[[#This Row],[Actual Production (Kg)]]/Table1[Capacity (Kg)], "")</f>
        <v/>
      </c>
      <c r="P692" s="57" t="str">
        <f>IFERROR(Table1[[#This Row],[Quality Pass Production]]/Table1[[#This Row],[Actual Production (Kg)]], "")</f>
        <v/>
      </c>
      <c r="Q692" s="57" t="str">
        <f>IFERROR(Table1[[#This Row],[Utilization %]]*Table1[[#This Row],[Efficiency %]]*Table1[[#This Row],[Quality %]], "")</f>
        <v/>
      </c>
      <c r="R692" s="52" t="s">
        <v>156</v>
      </c>
    </row>
    <row r="693" spans="1:18" ht="30" customHeight="1" x14ac:dyDescent="0.25">
      <c r="A693" s="47">
        <v>46178</v>
      </c>
      <c r="B693" s="48" t="s">
        <v>33</v>
      </c>
      <c r="C693" s="48" t="s">
        <v>34</v>
      </c>
      <c r="D693" s="48" t="s">
        <v>35</v>
      </c>
      <c r="E693" s="49">
        <v>9000</v>
      </c>
      <c r="F693" s="76">
        <v>1364</v>
      </c>
      <c r="G693" s="49">
        <v>0</v>
      </c>
      <c r="H693" s="50">
        <f>IFERROR(Table1[Re-process (Kg)]/Table1[Actual Production (Kg)], "")</f>
        <v>0</v>
      </c>
      <c r="I693" s="49">
        <f>IFERROR(Table1[[#This Row],[Actual Production (Kg)]]-Table1[[#This Row],[Re-process (Kg)]], "")</f>
        <v>1364</v>
      </c>
      <c r="J693" s="49">
        <v>8</v>
      </c>
      <c r="K693" s="72">
        <v>0</v>
      </c>
      <c r="L693" s="49">
        <f>IF(Table1[[#This Row],[Target Time (Hours)]]="","",Table1[[#This Row],[Target Time (Hours)]]-Table1[[#This Row],[Downtime (Hours)]])</f>
        <v>8</v>
      </c>
      <c r="M693" s="49">
        <f>IFERROR(Table1[[#This Row],[Capacity (Kg)]]/Table1[[#This Row],[Target Time (Hours)]] * Table1[[#This Row],[Downtime (Hours)]], "")</f>
        <v>0</v>
      </c>
      <c r="N693" s="50">
        <f>IFERROR(Table1[[#This Row],[Running Time (hr)]]/Table1[Target Time (Hours)], "")</f>
        <v>1</v>
      </c>
      <c r="O693" s="50">
        <f>IFERROR(Table1[[#This Row],[Actual Production (Kg)]]/Table1[Capacity (Kg)], "")</f>
        <v>0.15155555555555555</v>
      </c>
      <c r="P693" s="50">
        <f>IFERROR(Table1[[#This Row],[Quality Pass Production]]/Table1[[#This Row],[Actual Production (Kg)]], "")</f>
        <v>1</v>
      </c>
      <c r="Q693" s="50">
        <f>IFERROR(Table1[[#This Row],[Utilization %]]*Table1[[#This Row],[Efficiency %]]*Table1[[#This Row],[Quality %]], "")</f>
        <v>0.15155555555555555</v>
      </c>
    </row>
    <row r="694" spans="1:18" x14ac:dyDescent="0.25">
      <c r="A694" s="47">
        <v>46178</v>
      </c>
      <c r="B694" s="48" t="s">
        <v>33</v>
      </c>
      <c r="C694" s="48" t="s">
        <v>36</v>
      </c>
      <c r="D694" s="48" t="s">
        <v>37</v>
      </c>
      <c r="E694" s="49">
        <v>8000</v>
      </c>
      <c r="F694" s="76">
        <v>2397</v>
      </c>
      <c r="G694" s="49">
        <v>0</v>
      </c>
      <c r="H694" s="50">
        <f>IFERROR(Table1[Re-process (Kg)]/Table1[Actual Production (Kg)], "")</f>
        <v>0</v>
      </c>
      <c r="I694" s="49">
        <f>IFERROR(Table1[[#This Row],[Actual Production (Kg)]]-Table1[[#This Row],[Re-process (Kg)]], "")</f>
        <v>2397</v>
      </c>
      <c r="J694" s="49">
        <v>8</v>
      </c>
      <c r="K694" s="72">
        <v>0</v>
      </c>
      <c r="L694" s="49">
        <f>IF(Table1[[#This Row],[Target Time (Hours)]]="","",Table1[[#This Row],[Target Time (Hours)]]-Table1[[#This Row],[Downtime (Hours)]])</f>
        <v>8</v>
      </c>
      <c r="M694" s="49">
        <f>IFERROR(Table1[[#This Row],[Capacity (Kg)]]/Table1[[#This Row],[Target Time (Hours)]] * Table1[[#This Row],[Downtime (Hours)]], "")</f>
        <v>0</v>
      </c>
      <c r="N694" s="50">
        <f>IFERROR(Table1[[#This Row],[Running Time (hr)]]/Table1[Target Time (Hours)], "")</f>
        <v>1</v>
      </c>
      <c r="O694" s="50">
        <f>IFERROR(Table1[[#This Row],[Actual Production (Kg)]]/Table1[Capacity (Kg)], "")</f>
        <v>0.29962499999999997</v>
      </c>
      <c r="P694" s="50">
        <f>IFERROR(Table1[[#This Row],[Quality Pass Production]]/Table1[[#This Row],[Actual Production (Kg)]], "")</f>
        <v>1</v>
      </c>
      <c r="Q694" s="50">
        <f>IFERROR(Table1[[#This Row],[Utilization %]]*Table1[[#This Row],[Efficiency %]]*Table1[[#This Row],[Quality %]], "")</f>
        <v>0.29962499999999997</v>
      </c>
    </row>
    <row r="695" spans="1:18" ht="30" customHeight="1" x14ac:dyDescent="0.25">
      <c r="A695" s="47">
        <v>46178</v>
      </c>
      <c r="B695" s="48" t="s">
        <v>33</v>
      </c>
      <c r="C695" s="48" t="s">
        <v>39</v>
      </c>
      <c r="D695" s="48" t="s">
        <v>31</v>
      </c>
      <c r="E695" s="49"/>
      <c r="F695" s="76"/>
      <c r="G695" s="49"/>
      <c r="H695" s="50" t="str">
        <f>IFERROR(Table1[Re-process (Kg)]/Table1[Actual Production (Kg)], "")</f>
        <v/>
      </c>
      <c r="I695" s="49">
        <f>IFERROR(Table1[[#This Row],[Actual Production (Kg)]]-Table1[[#This Row],[Re-process (Kg)]], "")</f>
        <v>0</v>
      </c>
      <c r="J695" s="49"/>
      <c r="K695" s="72"/>
      <c r="L695" s="49" t="str">
        <f>IF(Table1[[#This Row],[Target Time (Hours)]]="","",Table1[[#This Row],[Target Time (Hours)]]-Table1[[#This Row],[Downtime (Hours)]])</f>
        <v/>
      </c>
      <c r="M695" s="49" t="str">
        <f>IFERROR(Table1[[#This Row],[Capacity (Kg)]]/Table1[[#This Row],[Target Time (Hours)]] * Table1[[#This Row],[Downtime (Hours)]], "")</f>
        <v/>
      </c>
      <c r="N695" s="50" t="str">
        <f>IFERROR(Table1[[#This Row],[Running Time (hr)]]/Table1[Target Time (Hours)], "")</f>
        <v/>
      </c>
      <c r="O695" s="50" t="str">
        <f>IFERROR(Table1[[#This Row],[Actual Production (Kg)]]/Table1[Capacity (Kg)], "")</f>
        <v/>
      </c>
      <c r="P695" s="50" t="str">
        <f>IFERROR(Table1[[#This Row],[Quality Pass Production]]/Table1[[#This Row],[Actual Production (Kg)]], "")</f>
        <v/>
      </c>
      <c r="Q695" s="50" t="str">
        <f>IFERROR(Table1[[#This Row],[Utilization %]]*Table1[[#This Row],[Efficiency %]]*Table1[[#This Row],[Quality %]], "")</f>
        <v/>
      </c>
    </row>
    <row r="696" spans="1:18" ht="45" customHeight="1" x14ac:dyDescent="0.25">
      <c r="A696" s="54">
        <v>46178</v>
      </c>
      <c r="B696" s="55" t="s">
        <v>33</v>
      </c>
      <c r="C696" s="55" t="s">
        <v>40</v>
      </c>
      <c r="D696" s="55" t="s">
        <v>31</v>
      </c>
      <c r="E696" s="56"/>
      <c r="F696" s="56"/>
      <c r="G696" s="56"/>
      <c r="H696" s="58" t="str">
        <f>IFERROR(Table1[Re-process (Kg)]/Table1[Actual Production (Kg)], "")</f>
        <v/>
      </c>
      <c r="I696" s="56">
        <f>IFERROR(Table1[[#This Row],[Actual Production (Kg)]]-Table1[[#This Row],[Re-process (Kg)]], "")</f>
        <v>0</v>
      </c>
      <c r="J696" s="56"/>
      <c r="K696" s="55"/>
      <c r="L696" s="56" t="str">
        <f>IF(Table1[[#This Row],[Target Time (Hours)]]="","",Table1[[#This Row],[Target Time (Hours)]]-Table1[[#This Row],[Downtime (Hours)]])</f>
        <v/>
      </c>
      <c r="M696" s="56" t="str">
        <f>IFERROR(Table1[[#This Row],[Capacity (Kg)]]/Table1[[#This Row],[Target Time (Hours)]] * Table1[[#This Row],[Downtime (Hours)]], "")</f>
        <v/>
      </c>
      <c r="N696" s="58" t="str">
        <f>IFERROR(Table1[[#This Row],[Running Time (hr)]]/Table1[Target Time (Hours)], "")</f>
        <v/>
      </c>
      <c r="O696" s="58" t="str">
        <f>IFERROR(Table1[[#This Row],[Actual Production (Kg)]]/Table1[Capacity (Kg)], "")</f>
        <v/>
      </c>
      <c r="P696" s="58" t="str">
        <f>IFERROR(Table1[[#This Row],[Quality Pass Production]]/Table1[[#This Row],[Actual Production (Kg)]], "")</f>
        <v/>
      </c>
      <c r="Q696" s="58" t="str">
        <f>IFERROR(Table1[[#This Row],[Utilization %]]*Table1[[#This Row],[Efficiency %]]*Table1[[#This Row],[Quality %]], "")</f>
        <v/>
      </c>
      <c r="R696" s="55"/>
    </row>
    <row r="697" spans="1:18" ht="30" customHeight="1" x14ac:dyDescent="0.25">
      <c r="A697" s="47">
        <v>46179</v>
      </c>
      <c r="B697" s="48" t="s">
        <v>18</v>
      </c>
      <c r="C697" s="48" t="s">
        <v>19</v>
      </c>
      <c r="D697" s="48" t="s">
        <v>20</v>
      </c>
      <c r="E697" s="49">
        <v>10000</v>
      </c>
      <c r="F697" s="76">
        <v>7710</v>
      </c>
      <c r="G697" s="49">
        <v>0</v>
      </c>
      <c r="H697" s="50">
        <f>IFERROR(Table1[Re-process (Kg)]/Table1[Actual Production (Kg)], "")</f>
        <v>0</v>
      </c>
      <c r="I697" s="49">
        <f>IFERROR(Table1[[#This Row],[Actual Production (Kg)]]-Table1[[#This Row],[Re-process (Kg)]], "")</f>
        <v>7710</v>
      </c>
      <c r="J697" s="49">
        <v>22</v>
      </c>
      <c r="K697" s="72">
        <v>2</v>
      </c>
      <c r="L697" s="49">
        <f>IF(Table1[[#This Row],[Target Time (Hours)]]="","",Table1[[#This Row],[Target Time (Hours)]]-Table1[[#This Row],[Downtime (Hours)]])</f>
        <v>20</v>
      </c>
      <c r="M697" s="49">
        <f>IFERROR(Table1[[#This Row],[Capacity (Kg)]]/Table1[[#This Row],[Target Time (Hours)]] * Table1[[#This Row],[Downtime (Hours)]], "")</f>
        <v>909.09090909090912</v>
      </c>
      <c r="N697" s="50">
        <f>IFERROR(Table1[[#This Row],[Running Time (hr)]]/Table1[Target Time (Hours)], "")</f>
        <v>0.90909090909090906</v>
      </c>
      <c r="O697" s="50">
        <f>IFERROR(Table1[[#This Row],[Actual Production (Kg)]]/Table1[Capacity (Kg)], "")</f>
        <v>0.77100000000000002</v>
      </c>
      <c r="P697" s="50">
        <f>IFERROR(Table1[[#This Row],[Quality Pass Production]]/Table1[[#This Row],[Actual Production (Kg)]], "")</f>
        <v>1</v>
      </c>
      <c r="Q697" s="50">
        <f>IFERROR(Table1[[#This Row],[Utilization %]]*Table1[[#This Row],[Efficiency %]]*Table1[[#This Row],[Quality %]], "")</f>
        <v>0.70090909090909093</v>
      </c>
      <c r="R697" s="48" t="s">
        <v>183</v>
      </c>
    </row>
    <row r="698" spans="1:18" x14ac:dyDescent="0.25">
      <c r="A698" s="47">
        <v>46179</v>
      </c>
      <c r="B698" s="48" t="s">
        <v>18</v>
      </c>
      <c r="C698" s="48" t="s">
        <v>22</v>
      </c>
      <c r="D698" s="48" t="s">
        <v>23</v>
      </c>
      <c r="E698" s="49">
        <v>5000</v>
      </c>
      <c r="F698" s="76">
        <v>5907</v>
      </c>
      <c r="G698" s="49"/>
      <c r="H698" s="50">
        <f>IFERROR(Table1[Re-process (Kg)]/Table1[Actual Production (Kg)], "")</f>
        <v>0</v>
      </c>
      <c r="I698" s="49">
        <f>IFERROR(Table1[[#This Row],[Actual Production (Kg)]]-Table1[[#This Row],[Re-process (Kg)]], "")</f>
        <v>5907</v>
      </c>
      <c r="J698" s="49">
        <v>22</v>
      </c>
      <c r="K698" s="72"/>
      <c r="L698" s="49">
        <f>IF(Table1[[#This Row],[Target Time (Hours)]]="","",Table1[[#This Row],[Target Time (Hours)]]-Table1[[#This Row],[Downtime (Hours)]])</f>
        <v>22</v>
      </c>
      <c r="M698" s="49">
        <f>IFERROR(Table1[[#This Row],[Capacity (Kg)]]/Table1[[#This Row],[Target Time (Hours)]] * Table1[[#This Row],[Downtime (Hours)]], "")</f>
        <v>0</v>
      </c>
      <c r="N698" s="50">
        <f>IFERROR(Table1[[#This Row],[Running Time (hr)]]/Table1[Target Time (Hours)], "")</f>
        <v>1</v>
      </c>
      <c r="O698" s="50">
        <f>IFERROR(Table1[[#This Row],[Actual Production (Kg)]]/Table1[Capacity (Kg)], "")</f>
        <v>1.1814</v>
      </c>
      <c r="P698" s="50">
        <f>IFERROR(Table1[[#This Row],[Quality Pass Production]]/Table1[[#This Row],[Actual Production (Kg)]], "")</f>
        <v>1</v>
      </c>
      <c r="Q698" s="50">
        <f>IFERROR(Table1[[#This Row],[Utilization %]]*Table1[[#This Row],[Efficiency %]]*Table1[[#This Row],[Quality %]], "")</f>
        <v>1.1814</v>
      </c>
    </row>
    <row r="699" spans="1:18" x14ac:dyDescent="0.25">
      <c r="A699" s="47">
        <v>46179</v>
      </c>
      <c r="B699" s="48" t="s">
        <v>18</v>
      </c>
      <c r="C699" s="48" t="s">
        <v>22</v>
      </c>
      <c r="D699" s="48" t="s">
        <v>25</v>
      </c>
      <c r="E699" s="49">
        <v>4000</v>
      </c>
      <c r="F699" s="76"/>
      <c r="G699" s="49">
        <v>0</v>
      </c>
      <c r="H699" s="50" t="str">
        <f>IFERROR(Table1[Re-process (Kg)]/Table1[Actual Production (Kg)], "")</f>
        <v/>
      </c>
      <c r="I699" s="49">
        <f>IFERROR(Table1[[#This Row],[Actual Production (Kg)]]-Table1[[#This Row],[Re-process (Kg)]], "")</f>
        <v>0</v>
      </c>
      <c r="J699" s="49">
        <v>0</v>
      </c>
      <c r="K699" s="72"/>
      <c r="L699" s="49">
        <f>IF(Table1[[#This Row],[Target Time (Hours)]]="","",Table1[[#This Row],[Target Time (Hours)]]-Table1[[#This Row],[Downtime (Hours)]])</f>
        <v>0</v>
      </c>
      <c r="M699" s="49" t="str">
        <f>IFERROR(Table1[[#This Row],[Capacity (Kg)]]/Table1[[#This Row],[Target Time (Hours)]] * Table1[[#This Row],[Downtime (Hours)]], "")</f>
        <v/>
      </c>
      <c r="N699" s="50" t="str">
        <f>IFERROR(Table1[[#This Row],[Running Time (hr)]]/Table1[Target Time (Hours)], "")</f>
        <v/>
      </c>
      <c r="O699" s="50">
        <f>IFERROR(Table1[[#This Row],[Actual Production (Kg)]]/Table1[Capacity (Kg)], "")</f>
        <v>0</v>
      </c>
      <c r="P699" s="50" t="str">
        <f>IFERROR(Table1[[#This Row],[Quality Pass Production]]/Table1[[#This Row],[Actual Production (Kg)]], "")</f>
        <v/>
      </c>
      <c r="Q699" s="50" t="str">
        <f>IFERROR(Table1[[#This Row],[Utilization %]]*Table1[[#This Row],[Efficiency %]]*Table1[[#This Row],[Quality %]], "")</f>
        <v/>
      </c>
    </row>
    <row r="700" spans="1:18" ht="30" customHeight="1" x14ac:dyDescent="0.25">
      <c r="A700" s="47">
        <v>46179</v>
      </c>
      <c r="B700" s="48" t="s">
        <v>18</v>
      </c>
      <c r="C700" s="48" t="s">
        <v>26</v>
      </c>
      <c r="D700" s="48" t="s">
        <v>25</v>
      </c>
      <c r="E700" s="49">
        <v>7000</v>
      </c>
      <c r="F700" s="76">
        <v>7074</v>
      </c>
      <c r="G700" s="49">
        <v>0</v>
      </c>
      <c r="H700" s="50">
        <f>IFERROR(Table1[Re-process (Kg)]/Table1[Actual Production (Kg)], "")</f>
        <v>0</v>
      </c>
      <c r="I700" s="49">
        <f>IFERROR(Table1[[#This Row],[Actual Production (Kg)]]-Table1[[#This Row],[Re-process (Kg)]], "")</f>
        <v>7074</v>
      </c>
      <c r="J700" s="49">
        <v>22</v>
      </c>
      <c r="K700" s="72">
        <v>2</v>
      </c>
      <c r="L700" s="49">
        <f>IF(Table1[[#This Row],[Target Time (Hours)]]="","",Table1[[#This Row],[Target Time (Hours)]]-Table1[[#This Row],[Downtime (Hours)]])</f>
        <v>20</v>
      </c>
      <c r="M700" s="49">
        <f>IFERROR(Table1[[#This Row],[Capacity (Kg)]]/Table1[[#This Row],[Target Time (Hours)]] * Table1[[#This Row],[Downtime (Hours)]], "")</f>
        <v>636.36363636363637</v>
      </c>
      <c r="N700" s="50">
        <f>IFERROR(Table1[[#This Row],[Running Time (hr)]]/Table1[Target Time (Hours)], "")</f>
        <v>0.90909090909090906</v>
      </c>
      <c r="O700" s="50">
        <f>IFERROR(Table1[[#This Row],[Actual Production (Kg)]]/Table1[Capacity (Kg)], "")</f>
        <v>1.0105714285714287</v>
      </c>
      <c r="P700" s="50">
        <f>IFERROR(Table1[[#This Row],[Quality Pass Production]]/Table1[[#This Row],[Actual Production (Kg)]], "")</f>
        <v>1</v>
      </c>
      <c r="Q700" s="50">
        <f>IFERROR(Table1[[#This Row],[Utilization %]]*Table1[[#This Row],[Efficiency %]]*Table1[[#This Row],[Quality %]], "")</f>
        <v>0.9187012987012988</v>
      </c>
      <c r="R700" s="48" t="s">
        <v>184</v>
      </c>
    </row>
    <row r="701" spans="1:18" ht="30" customHeight="1" x14ac:dyDescent="0.25">
      <c r="A701" s="47">
        <v>46179</v>
      </c>
      <c r="B701" s="48" t="s">
        <v>18</v>
      </c>
      <c r="C701" s="48" t="s">
        <v>28</v>
      </c>
      <c r="D701" s="48" t="s">
        <v>29</v>
      </c>
      <c r="E701" s="49">
        <v>7800</v>
      </c>
      <c r="F701" s="76">
        <v>6081</v>
      </c>
      <c r="G701" s="49">
        <v>0</v>
      </c>
      <c r="H701" s="50">
        <f>IFERROR(Table1[Re-process (Kg)]/Table1[Actual Production (Kg)], "")</f>
        <v>0</v>
      </c>
      <c r="I701" s="49">
        <f>IFERROR(Table1[[#This Row],[Actual Production (Kg)]]-Table1[[#This Row],[Re-process (Kg)]], "")</f>
        <v>6081</v>
      </c>
      <c r="J701" s="49">
        <v>22</v>
      </c>
      <c r="K701" s="72"/>
      <c r="L701" s="49">
        <f>IF(Table1[[#This Row],[Target Time (Hours)]]="","",Table1[[#This Row],[Target Time (Hours)]]-Table1[[#This Row],[Downtime (Hours)]])</f>
        <v>22</v>
      </c>
      <c r="M701" s="49">
        <f>IFERROR(Table1[[#This Row],[Capacity (Kg)]]/Table1[[#This Row],[Target Time (Hours)]] * Table1[[#This Row],[Downtime (Hours)]], "")</f>
        <v>0</v>
      </c>
      <c r="N701" s="50">
        <f>IFERROR(Table1[[#This Row],[Running Time (hr)]]/Table1[Target Time (Hours)], "")</f>
        <v>1</v>
      </c>
      <c r="O701" s="50">
        <f>IFERROR(Table1[[#This Row],[Actual Production (Kg)]]/Table1[Capacity (Kg)], "")</f>
        <v>0.7796153846153846</v>
      </c>
      <c r="P701" s="50">
        <f>IFERROR(Table1[[#This Row],[Quality Pass Production]]/Table1[[#This Row],[Actual Production (Kg)]], "")</f>
        <v>1</v>
      </c>
      <c r="Q701" s="50">
        <f>IFERROR(Table1[[#This Row],[Utilization %]]*Table1[[#This Row],[Efficiency %]]*Table1[[#This Row],[Quality %]], "")</f>
        <v>0.7796153846153846</v>
      </c>
    </row>
    <row r="702" spans="1:18" ht="30" customHeight="1" x14ac:dyDescent="0.25">
      <c r="A702" s="51">
        <v>46179</v>
      </c>
      <c r="B702" s="52" t="s">
        <v>18</v>
      </c>
      <c r="C702" s="52" t="s">
        <v>135</v>
      </c>
      <c r="D702" s="52" t="s">
        <v>29</v>
      </c>
      <c r="E702" s="53"/>
      <c r="F702" s="53"/>
      <c r="G702" s="53"/>
      <c r="H702" s="57" t="str">
        <f>IFERROR(Table1[Re-process (Kg)]/Table1[Actual Production (Kg)], "")</f>
        <v/>
      </c>
      <c r="I702" s="53">
        <f>IFERROR(Table1[[#This Row],[Actual Production (Kg)]]-Table1[[#This Row],[Re-process (Kg)]], "")</f>
        <v>0</v>
      </c>
      <c r="J702" s="79"/>
      <c r="K702" s="52"/>
      <c r="L702" s="53" t="str">
        <f>IF(Table1[[#This Row],[Target Time (Hours)]]="","",Table1[[#This Row],[Target Time (Hours)]]-Table1[[#This Row],[Downtime (Hours)]])</f>
        <v/>
      </c>
      <c r="M702" s="53" t="str">
        <f>IFERROR(Table1[[#This Row],[Capacity (Kg)]]/Table1[[#This Row],[Target Time (Hours)]] * Table1[[#This Row],[Downtime (Hours)]], "")</f>
        <v/>
      </c>
      <c r="N702" s="57" t="str">
        <f>IFERROR(Table1[[#This Row],[Running Time (hr)]]/Table1[Target Time (Hours)], "")</f>
        <v/>
      </c>
      <c r="O702" s="57" t="str">
        <f>IFERROR(Table1[[#This Row],[Actual Production (Kg)]]/Table1[Capacity (Kg)], "")</f>
        <v/>
      </c>
      <c r="P702" s="57" t="str">
        <f>IFERROR(Table1[[#This Row],[Quality Pass Production]]/Table1[[#This Row],[Actual Production (Kg)]], "")</f>
        <v/>
      </c>
      <c r="Q702" s="57" t="str">
        <f>IFERROR(Table1[[#This Row],[Utilization %]]*Table1[[#This Row],[Efficiency %]]*Table1[[#This Row],[Quality %]], "")</f>
        <v/>
      </c>
      <c r="R702" s="52" t="s">
        <v>156</v>
      </c>
    </row>
    <row r="703" spans="1:18" ht="30" customHeight="1" x14ac:dyDescent="0.25">
      <c r="A703" s="47">
        <v>46179</v>
      </c>
      <c r="B703" s="48" t="s">
        <v>18</v>
      </c>
      <c r="C703" s="48" t="s">
        <v>30</v>
      </c>
      <c r="D703" s="48" t="s">
        <v>31</v>
      </c>
      <c r="E703" s="49">
        <v>9000</v>
      </c>
      <c r="F703" s="76">
        <v>6358</v>
      </c>
      <c r="G703" s="49">
        <v>0</v>
      </c>
      <c r="H703" s="50">
        <f>IFERROR(Table1[Re-process (Kg)]/Table1[Actual Production (Kg)], "")</f>
        <v>0</v>
      </c>
      <c r="I703" s="49">
        <f>IFERROR(Table1[[#This Row],[Actual Production (Kg)]]-Table1[[#This Row],[Re-process (Kg)]], "")</f>
        <v>6358</v>
      </c>
      <c r="J703" s="49">
        <v>22</v>
      </c>
      <c r="K703" s="72">
        <v>2</v>
      </c>
      <c r="L703" s="49">
        <f>IF(Table1[[#This Row],[Target Time (Hours)]]="","",Table1[[#This Row],[Target Time (Hours)]]-Table1[[#This Row],[Downtime (Hours)]])</f>
        <v>20</v>
      </c>
      <c r="M703" s="49">
        <f>IFERROR(Table1[[#This Row],[Capacity (Kg)]]/Table1[[#This Row],[Target Time (Hours)]] * Table1[[#This Row],[Downtime (Hours)]], "")</f>
        <v>818.18181818181813</v>
      </c>
      <c r="N703" s="50">
        <f>IFERROR(Table1[[#This Row],[Running Time (hr)]]/Table1[Target Time (Hours)], "")</f>
        <v>0.90909090909090906</v>
      </c>
      <c r="O703" s="50">
        <f>IFERROR(Table1[[#This Row],[Actual Production (Kg)]]/Table1[Capacity (Kg)], "")</f>
        <v>0.70644444444444443</v>
      </c>
      <c r="P703" s="50">
        <f>IFERROR(Table1[[#This Row],[Quality Pass Production]]/Table1[[#This Row],[Actual Production (Kg)]], "")</f>
        <v>1</v>
      </c>
      <c r="Q703" s="50">
        <f>IFERROR(Table1[[#This Row],[Utilization %]]*Table1[[#This Row],[Efficiency %]]*Table1[[#This Row],[Quality %]], "")</f>
        <v>0.64222222222222214</v>
      </c>
      <c r="R703" s="48" t="s">
        <v>185</v>
      </c>
    </row>
    <row r="704" spans="1:18" ht="30" customHeight="1" x14ac:dyDescent="0.25">
      <c r="A704" s="51">
        <v>46179</v>
      </c>
      <c r="B704" s="52" t="s">
        <v>18</v>
      </c>
      <c r="C704" s="52" t="s">
        <v>32</v>
      </c>
      <c r="D704" s="52" t="s">
        <v>31</v>
      </c>
      <c r="E704" s="79">
        <f>Table1[[#This Row],[Actual Production (Kg)]]</f>
        <v>0</v>
      </c>
      <c r="F704" s="53"/>
      <c r="G704" s="53"/>
      <c r="H704" s="57" t="str">
        <f>IFERROR(Table1[Re-process (Kg)]/Table1[Actual Production (Kg)], "")</f>
        <v/>
      </c>
      <c r="I704" s="53">
        <f>IFERROR(Table1[[#This Row],[Actual Production (Kg)]]-Table1[[#This Row],[Re-process (Kg)]], "")</f>
        <v>0</v>
      </c>
      <c r="J704" s="79"/>
      <c r="K704" s="52"/>
      <c r="L704" s="53" t="str">
        <f>IF(Table1[[#This Row],[Target Time (Hours)]]="","",Table1[[#This Row],[Target Time (Hours)]]-Table1[[#This Row],[Downtime (Hours)]])</f>
        <v/>
      </c>
      <c r="M704" s="53" t="str">
        <f>IFERROR(Table1[[#This Row],[Capacity (Kg)]]/Table1[[#This Row],[Target Time (Hours)]] * Table1[[#This Row],[Downtime (Hours)]], "")</f>
        <v/>
      </c>
      <c r="N704" s="57" t="str">
        <f>IFERROR(Table1[[#This Row],[Running Time (hr)]]/Table1[Target Time (Hours)], "")</f>
        <v/>
      </c>
      <c r="O704" s="57" t="str">
        <f>IFERROR(Table1[[#This Row],[Actual Production (Kg)]]/Table1[Capacity (Kg)], "")</f>
        <v/>
      </c>
      <c r="P704" s="57" t="str">
        <f>IFERROR(Table1[[#This Row],[Quality Pass Production]]/Table1[[#This Row],[Actual Production (Kg)]], "")</f>
        <v/>
      </c>
      <c r="Q704" s="57" t="str">
        <f>IFERROR(Table1[[#This Row],[Utilization %]]*Table1[[#This Row],[Efficiency %]]*Table1[[#This Row],[Quality %]], "")</f>
        <v/>
      </c>
      <c r="R704" s="52" t="s">
        <v>156</v>
      </c>
    </row>
    <row r="705" spans="1:18" ht="30" customHeight="1" x14ac:dyDescent="0.25">
      <c r="A705" s="47">
        <v>46179</v>
      </c>
      <c r="B705" s="48" t="s">
        <v>33</v>
      </c>
      <c r="C705" s="48" t="s">
        <v>34</v>
      </c>
      <c r="D705" s="48" t="s">
        <v>35</v>
      </c>
      <c r="E705" s="49">
        <v>9000</v>
      </c>
      <c r="F705" s="76">
        <v>7610</v>
      </c>
      <c r="G705" s="49">
        <v>0</v>
      </c>
      <c r="H705" s="50">
        <f>IFERROR(Table1[Re-process (Kg)]/Table1[Actual Production (Kg)], "")</f>
        <v>0</v>
      </c>
      <c r="I705" s="49">
        <f>IFERROR(Table1[[#This Row],[Actual Production (Kg)]]-Table1[[#This Row],[Re-process (Kg)]], "")</f>
        <v>7610</v>
      </c>
      <c r="J705" s="49">
        <v>22</v>
      </c>
      <c r="K705" s="72"/>
      <c r="L705" s="49">
        <f>IF(Table1[[#This Row],[Target Time (Hours)]]="","",Table1[[#This Row],[Target Time (Hours)]]-Table1[[#This Row],[Downtime (Hours)]])</f>
        <v>22</v>
      </c>
      <c r="M705" s="49">
        <f>IFERROR(Table1[[#This Row],[Capacity (Kg)]]/Table1[[#This Row],[Target Time (Hours)]] * Table1[[#This Row],[Downtime (Hours)]], "")</f>
        <v>0</v>
      </c>
      <c r="N705" s="50">
        <f>IFERROR(Table1[[#This Row],[Running Time (hr)]]/Table1[Target Time (Hours)], "")</f>
        <v>1</v>
      </c>
      <c r="O705" s="50">
        <f>IFERROR(Table1[[#This Row],[Actual Production (Kg)]]/Table1[Capacity (Kg)], "")</f>
        <v>0.8455555555555555</v>
      </c>
      <c r="P705" s="50">
        <f>IFERROR(Table1[[#This Row],[Quality Pass Production]]/Table1[[#This Row],[Actual Production (Kg)]], "")</f>
        <v>1</v>
      </c>
      <c r="Q705" s="50">
        <f>IFERROR(Table1[[#This Row],[Utilization %]]*Table1[[#This Row],[Efficiency %]]*Table1[[#This Row],[Quality %]], "")</f>
        <v>0.8455555555555555</v>
      </c>
      <c r="R705" s="48" t="s">
        <v>157</v>
      </c>
    </row>
    <row r="706" spans="1:18" x14ac:dyDescent="0.25">
      <c r="A706" s="47">
        <v>46179</v>
      </c>
      <c r="B706" s="48" t="s">
        <v>33</v>
      </c>
      <c r="C706" s="48" t="s">
        <v>36</v>
      </c>
      <c r="D706" s="48" t="s">
        <v>37</v>
      </c>
      <c r="E706" s="49">
        <v>8000</v>
      </c>
      <c r="F706" s="76">
        <v>8192</v>
      </c>
      <c r="G706" s="49">
        <v>0</v>
      </c>
      <c r="H706" s="50">
        <f>IFERROR(Table1[Re-process (Kg)]/Table1[Actual Production (Kg)], "")</f>
        <v>0</v>
      </c>
      <c r="I706" s="49">
        <f>IFERROR(Table1[[#This Row],[Actual Production (Kg)]]-Table1[[#This Row],[Re-process (Kg)]], "")</f>
        <v>8192</v>
      </c>
      <c r="J706" s="49">
        <v>22</v>
      </c>
      <c r="K706" s="72"/>
      <c r="L706" s="49">
        <f>IF(Table1[[#This Row],[Target Time (Hours)]]="","",Table1[[#This Row],[Target Time (Hours)]]-Table1[[#This Row],[Downtime (Hours)]])</f>
        <v>22</v>
      </c>
      <c r="M706" s="49">
        <f>IFERROR(Table1[[#This Row],[Capacity (Kg)]]/Table1[[#This Row],[Target Time (Hours)]] * Table1[[#This Row],[Downtime (Hours)]], "")</f>
        <v>0</v>
      </c>
      <c r="N706" s="50">
        <f>IFERROR(Table1[[#This Row],[Running Time (hr)]]/Table1[Target Time (Hours)], "")</f>
        <v>1</v>
      </c>
      <c r="O706" s="50">
        <f>IFERROR(Table1[[#This Row],[Actual Production (Kg)]]/Table1[Capacity (Kg)], "")</f>
        <v>1.024</v>
      </c>
      <c r="P706" s="50">
        <f>IFERROR(Table1[[#This Row],[Quality Pass Production]]/Table1[[#This Row],[Actual Production (Kg)]], "")</f>
        <v>1</v>
      </c>
      <c r="Q706" s="50">
        <f>IFERROR(Table1[[#This Row],[Utilization %]]*Table1[[#This Row],[Efficiency %]]*Table1[[#This Row],[Quality %]], "")</f>
        <v>1.024</v>
      </c>
    </row>
    <row r="707" spans="1:18" ht="30" customHeight="1" x14ac:dyDescent="0.25">
      <c r="A707" s="47">
        <v>46179</v>
      </c>
      <c r="B707" s="48" t="s">
        <v>33</v>
      </c>
      <c r="C707" s="48" t="s">
        <v>39</v>
      </c>
      <c r="D707" s="48" t="s">
        <v>31</v>
      </c>
      <c r="E707" s="49">
        <v>6000</v>
      </c>
      <c r="F707" s="76">
        <v>3884</v>
      </c>
      <c r="G707" s="49">
        <v>0</v>
      </c>
      <c r="H707" s="50">
        <f>IFERROR(Table1[Re-process (Kg)]/Table1[Actual Production (Kg)], "")</f>
        <v>0</v>
      </c>
      <c r="I707" s="49">
        <f>IFERROR(Table1[[#This Row],[Actual Production (Kg)]]-Table1[[#This Row],[Re-process (Kg)]], "")</f>
        <v>3884</v>
      </c>
      <c r="J707" s="49">
        <v>22</v>
      </c>
      <c r="K707" s="72"/>
      <c r="L707" s="49">
        <f>IF(Table1[[#This Row],[Target Time (Hours)]]="","",Table1[[#This Row],[Target Time (Hours)]]-Table1[[#This Row],[Downtime (Hours)]])</f>
        <v>22</v>
      </c>
      <c r="M707" s="49">
        <f>IFERROR(Table1[[#This Row],[Capacity (Kg)]]/Table1[[#This Row],[Target Time (Hours)]] * Table1[[#This Row],[Downtime (Hours)]], "")</f>
        <v>0</v>
      </c>
      <c r="N707" s="50">
        <f>IFERROR(Table1[[#This Row],[Running Time (hr)]]/Table1[Target Time (Hours)], "")</f>
        <v>1</v>
      </c>
      <c r="O707" s="50">
        <f>IFERROR(Table1[[#This Row],[Actual Production (Kg)]]/Table1[Capacity (Kg)], "")</f>
        <v>0.64733333333333332</v>
      </c>
      <c r="P707" s="50">
        <f>IFERROR(Table1[[#This Row],[Quality Pass Production]]/Table1[[#This Row],[Actual Production (Kg)]], "")</f>
        <v>1</v>
      </c>
      <c r="Q707" s="50">
        <f>IFERROR(Table1[[#This Row],[Utilization %]]*Table1[[#This Row],[Efficiency %]]*Table1[[#This Row],[Quality %]], "")</f>
        <v>0.64733333333333332</v>
      </c>
      <c r="R707" s="48" t="s">
        <v>157</v>
      </c>
    </row>
    <row r="708" spans="1:18" ht="45" customHeight="1" x14ac:dyDescent="0.25">
      <c r="A708" s="54">
        <v>46179</v>
      </c>
      <c r="B708" s="55" t="s">
        <v>33</v>
      </c>
      <c r="C708" s="55" t="s">
        <v>40</v>
      </c>
      <c r="D708" s="55" t="s">
        <v>31</v>
      </c>
      <c r="E708" s="56">
        <v>5000</v>
      </c>
      <c r="F708" s="56">
        <v>4840</v>
      </c>
      <c r="G708" s="56">
        <v>0</v>
      </c>
      <c r="H708" s="58">
        <f>IFERROR(Table1[Re-process (Kg)]/Table1[Actual Production (Kg)], "")</f>
        <v>0</v>
      </c>
      <c r="I708" s="56">
        <f>IFERROR(Table1[[#This Row],[Actual Production (Kg)]]-Table1[[#This Row],[Re-process (Kg)]], "")</f>
        <v>4840</v>
      </c>
      <c r="J708" s="56">
        <v>22</v>
      </c>
      <c r="K708" s="55"/>
      <c r="L708" s="56">
        <f>IF(Table1[[#This Row],[Target Time (Hours)]]="","",Table1[[#This Row],[Target Time (Hours)]]-Table1[[#This Row],[Downtime (Hours)]])</f>
        <v>22</v>
      </c>
      <c r="M708" s="56">
        <f>IFERROR(Table1[[#This Row],[Capacity (Kg)]]/Table1[[#This Row],[Target Time (Hours)]] * Table1[[#This Row],[Downtime (Hours)]], "")</f>
        <v>0</v>
      </c>
      <c r="N708" s="58">
        <f>IFERROR(Table1[[#This Row],[Running Time (hr)]]/Table1[Target Time (Hours)], "")</f>
        <v>1</v>
      </c>
      <c r="O708" s="58">
        <f>IFERROR(Table1[[#This Row],[Actual Production (Kg)]]/Table1[Capacity (Kg)], "")</f>
        <v>0.96799999999999997</v>
      </c>
      <c r="P708" s="58">
        <f>IFERROR(Table1[[#This Row],[Quality Pass Production]]/Table1[[#This Row],[Actual Production (Kg)]], "")</f>
        <v>1</v>
      </c>
      <c r="Q708" s="58">
        <f>IFERROR(Table1[[#This Row],[Utilization %]]*Table1[[#This Row],[Efficiency %]]*Table1[[#This Row],[Quality %]], "")</f>
        <v>0.96799999999999997</v>
      </c>
      <c r="R708" s="55"/>
    </row>
    <row r="709" spans="1:18" ht="30" customHeight="1" x14ac:dyDescent="0.25">
      <c r="A709" s="47">
        <v>46180</v>
      </c>
      <c r="B709" s="48" t="s">
        <v>18</v>
      </c>
      <c r="C709" s="48" t="s">
        <v>19</v>
      </c>
      <c r="D709" s="48" t="s">
        <v>20</v>
      </c>
      <c r="E709" s="49">
        <v>10000</v>
      </c>
      <c r="F709" s="76">
        <v>7471</v>
      </c>
      <c r="G709" s="49">
        <v>0</v>
      </c>
      <c r="H709" s="50">
        <f>IFERROR(Table1[Re-process (Kg)]/Table1[Actual Production (Kg)], "")</f>
        <v>0</v>
      </c>
      <c r="I709" s="49">
        <f>IFERROR(Table1[[#This Row],[Actual Production (Kg)]]-Table1[[#This Row],[Re-process (Kg)]], "")</f>
        <v>7471</v>
      </c>
      <c r="J709" s="49">
        <v>22</v>
      </c>
      <c r="K709" s="72">
        <v>2</v>
      </c>
      <c r="L709" s="49">
        <f>IF(Table1[[#This Row],[Target Time (Hours)]]="","",Table1[[#This Row],[Target Time (Hours)]]-Table1[[#This Row],[Downtime (Hours)]])</f>
        <v>20</v>
      </c>
      <c r="M709" s="49">
        <f>IFERROR(Table1[[#This Row],[Capacity (Kg)]]/Table1[[#This Row],[Target Time (Hours)]] * Table1[[#This Row],[Downtime (Hours)]], "")</f>
        <v>909.09090909090912</v>
      </c>
      <c r="N709" s="50">
        <f>IFERROR(Table1[[#This Row],[Running Time (hr)]]/Table1[Target Time (Hours)], "")</f>
        <v>0.90909090909090906</v>
      </c>
      <c r="O709" s="50">
        <f>IFERROR(Table1[[#This Row],[Actual Production (Kg)]]/Table1[Capacity (Kg)], "")</f>
        <v>0.74709999999999999</v>
      </c>
      <c r="P709" s="50">
        <f>IFERROR(Table1[[#This Row],[Quality Pass Production]]/Table1[[#This Row],[Actual Production (Kg)]], "")</f>
        <v>1</v>
      </c>
      <c r="Q709" s="50">
        <f>IFERROR(Table1[[#This Row],[Utilization %]]*Table1[[#This Row],[Efficiency %]]*Table1[[#This Row],[Quality %]], "")</f>
        <v>0.67918181818181811</v>
      </c>
      <c r="R709" s="48" t="s">
        <v>186</v>
      </c>
    </row>
    <row r="710" spans="1:18" x14ac:dyDescent="0.25">
      <c r="A710" s="47">
        <v>46180</v>
      </c>
      <c r="B710" s="48" t="s">
        <v>18</v>
      </c>
      <c r="C710" s="48" t="s">
        <v>22</v>
      </c>
      <c r="D710" s="48" t="s">
        <v>23</v>
      </c>
      <c r="E710" s="49">
        <v>5000</v>
      </c>
      <c r="F710" s="76">
        <v>4000</v>
      </c>
      <c r="G710" s="49">
        <v>0</v>
      </c>
      <c r="H710" s="50">
        <f>IFERROR(Table1[Re-process (Kg)]/Table1[Actual Production (Kg)], "")</f>
        <v>0</v>
      </c>
      <c r="I710" s="49">
        <f>IFERROR(Table1[[#This Row],[Actual Production (Kg)]]-Table1[[#This Row],[Re-process (Kg)]], "")</f>
        <v>4000</v>
      </c>
      <c r="J710" s="49">
        <v>22</v>
      </c>
      <c r="K710" s="72">
        <v>1</v>
      </c>
      <c r="L710" s="49">
        <f>IF(Table1[[#This Row],[Target Time (Hours)]]="","",Table1[[#This Row],[Target Time (Hours)]]-Table1[[#This Row],[Downtime (Hours)]])</f>
        <v>21</v>
      </c>
      <c r="M710" s="49">
        <f>IFERROR(Table1[[#This Row],[Capacity (Kg)]]/Table1[[#This Row],[Target Time (Hours)]] * Table1[[#This Row],[Downtime (Hours)]], "")</f>
        <v>227.27272727272728</v>
      </c>
      <c r="N710" s="50">
        <f>IFERROR(Table1[[#This Row],[Running Time (hr)]]/Table1[Target Time (Hours)], "")</f>
        <v>0.95454545454545459</v>
      </c>
      <c r="O710" s="50">
        <f>IFERROR(Table1[[#This Row],[Actual Production (Kg)]]/Table1[Capacity (Kg)], "")</f>
        <v>0.8</v>
      </c>
      <c r="P710" s="50">
        <f>IFERROR(Table1[[#This Row],[Quality Pass Production]]/Table1[[#This Row],[Actual Production (Kg)]], "")</f>
        <v>1</v>
      </c>
      <c r="Q710" s="50">
        <f>IFERROR(Table1[[#This Row],[Utilization %]]*Table1[[#This Row],[Efficiency %]]*Table1[[#This Row],[Quality %]], "")</f>
        <v>0.76363636363636367</v>
      </c>
      <c r="R710" s="48" t="s">
        <v>187</v>
      </c>
    </row>
    <row r="711" spans="1:18" x14ac:dyDescent="0.25">
      <c r="A711" s="47">
        <v>46180</v>
      </c>
      <c r="B711" s="48" t="s">
        <v>18</v>
      </c>
      <c r="C711" s="48" t="s">
        <v>22</v>
      </c>
      <c r="D711" s="48" t="s">
        <v>25</v>
      </c>
      <c r="E711" s="49">
        <v>4000</v>
      </c>
      <c r="F711" s="76">
        <v>3236</v>
      </c>
      <c r="G711" s="49">
        <v>0</v>
      </c>
      <c r="H711" s="50">
        <f>IFERROR(Table1[Re-process (Kg)]/Table1[Actual Production (Kg)], "")</f>
        <v>0</v>
      </c>
      <c r="I711" s="49">
        <f>IFERROR(Table1[[#This Row],[Actual Production (Kg)]]-Table1[[#This Row],[Re-process (Kg)]], "")</f>
        <v>3236</v>
      </c>
      <c r="J711" s="49"/>
      <c r="K711" s="72"/>
      <c r="L711" s="49" t="str">
        <f>IF(Table1[[#This Row],[Target Time (Hours)]]="","",Table1[[#This Row],[Target Time (Hours)]]-Table1[[#This Row],[Downtime (Hours)]])</f>
        <v/>
      </c>
      <c r="M711" s="49" t="str">
        <f>IFERROR(Table1[[#This Row],[Capacity (Kg)]]/Table1[[#This Row],[Target Time (Hours)]] * Table1[[#This Row],[Downtime (Hours)]], "")</f>
        <v/>
      </c>
      <c r="N711" s="50" t="str">
        <f>IFERROR(Table1[[#This Row],[Running Time (hr)]]/Table1[Target Time (Hours)], "")</f>
        <v/>
      </c>
      <c r="O711" s="50">
        <f>IFERROR(Table1[[#This Row],[Actual Production (Kg)]]/Table1[Capacity (Kg)], "")</f>
        <v>0.80900000000000005</v>
      </c>
      <c r="P711" s="50">
        <f>IFERROR(Table1[[#This Row],[Quality Pass Production]]/Table1[[#This Row],[Actual Production (Kg)]], "")</f>
        <v>1</v>
      </c>
      <c r="Q711" s="50" t="str">
        <f>IFERROR(Table1[[#This Row],[Utilization %]]*Table1[[#This Row],[Efficiency %]]*Table1[[#This Row],[Quality %]], "")</f>
        <v/>
      </c>
    </row>
    <row r="712" spans="1:18" x14ac:dyDescent="0.25">
      <c r="A712" s="47">
        <v>46180</v>
      </c>
      <c r="B712" s="48" t="s">
        <v>18</v>
      </c>
      <c r="C712" s="48" t="s">
        <v>26</v>
      </c>
      <c r="D712" s="48" t="s">
        <v>25</v>
      </c>
      <c r="E712" s="49">
        <v>7000</v>
      </c>
      <c r="F712" s="76">
        <v>6467</v>
      </c>
      <c r="G712" s="49">
        <v>0</v>
      </c>
      <c r="H712" s="50">
        <f>IFERROR(Table1[Re-process (Kg)]/Table1[Actual Production (Kg)], "")</f>
        <v>0</v>
      </c>
      <c r="I712" s="49">
        <f>IFERROR(Table1[[#This Row],[Actual Production (Kg)]]-Table1[[#This Row],[Re-process (Kg)]], "")</f>
        <v>6467</v>
      </c>
      <c r="J712" s="49">
        <v>22</v>
      </c>
      <c r="K712" s="72">
        <v>2</v>
      </c>
      <c r="L712" s="49">
        <f>IF(Table1[[#This Row],[Target Time (Hours)]]="","",Table1[[#This Row],[Target Time (Hours)]]-Table1[[#This Row],[Downtime (Hours)]])</f>
        <v>20</v>
      </c>
      <c r="M712" s="49">
        <f>IFERROR(Table1[[#This Row],[Capacity (Kg)]]/Table1[[#This Row],[Target Time (Hours)]] * Table1[[#This Row],[Downtime (Hours)]], "")</f>
        <v>636.36363636363637</v>
      </c>
      <c r="N712" s="50">
        <f>IFERROR(Table1[[#This Row],[Running Time (hr)]]/Table1[Target Time (Hours)], "")</f>
        <v>0.90909090909090906</v>
      </c>
      <c r="O712" s="50">
        <f>IFERROR(Table1[[#This Row],[Actual Production (Kg)]]/Table1[Capacity (Kg)], "")</f>
        <v>0.92385714285714282</v>
      </c>
      <c r="P712" s="50">
        <f>IFERROR(Table1[[#This Row],[Quality Pass Production]]/Table1[[#This Row],[Actual Production (Kg)]], "")</f>
        <v>1</v>
      </c>
      <c r="Q712" s="50">
        <f>IFERROR(Table1[[#This Row],[Utilization %]]*Table1[[#This Row],[Efficiency %]]*Table1[[#This Row],[Quality %]], "")</f>
        <v>0.83987012987012977</v>
      </c>
      <c r="R712" s="48" t="s">
        <v>188</v>
      </c>
    </row>
    <row r="713" spans="1:18" ht="30" customHeight="1" x14ac:dyDescent="0.25">
      <c r="A713" s="47">
        <v>46180</v>
      </c>
      <c r="B713" s="48" t="s">
        <v>18</v>
      </c>
      <c r="C713" s="48" t="s">
        <v>28</v>
      </c>
      <c r="D713" s="48" t="s">
        <v>29</v>
      </c>
      <c r="E713" s="49">
        <v>7800</v>
      </c>
      <c r="F713" s="76">
        <v>5828</v>
      </c>
      <c r="G713" s="49">
        <v>0</v>
      </c>
      <c r="H713" s="50">
        <f>IFERROR(Table1[Re-process (Kg)]/Table1[Actual Production (Kg)], "")</f>
        <v>0</v>
      </c>
      <c r="I713" s="49">
        <f>IFERROR(Table1[[#This Row],[Actual Production (Kg)]]-Table1[[#This Row],[Re-process (Kg)]], "")</f>
        <v>5828</v>
      </c>
      <c r="J713" s="49">
        <v>22</v>
      </c>
      <c r="K713" s="72"/>
      <c r="L713" s="49">
        <f>IF(Table1[[#This Row],[Target Time (Hours)]]="","",Table1[[#This Row],[Target Time (Hours)]]-Table1[[#This Row],[Downtime (Hours)]])</f>
        <v>22</v>
      </c>
      <c r="M713" s="49">
        <f>IFERROR(Table1[[#This Row],[Capacity (Kg)]]/Table1[[#This Row],[Target Time (Hours)]] * Table1[[#This Row],[Downtime (Hours)]], "")</f>
        <v>0</v>
      </c>
      <c r="N713" s="50">
        <f>IFERROR(Table1[[#This Row],[Running Time (hr)]]/Table1[Target Time (Hours)], "")</f>
        <v>1</v>
      </c>
      <c r="O713" s="50">
        <f>IFERROR(Table1[[#This Row],[Actual Production (Kg)]]/Table1[Capacity (Kg)], "")</f>
        <v>0.74717948717948723</v>
      </c>
      <c r="P713" s="50">
        <f>IFERROR(Table1[[#This Row],[Quality Pass Production]]/Table1[[#This Row],[Actual Production (Kg)]], "")</f>
        <v>1</v>
      </c>
      <c r="Q713" s="50">
        <f>IFERROR(Table1[[#This Row],[Utilization %]]*Table1[[#This Row],[Efficiency %]]*Table1[[#This Row],[Quality %]], "")</f>
        <v>0.74717948717948723</v>
      </c>
    </row>
    <row r="714" spans="1:18" ht="30" customHeight="1" x14ac:dyDescent="0.25">
      <c r="A714" s="51">
        <v>46180</v>
      </c>
      <c r="B714" s="52" t="s">
        <v>18</v>
      </c>
      <c r="C714" s="52" t="s">
        <v>135</v>
      </c>
      <c r="D714" s="52" t="s">
        <v>29</v>
      </c>
      <c r="E714" s="53"/>
      <c r="F714" s="53"/>
      <c r="G714" s="79"/>
      <c r="H714" s="57" t="str">
        <f>IFERROR(Table1[Re-process (Kg)]/Table1[Actual Production (Kg)], "")</f>
        <v/>
      </c>
      <c r="I714" s="53">
        <f>IFERROR(Table1[[#This Row],[Actual Production (Kg)]]-Table1[[#This Row],[Re-process (Kg)]], "")</f>
        <v>0</v>
      </c>
      <c r="J714" s="79"/>
      <c r="K714" s="52"/>
      <c r="L714" s="53" t="str">
        <f>IF(Table1[[#This Row],[Target Time (Hours)]]="","",Table1[[#This Row],[Target Time (Hours)]]-Table1[[#This Row],[Downtime (Hours)]])</f>
        <v/>
      </c>
      <c r="M714" s="53" t="str">
        <f>IFERROR(Table1[[#This Row],[Capacity (Kg)]]/Table1[[#This Row],[Target Time (Hours)]] * Table1[[#This Row],[Downtime (Hours)]], "")</f>
        <v/>
      </c>
      <c r="N714" s="57" t="str">
        <f>IFERROR(Table1[[#This Row],[Running Time (hr)]]/Table1[Target Time (Hours)], "")</f>
        <v/>
      </c>
      <c r="O714" s="57" t="str">
        <f>IFERROR(Table1[[#This Row],[Actual Production (Kg)]]/Table1[Capacity (Kg)], "")</f>
        <v/>
      </c>
      <c r="P714" s="57" t="str">
        <f>IFERROR(Table1[[#This Row],[Quality Pass Production]]/Table1[[#This Row],[Actual Production (Kg)]], "")</f>
        <v/>
      </c>
      <c r="Q714" s="57" t="str">
        <f>IFERROR(Table1[[#This Row],[Utilization %]]*Table1[[#This Row],[Efficiency %]]*Table1[[#This Row],[Quality %]], "")</f>
        <v/>
      </c>
      <c r="R714" s="52" t="s">
        <v>156</v>
      </c>
    </row>
    <row r="715" spans="1:18" ht="30" customHeight="1" x14ac:dyDescent="0.25">
      <c r="A715" s="47">
        <v>46180</v>
      </c>
      <c r="B715" s="48" t="s">
        <v>18</v>
      </c>
      <c r="C715" s="48" t="s">
        <v>30</v>
      </c>
      <c r="D715" s="48" t="s">
        <v>31</v>
      </c>
      <c r="E715" s="49">
        <v>9000</v>
      </c>
      <c r="F715" s="76">
        <v>6502</v>
      </c>
      <c r="G715" s="49">
        <v>0</v>
      </c>
      <c r="H715" s="50">
        <f>IFERROR(Table1[Re-process (Kg)]/Table1[Actual Production (Kg)], "")</f>
        <v>0</v>
      </c>
      <c r="I715" s="49">
        <f>IFERROR(Table1[[#This Row],[Actual Production (Kg)]]-Table1[[#This Row],[Re-process (Kg)]], "")</f>
        <v>6502</v>
      </c>
      <c r="J715" s="49">
        <v>22</v>
      </c>
      <c r="K715" s="72"/>
      <c r="L715" s="49">
        <f>IF(Table1[[#This Row],[Target Time (Hours)]]="","",Table1[[#This Row],[Target Time (Hours)]]-Table1[[#This Row],[Downtime (Hours)]])</f>
        <v>22</v>
      </c>
      <c r="M715" s="49">
        <f>IFERROR(Table1[[#This Row],[Capacity (Kg)]]/Table1[[#This Row],[Target Time (Hours)]] * Table1[[#This Row],[Downtime (Hours)]], "")</f>
        <v>0</v>
      </c>
      <c r="N715" s="50">
        <f>IFERROR(Table1[[#This Row],[Running Time (hr)]]/Table1[Target Time (Hours)], "")</f>
        <v>1</v>
      </c>
      <c r="O715" s="50">
        <f>IFERROR(Table1[[#This Row],[Actual Production (Kg)]]/Table1[Capacity (Kg)], "")</f>
        <v>0.72244444444444444</v>
      </c>
      <c r="P715" s="50">
        <f>IFERROR(Table1[[#This Row],[Quality Pass Production]]/Table1[[#This Row],[Actual Production (Kg)]], "")</f>
        <v>1</v>
      </c>
      <c r="Q715" s="50">
        <f>IFERROR(Table1[[#This Row],[Utilization %]]*Table1[[#This Row],[Efficiency %]]*Table1[[#This Row],[Quality %]], "")</f>
        <v>0.72244444444444444</v>
      </c>
    </row>
    <row r="716" spans="1:18" ht="30" customHeight="1" x14ac:dyDescent="0.25">
      <c r="A716" s="51">
        <v>46180</v>
      </c>
      <c r="B716" s="52" t="s">
        <v>18</v>
      </c>
      <c r="C716" s="52" t="s">
        <v>32</v>
      </c>
      <c r="D716" s="52" t="s">
        <v>31</v>
      </c>
      <c r="E716" s="79">
        <f>Table1[[#This Row],[Actual Production (Kg)]]</f>
        <v>0</v>
      </c>
      <c r="F716" s="53"/>
      <c r="G716" s="79"/>
      <c r="H716" s="57" t="str">
        <f>IFERROR(Table1[Re-process (Kg)]/Table1[Actual Production (Kg)], "")</f>
        <v/>
      </c>
      <c r="I716" s="53">
        <f>IFERROR(Table1[[#This Row],[Actual Production (Kg)]]-Table1[[#This Row],[Re-process (Kg)]], "")</f>
        <v>0</v>
      </c>
      <c r="J716" s="79"/>
      <c r="K716" s="52"/>
      <c r="L716" s="53" t="str">
        <f>IF(Table1[[#This Row],[Target Time (Hours)]]="","",Table1[[#This Row],[Target Time (Hours)]]-Table1[[#This Row],[Downtime (Hours)]])</f>
        <v/>
      </c>
      <c r="M716" s="53" t="str">
        <f>IFERROR(Table1[[#This Row],[Capacity (Kg)]]/Table1[[#This Row],[Target Time (Hours)]] * Table1[[#This Row],[Downtime (Hours)]], "")</f>
        <v/>
      </c>
      <c r="N716" s="57" t="str">
        <f>IFERROR(Table1[[#This Row],[Running Time (hr)]]/Table1[Target Time (Hours)], "")</f>
        <v/>
      </c>
      <c r="O716" s="57" t="str">
        <f>IFERROR(Table1[[#This Row],[Actual Production (Kg)]]/Table1[Capacity (Kg)], "")</f>
        <v/>
      </c>
      <c r="P716" s="57" t="str">
        <f>IFERROR(Table1[[#This Row],[Quality Pass Production]]/Table1[[#This Row],[Actual Production (Kg)]], "")</f>
        <v/>
      </c>
      <c r="Q716" s="57" t="str">
        <f>IFERROR(Table1[[#This Row],[Utilization %]]*Table1[[#This Row],[Efficiency %]]*Table1[[#This Row],[Quality %]], "")</f>
        <v/>
      </c>
      <c r="R716" s="52" t="s">
        <v>156</v>
      </c>
    </row>
    <row r="717" spans="1:18" ht="30" customHeight="1" x14ac:dyDescent="0.25">
      <c r="A717" s="47">
        <v>46180</v>
      </c>
      <c r="B717" s="48" t="s">
        <v>33</v>
      </c>
      <c r="C717" s="48" t="s">
        <v>34</v>
      </c>
      <c r="D717" s="48" t="s">
        <v>35</v>
      </c>
      <c r="E717" s="49">
        <v>9000</v>
      </c>
      <c r="F717" s="76">
        <v>6530</v>
      </c>
      <c r="G717" s="49">
        <v>0</v>
      </c>
      <c r="H717" s="50">
        <f>IFERROR(Table1[Re-process (Kg)]/Table1[Actual Production (Kg)], "")</f>
        <v>0</v>
      </c>
      <c r="I717" s="49">
        <f>IFERROR(Table1[[#This Row],[Actual Production (Kg)]]-Table1[[#This Row],[Re-process (Kg)]], "")</f>
        <v>6530</v>
      </c>
      <c r="J717" s="49">
        <v>22</v>
      </c>
      <c r="K717" s="72">
        <v>3</v>
      </c>
      <c r="L717" s="49">
        <f>IF(Table1[[#This Row],[Target Time (Hours)]]="","",Table1[[#This Row],[Target Time (Hours)]]-Table1[[#This Row],[Downtime (Hours)]])</f>
        <v>19</v>
      </c>
      <c r="M717" s="49">
        <f>IFERROR(Table1[[#This Row],[Capacity (Kg)]]/Table1[[#This Row],[Target Time (Hours)]] * Table1[[#This Row],[Downtime (Hours)]], "")</f>
        <v>1227.2727272727273</v>
      </c>
      <c r="N717" s="50">
        <f>IFERROR(Table1[[#This Row],[Running Time (hr)]]/Table1[Target Time (Hours)], "")</f>
        <v>0.86363636363636365</v>
      </c>
      <c r="O717" s="50">
        <f>IFERROR(Table1[[#This Row],[Actual Production (Kg)]]/Table1[Capacity (Kg)], "")</f>
        <v>0.72555555555555551</v>
      </c>
      <c r="P717" s="50">
        <f>IFERROR(Table1[[#This Row],[Quality Pass Production]]/Table1[[#This Row],[Actual Production (Kg)]], "")</f>
        <v>1</v>
      </c>
      <c r="Q717" s="50">
        <f>IFERROR(Table1[[#This Row],[Utilization %]]*Table1[[#This Row],[Efficiency %]]*Table1[[#This Row],[Quality %]], "")</f>
        <v>0.62661616161616163</v>
      </c>
      <c r="R717" s="48" t="s">
        <v>189</v>
      </c>
    </row>
    <row r="718" spans="1:18" ht="30" customHeight="1" x14ac:dyDescent="0.25">
      <c r="A718" s="47">
        <v>46180</v>
      </c>
      <c r="B718" s="48" t="s">
        <v>33</v>
      </c>
      <c r="C718" s="48" t="s">
        <v>36</v>
      </c>
      <c r="D718" s="48" t="s">
        <v>37</v>
      </c>
      <c r="E718" s="49">
        <v>8000</v>
      </c>
      <c r="F718" s="76">
        <v>6627</v>
      </c>
      <c r="G718" s="49">
        <v>0</v>
      </c>
      <c r="H718" s="50">
        <f>IFERROR(Table1[Re-process (Kg)]/Table1[Actual Production (Kg)], "")</f>
        <v>0</v>
      </c>
      <c r="I718" s="49">
        <f>IFERROR(Table1[[#This Row],[Actual Production (Kg)]]-Table1[[#This Row],[Re-process (Kg)]], "")</f>
        <v>6627</v>
      </c>
      <c r="J718" s="49">
        <v>22</v>
      </c>
      <c r="K718" s="72">
        <v>1</v>
      </c>
      <c r="L718" s="49">
        <f>IF(Table1[[#This Row],[Target Time (Hours)]]="","",Table1[[#This Row],[Target Time (Hours)]]-Table1[[#This Row],[Downtime (Hours)]])</f>
        <v>21</v>
      </c>
      <c r="M718" s="49">
        <f>IFERROR(Table1[[#This Row],[Capacity (Kg)]]/Table1[[#This Row],[Target Time (Hours)]] * Table1[[#This Row],[Downtime (Hours)]], "")</f>
        <v>363.63636363636363</v>
      </c>
      <c r="N718" s="50">
        <f>IFERROR(Table1[[#This Row],[Running Time (hr)]]/Table1[Target Time (Hours)], "")</f>
        <v>0.95454545454545459</v>
      </c>
      <c r="O718" s="50">
        <f>IFERROR(Table1[[#This Row],[Actual Production (Kg)]]/Table1[Capacity (Kg)], "")</f>
        <v>0.82837499999999997</v>
      </c>
      <c r="P718" s="50">
        <f>IFERROR(Table1[[#This Row],[Quality Pass Production]]/Table1[[#This Row],[Actual Production (Kg)]], "")</f>
        <v>1</v>
      </c>
      <c r="Q718" s="50">
        <f>IFERROR(Table1[[#This Row],[Utilization %]]*Table1[[#This Row],[Efficiency %]]*Table1[[#This Row],[Quality %]], "")</f>
        <v>0.79072159090909089</v>
      </c>
      <c r="R718" s="48" t="s">
        <v>190</v>
      </c>
    </row>
    <row r="719" spans="1:18" ht="30" customHeight="1" x14ac:dyDescent="0.25">
      <c r="A719" s="47">
        <v>46180</v>
      </c>
      <c r="B719" s="48" t="s">
        <v>33</v>
      </c>
      <c r="C719" s="48" t="s">
        <v>39</v>
      </c>
      <c r="D719" s="48" t="s">
        <v>31</v>
      </c>
      <c r="E719" s="49">
        <v>6000</v>
      </c>
      <c r="F719" s="76">
        <v>3192</v>
      </c>
      <c r="G719" s="49">
        <v>0</v>
      </c>
      <c r="H719" s="50">
        <f>IFERROR(Table1[Re-process (Kg)]/Table1[Actual Production (Kg)], "")</f>
        <v>0</v>
      </c>
      <c r="I719" s="49">
        <f>IFERROR(Table1[[#This Row],[Actual Production (Kg)]]-Table1[[#This Row],[Re-process (Kg)]], "")</f>
        <v>3192</v>
      </c>
      <c r="J719" s="49">
        <v>22</v>
      </c>
      <c r="K719" s="72"/>
      <c r="L719" s="49">
        <f>IF(Table1[[#This Row],[Target Time (Hours)]]="","",Table1[[#This Row],[Target Time (Hours)]]-Table1[[#This Row],[Downtime (Hours)]])</f>
        <v>22</v>
      </c>
      <c r="M719" s="49">
        <f>IFERROR(Table1[[#This Row],[Capacity (Kg)]]/Table1[[#This Row],[Target Time (Hours)]] * Table1[[#This Row],[Downtime (Hours)]], "")</f>
        <v>0</v>
      </c>
      <c r="N719" s="50">
        <f>IFERROR(Table1[[#This Row],[Running Time (hr)]]/Table1[Target Time (Hours)], "")</f>
        <v>1</v>
      </c>
      <c r="O719" s="50">
        <f>IFERROR(Table1[[#This Row],[Actual Production (Kg)]]/Table1[Capacity (Kg)], "")</f>
        <v>0.53200000000000003</v>
      </c>
      <c r="P719" s="50">
        <f>IFERROR(Table1[[#This Row],[Quality Pass Production]]/Table1[[#This Row],[Actual Production (Kg)]], "")</f>
        <v>1</v>
      </c>
      <c r="Q719" s="50">
        <f>IFERROR(Table1[[#This Row],[Utilization %]]*Table1[[#This Row],[Efficiency %]]*Table1[[#This Row],[Quality %]], "")</f>
        <v>0.53200000000000003</v>
      </c>
      <c r="R719" s="48" t="s">
        <v>191</v>
      </c>
    </row>
    <row r="720" spans="1:18" ht="45" customHeight="1" x14ac:dyDescent="0.25">
      <c r="A720" s="54">
        <v>46180</v>
      </c>
      <c r="B720" s="55" t="s">
        <v>33</v>
      </c>
      <c r="C720" s="55" t="s">
        <v>40</v>
      </c>
      <c r="D720" s="55" t="s">
        <v>31</v>
      </c>
      <c r="E720" s="56">
        <v>5000</v>
      </c>
      <c r="F720" s="56">
        <v>3281</v>
      </c>
      <c r="G720" s="56">
        <v>0</v>
      </c>
      <c r="H720" s="58">
        <f>IFERROR(Table1[Re-process (Kg)]/Table1[Actual Production (Kg)], "")</f>
        <v>0</v>
      </c>
      <c r="I720" s="56">
        <f>IFERROR(Table1[[#This Row],[Actual Production (Kg)]]-Table1[[#This Row],[Re-process (Kg)]], "")</f>
        <v>3281</v>
      </c>
      <c r="J720" s="56">
        <v>22</v>
      </c>
      <c r="K720" s="55"/>
      <c r="L720" s="56">
        <f>IF(Table1[[#This Row],[Target Time (Hours)]]="","",Table1[[#This Row],[Target Time (Hours)]]-Table1[[#This Row],[Downtime (Hours)]])</f>
        <v>22</v>
      </c>
      <c r="M720" s="56">
        <f>IFERROR(Table1[[#This Row],[Capacity (Kg)]]/Table1[[#This Row],[Target Time (Hours)]] * Table1[[#This Row],[Downtime (Hours)]], "")</f>
        <v>0</v>
      </c>
      <c r="N720" s="58">
        <f>IFERROR(Table1[[#This Row],[Running Time (hr)]]/Table1[Target Time (Hours)], "")</f>
        <v>1</v>
      </c>
      <c r="O720" s="58">
        <f>IFERROR(Table1[[#This Row],[Actual Production (Kg)]]/Table1[Capacity (Kg)], "")</f>
        <v>0.65620000000000001</v>
      </c>
      <c r="P720" s="58">
        <f>IFERROR(Table1[[#This Row],[Quality Pass Production]]/Table1[[#This Row],[Actual Production (Kg)]], "")</f>
        <v>1</v>
      </c>
      <c r="Q720" s="58">
        <f>IFERROR(Table1[[#This Row],[Utilization %]]*Table1[[#This Row],[Efficiency %]]*Table1[[#This Row],[Quality %]], "")</f>
        <v>0.65620000000000001</v>
      </c>
      <c r="R720" s="55" t="s">
        <v>191</v>
      </c>
    </row>
    <row r="721" spans="1:18" ht="30" customHeight="1" x14ac:dyDescent="0.25">
      <c r="A721" s="47">
        <v>46181</v>
      </c>
      <c r="B721" s="48" t="s">
        <v>18</v>
      </c>
      <c r="C721" s="48" t="s">
        <v>19</v>
      </c>
      <c r="D721" s="48" t="s">
        <v>20</v>
      </c>
      <c r="E721" s="49">
        <v>10000</v>
      </c>
      <c r="F721" s="76">
        <v>8357</v>
      </c>
      <c r="G721" s="49">
        <v>0</v>
      </c>
      <c r="H721" s="50">
        <f>IFERROR(Table1[Re-process (Kg)]/Table1[Actual Production (Kg)], "")</f>
        <v>0</v>
      </c>
      <c r="I721" s="49">
        <f>IFERROR(Table1[[#This Row],[Actual Production (Kg)]]-Table1[[#This Row],[Re-process (Kg)]], "")</f>
        <v>8357</v>
      </c>
      <c r="J721" s="49">
        <v>22</v>
      </c>
      <c r="K721" s="72">
        <v>2</v>
      </c>
      <c r="L721" s="49">
        <f>IF(Table1[[#This Row],[Target Time (Hours)]]="","",Table1[[#This Row],[Target Time (Hours)]]-Table1[[#This Row],[Downtime (Hours)]])</f>
        <v>20</v>
      </c>
      <c r="M721" s="49">
        <f>IFERROR(Table1[[#This Row],[Capacity (Kg)]]/Table1[[#This Row],[Target Time (Hours)]] * Table1[[#This Row],[Downtime (Hours)]], "")</f>
        <v>909.09090909090912</v>
      </c>
      <c r="N721" s="50">
        <f>IFERROR(Table1[[#This Row],[Running Time (hr)]]/Table1[Target Time (Hours)], "")</f>
        <v>0.90909090909090906</v>
      </c>
      <c r="O721" s="50">
        <f>IFERROR(Table1[[#This Row],[Actual Production (Kg)]]/Table1[Capacity (Kg)], "")</f>
        <v>0.8357</v>
      </c>
      <c r="P721" s="50">
        <f>IFERROR(Table1[[#This Row],[Quality Pass Production]]/Table1[[#This Row],[Actual Production (Kg)]], "")</f>
        <v>1</v>
      </c>
      <c r="Q721" s="50">
        <f>IFERROR(Table1[[#This Row],[Utilization %]]*Table1[[#This Row],[Efficiency %]]*Table1[[#This Row],[Quality %]], "")</f>
        <v>0.7597272727272727</v>
      </c>
      <c r="R721" s="48" t="s">
        <v>192</v>
      </c>
    </row>
    <row r="722" spans="1:18" x14ac:dyDescent="0.25">
      <c r="A722" s="47">
        <v>46181</v>
      </c>
      <c r="B722" s="48" t="s">
        <v>18</v>
      </c>
      <c r="C722" s="48" t="s">
        <v>22</v>
      </c>
      <c r="D722" s="48" t="s">
        <v>23</v>
      </c>
      <c r="E722" s="49">
        <v>5000</v>
      </c>
      <c r="F722" s="76">
        <v>4263</v>
      </c>
      <c r="G722" s="49">
        <v>0</v>
      </c>
      <c r="H722" s="50">
        <f>IFERROR(Table1[Re-process (Kg)]/Table1[Actual Production (Kg)], "")</f>
        <v>0</v>
      </c>
      <c r="I722" s="49">
        <f>IFERROR(Table1[[#This Row],[Actual Production (Kg)]]-Table1[[#This Row],[Re-process (Kg)]], "")</f>
        <v>4263</v>
      </c>
      <c r="J722" s="49">
        <v>22</v>
      </c>
      <c r="K722" s="72">
        <v>1</v>
      </c>
      <c r="L722" s="49">
        <f>IF(Table1[[#This Row],[Target Time (Hours)]]="","",Table1[[#This Row],[Target Time (Hours)]]-Table1[[#This Row],[Downtime (Hours)]])</f>
        <v>21</v>
      </c>
      <c r="M722" s="49">
        <f>IFERROR(Table1[[#This Row],[Capacity (Kg)]]/Table1[[#This Row],[Target Time (Hours)]] * Table1[[#This Row],[Downtime (Hours)]], "")</f>
        <v>227.27272727272728</v>
      </c>
      <c r="N722" s="50">
        <f>IFERROR(Table1[[#This Row],[Running Time (hr)]]/Table1[Target Time (Hours)], "")</f>
        <v>0.95454545454545459</v>
      </c>
      <c r="O722" s="50">
        <f>IFERROR(Table1[[#This Row],[Actual Production (Kg)]]/Table1[Capacity (Kg)], "")</f>
        <v>0.85260000000000002</v>
      </c>
      <c r="P722" s="50">
        <f>IFERROR(Table1[[#This Row],[Quality Pass Production]]/Table1[[#This Row],[Actual Production (Kg)]], "")</f>
        <v>1</v>
      </c>
      <c r="Q722" s="50">
        <f>IFERROR(Table1[[#This Row],[Utilization %]]*Table1[[#This Row],[Efficiency %]]*Table1[[#This Row],[Quality %]], "")</f>
        <v>0.81384545454545465</v>
      </c>
      <c r="R722" s="48" t="s">
        <v>193</v>
      </c>
    </row>
    <row r="723" spans="1:18" x14ac:dyDescent="0.25">
      <c r="A723" s="47">
        <v>46181</v>
      </c>
      <c r="B723" s="48" t="s">
        <v>18</v>
      </c>
      <c r="C723" s="48" t="s">
        <v>22</v>
      </c>
      <c r="D723" s="48" t="s">
        <v>25</v>
      </c>
      <c r="E723" s="49">
        <v>4000</v>
      </c>
      <c r="F723" s="76">
        <v>3683</v>
      </c>
      <c r="G723" s="49">
        <v>0</v>
      </c>
      <c r="H723" s="50">
        <f>IFERROR(Table1[Re-process (Kg)]/Table1[Actual Production (Kg)], "")</f>
        <v>0</v>
      </c>
      <c r="I723" s="49">
        <f>IFERROR(Table1[[#This Row],[Actual Production (Kg)]]-Table1[[#This Row],[Re-process (Kg)]], "")</f>
        <v>3683</v>
      </c>
      <c r="J723" s="49"/>
      <c r="K723" s="72"/>
      <c r="L723" s="49" t="str">
        <f>IF(Table1[[#This Row],[Target Time (Hours)]]="","",Table1[[#This Row],[Target Time (Hours)]]-Table1[[#This Row],[Downtime (Hours)]])</f>
        <v/>
      </c>
      <c r="M723" s="49" t="str">
        <f>IFERROR(Table1[[#This Row],[Capacity (Kg)]]/Table1[[#This Row],[Target Time (Hours)]] * Table1[[#This Row],[Downtime (Hours)]], "")</f>
        <v/>
      </c>
      <c r="N723" s="50" t="str">
        <f>IFERROR(Table1[[#This Row],[Running Time (hr)]]/Table1[Target Time (Hours)], "")</f>
        <v/>
      </c>
      <c r="O723" s="50">
        <f>IFERROR(Table1[[#This Row],[Actual Production (Kg)]]/Table1[Capacity (Kg)], "")</f>
        <v>0.92074999999999996</v>
      </c>
      <c r="P723" s="50">
        <f>IFERROR(Table1[[#This Row],[Quality Pass Production]]/Table1[[#This Row],[Actual Production (Kg)]], "")</f>
        <v>1</v>
      </c>
      <c r="Q723" s="50" t="str">
        <f>IFERROR(Table1[[#This Row],[Utilization %]]*Table1[[#This Row],[Efficiency %]]*Table1[[#This Row],[Quality %]], "")</f>
        <v/>
      </c>
    </row>
    <row r="724" spans="1:18" x14ac:dyDescent="0.25">
      <c r="A724" s="47">
        <v>46181</v>
      </c>
      <c r="B724" s="48" t="s">
        <v>18</v>
      </c>
      <c r="C724" s="48" t="s">
        <v>26</v>
      </c>
      <c r="D724" s="48" t="s">
        <v>25</v>
      </c>
      <c r="E724" s="49">
        <v>7000</v>
      </c>
      <c r="F724" s="76">
        <v>6786</v>
      </c>
      <c r="G724" s="49">
        <v>0</v>
      </c>
      <c r="H724" s="50">
        <f>IFERROR(Table1[Re-process (Kg)]/Table1[Actual Production (Kg)], "")</f>
        <v>0</v>
      </c>
      <c r="I724" s="49">
        <f>IFERROR(Table1[[#This Row],[Actual Production (Kg)]]-Table1[[#This Row],[Re-process (Kg)]], "")</f>
        <v>6786</v>
      </c>
      <c r="J724" s="49">
        <v>22</v>
      </c>
      <c r="K724" s="72">
        <v>2</v>
      </c>
      <c r="L724" s="49">
        <f>IF(Table1[[#This Row],[Target Time (Hours)]]="","",Table1[[#This Row],[Target Time (Hours)]]-Table1[[#This Row],[Downtime (Hours)]])</f>
        <v>20</v>
      </c>
      <c r="M724" s="49">
        <f>IFERROR(Table1[[#This Row],[Capacity (Kg)]]/Table1[[#This Row],[Target Time (Hours)]] * Table1[[#This Row],[Downtime (Hours)]], "")</f>
        <v>636.36363636363637</v>
      </c>
      <c r="N724" s="50">
        <f>IFERROR(Table1[[#This Row],[Running Time (hr)]]/Table1[Target Time (Hours)], "")</f>
        <v>0.90909090909090906</v>
      </c>
      <c r="O724" s="50">
        <f>IFERROR(Table1[[#This Row],[Actual Production (Kg)]]/Table1[Capacity (Kg)], "")</f>
        <v>0.96942857142857142</v>
      </c>
      <c r="P724" s="50">
        <f>IFERROR(Table1[[#This Row],[Quality Pass Production]]/Table1[[#This Row],[Actual Production (Kg)]], "")</f>
        <v>1</v>
      </c>
      <c r="Q724" s="50">
        <f>IFERROR(Table1[[#This Row],[Utilization %]]*Table1[[#This Row],[Efficiency %]]*Table1[[#This Row],[Quality %]], "")</f>
        <v>0.88129870129870125</v>
      </c>
      <c r="R724" s="48" t="s">
        <v>188</v>
      </c>
    </row>
    <row r="725" spans="1:18" ht="30" customHeight="1" x14ac:dyDescent="0.25">
      <c r="A725" s="47">
        <v>46181</v>
      </c>
      <c r="B725" s="48" t="s">
        <v>18</v>
      </c>
      <c r="C725" s="48" t="s">
        <v>28</v>
      </c>
      <c r="D725" s="48" t="s">
        <v>29</v>
      </c>
      <c r="E725" s="49">
        <v>7800</v>
      </c>
      <c r="F725" s="76">
        <v>5795</v>
      </c>
      <c r="G725" s="49">
        <v>0</v>
      </c>
      <c r="H725" s="50">
        <f>IFERROR(Table1[Re-process (Kg)]/Table1[Actual Production (Kg)], "")</f>
        <v>0</v>
      </c>
      <c r="I725" s="49">
        <f>IFERROR(Table1[[#This Row],[Actual Production (Kg)]]-Table1[[#This Row],[Re-process (Kg)]], "")</f>
        <v>5795</v>
      </c>
      <c r="J725" s="49">
        <v>22</v>
      </c>
      <c r="K725" s="72">
        <v>4</v>
      </c>
      <c r="L725" s="49">
        <f>IF(Table1[[#This Row],[Target Time (Hours)]]="","",Table1[[#This Row],[Target Time (Hours)]]-Table1[[#This Row],[Downtime (Hours)]])</f>
        <v>18</v>
      </c>
      <c r="M725" s="49">
        <f>IFERROR(Table1[[#This Row],[Capacity (Kg)]]/Table1[[#This Row],[Target Time (Hours)]] * Table1[[#This Row],[Downtime (Hours)]], "")</f>
        <v>1418.1818181818182</v>
      </c>
      <c r="N725" s="50">
        <f>IFERROR(Table1[[#This Row],[Running Time (hr)]]/Table1[Target Time (Hours)], "")</f>
        <v>0.81818181818181823</v>
      </c>
      <c r="O725" s="50">
        <f>IFERROR(Table1[[#This Row],[Actual Production (Kg)]]/Table1[Capacity (Kg)], "")</f>
        <v>0.74294871794871797</v>
      </c>
      <c r="P725" s="50">
        <f>IFERROR(Table1[[#This Row],[Quality Pass Production]]/Table1[[#This Row],[Actual Production (Kg)]], "")</f>
        <v>1</v>
      </c>
      <c r="Q725" s="50">
        <f>IFERROR(Table1[[#This Row],[Utilization %]]*Table1[[#This Row],[Efficiency %]]*Table1[[#This Row],[Quality %]], "")</f>
        <v>0.6078671328671329</v>
      </c>
      <c r="R725" s="48" t="s">
        <v>194</v>
      </c>
    </row>
    <row r="726" spans="1:18" ht="30" customHeight="1" x14ac:dyDescent="0.25">
      <c r="A726" s="51">
        <v>46181</v>
      </c>
      <c r="B726" s="52" t="s">
        <v>18</v>
      </c>
      <c r="C726" s="52" t="s">
        <v>135</v>
      </c>
      <c r="D726" s="52" t="s">
        <v>29</v>
      </c>
      <c r="E726" s="53"/>
      <c r="F726" s="53"/>
      <c r="G726" s="79"/>
      <c r="H726" s="57" t="str">
        <f>IFERROR(Table1[Re-process (Kg)]/Table1[Actual Production (Kg)], "")</f>
        <v/>
      </c>
      <c r="I726" s="53">
        <f>IFERROR(Table1[[#This Row],[Actual Production (Kg)]]-Table1[[#This Row],[Re-process (Kg)]], "")</f>
        <v>0</v>
      </c>
      <c r="J726" s="79"/>
      <c r="K726" s="52"/>
      <c r="L726" s="53" t="str">
        <f>IF(Table1[[#This Row],[Target Time (Hours)]]="","",Table1[[#This Row],[Target Time (Hours)]]-Table1[[#This Row],[Downtime (Hours)]])</f>
        <v/>
      </c>
      <c r="M726" s="53" t="str">
        <f>IFERROR(Table1[[#This Row],[Capacity (Kg)]]/Table1[[#This Row],[Target Time (Hours)]] * Table1[[#This Row],[Downtime (Hours)]], "")</f>
        <v/>
      </c>
      <c r="N726" s="57" t="str">
        <f>IFERROR(Table1[[#This Row],[Running Time (hr)]]/Table1[Target Time (Hours)], "")</f>
        <v/>
      </c>
      <c r="O726" s="57" t="str">
        <f>IFERROR(Table1[[#This Row],[Actual Production (Kg)]]/Table1[Capacity (Kg)], "")</f>
        <v/>
      </c>
      <c r="P726" s="57" t="str">
        <f>IFERROR(Table1[[#This Row],[Quality Pass Production]]/Table1[[#This Row],[Actual Production (Kg)]], "")</f>
        <v/>
      </c>
      <c r="Q726" s="57" t="str">
        <f>IFERROR(Table1[[#This Row],[Utilization %]]*Table1[[#This Row],[Efficiency %]]*Table1[[#This Row],[Quality %]], "")</f>
        <v/>
      </c>
      <c r="R726" s="52" t="s">
        <v>156</v>
      </c>
    </row>
    <row r="727" spans="1:18" ht="30" customHeight="1" x14ac:dyDescent="0.25">
      <c r="A727" s="47">
        <v>46181</v>
      </c>
      <c r="B727" s="48" t="s">
        <v>18</v>
      </c>
      <c r="C727" s="48" t="s">
        <v>30</v>
      </c>
      <c r="D727" s="48" t="s">
        <v>31</v>
      </c>
      <c r="E727" s="49">
        <v>9000</v>
      </c>
      <c r="F727" s="76">
        <v>6628</v>
      </c>
      <c r="G727" s="49">
        <v>0</v>
      </c>
      <c r="H727" s="50">
        <f>IFERROR(Table1[Re-process (Kg)]/Table1[Actual Production (Kg)], "")</f>
        <v>0</v>
      </c>
      <c r="I727" s="49">
        <f>IFERROR(Table1[[#This Row],[Actual Production (Kg)]]-Table1[[#This Row],[Re-process (Kg)]], "")</f>
        <v>6628</v>
      </c>
      <c r="J727" s="49">
        <v>22</v>
      </c>
      <c r="K727" s="72"/>
      <c r="L727" s="49">
        <f>IF(Table1[[#This Row],[Target Time (Hours)]]="","",Table1[[#This Row],[Target Time (Hours)]]-Table1[[#This Row],[Downtime (Hours)]])</f>
        <v>22</v>
      </c>
      <c r="M727" s="49">
        <f>IFERROR(Table1[[#This Row],[Capacity (Kg)]]/Table1[[#This Row],[Target Time (Hours)]] * Table1[[#This Row],[Downtime (Hours)]], "")</f>
        <v>0</v>
      </c>
      <c r="N727" s="50">
        <f>IFERROR(Table1[[#This Row],[Running Time (hr)]]/Table1[Target Time (Hours)], "")</f>
        <v>1</v>
      </c>
      <c r="O727" s="50">
        <f>IFERROR(Table1[[#This Row],[Actual Production (Kg)]]/Table1[Capacity (Kg)], "")</f>
        <v>0.73644444444444446</v>
      </c>
      <c r="P727" s="50">
        <f>IFERROR(Table1[[#This Row],[Quality Pass Production]]/Table1[[#This Row],[Actual Production (Kg)]], "")</f>
        <v>1</v>
      </c>
      <c r="Q727" s="50">
        <f>IFERROR(Table1[[#This Row],[Utilization %]]*Table1[[#This Row],[Efficiency %]]*Table1[[#This Row],[Quality %]], "")</f>
        <v>0.73644444444444446</v>
      </c>
    </row>
    <row r="728" spans="1:18" ht="30" customHeight="1" x14ac:dyDescent="0.25">
      <c r="A728" s="51">
        <v>46181</v>
      </c>
      <c r="B728" s="52" t="s">
        <v>18</v>
      </c>
      <c r="C728" s="52" t="s">
        <v>32</v>
      </c>
      <c r="D728" s="52" t="s">
        <v>31</v>
      </c>
      <c r="E728" s="79">
        <f>Table1[[#This Row],[Actual Production (Kg)]]</f>
        <v>0</v>
      </c>
      <c r="F728" s="53"/>
      <c r="G728" s="79"/>
      <c r="H728" s="57" t="str">
        <f>IFERROR(Table1[Re-process (Kg)]/Table1[Actual Production (Kg)], "")</f>
        <v/>
      </c>
      <c r="I728" s="53">
        <f>IFERROR(Table1[[#This Row],[Actual Production (Kg)]]-Table1[[#This Row],[Re-process (Kg)]], "")</f>
        <v>0</v>
      </c>
      <c r="J728" s="79"/>
      <c r="K728" s="52"/>
      <c r="L728" s="53" t="str">
        <f>IF(Table1[[#This Row],[Target Time (Hours)]]="","",Table1[[#This Row],[Target Time (Hours)]]-Table1[[#This Row],[Downtime (Hours)]])</f>
        <v/>
      </c>
      <c r="M728" s="53" t="str">
        <f>IFERROR(Table1[[#This Row],[Capacity (Kg)]]/Table1[[#This Row],[Target Time (Hours)]] * Table1[[#This Row],[Downtime (Hours)]], "")</f>
        <v/>
      </c>
      <c r="N728" s="57" t="str">
        <f>IFERROR(Table1[[#This Row],[Running Time (hr)]]/Table1[Target Time (Hours)], "")</f>
        <v/>
      </c>
      <c r="O728" s="57" t="str">
        <f>IFERROR(Table1[[#This Row],[Actual Production (Kg)]]/Table1[Capacity (Kg)], "")</f>
        <v/>
      </c>
      <c r="P728" s="57" t="str">
        <f>IFERROR(Table1[[#This Row],[Quality Pass Production]]/Table1[[#This Row],[Actual Production (Kg)]], "")</f>
        <v/>
      </c>
      <c r="Q728" s="57" t="str">
        <f>IFERROR(Table1[[#This Row],[Utilization %]]*Table1[[#This Row],[Efficiency %]]*Table1[[#This Row],[Quality %]], "")</f>
        <v/>
      </c>
      <c r="R728" s="52" t="s">
        <v>156</v>
      </c>
    </row>
    <row r="729" spans="1:18" ht="30" customHeight="1" x14ac:dyDescent="0.25">
      <c r="A729" s="47">
        <v>46181</v>
      </c>
      <c r="B729" s="48" t="s">
        <v>33</v>
      </c>
      <c r="C729" s="48" t="s">
        <v>34</v>
      </c>
      <c r="D729" s="48" t="s">
        <v>35</v>
      </c>
      <c r="E729" s="49">
        <v>9000</v>
      </c>
      <c r="F729" s="76">
        <v>5388</v>
      </c>
      <c r="G729" s="49">
        <v>0</v>
      </c>
      <c r="H729" s="50">
        <f>IFERROR(Table1[Re-process (Kg)]/Table1[Actual Production (Kg)], "")</f>
        <v>0</v>
      </c>
      <c r="I729" s="49">
        <f>IFERROR(Table1[[#This Row],[Actual Production (Kg)]]-Table1[[#This Row],[Re-process (Kg)]], "")</f>
        <v>5388</v>
      </c>
      <c r="J729" s="49">
        <v>22</v>
      </c>
      <c r="K729" s="72"/>
      <c r="L729" s="49">
        <f>IF(Table1[[#This Row],[Target Time (Hours)]]="","",Table1[[#This Row],[Target Time (Hours)]]-Table1[[#This Row],[Downtime (Hours)]])</f>
        <v>22</v>
      </c>
      <c r="M729" s="49">
        <f>IFERROR(Table1[[#This Row],[Capacity (Kg)]]/Table1[[#This Row],[Target Time (Hours)]] * Table1[[#This Row],[Downtime (Hours)]], "")</f>
        <v>0</v>
      </c>
      <c r="N729" s="50">
        <f>IFERROR(Table1[[#This Row],[Running Time (hr)]]/Table1[Target Time (Hours)], "")</f>
        <v>1</v>
      </c>
      <c r="O729" s="50">
        <f>IFERROR(Table1[[#This Row],[Actual Production (Kg)]]/Table1[Capacity (Kg)], "")</f>
        <v>0.59866666666666668</v>
      </c>
      <c r="P729" s="50">
        <f>IFERROR(Table1[[#This Row],[Quality Pass Production]]/Table1[[#This Row],[Actual Production (Kg)]], "")</f>
        <v>1</v>
      </c>
      <c r="Q729" s="50">
        <f>IFERROR(Table1[[#This Row],[Utilization %]]*Table1[[#This Row],[Efficiency %]]*Table1[[#This Row],[Quality %]], "")</f>
        <v>0.59866666666666668</v>
      </c>
      <c r="R729" s="48" t="s">
        <v>191</v>
      </c>
    </row>
    <row r="730" spans="1:18" ht="30" customHeight="1" x14ac:dyDescent="0.25">
      <c r="A730" s="47">
        <v>46181</v>
      </c>
      <c r="B730" s="48" t="s">
        <v>33</v>
      </c>
      <c r="C730" s="48" t="s">
        <v>36</v>
      </c>
      <c r="D730" s="48" t="s">
        <v>37</v>
      </c>
      <c r="E730" s="49">
        <v>8000</v>
      </c>
      <c r="F730" s="76">
        <v>5589</v>
      </c>
      <c r="G730" s="49">
        <v>0</v>
      </c>
      <c r="H730" s="50">
        <f>IFERROR(Table1[Re-process (Kg)]/Table1[Actual Production (Kg)], "")</f>
        <v>0</v>
      </c>
      <c r="I730" s="49">
        <f>IFERROR(Table1[[#This Row],[Actual Production (Kg)]]-Table1[[#This Row],[Re-process (Kg)]], "")</f>
        <v>5589</v>
      </c>
      <c r="J730" s="49">
        <v>22</v>
      </c>
      <c r="K730" s="72">
        <v>1</v>
      </c>
      <c r="L730" s="49">
        <f>IF(Table1[[#This Row],[Target Time (Hours)]]="","",Table1[[#This Row],[Target Time (Hours)]]-Table1[[#This Row],[Downtime (Hours)]])</f>
        <v>21</v>
      </c>
      <c r="M730" s="49">
        <f>IFERROR(Table1[[#This Row],[Capacity (Kg)]]/Table1[[#This Row],[Target Time (Hours)]] * Table1[[#This Row],[Downtime (Hours)]], "")</f>
        <v>363.63636363636363</v>
      </c>
      <c r="N730" s="50">
        <f>IFERROR(Table1[[#This Row],[Running Time (hr)]]/Table1[Target Time (Hours)], "")</f>
        <v>0.95454545454545459</v>
      </c>
      <c r="O730" s="50">
        <f>IFERROR(Table1[[#This Row],[Actual Production (Kg)]]/Table1[Capacity (Kg)], "")</f>
        <v>0.69862500000000005</v>
      </c>
      <c r="P730" s="50">
        <f>IFERROR(Table1[[#This Row],[Quality Pass Production]]/Table1[[#This Row],[Actual Production (Kg)]], "")</f>
        <v>1</v>
      </c>
      <c r="Q730" s="50">
        <f>IFERROR(Table1[[#This Row],[Utilization %]]*Table1[[#This Row],[Efficiency %]]*Table1[[#This Row],[Quality %]], "")</f>
        <v>0.66686931818181827</v>
      </c>
      <c r="R730" s="48" t="s">
        <v>190</v>
      </c>
    </row>
    <row r="731" spans="1:18" ht="30" customHeight="1" x14ac:dyDescent="0.25">
      <c r="A731" s="47">
        <v>46181</v>
      </c>
      <c r="B731" s="48" t="s">
        <v>33</v>
      </c>
      <c r="C731" s="48" t="s">
        <v>39</v>
      </c>
      <c r="D731" s="48" t="s">
        <v>31</v>
      </c>
      <c r="E731" s="49">
        <v>6000</v>
      </c>
      <c r="F731" s="76">
        <v>2287</v>
      </c>
      <c r="G731" s="49">
        <v>0</v>
      </c>
      <c r="H731" s="50">
        <f>IFERROR(Table1[Re-process (Kg)]/Table1[Actual Production (Kg)], "")</f>
        <v>0</v>
      </c>
      <c r="I731" s="49">
        <f>IFERROR(Table1[[#This Row],[Actual Production (Kg)]]-Table1[[#This Row],[Re-process (Kg)]], "")</f>
        <v>2287</v>
      </c>
      <c r="J731" s="49">
        <v>22</v>
      </c>
      <c r="K731" s="72"/>
      <c r="L731" s="49">
        <f>IF(Table1[[#This Row],[Target Time (Hours)]]="","",Table1[[#This Row],[Target Time (Hours)]]-Table1[[#This Row],[Downtime (Hours)]])</f>
        <v>22</v>
      </c>
      <c r="M731" s="49">
        <f>IFERROR(Table1[[#This Row],[Capacity (Kg)]]/Table1[[#This Row],[Target Time (Hours)]] * Table1[[#This Row],[Downtime (Hours)]], "")</f>
        <v>0</v>
      </c>
      <c r="N731" s="50">
        <f>IFERROR(Table1[[#This Row],[Running Time (hr)]]/Table1[Target Time (Hours)], "")</f>
        <v>1</v>
      </c>
      <c r="O731" s="50">
        <f>IFERROR(Table1[[#This Row],[Actual Production (Kg)]]/Table1[Capacity (Kg)], "")</f>
        <v>0.38116666666666665</v>
      </c>
      <c r="P731" s="50">
        <f>IFERROR(Table1[[#This Row],[Quality Pass Production]]/Table1[[#This Row],[Actual Production (Kg)]], "")</f>
        <v>1</v>
      </c>
      <c r="Q731" s="50">
        <f>IFERROR(Table1[[#This Row],[Utilization %]]*Table1[[#This Row],[Efficiency %]]*Table1[[#This Row],[Quality %]], "")</f>
        <v>0.38116666666666665</v>
      </c>
      <c r="R731" s="48" t="s">
        <v>191</v>
      </c>
    </row>
    <row r="732" spans="1:18" ht="45" customHeight="1" x14ac:dyDescent="0.25">
      <c r="A732" s="54">
        <v>46181</v>
      </c>
      <c r="B732" s="55" t="s">
        <v>33</v>
      </c>
      <c r="C732" s="55" t="s">
        <v>40</v>
      </c>
      <c r="D732" s="55" t="s">
        <v>31</v>
      </c>
      <c r="E732" s="56">
        <v>5000</v>
      </c>
      <c r="F732" s="56">
        <v>4043</v>
      </c>
      <c r="G732" s="56">
        <v>0</v>
      </c>
      <c r="H732" s="58">
        <f>IFERROR(Table1[Re-process (Kg)]/Table1[Actual Production (Kg)], "")</f>
        <v>0</v>
      </c>
      <c r="I732" s="56">
        <f>IFERROR(Table1[[#This Row],[Actual Production (Kg)]]-Table1[[#This Row],[Re-process (Kg)]], "")</f>
        <v>4043</v>
      </c>
      <c r="J732" s="56">
        <v>22</v>
      </c>
      <c r="K732" s="55"/>
      <c r="L732" s="56">
        <f>IF(Table1[[#This Row],[Target Time (Hours)]]="","",Table1[[#This Row],[Target Time (Hours)]]-Table1[[#This Row],[Downtime (Hours)]])</f>
        <v>22</v>
      </c>
      <c r="M732" s="56">
        <f>IFERROR(Table1[[#This Row],[Capacity (Kg)]]/Table1[[#This Row],[Target Time (Hours)]] * Table1[[#This Row],[Downtime (Hours)]], "")</f>
        <v>0</v>
      </c>
      <c r="N732" s="58">
        <f>IFERROR(Table1[[#This Row],[Running Time (hr)]]/Table1[Target Time (Hours)], "")</f>
        <v>1</v>
      </c>
      <c r="O732" s="58">
        <f>IFERROR(Table1[[#This Row],[Actual Production (Kg)]]/Table1[Capacity (Kg)], "")</f>
        <v>0.80859999999999999</v>
      </c>
      <c r="P732" s="58">
        <f>IFERROR(Table1[[#This Row],[Quality Pass Production]]/Table1[[#This Row],[Actual Production (Kg)]], "")</f>
        <v>1</v>
      </c>
      <c r="Q732" s="58">
        <f>IFERROR(Table1[[#This Row],[Utilization %]]*Table1[[#This Row],[Efficiency %]]*Table1[[#This Row],[Quality %]], "")</f>
        <v>0.80859999999999999</v>
      </c>
      <c r="R732" s="55" t="s">
        <v>191</v>
      </c>
    </row>
    <row r="733" spans="1:18" ht="30" customHeight="1" x14ac:dyDescent="0.25">
      <c r="A733" s="47">
        <v>46182</v>
      </c>
      <c r="B733" s="48" t="s">
        <v>18</v>
      </c>
      <c r="C733" s="48" t="s">
        <v>19</v>
      </c>
      <c r="D733" s="48" t="s">
        <v>20</v>
      </c>
      <c r="E733" s="49">
        <v>10000</v>
      </c>
      <c r="F733" s="76">
        <v>9931</v>
      </c>
      <c r="G733" s="49">
        <v>0</v>
      </c>
      <c r="H733" s="50">
        <f>IFERROR(Table1[Re-process (Kg)]/Table1[Actual Production (Kg)], "")</f>
        <v>0</v>
      </c>
      <c r="I733" s="49">
        <f>IFERROR(Table1[[#This Row],[Actual Production (Kg)]]-Table1[[#This Row],[Re-process (Kg)]], "")</f>
        <v>9931</v>
      </c>
      <c r="J733" s="49">
        <v>22</v>
      </c>
      <c r="K733" s="72"/>
      <c r="L733" s="49">
        <f>IF(Table1[[#This Row],[Target Time (Hours)]]="","",Table1[[#This Row],[Target Time (Hours)]]-Table1[[#This Row],[Downtime (Hours)]])</f>
        <v>22</v>
      </c>
      <c r="M733" s="49">
        <f>IFERROR(Table1[[#This Row],[Capacity (Kg)]]/Table1[[#This Row],[Target Time (Hours)]] * Table1[[#This Row],[Downtime (Hours)]], "")</f>
        <v>0</v>
      </c>
      <c r="N733" s="50">
        <f>IFERROR(Table1[[#This Row],[Running Time (hr)]]/Table1[Target Time (Hours)], "")</f>
        <v>1</v>
      </c>
      <c r="O733" s="50">
        <f>IFERROR(Table1[[#This Row],[Actual Production (Kg)]]/Table1[Capacity (Kg)], "")</f>
        <v>0.99309999999999998</v>
      </c>
      <c r="P733" s="50">
        <f>IFERROR(Table1[[#This Row],[Quality Pass Production]]/Table1[[#This Row],[Actual Production (Kg)]], "")</f>
        <v>1</v>
      </c>
      <c r="Q733" s="50">
        <f>IFERROR(Table1[[#This Row],[Utilization %]]*Table1[[#This Row],[Efficiency %]]*Table1[[#This Row],[Quality %]], "")</f>
        <v>0.99309999999999998</v>
      </c>
    </row>
    <row r="734" spans="1:18" ht="30" customHeight="1" x14ac:dyDescent="0.25">
      <c r="A734" s="47">
        <v>46182</v>
      </c>
      <c r="B734" s="48" t="s">
        <v>18</v>
      </c>
      <c r="C734" s="48" t="s">
        <v>22</v>
      </c>
      <c r="D734" s="48" t="s">
        <v>23</v>
      </c>
      <c r="E734" s="49">
        <v>5000</v>
      </c>
      <c r="F734" s="76">
        <v>4343</v>
      </c>
      <c r="G734" s="49">
        <v>0</v>
      </c>
      <c r="H734" s="50">
        <f>IFERROR(Table1[Re-process (Kg)]/Table1[Actual Production (Kg)], "")</f>
        <v>0</v>
      </c>
      <c r="I734" s="49">
        <f>IFERROR(Table1[[#This Row],[Actual Production (Kg)]]-Table1[[#This Row],[Re-process (Kg)]], "")</f>
        <v>4343</v>
      </c>
      <c r="J734" s="49">
        <v>22</v>
      </c>
      <c r="K734" s="72">
        <v>1</v>
      </c>
      <c r="L734" s="49">
        <f>IF(Table1[[#This Row],[Target Time (Hours)]]="","",Table1[[#This Row],[Target Time (Hours)]]-Table1[[#This Row],[Downtime (Hours)]])</f>
        <v>21</v>
      </c>
      <c r="M734" s="49">
        <f>IFERROR(Table1[[#This Row],[Capacity (Kg)]]/Table1[[#This Row],[Target Time (Hours)]] * Table1[[#This Row],[Downtime (Hours)]], "")</f>
        <v>227.27272727272728</v>
      </c>
      <c r="N734" s="50">
        <f>IFERROR(Table1[[#This Row],[Running Time (hr)]]/Table1[Target Time (Hours)], "")</f>
        <v>0.95454545454545459</v>
      </c>
      <c r="O734" s="50">
        <f>IFERROR(Table1[[#This Row],[Actual Production (Kg)]]/Table1[Capacity (Kg)], "")</f>
        <v>0.86860000000000004</v>
      </c>
      <c r="P734" s="50">
        <f>IFERROR(Table1[[#This Row],[Quality Pass Production]]/Table1[[#This Row],[Actual Production (Kg)]], "")</f>
        <v>1</v>
      </c>
      <c r="Q734" s="50">
        <f>IFERROR(Table1[[#This Row],[Utilization %]]*Table1[[#This Row],[Efficiency %]]*Table1[[#This Row],[Quality %]], "")</f>
        <v>0.82911818181818187</v>
      </c>
      <c r="R734" s="48" t="s">
        <v>195</v>
      </c>
    </row>
    <row r="735" spans="1:18" x14ac:dyDescent="0.25">
      <c r="A735" s="47">
        <v>46182</v>
      </c>
      <c r="B735" s="48" t="s">
        <v>18</v>
      </c>
      <c r="C735" s="48" t="s">
        <v>22</v>
      </c>
      <c r="D735" s="48" t="s">
        <v>25</v>
      </c>
      <c r="E735" s="49">
        <v>4000</v>
      </c>
      <c r="F735" s="76">
        <v>4358</v>
      </c>
      <c r="G735" s="49">
        <v>0</v>
      </c>
      <c r="H735" s="50">
        <f>IFERROR(Table1[Re-process (Kg)]/Table1[Actual Production (Kg)], "")</f>
        <v>0</v>
      </c>
      <c r="I735" s="49">
        <f>IFERROR(Table1[[#This Row],[Actual Production (Kg)]]-Table1[[#This Row],[Re-process (Kg)]], "")</f>
        <v>4358</v>
      </c>
      <c r="J735" s="49"/>
      <c r="K735" s="72"/>
      <c r="L735" s="49" t="str">
        <f>IF(Table1[[#This Row],[Target Time (Hours)]]="","",Table1[[#This Row],[Target Time (Hours)]]-Table1[[#This Row],[Downtime (Hours)]])</f>
        <v/>
      </c>
      <c r="M735" s="49" t="str">
        <f>IFERROR(Table1[[#This Row],[Capacity (Kg)]]/Table1[[#This Row],[Target Time (Hours)]] * Table1[[#This Row],[Downtime (Hours)]], "")</f>
        <v/>
      </c>
      <c r="N735" s="50" t="str">
        <f>IFERROR(Table1[[#This Row],[Running Time (hr)]]/Table1[Target Time (Hours)], "")</f>
        <v/>
      </c>
      <c r="O735" s="50">
        <f>IFERROR(Table1[[#This Row],[Actual Production (Kg)]]/Table1[Capacity (Kg)], "")</f>
        <v>1.0894999999999999</v>
      </c>
      <c r="P735" s="50">
        <f>IFERROR(Table1[[#This Row],[Quality Pass Production]]/Table1[[#This Row],[Actual Production (Kg)]], "")</f>
        <v>1</v>
      </c>
      <c r="Q735" s="50" t="str">
        <f>IFERROR(Table1[[#This Row],[Utilization %]]*Table1[[#This Row],[Efficiency %]]*Table1[[#This Row],[Quality %]], "")</f>
        <v/>
      </c>
    </row>
    <row r="736" spans="1:18" x14ac:dyDescent="0.25">
      <c r="A736" s="47">
        <v>46182</v>
      </c>
      <c r="B736" s="48" t="s">
        <v>18</v>
      </c>
      <c r="C736" s="48" t="s">
        <v>26</v>
      </c>
      <c r="D736" s="48" t="s">
        <v>25</v>
      </c>
      <c r="E736" s="49">
        <v>7000</v>
      </c>
      <c r="F736" s="76">
        <v>6446</v>
      </c>
      <c r="G736" s="49">
        <v>0</v>
      </c>
      <c r="H736" s="50">
        <f>IFERROR(Table1[Re-process (Kg)]/Table1[Actual Production (Kg)], "")</f>
        <v>0</v>
      </c>
      <c r="I736" s="49">
        <f>IFERROR(Table1[[#This Row],[Actual Production (Kg)]]-Table1[[#This Row],[Re-process (Kg)]], "")</f>
        <v>6446</v>
      </c>
      <c r="J736" s="49">
        <v>22</v>
      </c>
      <c r="K736" s="72">
        <v>1</v>
      </c>
      <c r="L736" s="49">
        <f>IF(Table1[[#This Row],[Target Time (Hours)]]="","",Table1[[#This Row],[Target Time (Hours)]]-Table1[[#This Row],[Downtime (Hours)]])</f>
        <v>21</v>
      </c>
      <c r="M736" s="49">
        <f>IFERROR(Table1[[#This Row],[Capacity (Kg)]]/Table1[[#This Row],[Target Time (Hours)]] * Table1[[#This Row],[Downtime (Hours)]], "")</f>
        <v>318.18181818181819</v>
      </c>
      <c r="N736" s="50">
        <f>IFERROR(Table1[[#This Row],[Running Time (hr)]]/Table1[Target Time (Hours)], "")</f>
        <v>0.95454545454545459</v>
      </c>
      <c r="O736" s="50">
        <f>IFERROR(Table1[[#This Row],[Actual Production (Kg)]]/Table1[Capacity (Kg)], "")</f>
        <v>0.92085714285714282</v>
      </c>
      <c r="P736" s="50">
        <f>IFERROR(Table1[[#This Row],[Quality Pass Production]]/Table1[[#This Row],[Actual Production (Kg)]], "")</f>
        <v>1</v>
      </c>
      <c r="Q736" s="50">
        <f>IFERROR(Table1[[#This Row],[Utilization %]]*Table1[[#This Row],[Efficiency %]]*Table1[[#This Row],[Quality %]], "")</f>
        <v>0.879</v>
      </c>
      <c r="R736" s="48" t="s">
        <v>196</v>
      </c>
    </row>
    <row r="737" spans="1:18" ht="30" customHeight="1" x14ac:dyDescent="0.25">
      <c r="A737" s="47">
        <v>46182</v>
      </c>
      <c r="B737" s="48" t="s">
        <v>18</v>
      </c>
      <c r="C737" s="48" t="s">
        <v>28</v>
      </c>
      <c r="D737" s="48" t="s">
        <v>29</v>
      </c>
      <c r="E737" s="49">
        <v>7800</v>
      </c>
      <c r="F737" s="76">
        <v>7318</v>
      </c>
      <c r="G737" s="49">
        <v>0</v>
      </c>
      <c r="H737" s="50">
        <f>IFERROR(Table1[Re-process (Kg)]/Table1[Actual Production (Kg)], "")</f>
        <v>0</v>
      </c>
      <c r="I737" s="49">
        <f>IFERROR(Table1[[#This Row],[Actual Production (Kg)]]-Table1[[#This Row],[Re-process (Kg)]], "")</f>
        <v>7318</v>
      </c>
      <c r="J737" s="49">
        <v>22</v>
      </c>
      <c r="K737" s="72"/>
      <c r="L737" s="49">
        <f>IF(Table1[[#This Row],[Target Time (Hours)]]="","",Table1[[#This Row],[Target Time (Hours)]]-Table1[[#This Row],[Downtime (Hours)]])</f>
        <v>22</v>
      </c>
      <c r="M737" s="49">
        <f>IFERROR(Table1[[#This Row],[Capacity (Kg)]]/Table1[[#This Row],[Target Time (Hours)]] * Table1[[#This Row],[Downtime (Hours)]], "")</f>
        <v>0</v>
      </c>
      <c r="N737" s="50">
        <f>IFERROR(Table1[[#This Row],[Running Time (hr)]]/Table1[Target Time (Hours)], "")</f>
        <v>1</v>
      </c>
      <c r="O737" s="50">
        <f>IFERROR(Table1[[#This Row],[Actual Production (Kg)]]/Table1[Capacity (Kg)], "")</f>
        <v>0.93820512820512825</v>
      </c>
      <c r="P737" s="50">
        <f>IFERROR(Table1[[#This Row],[Quality Pass Production]]/Table1[[#This Row],[Actual Production (Kg)]], "")</f>
        <v>1</v>
      </c>
      <c r="Q737" s="50">
        <f>IFERROR(Table1[[#This Row],[Utilization %]]*Table1[[#This Row],[Efficiency %]]*Table1[[#This Row],[Quality %]], "")</f>
        <v>0.93820512820512825</v>
      </c>
    </row>
    <row r="738" spans="1:18" ht="30" customHeight="1" x14ac:dyDescent="0.25">
      <c r="A738" s="51">
        <v>46182</v>
      </c>
      <c r="B738" s="52" t="s">
        <v>18</v>
      </c>
      <c r="C738" s="52" t="s">
        <v>135</v>
      </c>
      <c r="D738" s="52" t="s">
        <v>29</v>
      </c>
      <c r="E738" s="53"/>
      <c r="F738" s="53"/>
      <c r="G738" s="79"/>
      <c r="H738" s="57" t="str">
        <f>IFERROR(Table1[Re-process (Kg)]/Table1[Actual Production (Kg)], "")</f>
        <v/>
      </c>
      <c r="I738" s="53">
        <f>IFERROR(Table1[[#This Row],[Actual Production (Kg)]]-Table1[[#This Row],[Re-process (Kg)]], "")</f>
        <v>0</v>
      </c>
      <c r="J738" s="53"/>
      <c r="K738" s="52"/>
      <c r="L738" s="53" t="str">
        <f>IF(Table1[[#This Row],[Target Time (Hours)]]="","",Table1[[#This Row],[Target Time (Hours)]]-Table1[[#This Row],[Downtime (Hours)]])</f>
        <v/>
      </c>
      <c r="M738" s="53" t="str">
        <f>IFERROR(Table1[[#This Row],[Capacity (Kg)]]/Table1[[#This Row],[Target Time (Hours)]] * Table1[[#This Row],[Downtime (Hours)]], "")</f>
        <v/>
      </c>
      <c r="N738" s="57" t="str">
        <f>IFERROR(Table1[[#This Row],[Running Time (hr)]]/Table1[Target Time (Hours)], "")</f>
        <v/>
      </c>
      <c r="O738" s="57" t="str">
        <f>IFERROR(Table1[[#This Row],[Actual Production (Kg)]]/Table1[Capacity (Kg)], "")</f>
        <v/>
      </c>
      <c r="P738" s="57" t="str">
        <f>IFERROR(Table1[[#This Row],[Quality Pass Production]]/Table1[[#This Row],[Actual Production (Kg)]], "")</f>
        <v/>
      </c>
      <c r="Q738" s="57" t="str">
        <f>IFERROR(Table1[[#This Row],[Utilization %]]*Table1[[#This Row],[Efficiency %]]*Table1[[#This Row],[Quality %]], "")</f>
        <v/>
      </c>
      <c r="R738" s="52" t="s">
        <v>156</v>
      </c>
    </row>
    <row r="739" spans="1:18" ht="30" customHeight="1" x14ac:dyDescent="0.25">
      <c r="A739" s="47">
        <v>46182</v>
      </c>
      <c r="B739" s="48" t="s">
        <v>18</v>
      </c>
      <c r="C739" s="48" t="s">
        <v>30</v>
      </c>
      <c r="D739" s="48" t="s">
        <v>31</v>
      </c>
      <c r="E739" s="49">
        <v>9000</v>
      </c>
      <c r="F739" s="76">
        <v>8986</v>
      </c>
      <c r="G739" s="49">
        <v>0</v>
      </c>
      <c r="H739" s="50">
        <f>IFERROR(Table1[Re-process (Kg)]/Table1[Actual Production (Kg)], "")</f>
        <v>0</v>
      </c>
      <c r="I739" s="49">
        <f>IFERROR(Table1[[#This Row],[Actual Production (Kg)]]-Table1[[#This Row],[Re-process (Kg)]], "")</f>
        <v>8986</v>
      </c>
      <c r="J739" s="49">
        <v>22</v>
      </c>
      <c r="K739" s="72"/>
      <c r="L739" s="49">
        <f>IF(Table1[[#This Row],[Target Time (Hours)]]="","",Table1[[#This Row],[Target Time (Hours)]]-Table1[[#This Row],[Downtime (Hours)]])</f>
        <v>22</v>
      </c>
      <c r="M739" s="49">
        <f>IFERROR(Table1[[#This Row],[Capacity (Kg)]]/Table1[[#This Row],[Target Time (Hours)]] * Table1[[#This Row],[Downtime (Hours)]], "")</f>
        <v>0</v>
      </c>
      <c r="N739" s="50">
        <f>IFERROR(Table1[[#This Row],[Running Time (hr)]]/Table1[Target Time (Hours)], "")</f>
        <v>1</v>
      </c>
      <c r="O739" s="50">
        <f>IFERROR(Table1[[#This Row],[Actual Production (Kg)]]/Table1[Capacity (Kg)], "")</f>
        <v>0.99844444444444447</v>
      </c>
      <c r="P739" s="50">
        <f>IFERROR(Table1[[#This Row],[Quality Pass Production]]/Table1[[#This Row],[Actual Production (Kg)]], "")</f>
        <v>1</v>
      </c>
      <c r="Q739" s="50">
        <f>IFERROR(Table1[[#This Row],[Utilization %]]*Table1[[#This Row],[Efficiency %]]*Table1[[#This Row],[Quality %]], "")</f>
        <v>0.99844444444444447</v>
      </c>
    </row>
    <row r="740" spans="1:18" ht="30" customHeight="1" x14ac:dyDescent="0.25">
      <c r="A740" s="51">
        <v>46182</v>
      </c>
      <c r="B740" s="52" t="s">
        <v>18</v>
      </c>
      <c r="C740" s="52" t="s">
        <v>32</v>
      </c>
      <c r="D740" s="52" t="s">
        <v>31</v>
      </c>
      <c r="E740" s="79">
        <f>Table1[[#This Row],[Actual Production (Kg)]]</f>
        <v>0</v>
      </c>
      <c r="F740" s="53"/>
      <c r="G740" s="79"/>
      <c r="H740" s="57" t="str">
        <f>IFERROR(Table1[Re-process (Kg)]/Table1[Actual Production (Kg)], "")</f>
        <v/>
      </c>
      <c r="I740" s="53">
        <f>IFERROR(Table1[[#This Row],[Actual Production (Kg)]]-Table1[[#This Row],[Re-process (Kg)]], "")</f>
        <v>0</v>
      </c>
      <c r="J740" s="53"/>
      <c r="K740" s="52"/>
      <c r="L740" s="53" t="str">
        <f>IF(Table1[[#This Row],[Target Time (Hours)]]="","",Table1[[#This Row],[Target Time (Hours)]]-Table1[[#This Row],[Downtime (Hours)]])</f>
        <v/>
      </c>
      <c r="M740" s="53" t="str">
        <f>IFERROR(Table1[[#This Row],[Capacity (Kg)]]/Table1[[#This Row],[Target Time (Hours)]] * Table1[[#This Row],[Downtime (Hours)]], "")</f>
        <v/>
      </c>
      <c r="N740" s="57" t="str">
        <f>IFERROR(Table1[[#This Row],[Running Time (hr)]]/Table1[Target Time (Hours)], "")</f>
        <v/>
      </c>
      <c r="O740" s="57" t="str">
        <f>IFERROR(Table1[[#This Row],[Actual Production (Kg)]]/Table1[Capacity (Kg)], "")</f>
        <v/>
      </c>
      <c r="P740" s="57" t="str">
        <f>IFERROR(Table1[[#This Row],[Quality Pass Production]]/Table1[[#This Row],[Actual Production (Kg)]], "")</f>
        <v/>
      </c>
      <c r="Q740" s="57" t="str">
        <f>IFERROR(Table1[[#This Row],[Utilization %]]*Table1[[#This Row],[Efficiency %]]*Table1[[#This Row],[Quality %]], "")</f>
        <v/>
      </c>
      <c r="R740" s="52" t="s">
        <v>156</v>
      </c>
    </row>
    <row r="741" spans="1:18" ht="30" customHeight="1" x14ac:dyDescent="0.25">
      <c r="A741" s="47">
        <v>46182</v>
      </c>
      <c r="B741" s="48" t="s">
        <v>33</v>
      </c>
      <c r="C741" s="48" t="s">
        <v>34</v>
      </c>
      <c r="D741" s="48" t="s">
        <v>35</v>
      </c>
      <c r="E741" s="49">
        <v>9000</v>
      </c>
      <c r="F741" s="76">
        <v>6870</v>
      </c>
      <c r="G741" s="49">
        <v>0</v>
      </c>
      <c r="H741" s="50">
        <f>IFERROR(Table1[Re-process (Kg)]/Table1[Actual Production (Kg)], "")</f>
        <v>0</v>
      </c>
      <c r="I741" s="49">
        <f>IFERROR(Table1[[#This Row],[Actual Production (Kg)]]-Table1[[#This Row],[Re-process (Kg)]], "")</f>
        <v>6870</v>
      </c>
      <c r="J741" s="49">
        <v>22</v>
      </c>
      <c r="K741" s="72"/>
      <c r="L741" s="49">
        <f>IF(Table1[[#This Row],[Target Time (Hours)]]="","",Table1[[#This Row],[Target Time (Hours)]]-Table1[[#This Row],[Downtime (Hours)]])</f>
        <v>22</v>
      </c>
      <c r="M741" s="49">
        <f>IFERROR(Table1[[#This Row],[Capacity (Kg)]]/Table1[[#This Row],[Target Time (Hours)]] * Table1[[#This Row],[Downtime (Hours)]], "")</f>
        <v>0</v>
      </c>
      <c r="N741" s="50">
        <f>IFERROR(Table1[[#This Row],[Running Time (hr)]]/Table1[Target Time (Hours)], "")</f>
        <v>1</v>
      </c>
      <c r="O741" s="50">
        <f>IFERROR(Table1[[#This Row],[Actual Production (Kg)]]/Table1[Capacity (Kg)], "")</f>
        <v>0.76333333333333331</v>
      </c>
      <c r="P741" s="50">
        <f>IFERROR(Table1[[#This Row],[Quality Pass Production]]/Table1[[#This Row],[Actual Production (Kg)]], "")</f>
        <v>1</v>
      </c>
      <c r="Q741" s="50">
        <f>IFERROR(Table1[[#This Row],[Utilization %]]*Table1[[#This Row],[Efficiency %]]*Table1[[#This Row],[Quality %]], "")</f>
        <v>0.76333333333333331</v>
      </c>
      <c r="R741" s="48" t="s">
        <v>191</v>
      </c>
    </row>
    <row r="742" spans="1:18" ht="30" customHeight="1" x14ac:dyDescent="0.25">
      <c r="A742" s="47">
        <v>46182</v>
      </c>
      <c r="B742" s="48" t="s">
        <v>33</v>
      </c>
      <c r="C742" s="48" t="s">
        <v>36</v>
      </c>
      <c r="D742" s="48" t="s">
        <v>37</v>
      </c>
      <c r="E742" s="49">
        <v>8000</v>
      </c>
      <c r="F742" s="76">
        <v>6378</v>
      </c>
      <c r="G742" s="49">
        <v>0</v>
      </c>
      <c r="H742" s="50">
        <f>IFERROR(Table1[Re-process (Kg)]/Table1[Actual Production (Kg)], "")</f>
        <v>0</v>
      </c>
      <c r="I742" s="49">
        <f>IFERROR(Table1[[#This Row],[Actual Production (Kg)]]-Table1[[#This Row],[Re-process (Kg)]], "")</f>
        <v>6378</v>
      </c>
      <c r="J742" s="49">
        <v>22</v>
      </c>
      <c r="K742" s="72">
        <v>1</v>
      </c>
      <c r="L742" s="49">
        <f>IF(Table1[[#This Row],[Target Time (Hours)]]="","",Table1[[#This Row],[Target Time (Hours)]]-Table1[[#This Row],[Downtime (Hours)]])</f>
        <v>21</v>
      </c>
      <c r="M742" s="49">
        <f>IFERROR(Table1[[#This Row],[Capacity (Kg)]]/Table1[[#This Row],[Target Time (Hours)]] * Table1[[#This Row],[Downtime (Hours)]], "")</f>
        <v>363.63636363636363</v>
      </c>
      <c r="N742" s="50">
        <f>IFERROR(Table1[[#This Row],[Running Time (hr)]]/Table1[Target Time (Hours)], "")</f>
        <v>0.95454545454545459</v>
      </c>
      <c r="O742" s="50">
        <f>IFERROR(Table1[[#This Row],[Actual Production (Kg)]]/Table1[Capacity (Kg)], "")</f>
        <v>0.79725000000000001</v>
      </c>
      <c r="P742" s="50">
        <f>IFERROR(Table1[[#This Row],[Quality Pass Production]]/Table1[[#This Row],[Actual Production (Kg)]], "")</f>
        <v>1</v>
      </c>
      <c r="Q742" s="50">
        <f>IFERROR(Table1[[#This Row],[Utilization %]]*Table1[[#This Row],[Efficiency %]]*Table1[[#This Row],[Quality %]], "")</f>
        <v>0.76101136363636368</v>
      </c>
      <c r="R742" s="48" t="s">
        <v>190</v>
      </c>
    </row>
    <row r="743" spans="1:18" ht="30" customHeight="1" x14ac:dyDescent="0.25">
      <c r="A743" s="47">
        <v>46182</v>
      </c>
      <c r="B743" s="48" t="s">
        <v>33</v>
      </c>
      <c r="C743" s="48" t="s">
        <v>39</v>
      </c>
      <c r="D743" s="48" t="s">
        <v>31</v>
      </c>
      <c r="E743" s="49">
        <v>6000</v>
      </c>
      <c r="F743" s="76">
        <v>1759</v>
      </c>
      <c r="G743" s="49">
        <v>0</v>
      </c>
      <c r="H743" s="50">
        <f>IFERROR(Table1[Re-process (Kg)]/Table1[Actual Production (Kg)], "")</f>
        <v>0</v>
      </c>
      <c r="I743" s="49">
        <f>IFERROR(Table1[[#This Row],[Actual Production (Kg)]]-Table1[[#This Row],[Re-process (Kg)]], "")</f>
        <v>1759</v>
      </c>
      <c r="J743" s="49">
        <v>22</v>
      </c>
      <c r="K743" s="72"/>
      <c r="L743" s="49">
        <f>IF(Table1[[#This Row],[Target Time (Hours)]]="","",Table1[[#This Row],[Target Time (Hours)]]-Table1[[#This Row],[Downtime (Hours)]])</f>
        <v>22</v>
      </c>
      <c r="M743" s="49">
        <f>IFERROR(Table1[[#This Row],[Capacity (Kg)]]/Table1[[#This Row],[Target Time (Hours)]] * Table1[[#This Row],[Downtime (Hours)]], "")</f>
        <v>0</v>
      </c>
      <c r="N743" s="50">
        <f>IFERROR(Table1[[#This Row],[Running Time (hr)]]/Table1[Target Time (Hours)], "")</f>
        <v>1</v>
      </c>
      <c r="O743" s="50">
        <f>IFERROR(Table1[[#This Row],[Actual Production (Kg)]]/Table1[Capacity (Kg)], "")</f>
        <v>0.29316666666666669</v>
      </c>
      <c r="P743" s="50">
        <f>IFERROR(Table1[[#This Row],[Quality Pass Production]]/Table1[[#This Row],[Actual Production (Kg)]], "")</f>
        <v>1</v>
      </c>
      <c r="Q743" s="50">
        <f>IFERROR(Table1[[#This Row],[Utilization %]]*Table1[[#This Row],[Efficiency %]]*Table1[[#This Row],[Quality %]], "")</f>
        <v>0.29316666666666669</v>
      </c>
      <c r="R743" s="48" t="s">
        <v>191</v>
      </c>
    </row>
    <row r="744" spans="1:18" ht="45" customHeight="1" x14ac:dyDescent="0.25">
      <c r="A744" s="54">
        <v>46182</v>
      </c>
      <c r="B744" s="55" t="s">
        <v>33</v>
      </c>
      <c r="C744" s="55" t="s">
        <v>40</v>
      </c>
      <c r="D744" s="55" t="s">
        <v>31</v>
      </c>
      <c r="E744" s="56">
        <v>5000</v>
      </c>
      <c r="F744" s="56">
        <v>3633</v>
      </c>
      <c r="G744" s="56">
        <v>0</v>
      </c>
      <c r="H744" s="58">
        <f>IFERROR(Table1[Re-process (Kg)]/Table1[Actual Production (Kg)], "")</f>
        <v>0</v>
      </c>
      <c r="I744" s="56">
        <f>IFERROR(Table1[[#This Row],[Actual Production (Kg)]]-Table1[[#This Row],[Re-process (Kg)]], "")</f>
        <v>3633</v>
      </c>
      <c r="J744" s="56">
        <v>22</v>
      </c>
      <c r="K744" s="55"/>
      <c r="L744" s="56">
        <f>IF(Table1[[#This Row],[Target Time (Hours)]]="","",Table1[[#This Row],[Target Time (Hours)]]-Table1[[#This Row],[Downtime (Hours)]])</f>
        <v>22</v>
      </c>
      <c r="M744" s="56">
        <f>IFERROR(Table1[[#This Row],[Capacity (Kg)]]/Table1[[#This Row],[Target Time (Hours)]] * Table1[[#This Row],[Downtime (Hours)]], "")</f>
        <v>0</v>
      </c>
      <c r="N744" s="58">
        <f>IFERROR(Table1[[#This Row],[Running Time (hr)]]/Table1[Target Time (Hours)], "")</f>
        <v>1</v>
      </c>
      <c r="O744" s="58">
        <f>IFERROR(Table1[[#This Row],[Actual Production (Kg)]]/Table1[Capacity (Kg)], "")</f>
        <v>0.72660000000000002</v>
      </c>
      <c r="P744" s="58">
        <f>IFERROR(Table1[[#This Row],[Quality Pass Production]]/Table1[[#This Row],[Actual Production (Kg)]], "")</f>
        <v>1</v>
      </c>
      <c r="Q744" s="58">
        <f>IFERROR(Table1[[#This Row],[Utilization %]]*Table1[[#This Row],[Efficiency %]]*Table1[[#This Row],[Quality %]], "")</f>
        <v>0.72660000000000002</v>
      </c>
      <c r="R744" s="55" t="s">
        <v>191</v>
      </c>
    </row>
    <row r="745" spans="1:18" ht="30" customHeight="1" x14ac:dyDescent="0.25">
      <c r="A745" s="47">
        <v>46183</v>
      </c>
      <c r="B745" s="48" t="s">
        <v>18</v>
      </c>
      <c r="C745" s="48" t="s">
        <v>19</v>
      </c>
      <c r="D745" s="48" t="s">
        <v>20</v>
      </c>
      <c r="E745" s="49">
        <v>10000</v>
      </c>
      <c r="F745" s="76">
        <v>9171</v>
      </c>
      <c r="G745" s="49">
        <v>0</v>
      </c>
      <c r="H745" s="50">
        <f>IFERROR(Table1[Re-process (Kg)]/Table1[Actual Production (Kg)], "")</f>
        <v>0</v>
      </c>
      <c r="I745" s="49">
        <f>IFERROR(Table1[[#This Row],[Actual Production (Kg)]]-Table1[[#This Row],[Re-process (Kg)]], "")</f>
        <v>9171</v>
      </c>
      <c r="J745" s="49">
        <v>22</v>
      </c>
      <c r="K745" s="72"/>
      <c r="L745" s="49">
        <f>IF(Table1[[#This Row],[Target Time (Hours)]]="","",Table1[[#This Row],[Target Time (Hours)]]-Table1[[#This Row],[Downtime (Hours)]])</f>
        <v>22</v>
      </c>
      <c r="M745" s="49">
        <f>IFERROR(Table1[[#This Row],[Capacity (Kg)]]/Table1[[#This Row],[Target Time (Hours)]] * Table1[[#This Row],[Downtime (Hours)]], "")</f>
        <v>0</v>
      </c>
      <c r="N745" s="50">
        <f>IFERROR(Table1[[#This Row],[Running Time (hr)]]/Table1[Target Time (Hours)], "")</f>
        <v>1</v>
      </c>
      <c r="O745" s="50">
        <f>IFERROR(Table1[[#This Row],[Actual Production (Kg)]]/Table1[Capacity (Kg)], "")</f>
        <v>0.91710000000000003</v>
      </c>
      <c r="P745" s="50">
        <f>IFERROR(Table1[[#This Row],[Quality Pass Production]]/Table1[[#This Row],[Actual Production (Kg)]], "")</f>
        <v>1</v>
      </c>
      <c r="Q745" s="50">
        <f>IFERROR(Table1[[#This Row],[Utilization %]]*Table1[[#This Row],[Efficiency %]]*Table1[[#This Row],[Quality %]], "")</f>
        <v>0.91710000000000003</v>
      </c>
    </row>
    <row r="746" spans="1:18" x14ac:dyDescent="0.25">
      <c r="A746" s="47">
        <v>46183</v>
      </c>
      <c r="B746" s="48" t="s">
        <v>18</v>
      </c>
      <c r="C746" s="48" t="s">
        <v>22</v>
      </c>
      <c r="D746" s="48" t="s">
        <v>23</v>
      </c>
      <c r="E746" s="49">
        <v>5000</v>
      </c>
      <c r="F746" s="76">
        <v>3019</v>
      </c>
      <c r="G746" s="49">
        <v>0</v>
      </c>
      <c r="H746" s="50">
        <f>IFERROR(Table1[Re-process (Kg)]/Table1[Actual Production (Kg)], "")</f>
        <v>0</v>
      </c>
      <c r="I746" s="49">
        <f>IFERROR(Table1[[#This Row],[Actual Production (Kg)]]-Table1[[#This Row],[Re-process (Kg)]], "")</f>
        <v>3019</v>
      </c>
      <c r="J746" s="49">
        <v>22</v>
      </c>
      <c r="K746" s="72">
        <v>1</v>
      </c>
      <c r="L746" s="49">
        <f>IF(Table1[[#This Row],[Target Time (Hours)]]="","",Table1[[#This Row],[Target Time (Hours)]]-Table1[[#This Row],[Downtime (Hours)]])</f>
        <v>21</v>
      </c>
      <c r="M746" s="49">
        <f>IFERROR(Table1[[#This Row],[Capacity (Kg)]]/Table1[[#This Row],[Target Time (Hours)]] * Table1[[#This Row],[Downtime (Hours)]], "")</f>
        <v>227.27272727272728</v>
      </c>
      <c r="N746" s="50">
        <f>IFERROR(Table1[[#This Row],[Running Time (hr)]]/Table1[Target Time (Hours)], "")</f>
        <v>0.95454545454545459</v>
      </c>
      <c r="O746" s="50">
        <f>IFERROR(Table1[[#This Row],[Actual Production (Kg)]]/Table1[Capacity (Kg)], "")</f>
        <v>0.6038</v>
      </c>
      <c r="P746" s="50">
        <f>IFERROR(Table1[[#This Row],[Quality Pass Production]]/Table1[[#This Row],[Actual Production (Kg)]], "")</f>
        <v>1</v>
      </c>
      <c r="Q746" s="50">
        <f>IFERROR(Table1[[#This Row],[Utilization %]]*Table1[[#This Row],[Efficiency %]]*Table1[[#This Row],[Quality %]], "")</f>
        <v>0.57635454545454545</v>
      </c>
      <c r="R746" s="48" t="s">
        <v>197</v>
      </c>
    </row>
    <row r="747" spans="1:18" x14ac:dyDescent="0.25">
      <c r="A747" s="47">
        <v>46183</v>
      </c>
      <c r="B747" s="48" t="s">
        <v>18</v>
      </c>
      <c r="C747" s="48" t="s">
        <v>22</v>
      </c>
      <c r="D747" s="48" t="s">
        <v>25</v>
      </c>
      <c r="E747" s="49">
        <v>4000</v>
      </c>
      <c r="F747" s="76">
        <v>4717</v>
      </c>
      <c r="G747" s="49">
        <v>0</v>
      </c>
      <c r="H747" s="50">
        <f>IFERROR(Table1[Re-process (Kg)]/Table1[Actual Production (Kg)], "")</f>
        <v>0</v>
      </c>
      <c r="I747" s="49">
        <f>IFERROR(Table1[[#This Row],[Actual Production (Kg)]]-Table1[[#This Row],[Re-process (Kg)]], "")</f>
        <v>4717</v>
      </c>
      <c r="J747" s="49"/>
      <c r="K747" s="72"/>
      <c r="L747" s="49" t="str">
        <f>IF(Table1[[#This Row],[Target Time (Hours)]]="","",Table1[[#This Row],[Target Time (Hours)]]-Table1[[#This Row],[Downtime (Hours)]])</f>
        <v/>
      </c>
      <c r="M747" s="49" t="str">
        <f>IFERROR(Table1[[#This Row],[Capacity (Kg)]]/Table1[[#This Row],[Target Time (Hours)]] * Table1[[#This Row],[Downtime (Hours)]], "")</f>
        <v/>
      </c>
      <c r="N747" s="50" t="str">
        <f>IFERROR(Table1[[#This Row],[Running Time (hr)]]/Table1[Target Time (Hours)], "")</f>
        <v/>
      </c>
      <c r="O747" s="50">
        <f>IFERROR(Table1[[#This Row],[Actual Production (Kg)]]/Table1[Capacity (Kg)], "")</f>
        <v>1.1792499999999999</v>
      </c>
      <c r="P747" s="50">
        <f>IFERROR(Table1[[#This Row],[Quality Pass Production]]/Table1[[#This Row],[Actual Production (Kg)]], "")</f>
        <v>1</v>
      </c>
      <c r="Q747" s="50" t="str">
        <f>IFERROR(Table1[[#This Row],[Utilization %]]*Table1[[#This Row],[Efficiency %]]*Table1[[#This Row],[Quality %]], "")</f>
        <v/>
      </c>
    </row>
    <row r="748" spans="1:18" x14ac:dyDescent="0.25">
      <c r="A748" s="47">
        <v>46183</v>
      </c>
      <c r="B748" s="48" t="s">
        <v>18</v>
      </c>
      <c r="C748" s="48" t="s">
        <v>26</v>
      </c>
      <c r="D748" s="48" t="s">
        <v>25</v>
      </c>
      <c r="E748" s="49">
        <v>7500</v>
      </c>
      <c r="F748" s="76">
        <v>7106</v>
      </c>
      <c r="G748" s="49">
        <v>0</v>
      </c>
      <c r="H748" s="50">
        <f>IFERROR(Table1[Re-process (Kg)]/Table1[Actual Production (Kg)], "")</f>
        <v>0</v>
      </c>
      <c r="I748" s="49">
        <f>IFERROR(Table1[[#This Row],[Actual Production (Kg)]]-Table1[[#This Row],[Re-process (Kg)]], "")</f>
        <v>7106</v>
      </c>
      <c r="J748" s="49">
        <v>22</v>
      </c>
      <c r="K748" s="72">
        <v>1</v>
      </c>
      <c r="L748" s="49">
        <f>IF(Table1[[#This Row],[Target Time (Hours)]]="","",Table1[[#This Row],[Target Time (Hours)]]-Table1[[#This Row],[Downtime (Hours)]])</f>
        <v>21</v>
      </c>
      <c r="M748" s="49">
        <f>IFERROR(Table1[[#This Row],[Capacity (Kg)]]/Table1[[#This Row],[Target Time (Hours)]] * Table1[[#This Row],[Downtime (Hours)]], "")</f>
        <v>340.90909090909093</v>
      </c>
      <c r="N748" s="50">
        <f>IFERROR(Table1[[#This Row],[Running Time (hr)]]/Table1[Target Time (Hours)], "")</f>
        <v>0.95454545454545459</v>
      </c>
      <c r="O748" s="50">
        <f>IFERROR(Table1[[#This Row],[Actual Production (Kg)]]/Table1[Capacity (Kg)], "")</f>
        <v>0.94746666666666668</v>
      </c>
      <c r="P748" s="50">
        <f>IFERROR(Table1[[#This Row],[Quality Pass Production]]/Table1[[#This Row],[Actual Production (Kg)]], "")</f>
        <v>1</v>
      </c>
      <c r="Q748" s="50">
        <f>IFERROR(Table1[[#This Row],[Utilization %]]*Table1[[#This Row],[Efficiency %]]*Table1[[#This Row],[Quality %]], "")</f>
        <v>0.90440000000000009</v>
      </c>
    </row>
    <row r="749" spans="1:18" ht="30" customHeight="1" x14ac:dyDescent="0.25">
      <c r="A749" s="47">
        <v>46183</v>
      </c>
      <c r="B749" s="48" t="s">
        <v>18</v>
      </c>
      <c r="C749" s="48" t="s">
        <v>28</v>
      </c>
      <c r="D749" s="48" t="s">
        <v>29</v>
      </c>
      <c r="E749" s="49">
        <v>7800</v>
      </c>
      <c r="F749" s="76">
        <v>4586</v>
      </c>
      <c r="G749" s="49">
        <v>0</v>
      </c>
      <c r="H749" s="50">
        <f>IFERROR(Table1[Re-process (Kg)]/Table1[Actual Production (Kg)], "")</f>
        <v>0</v>
      </c>
      <c r="I749" s="49">
        <f>IFERROR(Table1[[#This Row],[Actual Production (Kg)]]-Table1[[#This Row],[Re-process (Kg)]], "")</f>
        <v>4586</v>
      </c>
      <c r="J749" s="49">
        <v>22</v>
      </c>
      <c r="K749" s="72">
        <v>4</v>
      </c>
      <c r="L749" s="49">
        <f>IF(Table1[[#This Row],[Target Time (Hours)]]="","",Table1[[#This Row],[Target Time (Hours)]]-Table1[[#This Row],[Downtime (Hours)]])</f>
        <v>18</v>
      </c>
      <c r="M749" s="49">
        <f>IFERROR(Table1[[#This Row],[Capacity (Kg)]]/Table1[[#This Row],[Target Time (Hours)]] * Table1[[#This Row],[Downtime (Hours)]], "")</f>
        <v>1418.1818181818182</v>
      </c>
      <c r="N749" s="50">
        <f>IFERROR(Table1[[#This Row],[Running Time (hr)]]/Table1[Target Time (Hours)], "")</f>
        <v>0.81818181818181823</v>
      </c>
      <c r="O749" s="50">
        <f>IFERROR(Table1[[#This Row],[Actual Production (Kg)]]/Table1[Capacity (Kg)], "")</f>
        <v>0.58794871794871795</v>
      </c>
      <c r="P749" s="50">
        <f>IFERROR(Table1[[#This Row],[Quality Pass Production]]/Table1[[#This Row],[Actual Production (Kg)]], "")</f>
        <v>1</v>
      </c>
      <c r="Q749" s="50">
        <f>IFERROR(Table1[[#This Row],[Utilization %]]*Table1[[#This Row],[Efficiency %]]*Table1[[#This Row],[Quality %]], "")</f>
        <v>0.48104895104895107</v>
      </c>
      <c r="R749" s="48" t="s">
        <v>198</v>
      </c>
    </row>
    <row r="750" spans="1:18" ht="30" customHeight="1" x14ac:dyDescent="0.25">
      <c r="A750" s="51">
        <v>46183</v>
      </c>
      <c r="B750" s="52" t="s">
        <v>18</v>
      </c>
      <c r="C750" s="52" t="s">
        <v>135</v>
      </c>
      <c r="D750" s="52" t="s">
        <v>29</v>
      </c>
      <c r="E750" s="53"/>
      <c r="F750" s="53"/>
      <c r="G750" s="79"/>
      <c r="H750" s="57" t="str">
        <f>IFERROR(Table1[Re-process (Kg)]/Table1[Actual Production (Kg)], "")</f>
        <v/>
      </c>
      <c r="I750" s="53">
        <f>IFERROR(Table1[[#This Row],[Actual Production (Kg)]]-Table1[[#This Row],[Re-process (Kg)]], "")</f>
        <v>0</v>
      </c>
      <c r="J750" s="53"/>
      <c r="K750" s="52"/>
      <c r="L750" s="53" t="str">
        <f>IF(Table1[[#This Row],[Target Time (Hours)]]="","",Table1[[#This Row],[Target Time (Hours)]]-Table1[[#This Row],[Downtime (Hours)]])</f>
        <v/>
      </c>
      <c r="M750" s="53" t="str">
        <f>IFERROR(Table1[[#This Row],[Capacity (Kg)]]/Table1[[#This Row],[Target Time (Hours)]] * Table1[[#This Row],[Downtime (Hours)]], "")</f>
        <v/>
      </c>
      <c r="N750" s="57" t="str">
        <f>IFERROR(Table1[[#This Row],[Running Time (hr)]]/Table1[Target Time (Hours)], "")</f>
        <v/>
      </c>
      <c r="O750" s="57" t="str">
        <f>IFERROR(Table1[[#This Row],[Actual Production (Kg)]]/Table1[Capacity (Kg)], "")</f>
        <v/>
      </c>
      <c r="P750" s="57" t="str">
        <f>IFERROR(Table1[[#This Row],[Quality Pass Production]]/Table1[[#This Row],[Actual Production (Kg)]], "")</f>
        <v/>
      </c>
      <c r="Q750" s="57" t="str">
        <f>IFERROR(Table1[[#This Row],[Utilization %]]*Table1[[#This Row],[Efficiency %]]*Table1[[#This Row],[Quality %]], "")</f>
        <v/>
      </c>
      <c r="R750" s="52" t="s">
        <v>156</v>
      </c>
    </row>
    <row r="751" spans="1:18" ht="30" customHeight="1" x14ac:dyDescent="0.25">
      <c r="A751" s="47">
        <v>46183</v>
      </c>
      <c r="B751" s="48" t="s">
        <v>18</v>
      </c>
      <c r="C751" s="48" t="s">
        <v>30</v>
      </c>
      <c r="D751" s="48" t="s">
        <v>31</v>
      </c>
      <c r="E751" s="49">
        <v>9000</v>
      </c>
      <c r="F751" s="76">
        <v>7478</v>
      </c>
      <c r="G751" s="49">
        <v>0</v>
      </c>
      <c r="H751" s="50">
        <f>IFERROR(Table1[Re-process (Kg)]/Table1[Actual Production (Kg)], "")</f>
        <v>0</v>
      </c>
      <c r="I751" s="49">
        <f>IFERROR(Table1[[#This Row],[Actual Production (Kg)]]-Table1[[#This Row],[Re-process (Kg)]], "")</f>
        <v>7478</v>
      </c>
      <c r="J751" s="49">
        <v>22</v>
      </c>
      <c r="K751" s="72"/>
      <c r="L751" s="49">
        <f>IF(Table1[[#This Row],[Target Time (Hours)]]="","",Table1[[#This Row],[Target Time (Hours)]]-Table1[[#This Row],[Downtime (Hours)]])</f>
        <v>22</v>
      </c>
      <c r="M751" s="49">
        <f>IFERROR(Table1[[#This Row],[Capacity (Kg)]]/Table1[[#This Row],[Target Time (Hours)]] * Table1[[#This Row],[Downtime (Hours)]], "")</f>
        <v>0</v>
      </c>
      <c r="N751" s="50">
        <f>IFERROR(Table1[[#This Row],[Running Time (hr)]]/Table1[Target Time (Hours)], "")</f>
        <v>1</v>
      </c>
      <c r="O751" s="50">
        <f>IFERROR(Table1[[#This Row],[Actual Production (Kg)]]/Table1[Capacity (Kg)], "")</f>
        <v>0.8308888888888889</v>
      </c>
      <c r="P751" s="50">
        <f>IFERROR(Table1[[#This Row],[Quality Pass Production]]/Table1[[#This Row],[Actual Production (Kg)]], "")</f>
        <v>1</v>
      </c>
      <c r="Q751" s="50">
        <f>IFERROR(Table1[[#This Row],[Utilization %]]*Table1[[#This Row],[Efficiency %]]*Table1[[#This Row],[Quality %]], "")</f>
        <v>0.8308888888888889</v>
      </c>
    </row>
    <row r="752" spans="1:18" ht="30" customHeight="1" x14ac:dyDescent="0.25">
      <c r="A752" s="51">
        <v>46183</v>
      </c>
      <c r="B752" s="52" t="s">
        <v>18</v>
      </c>
      <c r="C752" s="52" t="s">
        <v>32</v>
      </c>
      <c r="D752" s="52" t="s">
        <v>31</v>
      </c>
      <c r="E752" s="79">
        <f>Table1[[#This Row],[Actual Production (Kg)]]</f>
        <v>0</v>
      </c>
      <c r="F752" s="53"/>
      <c r="G752" s="79"/>
      <c r="H752" s="57" t="str">
        <f>IFERROR(Table1[Re-process (Kg)]/Table1[Actual Production (Kg)], "")</f>
        <v/>
      </c>
      <c r="I752" s="53">
        <f>IFERROR(Table1[[#This Row],[Actual Production (Kg)]]-Table1[[#This Row],[Re-process (Kg)]], "")</f>
        <v>0</v>
      </c>
      <c r="J752" s="53"/>
      <c r="K752" s="52"/>
      <c r="L752" s="53" t="str">
        <f>IF(Table1[[#This Row],[Target Time (Hours)]]="","",Table1[[#This Row],[Target Time (Hours)]]-Table1[[#This Row],[Downtime (Hours)]])</f>
        <v/>
      </c>
      <c r="M752" s="53" t="str">
        <f>IFERROR(Table1[[#This Row],[Capacity (Kg)]]/Table1[[#This Row],[Target Time (Hours)]] * Table1[[#This Row],[Downtime (Hours)]], "")</f>
        <v/>
      </c>
      <c r="N752" s="57" t="str">
        <f>IFERROR(Table1[[#This Row],[Running Time (hr)]]/Table1[Target Time (Hours)], "")</f>
        <v/>
      </c>
      <c r="O752" s="57" t="str">
        <f>IFERROR(Table1[[#This Row],[Actual Production (Kg)]]/Table1[Capacity (Kg)], "")</f>
        <v/>
      </c>
      <c r="P752" s="57" t="str">
        <f>IFERROR(Table1[[#This Row],[Quality Pass Production]]/Table1[[#This Row],[Actual Production (Kg)]], "")</f>
        <v/>
      </c>
      <c r="Q752" s="57" t="str">
        <f>IFERROR(Table1[[#This Row],[Utilization %]]*Table1[[#This Row],[Efficiency %]]*Table1[[#This Row],[Quality %]], "")</f>
        <v/>
      </c>
      <c r="R752" s="52" t="s">
        <v>156</v>
      </c>
    </row>
    <row r="753" spans="1:18" ht="30" customHeight="1" x14ac:dyDescent="0.25">
      <c r="A753" s="47">
        <v>46183</v>
      </c>
      <c r="B753" s="48" t="s">
        <v>33</v>
      </c>
      <c r="C753" s="48" t="s">
        <v>34</v>
      </c>
      <c r="D753" s="48" t="s">
        <v>35</v>
      </c>
      <c r="E753" s="49">
        <v>9000</v>
      </c>
      <c r="F753" s="76">
        <v>7057</v>
      </c>
      <c r="G753" s="49">
        <v>0</v>
      </c>
      <c r="H753" s="50">
        <f>IFERROR(Table1[Re-process (Kg)]/Table1[Actual Production (Kg)], "")</f>
        <v>0</v>
      </c>
      <c r="I753" s="49">
        <f>IFERROR(Table1[[#This Row],[Actual Production (Kg)]]-Table1[[#This Row],[Re-process (Kg)]], "")</f>
        <v>7057</v>
      </c>
      <c r="J753" s="49">
        <v>22</v>
      </c>
      <c r="K753" s="72"/>
      <c r="L753" s="49">
        <f>IF(Table1[[#This Row],[Target Time (Hours)]]="","",Table1[[#This Row],[Target Time (Hours)]]-Table1[[#This Row],[Downtime (Hours)]])</f>
        <v>22</v>
      </c>
      <c r="M753" s="49">
        <f>IFERROR(Table1[[#This Row],[Capacity (Kg)]]/Table1[[#This Row],[Target Time (Hours)]] * Table1[[#This Row],[Downtime (Hours)]], "")</f>
        <v>0</v>
      </c>
      <c r="N753" s="50">
        <f>IFERROR(Table1[[#This Row],[Running Time (hr)]]/Table1[Target Time (Hours)], "")</f>
        <v>1</v>
      </c>
      <c r="O753" s="50">
        <f>IFERROR(Table1[[#This Row],[Actual Production (Kg)]]/Table1[Capacity (Kg)], "")</f>
        <v>0.78411111111111109</v>
      </c>
      <c r="P753" s="50">
        <f>IFERROR(Table1[[#This Row],[Quality Pass Production]]/Table1[[#This Row],[Actual Production (Kg)]], "")</f>
        <v>1</v>
      </c>
      <c r="Q753" s="50">
        <f>IFERROR(Table1[[#This Row],[Utilization %]]*Table1[[#This Row],[Efficiency %]]*Table1[[#This Row],[Quality %]], "")</f>
        <v>0.78411111111111109</v>
      </c>
      <c r="R753" s="48" t="s">
        <v>191</v>
      </c>
    </row>
    <row r="754" spans="1:18" ht="30" customHeight="1" x14ac:dyDescent="0.25">
      <c r="A754" s="47">
        <v>46183</v>
      </c>
      <c r="B754" s="48" t="s">
        <v>33</v>
      </c>
      <c r="C754" s="48" t="s">
        <v>36</v>
      </c>
      <c r="D754" s="48" t="s">
        <v>37</v>
      </c>
      <c r="E754" s="49">
        <v>8000</v>
      </c>
      <c r="F754" s="76">
        <v>7433</v>
      </c>
      <c r="G754" s="49">
        <v>0</v>
      </c>
      <c r="H754" s="50">
        <f>IFERROR(Table1[Re-process (Kg)]/Table1[Actual Production (Kg)], "")</f>
        <v>0</v>
      </c>
      <c r="I754" s="49">
        <f>IFERROR(Table1[[#This Row],[Actual Production (Kg)]]-Table1[[#This Row],[Re-process (Kg)]], "")</f>
        <v>7433</v>
      </c>
      <c r="J754" s="49">
        <v>22</v>
      </c>
      <c r="K754" s="72">
        <v>1</v>
      </c>
      <c r="L754" s="49">
        <f>IF(Table1[[#This Row],[Target Time (Hours)]]="","",Table1[[#This Row],[Target Time (Hours)]]-Table1[[#This Row],[Downtime (Hours)]])</f>
        <v>21</v>
      </c>
      <c r="M754" s="49">
        <f>IFERROR(Table1[[#This Row],[Capacity (Kg)]]/Table1[[#This Row],[Target Time (Hours)]] * Table1[[#This Row],[Downtime (Hours)]], "")</f>
        <v>363.63636363636363</v>
      </c>
      <c r="N754" s="50">
        <f>IFERROR(Table1[[#This Row],[Running Time (hr)]]/Table1[Target Time (Hours)], "")</f>
        <v>0.95454545454545459</v>
      </c>
      <c r="O754" s="50">
        <f>IFERROR(Table1[[#This Row],[Actual Production (Kg)]]/Table1[Capacity (Kg)], "")</f>
        <v>0.92912499999999998</v>
      </c>
      <c r="P754" s="50">
        <f>IFERROR(Table1[[#This Row],[Quality Pass Production]]/Table1[[#This Row],[Actual Production (Kg)]], "")</f>
        <v>1</v>
      </c>
      <c r="Q754" s="50">
        <f>IFERROR(Table1[[#This Row],[Utilization %]]*Table1[[#This Row],[Efficiency %]]*Table1[[#This Row],[Quality %]], "")</f>
        <v>0.88689204545454547</v>
      </c>
      <c r="R754" s="48" t="s">
        <v>190</v>
      </c>
    </row>
    <row r="755" spans="1:18" ht="30" customHeight="1" x14ac:dyDescent="0.25">
      <c r="A755" s="47">
        <v>46183</v>
      </c>
      <c r="B755" s="48" t="s">
        <v>33</v>
      </c>
      <c r="C755" s="48" t="s">
        <v>39</v>
      </c>
      <c r="D755" s="48" t="s">
        <v>31</v>
      </c>
      <c r="E755" s="49">
        <v>6000</v>
      </c>
      <c r="F755" s="76">
        <v>2762</v>
      </c>
      <c r="G755" s="49">
        <v>0</v>
      </c>
      <c r="H755" s="50">
        <f>IFERROR(Table1[Re-process (Kg)]/Table1[Actual Production (Kg)], "")</f>
        <v>0</v>
      </c>
      <c r="I755" s="49">
        <f>IFERROR(Table1[[#This Row],[Actual Production (Kg)]]-Table1[[#This Row],[Re-process (Kg)]], "")</f>
        <v>2762</v>
      </c>
      <c r="J755" s="49">
        <v>22</v>
      </c>
      <c r="K755" s="72"/>
      <c r="L755" s="49">
        <f>IF(Table1[[#This Row],[Target Time (Hours)]]="","",Table1[[#This Row],[Target Time (Hours)]]-Table1[[#This Row],[Downtime (Hours)]])</f>
        <v>22</v>
      </c>
      <c r="M755" s="49">
        <f>IFERROR(Table1[[#This Row],[Capacity (Kg)]]/Table1[[#This Row],[Target Time (Hours)]] * Table1[[#This Row],[Downtime (Hours)]], "")</f>
        <v>0</v>
      </c>
      <c r="N755" s="50">
        <f>IFERROR(Table1[[#This Row],[Running Time (hr)]]/Table1[Target Time (Hours)], "")</f>
        <v>1</v>
      </c>
      <c r="O755" s="50">
        <f>IFERROR(Table1[[#This Row],[Actual Production (Kg)]]/Table1[Capacity (Kg)], "")</f>
        <v>0.46033333333333332</v>
      </c>
      <c r="P755" s="50">
        <f>IFERROR(Table1[[#This Row],[Quality Pass Production]]/Table1[[#This Row],[Actual Production (Kg)]], "")</f>
        <v>1</v>
      </c>
      <c r="Q755" s="50">
        <f>IFERROR(Table1[[#This Row],[Utilization %]]*Table1[[#This Row],[Efficiency %]]*Table1[[#This Row],[Quality %]], "")</f>
        <v>0.46033333333333332</v>
      </c>
      <c r="R755" s="48" t="s">
        <v>191</v>
      </c>
    </row>
    <row r="756" spans="1:18" ht="45" customHeight="1" x14ac:dyDescent="0.25">
      <c r="A756" s="54">
        <v>46183</v>
      </c>
      <c r="B756" s="55" t="s">
        <v>33</v>
      </c>
      <c r="C756" s="55" t="s">
        <v>40</v>
      </c>
      <c r="D756" s="55" t="s">
        <v>31</v>
      </c>
      <c r="E756" s="56">
        <v>5000</v>
      </c>
      <c r="F756" s="56">
        <v>4407</v>
      </c>
      <c r="G756" s="56">
        <v>0</v>
      </c>
      <c r="H756" s="58">
        <f>IFERROR(Table1[Re-process (Kg)]/Table1[Actual Production (Kg)], "")</f>
        <v>0</v>
      </c>
      <c r="I756" s="56">
        <f>IFERROR(Table1[[#This Row],[Actual Production (Kg)]]-Table1[[#This Row],[Re-process (Kg)]], "")</f>
        <v>4407</v>
      </c>
      <c r="J756" s="56">
        <v>22</v>
      </c>
      <c r="K756" s="55"/>
      <c r="L756" s="56">
        <f>IF(Table1[[#This Row],[Target Time (Hours)]]="","",Table1[[#This Row],[Target Time (Hours)]]-Table1[[#This Row],[Downtime (Hours)]])</f>
        <v>22</v>
      </c>
      <c r="M756" s="56">
        <f>IFERROR(Table1[[#This Row],[Capacity (Kg)]]/Table1[[#This Row],[Target Time (Hours)]] * Table1[[#This Row],[Downtime (Hours)]], "")</f>
        <v>0</v>
      </c>
      <c r="N756" s="58">
        <f>IFERROR(Table1[[#This Row],[Running Time (hr)]]/Table1[Target Time (Hours)], "")</f>
        <v>1</v>
      </c>
      <c r="O756" s="58">
        <f>IFERROR(Table1[[#This Row],[Actual Production (Kg)]]/Table1[Capacity (Kg)], "")</f>
        <v>0.88139999999999996</v>
      </c>
      <c r="P756" s="58">
        <f>IFERROR(Table1[[#This Row],[Quality Pass Production]]/Table1[[#This Row],[Actual Production (Kg)]], "")</f>
        <v>1</v>
      </c>
      <c r="Q756" s="58">
        <f>IFERROR(Table1[[#This Row],[Utilization %]]*Table1[[#This Row],[Efficiency %]]*Table1[[#This Row],[Quality %]], "")</f>
        <v>0.88139999999999996</v>
      </c>
      <c r="R756" s="55" t="s">
        <v>191</v>
      </c>
    </row>
    <row r="757" spans="1:18" ht="30" customHeight="1" x14ac:dyDescent="0.25">
      <c r="A757" s="47">
        <v>46184</v>
      </c>
      <c r="B757" s="48" t="s">
        <v>18</v>
      </c>
      <c r="C757" s="48" t="s">
        <v>19</v>
      </c>
      <c r="D757" s="48" t="s">
        <v>20</v>
      </c>
      <c r="E757" s="49">
        <v>10000</v>
      </c>
      <c r="F757" s="76">
        <v>10000</v>
      </c>
      <c r="G757" s="49">
        <v>0</v>
      </c>
      <c r="H757" s="50">
        <f>IFERROR(Table1[Re-process (Kg)]/Table1[Actual Production (Kg)], "")</f>
        <v>0</v>
      </c>
      <c r="I757" s="49">
        <f>IFERROR(Table1[[#This Row],[Actual Production (Kg)]]-Table1[[#This Row],[Re-process (Kg)]], "")</f>
        <v>10000</v>
      </c>
      <c r="J757" s="49">
        <v>22</v>
      </c>
      <c r="K757" s="72"/>
      <c r="L757" s="49">
        <f>IF(Table1[[#This Row],[Target Time (Hours)]]="","",Table1[[#This Row],[Target Time (Hours)]]-Table1[[#This Row],[Downtime (Hours)]])</f>
        <v>22</v>
      </c>
      <c r="M757" s="49">
        <f>IFERROR(Table1[[#This Row],[Capacity (Kg)]]/Table1[[#This Row],[Target Time (Hours)]] * Table1[[#This Row],[Downtime (Hours)]], "")</f>
        <v>0</v>
      </c>
      <c r="N757" s="50">
        <f>IFERROR(Table1[[#This Row],[Running Time (hr)]]/Table1[Target Time (Hours)], "")</f>
        <v>1</v>
      </c>
      <c r="O757" s="50">
        <f>IFERROR(Table1[[#This Row],[Actual Production (Kg)]]/Table1[Capacity (Kg)], "")</f>
        <v>1</v>
      </c>
      <c r="P757" s="50">
        <f>IFERROR(Table1[[#This Row],[Quality Pass Production]]/Table1[[#This Row],[Actual Production (Kg)]], "")</f>
        <v>1</v>
      </c>
      <c r="Q757" s="50">
        <f>IFERROR(Table1[[#This Row],[Utilization %]]*Table1[[#This Row],[Efficiency %]]*Table1[[#This Row],[Quality %]], "")</f>
        <v>1</v>
      </c>
    </row>
    <row r="758" spans="1:18" x14ac:dyDescent="0.25">
      <c r="A758" s="47">
        <v>46184</v>
      </c>
      <c r="B758" s="48" t="s">
        <v>18</v>
      </c>
      <c r="C758" s="48" t="s">
        <v>22</v>
      </c>
      <c r="D758" s="48" t="s">
        <v>23</v>
      </c>
      <c r="E758" s="49">
        <v>5000</v>
      </c>
      <c r="F758" s="76">
        <v>1741</v>
      </c>
      <c r="G758" s="49">
        <v>0</v>
      </c>
      <c r="H758" s="50">
        <f>IFERROR(Table1[Re-process (Kg)]/Table1[Actual Production (Kg)], "")</f>
        <v>0</v>
      </c>
      <c r="I758" s="49">
        <f>IFERROR(Table1[[#This Row],[Actual Production (Kg)]]-Table1[[#This Row],[Re-process (Kg)]], "")</f>
        <v>1741</v>
      </c>
      <c r="J758" s="49">
        <v>22</v>
      </c>
      <c r="K758" s="72">
        <v>1</v>
      </c>
      <c r="L758" s="49">
        <f>IF(Table1[[#This Row],[Target Time (Hours)]]="","",Table1[[#This Row],[Target Time (Hours)]]-Table1[[#This Row],[Downtime (Hours)]])</f>
        <v>21</v>
      </c>
      <c r="M758" s="49">
        <f>IFERROR(Table1[[#This Row],[Capacity (Kg)]]/Table1[[#This Row],[Target Time (Hours)]] * Table1[[#This Row],[Downtime (Hours)]], "")</f>
        <v>227.27272727272728</v>
      </c>
      <c r="N758" s="50">
        <f>IFERROR(Table1[[#This Row],[Running Time (hr)]]/Table1[Target Time (Hours)], "")</f>
        <v>0.95454545454545459</v>
      </c>
      <c r="O758" s="50">
        <f>IFERROR(Table1[[#This Row],[Actual Production (Kg)]]/Table1[Capacity (Kg)], "")</f>
        <v>0.34820000000000001</v>
      </c>
      <c r="P758" s="50">
        <f>IFERROR(Table1[[#This Row],[Quality Pass Production]]/Table1[[#This Row],[Actual Production (Kg)]], "")</f>
        <v>1</v>
      </c>
      <c r="Q758" s="50">
        <f>IFERROR(Table1[[#This Row],[Utilization %]]*Table1[[#This Row],[Efficiency %]]*Table1[[#This Row],[Quality %]], "")</f>
        <v>0.33237272727272732</v>
      </c>
    </row>
    <row r="759" spans="1:18" x14ac:dyDescent="0.25">
      <c r="A759" s="47">
        <v>46184</v>
      </c>
      <c r="B759" s="48" t="s">
        <v>18</v>
      </c>
      <c r="C759" s="48" t="s">
        <v>22</v>
      </c>
      <c r="D759" s="48" t="s">
        <v>25</v>
      </c>
      <c r="E759" s="49">
        <v>4000</v>
      </c>
      <c r="F759" s="76">
        <v>7207</v>
      </c>
      <c r="G759" s="49">
        <v>0</v>
      </c>
      <c r="H759" s="50">
        <f>IFERROR(Table1[Re-process (Kg)]/Table1[Actual Production (Kg)], "")</f>
        <v>0</v>
      </c>
      <c r="I759" s="49">
        <f>IFERROR(Table1[[#This Row],[Actual Production (Kg)]]-Table1[[#This Row],[Re-process (Kg)]], "")</f>
        <v>7207</v>
      </c>
      <c r="J759" s="49"/>
      <c r="K759" s="72"/>
      <c r="L759" s="49" t="str">
        <f>IF(Table1[[#This Row],[Target Time (Hours)]]="","",Table1[[#This Row],[Target Time (Hours)]]-Table1[[#This Row],[Downtime (Hours)]])</f>
        <v/>
      </c>
      <c r="M759" s="49" t="str">
        <f>IFERROR(Table1[[#This Row],[Capacity (Kg)]]/Table1[[#This Row],[Target Time (Hours)]] * Table1[[#This Row],[Downtime (Hours)]], "")</f>
        <v/>
      </c>
      <c r="N759" s="50" t="str">
        <f>IFERROR(Table1[[#This Row],[Running Time (hr)]]/Table1[Target Time (Hours)], "")</f>
        <v/>
      </c>
      <c r="O759" s="50">
        <f>IFERROR(Table1[[#This Row],[Actual Production (Kg)]]/Table1[Capacity (Kg)], "")</f>
        <v>1.80175</v>
      </c>
      <c r="P759" s="50">
        <f>IFERROR(Table1[[#This Row],[Quality Pass Production]]/Table1[[#This Row],[Actual Production (Kg)]], "")</f>
        <v>1</v>
      </c>
      <c r="Q759" s="50" t="str">
        <f>IFERROR(Table1[[#This Row],[Utilization %]]*Table1[[#This Row],[Efficiency %]]*Table1[[#This Row],[Quality %]], "")</f>
        <v/>
      </c>
      <c r="R759" s="48" t="s">
        <v>199</v>
      </c>
    </row>
    <row r="760" spans="1:18" x14ac:dyDescent="0.25">
      <c r="A760" s="47">
        <v>46184</v>
      </c>
      <c r="B760" s="48" t="s">
        <v>18</v>
      </c>
      <c r="C760" s="48" t="s">
        <v>26</v>
      </c>
      <c r="D760" s="48" t="s">
        <v>25</v>
      </c>
      <c r="E760" s="49">
        <v>7000</v>
      </c>
      <c r="F760" s="76">
        <v>7446</v>
      </c>
      <c r="G760" s="49">
        <v>0</v>
      </c>
      <c r="H760" s="50">
        <f>IFERROR(Table1[Re-process (Kg)]/Table1[Actual Production (Kg)], "")</f>
        <v>0</v>
      </c>
      <c r="I760" s="49">
        <f>IFERROR(Table1[[#This Row],[Actual Production (Kg)]]-Table1[[#This Row],[Re-process (Kg)]], "")</f>
        <v>7446</v>
      </c>
      <c r="J760" s="49">
        <v>22</v>
      </c>
      <c r="K760" s="72">
        <v>1</v>
      </c>
      <c r="L760" s="49">
        <f>IF(Table1[[#This Row],[Target Time (Hours)]]="","",Table1[[#This Row],[Target Time (Hours)]]-Table1[[#This Row],[Downtime (Hours)]])</f>
        <v>21</v>
      </c>
      <c r="M760" s="49">
        <f>IFERROR(Table1[[#This Row],[Capacity (Kg)]]/Table1[[#This Row],[Target Time (Hours)]] * Table1[[#This Row],[Downtime (Hours)]], "")</f>
        <v>318.18181818181819</v>
      </c>
      <c r="N760" s="50">
        <f>IFERROR(Table1[[#This Row],[Running Time (hr)]]/Table1[Target Time (Hours)], "")</f>
        <v>0.95454545454545459</v>
      </c>
      <c r="O760" s="50">
        <f>IFERROR(Table1[[#This Row],[Actual Production (Kg)]]/Table1[Capacity (Kg)], "")</f>
        <v>1.0637142857142856</v>
      </c>
      <c r="P760" s="50">
        <f>IFERROR(Table1[[#This Row],[Quality Pass Production]]/Table1[[#This Row],[Actual Production (Kg)]], "")</f>
        <v>1</v>
      </c>
      <c r="Q760" s="50">
        <f>IFERROR(Table1[[#This Row],[Utilization %]]*Table1[[#This Row],[Efficiency %]]*Table1[[#This Row],[Quality %]], "")</f>
        <v>1.0153636363636362</v>
      </c>
    </row>
    <row r="761" spans="1:18" ht="30" customHeight="1" x14ac:dyDescent="0.25">
      <c r="A761" s="47">
        <v>46184</v>
      </c>
      <c r="B761" s="48" t="s">
        <v>18</v>
      </c>
      <c r="C761" s="48" t="s">
        <v>28</v>
      </c>
      <c r="D761" s="48" t="s">
        <v>29</v>
      </c>
      <c r="E761" s="49">
        <v>7800</v>
      </c>
      <c r="F761" s="76">
        <v>4808</v>
      </c>
      <c r="G761" s="49">
        <v>0</v>
      </c>
      <c r="H761" s="50">
        <f>IFERROR(Table1[Re-process (Kg)]/Table1[Actual Production (Kg)], "")</f>
        <v>0</v>
      </c>
      <c r="I761" s="49">
        <f>IFERROR(Table1[[#This Row],[Actual Production (Kg)]]-Table1[[#This Row],[Re-process (Kg)]], "")</f>
        <v>4808</v>
      </c>
      <c r="J761" s="49">
        <v>22</v>
      </c>
      <c r="K761" s="72"/>
      <c r="L761" s="49">
        <f>IF(Table1[[#This Row],[Target Time (Hours)]]="","",Table1[[#This Row],[Target Time (Hours)]]-Table1[[#This Row],[Downtime (Hours)]])</f>
        <v>22</v>
      </c>
      <c r="M761" s="49">
        <f>IFERROR(Table1[[#This Row],[Capacity (Kg)]]/Table1[[#This Row],[Target Time (Hours)]] * Table1[[#This Row],[Downtime (Hours)]], "")</f>
        <v>0</v>
      </c>
      <c r="N761" s="50">
        <f>IFERROR(Table1[[#This Row],[Running Time (hr)]]/Table1[Target Time (Hours)], "")</f>
        <v>1</v>
      </c>
      <c r="O761" s="50">
        <f>IFERROR(Table1[[#This Row],[Actual Production (Kg)]]/Table1[Capacity (Kg)], "")</f>
        <v>0.61641025641025637</v>
      </c>
      <c r="P761" s="50">
        <f>IFERROR(Table1[[#This Row],[Quality Pass Production]]/Table1[[#This Row],[Actual Production (Kg)]], "")</f>
        <v>1</v>
      </c>
      <c r="Q761" s="50">
        <f>IFERROR(Table1[[#This Row],[Utilization %]]*Table1[[#This Row],[Efficiency %]]*Table1[[#This Row],[Quality %]], "")</f>
        <v>0.61641025641025637</v>
      </c>
    </row>
    <row r="762" spans="1:18" ht="30" customHeight="1" x14ac:dyDescent="0.25">
      <c r="A762" s="51">
        <v>46184</v>
      </c>
      <c r="B762" s="52" t="s">
        <v>18</v>
      </c>
      <c r="C762" s="52" t="s">
        <v>135</v>
      </c>
      <c r="D762" s="52" t="s">
        <v>29</v>
      </c>
      <c r="E762" s="53"/>
      <c r="F762" s="53"/>
      <c r="G762" s="79"/>
      <c r="H762" s="57" t="str">
        <f>IFERROR(Table1[Re-process (Kg)]/Table1[Actual Production (Kg)], "")</f>
        <v/>
      </c>
      <c r="I762" s="53">
        <f>IFERROR(Table1[[#This Row],[Actual Production (Kg)]]-Table1[[#This Row],[Re-process (Kg)]], "")</f>
        <v>0</v>
      </c>
      <c r="J762" s="53"/>
      <c r="K762" s="52"/>
      <c r="L762" s="53" t="str">
        <f>IF(Table1[[#This Row],[Target Time (Hours)]]="","",Table1[[#This Row],[Target Time (Hours)]]-Table1[[#This Row],[Downtime (Hours)]])</f>
        <v/>
      </c>
      <c r="M762" s="53" t="str">
        <f>IFERROR(Table1[[#This Row],[Capacity (Kg)]]/Table1[[#This Row],[Target Time (Hours)]] * Table1[[#This Row],[Downtime (Hours)]], "")</f>
        <v/>
      </c>
      <c r="N762" s="57" t="str">
        <f>IFERROR(Table1[[#This Row],[Running Time (hr)]]/Table1[Target Time (Hours)], "")</f>
        <v/>
      </c>
      <c r="O762" s="57" t="str">
        <f>IFERROR(Table1[[#This Row],[Actual Production (Kg)]]/Table1[Capacity (Kg)], "")</f>
        <v/>
      </c>
      <c r="P762" s="57" t="str">
        <f>IFERROR(Table1[[#This Row],[Quality Pass Production]]/Table1[[#This Row],[Actual Production (Kg)]], "")</f>
        <v/>
      </c>
      <c r="Q762" s="57" t="str">
        <f>IFERROR(Table1[[#This Row],[Utilization %]]*Table1[[#This Row],[Efficiency %]]*Table1[[#This Row],[Quality %]], "")</f>
        <v/>
      </c>
      <c r="R762" s="52" t="s">
        <v>156</v>
      </c>
    </row>
    <row r="763" spans="1:18" ht="30" customHeight="1" x14ac:dyDescent="0.25">
      <c r="A763" s="47">
        <v>46184</v>
      </c>
      <c r="B763" s="48" t="s">
        <v>18</v>
      </c>
      <c r="C763" s="48" t="s">
        <v>30</v>
      </c>
      <c r="D763" s="48" t="s">
        <v>31</v>
      </c>
      <c r="E763" s="49">
        <v>9000</v>
      </c>
      <c r="F763" s="76">
        <v>8086</v>
      </c>
      <c r="G763" s="49">
        <v>0</v>
      </c>
      <c r="H763" s="50">
        <f>IFERROR(Table1[Re-process (Kg)]/Table1[Actual Production (Kg)], "")</f>
        <v>0</v>
      </c>
      <c r="I763" s="49">
        <f>IFERROR(Table1[[#This Row],[Actual Production (Kg)]]-Table1[[#This Row],[Re-process (Kg)]], "")</f>
        <v>8086</v>
      </c>
      <c r="J763" s="49">
        <v>22</v>
      </c>
      <c r="K763" s="72"/>
      <c r="L763" s="49">
        <f>IF(Table1[[#This Row],[Target Time (Hours)]]="","",Table1[[#This Row],[Target Time (Hours)]]-Table1[[#This Row],[Downtime (Hours)]])</f>
        <v>22</v>
      </c>
      <c r="M763" s="49">
        <f>IFERROR(Table1[[#This Row],[Capacity (Kg)]]/Table1[[#This Row],[Target Time (Hours)]] * Table1[[#This Row],[Downtime (Hours)]], "")</f>
        <v>0</v>
      </c>
      <c r="N763" s="50">
        <f>IFERROR(Table1[[#This Row],[Running Time (hr)]]/Table1[Target Time (Hours)], "")</f>
        <v>1</v>
      </c>
      <c r="O763" s="50">
        <f>IFERROR(Table1[[#This Row],[Actual Production (Kg)]]/Table1[Capacity (Kg)], "")</f>
        <v>0.89844444444444449</v>
      </c>
      <c r="P763" s="50">
        <f>IFERROR(Table1[[#This Row],[Quality Pass Production]]/Table1[[#This Row],[Actual Production (Kg)]], "")</f>
        <v>1</v>
      </c>
      <c r="Q763" s="50">
        <f>IFERROR(Table1[[#This Row],[Utilization %]]*Table1[[#This Row],[Efficiency %]]*Table1[[#This Row],[Quality %]], "")</f>
        <v>0.89844444444444449</v>
      </c>
    </row>
    <row r="764" spans="1:18" ht="30" customHeight="1" x14ac:dyDescent="0.25">
      <c r="A764" s="51">
        <v>46184</v>
      </c>
      <c r="B764" s="52" t="s">
        <v>18</v>
      </c>
      <c r="C764" s="52" t="s">
        <v>32</v>
      </c>
      <c r="D764" s="52" t="s">
        <v>31</v>
      </c>
      <c r="E764" s="79">
        <f>Table1[[#This Row],[Actual Production (Kg)]]</f>
        <v>0</v>
      </c>
      <c r="F764" s="53"/>
      <c r="G764" s="79"/>
      <c r="H764" s="57" t="str">
        <f>IFERROR(Table1[Re-process (Kg)]/Table1[Actual Production (Kg)], "")</f>
        <v/>
      </c>
      <c r="I764" s="53">
        <f>IFERROR(Table1[[#This Row],[Actual Production (Kg)]]-Table1[[#This Row],[Re-process (Kg)]], "")</f>
        <v>0</v>
      </c>
      <c r="J764" s="53"/>
      <c r="K764" s="52"/>
      <c r="L764" s="53" t="str">
        <f>IF(Table1[[#This Row],[Target Time (Hours)]]="","",Table1[[#This Row],[Target Time (Hours)]]-Table1[[#This Row],[Downtime (Hours)]])</f>
        <v/>
      </c>
      <c r="M764" s="53" t="str">
        <f>IFERROR(Table1[[#This Row],[Capacity (Kg)]]/Table1[[#This Row],[Target Time (Hours)]] * Table1[[#This Row],[Downtime (Hours)]], "")</f>
        <v/>
      </c>
      <c r="N764" s="57" t="str">
        <f>IFERROR(Table1[[#This Row],[Running Time (hr)]]/Table1[Target Time (Hours)], "")</f>
        <v/>
      </c>
      <c r="O764" s="57" t="str">
        <f>IFERROR(Table1[[#This Row],[Actual Production (Kg)]]/Table1[Capacity (Kg)], "")</f>
        <v/>
      </c>
      <c r="P764" s="57" t="str">
        <f>IFERROR(Table1[[#This Row],[Quality Pass Production]]/Table1[[#This Row],[Actual Production (Kg)]], "")</f>
        <v/>
      </c>
      <c r="Q764" s="57" t="str">
        <f>IFERROR(Table1[[#This Row],[Utilization %]]*Table1[[#This Row],[Efficiency %]]*Table1[[#This Row],[Quality %]], "")</f>
        <v/>
      </c>
      <c r="R764" s="52" t="s">
        <v>156</v>
      </c>
    </row>
    <row r="765" spans="1:18" ht="30" customHeight="1" x14ac:dyDescent="0.25">
      <c r="A765" s="47">
        <v>46184</v>
      </c>
      <c r="B765" s="48" t="s">
        <v>33</v>
      </c>
      <c r="C765" s="48" t="s">
        <v>34</v>
      </c>
      <c r="D765" s="48" t="s">
        <v>35</v>
      </c>
      <c r="E765" s="49">
        <v>9000</v>
      </c>
      <c r="F765" s="76">
        <v>6399</v>
      </c>
      <c r="G765" s="49">
        <v>0</v>
      </c>
      <c r="H765" s="50">
        <f>IFERROR(Table1[Re-process (Kg)]/Table1[Actual Production (Kg)], "")</f>
        <v>0</v>
      </c>
      <c r="I765" s="49">
        <f>IFERROR(Table1[[#This Row],[Actual Production (Kg)]]-Table1[[#This Row],[Re-process (Kg)]], "")</f>
        <v>6399</v>
      </c>
      <c r="J765" s="49">
        <v>22</v>
      </c>
      <c r="K765" s="72"/>
      <c r="L765" s="49">
        <f>IF(Table1[[#This Row],[Target Time (Hours)]]="","",Table1[[#This Row],[Target Time (Hours)]]-Table1[[#This Row],[Downtime (Hours)]])</f>
        <v>22</v>
      </c>
      <c r="M765" s="49">
        <f>IFERROR(Table1[[#This Row],[Capacity (Kg)]]/Table1[[#This Row],[Target Time (Hours)]] * Table1[[#This Row],[Downtime (Hours)]], "")</f>
        <v>0</v>
      </c>
      <c r="N765" s="50">
        <f>IFERROR(Table1[[#This Row],[Running Time (hr)]]/Table1[Target Time (Hours)], "")</f>
        <v>1</v>
      </c>
      <c r="O765" s="50">
        <f>IFERROR(Table1[[#This Row],[Actual Production (Kg)]]/Table1[Capacity (Kg)], "")</f>
        <v>0.71099999999999997</v>
      </c>
      <c r="P765" s="50">
        <f>IFERROR(Table1[[#This Row],[Quality Pass Production]]/Table1[[#This Row],[Actual Production (Kg)]], "")</f>
        <v>1</v>
      </c>
      <c r="Q765" s="50">
        <f>IFERROR(Table1[[#This Row],[Utilization %]]*Table1[[#This Row],[Efficiency %]]*Table1[[#This Row],[Quality %]], "")</f>
        <v>0.71099999999999997</v>
      </c>
      <c r="R765" s="48" t="s">
        <v>191</v>
      </c>
    </row>
    <row r="766" spans="1:18" ht="30" customHeight="1" x14ac:dyDescent="0.25">
      <c r="A766" s="47">
        <v>46184</v>
      </c>
      <c r="B766" s="48" t="s">
        <v>33</v>
      </c>
      <c r="C766" s="48" t="s">
        <v>36</v>
      </c>
      <c r="D766" s="48" t="s">
        <v>37</v>
      </c>
      <c r="E766" s="49">
        <v>8000</v>
      </c>
      <c r="F766" s="76">
        <v>6827</v>
      </c>
      <c r="G766" s="49">
        <v>0</v>
      </c>
      <c r="H766" s="50">
        <f>IFERROR(Table1[Re-process (Kg)]/Table1[Actual Production (Kg)], "")</f>
        <v>0</v>
      </c>
      <c r="I766" s="49">
        <f>IFERROR(Table1[[#This Row],[Actual Production (Kg)]]-Table1[[#This Row],[Re-process (Kg)]], "")</f>
        <v>6827</v>
      </c>
      <c r="J766" s="49">
        <v>22</v>
      </c>
      <c r="K766" s="72">
        <v>1</v>
      </c>
      <c r="L766" s="49">
        <f>IF(Table1[[#This Row],[Target Time (Hours)]]="","",Table1[[#This Row],[Target Time (Hours)]]-Table1[[#This Row],[Downtime (Hours)]])</f>
        <v>21</v>
      </c>
      <c r="M766" s="49">
        <f>IFERROR(Table1[[#This Row],[Capacity (Kg)]]/Table1[[#This Row],[Target Time (Hours)]] * Table1[[#This Row],[Downtime (Hours)]], "")</f>
        <v>363.63636363636363</v>
      </c>
      <c r="N766" s="50">
        <f>IFERROR(Table1[[#This Row],[Running Time (hr)]]/Table1[Target Time (Hours)], "")</f>
        <v>0.95454545454545459</v>
      </c>
      <c r="O766" s="50">
        <f>IFERROR(Table1[[#This Row],[Actual Production (Kg)]]/Table1[Capacity (Kg)], "")</f>
        <v>0.85337499999999999</v>
      </c>
      <c r="P766" s="50">
        <f>IFERROR(Table1[[#This Row],[Quality Pass Production]]/Table1[[#This Row],[Actual Production (Kg)]], "")</f>
        <v>1</v>
      </c>
      <c r="Q766" s="50">
        <f>IFERROR(Table1[[#This Row],[Utilization %]]*Table1[[#This Row],[Efficiency %]]*Table1[[#This Row],[Quality %]], "")</f>
        <v>0.81458522727272731</v>
      </c>
      <c r="R766" s="48" t="s">
        <v>190</v>
      </c>
    </row>
    <row r="767" spans="1:18" ht="30" customHeight="1" x14ac:dyDescent="0.25">
      <c r="A767" s="47">
        <v>46184</v>
      </c>
      <c r="B767" s="48" t="s">
        <v>33</v>
      </c>
      <c r="C767" s="48" t="s">
        <v>39</v>
      </c>
      <c r="D767" s="48" t="s">
        <v>31</v>
      </c>
      <c r="E767" s="49">
        <v>6000</v>
      </c>
      <c r="F767" s="76">
        <v>2587</v>
      </c>
      <c r="G767" s="49">
        <v>0</v>
      </c>
      <c r="H767" s="50">
        <f>IFERROR(Table1[Re-process (Kg)]/Table1[Actual Production (Kg)], "")</f>
        <v>0</v>
      </c>
      <c r="I767" s="49">
        <f>IFERROR(Table1[[#This Row],[Actual Production (Kg)]]-Table1[[#This Row],[Re-process (Kg)]], "")</f>
        <v>2587</v>
      </c>
      <c r="J767" s="49">
        <v>22</v>
      </c>
      <c r="K767" s="72"/>
      <c r="L767" s="49">
        <f>IF(Table1[[#This Row],[Target Time (Hours)]]="","",Table1[[#This Row],[Target Time (Hours)]]-Table1[[#This Row],[Downtime (Hours)]])</f>
        <v>22</v>
      </c>
      <c r="M767" s="49">
        <f>IFERROR(Table1[[#This Row],[Capacity (Kg)]]/Table1[[#This Row],[Target Time (Hours)]] * Table1[[#This Row],[Downtime (Hours)]], "")</f>
        <v>0</v>
      </c>
      <c r="N767" s="50">
        <f>IFERROR(Table1[[#This Row],[Running Time (hr)]]/Table1[Target Time (Hours)], "")</f>
        <v>1</v>
      </c>
      <c r="O767" s="50">
        <f>IFERROR(Table1[[#This Row],[Actual Production (Kg)]]/Table1[Capacity (Kg)], "")</f>
        <v>0.43116666666666664</v>
      </c>
      <c r="P767" s="50">
        <f>IFERROR(Table1[[#This Row],[Quality Pass Production]]/Table1[[#This Row],[Actual Production (Kg)]], "")</f>
        <v>1</v>
      </c>
      <c r="Q767" s="50">
        <f>IFERROR(Table1[[#This Row],[Utilization %]]*Table1[[#This Row],[Efficiency %]]*Table1[[#This Row],[Quality %]], "")</f>
        <v>0.43116666666666664</v>
      </c>
      <c r="R767" s="48" t="s">
        <v>191</v>
      </c>
    </row>
    <row r="768" spans="1:18" ht="45" customHeight="1" x14ac:dyDescent="0.25">
      <c r="A768" s="54">
        <v>46184</v>
      </c>
      <c r="B768" s="55" t="s">
        <v>33</v>
      </c>
      <c r="C768" s="55" t="s">
        <v>40</v>
      </c>
      <c r="D768" s="55" t="s">
        <v>31</v>
      </c>
      <c r="E768" s="56">
        <v>5000</v>
      </c>
      <c r="F768" s="56">
        <v>3016</v>
      </c>
      <c r="G768" s="56">
        <v>0</v>
      </c>
      <c r="H768" s="58">
        <f>IFERROR(Table1[Re-process (Kg)]/Table1[Actual Production (Kg)], "")</f>
        <v>0</v>
      </c>
      <c r="I768" s="56">
        <f>IFERROR(Table1[[#This Row],[Actual Production (Kg)]]-Table1[[#This Row],[Re-process (Kg)]], "")</f>
        <v>3016</v>
      </c>
      <c r="J768" s="56">
        <v>22</v>
      </c>
      <c r="K768" s="55"/>
      <c r="L768" s="56">
        <f>IF(Table1[[#This Row],[Target Time (Hours)]]="","",Table1[[#This Row],[Target Time (Hours)]]-Table1[[#This Row],[Downtime (Hours)]])</f>
        <v>22</v>
      </c>
      <c r="M768" s="56">
        <f>IFERROR(Table1[[#This Row],[Capacity (Kg)]]/Table1[[#This Row],[Target Time (Hours)]] * Table1[[#This Row],[Downtime (Hours)]], "")</f>
        <v>0</v>
      </c>
      <c r="N768" s="58">
        <f>IFERROR(Table1[[#This Row],[Running Time (hr)]]/Table1[Target Time (Hours)], "")</f>
        <v>1</v>
      </c>
      <c r="O768" s="58">
        <f>IFERROR(Table1[[#This Row],[Actual Production (Kg)]]/Table1[Capacity (Kg)], "")</f>
        <v>0.60319999999999996</v>
      </c>
      <c r="P768" s="58">
        <f>IFERROR(Table1[[#This Row],[Quality Pass Production]]/Table1[[#This Row],[Actual Production (Kg)]], "")</f>
        <v>1</v>
      </c>
      <c r="Q768" s="58">
        <f>IFERROR(Table1[[#This Row],[Utilization %]]*Table1[[#This Row],[Efficiency %]]*Table1[[#This Row],[Quality %]], "")</f>
        <v>0.60319999999999996</v>
      </c>
      <c r="R768" s="55" t="s">
        <v>191</v>
      </c>
    </row>
    <row r="769" spans="1:18" ht="30" customHeight="1" x14ac:dyDescent="0.25">
      <c r="A769" s="47">
        <v>46186</v>
      </c>
      <c r="B769" s="48" t="s">
        <v>18</v>
      </c>
      <c r="C769" s="48" t="s">
        <v>19</v>
      </c>
      <c r="D769" s="48" t="s">
        <v>20</v>
      </c>
      <c r="E769" s="49">
        <v>10000</v>
      </c>
      <c r="F769" s="76">
        <v>7465</v>
      </c>
      <c r="G769" s="49">
        <v>0</v>
      </c>
      <c r="H769" s="50">
        <f>IFERROR(Table1[Re-process (Kg)]/Table1[Actual Production (Kg)], "")</f>
        <v>0</v>
      </c>
      <c r="I769" s="49">
        <f>IFERROR(Table1[[#This Row],[Actual Production (Kg)]]-Table1[[#This Row],[Re-process (Kg)]], "")</f>
        <v>7465</v>
      </c>
      <c r="J769" s="49">
        <v>22</v>
      </c>
      <c r="K769" s="72">
        <v>3</v>
      </c>
      <c r="L769" s="49">
        <f>IF(Table1[[#This Row],[Target Time (Hours)]]="","",Table1[[#This Row],[Target Time (Hours)]]-Table1[[#This Row],[Downtime (Hours)]])</f>
        <v>19</v>
      </c>
      <c r="M769" s="49">
        <f>IFERROR(Table1[[#This Row],[Capacity (Kg)]]/Table1[[#This Row],[Target Time (Hours)]] * Table1[[#This Row],[Downtime (Hours)]], "")</f>
        <v>1363.6363636363637</v>
      </c>
      <c r="N769" s="50">
        <f>IFERROR(Table1[[#This Row],[Running Time (hr)]]/Table1[Target Time (Hours)], "")</f>
        <v>0.86363636363636365</v>
      </c>
      <c r="O769" s="50">
        <f>IFERROR(Table1[[#This Row],[Actual Production (Kg)]]/Table1[Capacity (Kg)], "")</f>
        <v>0.74650000000000005</v>
      </c>
      <c r="P769" s="50">
        <f>IFERROR(Table1[[#This Row],[Quality Pass Production]]/Table1[[#This Row],[Actual Production (Kg)]], "")</f>
        <v>1</v>
      </c>
      <c r="Q769" s="50">
        <f>IFERROR(Table1[[#This Row],[Utilization %]]*Table1[[#This Row],[Efficiency %]]*Table1[[#This Row],[Quality %]], "")</f>
        <v>0.64470454545454547</v>
      </c>
      <c r="R769" s="48" t="s">
        <v>200</v>
      </c>
    </row>
    <row r="770" spans="1:18" ht="30" customHeight="1" x14ac:dyDescent="0.25">
      <c r="A770" s="47">
        <v>46186</v>
      </c>
      <c r="B770" s="48" t="s">
        <v>18</v>
      </c>
      <c r="C770" s="48" t="s">
        <v>22</v>
      </c>
      <c r="D770" s="48" t="s">
        <v>23</v>
      </c>
      <c r="E770" s="49">
        <v>5000</v>
      </c>
      <c r="F770" s="76">
        <v>4946</v>
      </c>
      <c r="G770" s="49">
        <v>0</v>
      </c>
      <c r="H770" s="50">
        <f>IFERROR(Table1[Re-process (Kg)]/Table1[Actual Production (Kg)], "")</f>
        <v>0</v>
      </c>
      <c r="I770" s="49">
        <f>IFERROR(Table1[[#This Row],[Actual Production (Kg)]]-Table1[[#This Row],[Re-process (Kg)]], "")</f>
        <v>4946</v>
      </c>
      <c r="J770" s="49">
        <v>22</v>
      </c>
      <c r="K770" s="72">
        <v>1</v>
      </c>
      <c r="L770" s="49">
        <f>IF(Table1[[#This Row],[Target Time (Hours)]]="","",Table1[[#This Row],[Target Time (Hours)]]-Table1[[#This Row],[Downtime (Hours)]])</f>
        <v>21</v>
      </c>
      <c r="M770" s="49">
        <f>IFERROR(Table1[[#This Row],[Capacity (Kg)]]/Table1[[#This Row],[Target Time (Hours)]] * Table1[[#This Row],[Downtime (Hours)]], "")</f>
        <v>227.27272727272728</v>
      </c>
      <c r="N770" s="50">
        <f>IFERROR(Table1[[#This Row],[Running Time (hr)]]/Table1[Target Time (Hours)], "")</f>
        <v>0.95454545454545459</v>
      </c>
      <c r="O770" s="50">
        <f>IFERROR(Table1[[#This Row],[Actual Production (Kg)]]/Table1[Capacity (Kg)], "")</f>
        <v>0.98919999999999997</v>
      </c>
      <c r="P770" s="50">
        <f>IFERROR(Table1[[#This Row],[Quality Pass Production]]/Table1[[#This Row],[Actual Production (Kg)]], "")</f>
        <v>1</v>
      </c>
      <c r="Q770" s="50">
        <f>IFERROR(Table1[[#This Row],[Utilization %]]*Table1[[#This Row],[Efficiency %]]*Table1[[#This Row],[Quality %]], "")</f>
        <v>0.94423636363636365</v>
      </c>
      <c r="R770" s="48" t="s">
        <v>201</v>
      </c>
    </row>
    <row r="771" spans="1:18" x14ac:dyDescent="0.25">
      <c r="A771" s="47">
        <v>46186</v>
      </c>
      <c r="B771" s="48" t="s">
        <v>18</v>
      </c>
      <c r="C771" s="48" t="s">
        <v>22</v>
      </c>
      <c r="D771" s="48" t="s">
        <v>25</v>
      </c>
      <c r="E771" s="49">
        <v>4000</v>
      </c>
      <c r="F771" s="76">
        <v>1431</v>
      </c>
      <c r="G771" s="49">
        <v>0</v>
      </c>
      <c r="H771" s="50">
        <f>IFERROR(Table1[Re-process (Kg)]/Table1[Actual Production (Kg)], "")</f>
        <v>0</v>
      </c>
      <c r="I771" s="49">
        <f>IFERROR(Table1[[#This Row],[Actual Production (Kg)]]-Table1[[#This Row],[Re-process (Kg)]], "")</f>
        <v>1431</v>
      </c>
      <c r="J771" s="49"/>
      <c r="K771" s="72"/>
      <c r="L771" s="49" t="str">
        <f>IF(Table1[[#This Row],[Target Time (Hours)]]="","",Table1[[#This Row],[Target Time (Hours)]]-Table1[[#This Row],[Downtime (Hours)]])</f>
        <v/>
      </c>
      <c r="M771" s="49" t="str">
        <f>IFERROR(Table1[[#This Row],[Capacity (Kg)]]/Table1[[#This Row],[Target Time (Hours)]] * Table1[[#This Row],[Downtime (Hours)]], "")</f>
        <v/>
      </c>
      <c r="N771" s="50" t="str">
        <f>IFERROR(Table1[[#This Row],[Running Time (hr)]]/Table1[Target Time (Hours)], "")</f>
        <v/>
      </c>
      <c r="O771" s="50">
        <f>IFERROR(Table1[[#This Row],[Actual Production (Kg)]]/Table1[Capacity (Kg)], "")</f>
        <v>0.35775000000000001</v>
      </c>
      <c r="P771" s="50">
        <f>IFERROR(Table1[[#This Row],[Quality Pass Production]]/Table1[[#This Row],[Actual Production (Kg)]], "")</f>
        <v>1</v>
      </c>
      <c r="Q771" s="50" t="str">
        <f>IFERROR(Table1[[#This Row],[Utilization %]]*Table1[[#This Row],[Efficiency %]]*Table1[[#This Row],[Quality %]], "")</f>
        <v/>
      </c>
    </row>
    <row r="772" spans="1:18" x14ac:dyDescent="0.25">
      <c r="A772" s="47">
        <v>46186</v>
      </c>
      <c r="B772" s="48" t="s">
        <v>18</v>
      </c>
      <c r="C772" s="48" t="s">
        <v>26</v>
      </c>
      <c r="D772" s="48" t="s">
        <v>25</v>
      </c>
      <c r="E772" s="49">
        <v>7000</v>
      </c>
      <c r="F772" s="76">
        <v>6204</v>
      </c>
      <c r="G772" s="49">
        <v>0</v>
      </c>
      <c r="H772" s="50">
        <f>IFERROR(Table1[Re-process (Kg)]/Table1[Actual Production (Kg)], "")</f>
        <v>0</v>
      </c>
      <c r="I772" s="49">
        <f>IFERROR(Table1[[#This Row],[Actual Production (Kg)]]-Table1[[#This Row],[Re-process (Kg)]], "")</f>
        <v>6204</v>
      </c>
      <c r="J772" s="49">
        <v>22</v>
      </c>
      <c r="K772" s="72">
        <v>2</v>
      </c>
      <c r="L772" s="49">
        <f>IF(Table1[[#This Row],[Target Time (Hours)]]="","",Table1[[#This Row],[Target Time (Hours)]]-Table1[[#This Row],[Downtime (Hours)]])</f>
        <v>20</v>
      </c>
      <c r="M772" s="49">
        <f>IFERROR(Table1[[#This Row],[Capacity (Kg)]]/Table1[[#This Row],[Target Time (Hours)]] * Table1[[#This Row],[Downtime (Hours)]], "")</f>
        <v>636.36363636363637</v>
      </c>
      <c r="N772" s="50">
        <f>IFERROR(Table1[[#This Row],[Running Time (hr)]]/Table1[Target Time (Hours)], "")</f>
        <v>0.90909090909090906</v>
      </c>
      <c r="O772" s="50">
        <f>IFERROR(Table1[[#This Row],[Actual Production (Kg)]]/Table1[Capacity (Kg)], "")</f>
        <v>0.88628571428571423</v>
      </c>
      <c r="P772" s="50">
        <f>IFERROR(Table1[[#This Row],[Quality Pass Production]]/Table1[[#This Row],[Actual Production (Kg)]], "")</f>
        <v>1</v>
      </c>
      <c r="Q772" s="50">
        <f>IFERROR(Table1[[#This Row],[Utilization %]]*Table1[[#This Row],[Efficiency %]]*Table1[[#This Row],[Quality %]], "")</f>
        <v>0.80571428571428561</v>
      </c>
      <c r="R772" s="48" t="s">
        <v>202</v>
      </c>
    </row>
    <row r="773" spans="1:18" ht="30" customHeight="1" x14ac:dyDescent="0.25">
      <c r="A773" s="47">
        <v>46186</v>
      </c>
      <c r="B773" s="48" t="s">
        <v>18</v>
      </c>
      <c r="C773" s="48" t="s">
        <v>28</v>
      </c>
      <c r="D773" s="48" t="s">
        <v>29</v>
      </c>
      <c r="E773" s="49">
        <v>7800</v>
      </c>
      <c r="F773" s="76">
        <v>5986</v>
      </c>
      <c r="G773" s="49">
        <v>0</v>
      </c>
      <c r="H773" s="50">
        <f>IFERROR(Table1[Re-process (Kg)]/Table1[Actual Production (Kg)], "")</f>
        <v>0</v>
      </c>
      <c r="I773" s="49">
        <f>IFERROR(Table1[[#This Row],[Actual Production (Kg)]]-Table1[[#This Row],[Re-process (Kg)]], "")</f>
        <v>5986</v>
      </c>
      <c r="J773" s="49">
        <v>22</v>
      </c>
      <c r="K773" s="72">
        <v>2</v>
      </c>
      <c r="L773" s="49">
        <f>IF(Table1[[#This Row],[Target Time (Hours)]]="","",Table1[[#This Row],[Target Time (Hours)]]-Table1[[#This Row],[Downtime (Hours)]])</f>
        <v>20</v>
      </c>
      <c r="M773" s="49">
        <f>IFERROR(Table1[[#This Row],[Capacity (Kg)]]/Table1[[#This Row],[Target Time (Hours)]] * Table1[[#This Row],[Downtime (Hours)]], "")</f>
        <v>709.09090909090912</v>
      </c>
      <c r="N773" s="50">
        <f>IFERROR(Table1[[#This Row],[Running Time (hr)]]/Table1[Target Time (Hours)], "")</f>
        <v>0.90909090909090906</v>
      </c>
      <c r="O773" s="50">
        <f>IFERROR(Table1[[#This Row],[Actual Production (Kg)]]/Table1[Capacity (Kg)], "")</f>
        <v>0.76743589743589746</v>
      </c>
      <c r="P773" s="50">
        <f>IFERROR(Table1[[#This Row],[Quality Pass Production]]/Table1[[#This Row],[Actual Production (Kg)]], "")</f>
        <v>1</v>
      </c>
      <c r="Q773" s="50">
        <f>IFERROR(Table1[[#This Row],[Utilization %]]*Table1[[#This Row],[Efficiency %]]*Table1[[#This Row],[Quality %]], "")</f>
        <v>0.6976689976689977</v>
      </c>
      <c r="R773" s="48" t="s">
        <v>203</v>
      </c>
    </row>
    <row r="774" spans="1:18" ht="30" customHeight="1" x14ac:dyDescent="0.25">
      <c r="A774" s="51">
        <v>46186</v>
      </c>
      <c r="B774" s="52" t="s">
        <v>18</v>
      </c>
      <c r="C774" s="52" t="s">
        <v>135</v>
      </c>
      <c r="D774" s="52" t="s">
        <v>29</v>
      </c>
      <c r="E774" s="53"/>
      <c r="F774" s="53"/>
      <c r="G774" s="79"/>
      <c r="H774" s="57" t="str">
        <f>IFERROR(Table1[Re-process (Kg)]/Table1[Actual Production (Kg)], "")</f>
        <v/>
      </c>
      <c r="I774" s="53">
        <f>IFERROR(Table1[[#This Row],[Actual Production (Kg)]]-Table1[[#This Row],[Re-process (Kg)]], "")</f>
        <v>0</v>
      </c>
      <c r="J774" s="53"/>
      <c r="K774" s="52"/>
      <c r="L774" s="53" t="str">
        <f>IF(Table1[[#This Row],[Target Time (Hours)]]="","",Table1[[#This Row],[Target Time (Hours)]]-Table1[[#This Row],[Downtime (Hours)]])</f>
        <v/>
      </c>
      <c r="M774" s="53" t="str">
        <f>IFERROR(Table1[[#This Row],[Capacity (Kg)]]/Table1[[#This Row],[Target Time (Hours)]] * Table1[[#This Row],[Downtime (Hours)]], "")</f>
        <v/>
      </c>
      <c r="N774" s="57" t="str">
        <f>IFERROR(Table1[[#This Row],[Running Time (hr)]]/Table1[Target Time (Hours)], "")</f>
        <v/>
      </c>
      <c r="O774" s="57" t="str">
        <f>IFERROR(Table1[[#This Row],[Actual Production (Kg)]]/Table1[Capacity (Kg)], "")</f>
        <v/>
      </c>
      <c r="P774" s="57" t="str">
        <f>IFERROR(Table1[[#This Row],[Quality Pass Production]]/Table1[[#This Row],[Actual Production (Kg)]], "")</f>
        <v/>
      </c>
      <c r="Q774" s="57" t="str">
        <f>IFERROR(Table1[[#This Row],[Utilization %]]*Table1[[#This Row],[Efficiency %]]*Table1[[#This Row],[Quality %]], "")</f>
        <v/>
      </c>
      <c r="R774" s="52" t="s">
        <v>156</v>
      </c>
    </row>
    <row r="775" spans="1:18" ht="30" customHeight="1" x14ac:dyDescent="0.25">
      <c r="A775" s="47">
        <v>46186</v>
      </c>
      <c r="B775" s="48" t="s">
        <v>18</v>
      </c>
      <c r="C775" s="48" t="s">
        <v>30</v>
      </c>
      <c r="D775" s="48" t="s">
        <v>31</v>
      </c>
      <c r="E775" s="49">
        <v>9000</v>
      </c>
      <c r="F775" s="76">
        <v>6952</v>
      </c>
      <c r="G775" s="49">
        <v>0</v>
      </c>
      <c r="H775" s="50">
        <f>IFERROR(Table1[Re-process (Kg)]/Table1[Actual Production (Kg)], "")</f>
        <v>0</v>
      </c>
      <c r="I775" s="49">
        <f>IFERROR(Table1[[#This Row],[Actual Production (Kg)]]-Table1[[#This Row],[Re-process (Kg)]], "")</f>
        <v>6952</v>
      </c>
      <c r="J775" s="49">
        <v>22</v>
      </c>
      <c r="K775" s="72">
        <v>2</v>
      </c>
      <c r="L775" s="49">
        <f>IF(Table1[[#This Row],[Target Time (Hours)]]="","",Table1[[#This Row],[Target Time (Hours)]]-Table1[[#This Row],[Downtime (Hours)]])</f>
        <v>20</v>
      </c>
      <c r="M775" s="49">
        <f>IFERROR(Table1[[#This Row],[Capacity (Kg)]]/Table1[[#This Row],[Target Time (Hours)]] * Table1[[#This Row],[Downtime (Hours)]], "")</f>
        <v>818.18181818181813</v>
      </c>
      <c r="N775" s="50">
        <f>IFERROR(Table1[[#This Row],[Running Time (hr)]]/Table1[Target Time (Hours)], "")</f>
        <v>0.90909090909090906</v>
      </c>
      <c r="O775" s="50">
        <f>IFERROR(Table1[[#This Row],[Actual Production (Kg)]]/Table1[Capacity (Kg)], "")</f>
        <v>0.77244444444444449</v>
      </c>
      <c r="P775" s="50">
        <f>IFERROR(Table1[[#This Row],[Quality Pass Production]]/Table1[[#This Row],[Actual Production (Kg)]], "")</f>
        <v>1</v>
      </c>
      <c r="Q775" s="50">
        <f>IFERROR(Table1[[#This Row],[Utilization %]]*Table1[[#This Row],[Efficiency %]]*Table1[[#This Row],[Quality %]], "")</f>
        <v>0.70222222222222219</v>
      </c>
      <c r="R775" s="48" t="s">
        <v>204</v>
      </c>
    </row>
    <row r="776" spans="1:18" ht="30" customHeight="1" x14ac:dyDescent="0.25">
      <c r="A776" s="51">
        <v>46186</v>
      </c>
      <c r="B776" s="52" t="s">
        <v>18</v>
      </c>
      <c r="C776" s="52" t="s">
        <v>32</v>
      </c>
      <c r="D776" s="52" t="s">
        <v>31</v>
      </c>
      <c r="E776" s="79">
        <f>Table1[[#This Row],[Actual Production (Kg)]]</f>
        <v>0</v>
      </c>
      <c r="F776" s="53"/>
      <c r="G776" s="79"/>
      <c r="H776" s="57" t="str">
        <f>IFERROR(Table1[Re-process (Kg)]/Table1[Actual Production (Kg)], "")</f>
        <v/>
      </c>
      <c r="I776" s="53">
        <f>IFERROR(Table1[[#This Row],[Actual Production (Kg)]]-Table1[[#This Row],[Re-process (Kg)]], "")</f>
        <v>0</v>
      </c>
      <c r="J776" s="53"/>
      <c r="K776" s="52"/>
      <c r="L776" s="53" t="str">
        <f>IF(Table1[[#This Row],[Target Time (Hours)]]="","",Table1[[#This Row],[Target Time (Hours)]]-Table1[[#This Row],[Downtime (Hours)]])</f>
        <v/>
      </c>
      <c r="M776" s="53" t="str">
        <f>IFERROR(Table1[[#This Row],[Capacity (Kg)]]/Table1[[#This Row],[Target Time (Hours)]] * Table1[[#This Row],[Downtime (Hours)]], "")</f>
        <v/>
      </c>
      <c r="N776" s="57" t="str">
        <f>IFERROR(Table1[[#This Row],[Running Time (hr)]]/Table1[Target Time (Hours)], "")</f>
        <v/>
      </c>
      <c r="O776" s="57" t="str">
        <f>IFERROR(Table1[[#This Row],[Actual Production (Kg)]]/Table1[Capacity (Kg)], "")</f>
        <v/>
      </c>
      <c r="P776" s="57" t="str">
        <f>IFERROR(Table1[[#This Row],[Quality Pass Production]]/Table1[[#This Row],[Actual Production (Kg)]], "")</f>
        <v/>
      </c>
      <c r="Q776" s="57" t="str">
        <f>IFERROR(Table1[[#This Row],[Utilization %]]*Table1[[#This Row],[Efficiency %]]*Table1[[#This Row],[Quality %]], "")</f>
        <v/>
      </c>
      <c r="R776" s="52" t="s">
        <v>156</v>
      </c>
    </row>
    <row r="777" spans="1:18" ht="30" customHeight="1" x14ac:dyDescent="0.25">
      <c r="A777" s="47">
        <v>46186</v>
      </c>
      <c r="B777" s="48" t="s">
        <v>33</v>
      </c>
      <c r="C777" s="48" t="s">
        <v>34</v>
      </c>
      <c r="D777" s="48" t="s">
        <v>35</v>
      </c>
      <c r="E777" s="49">
        <v>9000</v>
      </c>
      <c r="F777" s="76">
        <v>6532</v>
      </c>
      <c r="G777" s="49">
        <v>0</v>
      </c>
      <c r="H777" s="50">
        <f>IFERROR(Table1[Re-process (Kg)]/Table1[Actual Production (Kg)], "")</f>
        <v>0</v>
      </c>
      <c r="I777" s="49">
        <f>IFERROR(Table1[[#This Row],[Actual Production (Kg)]]-Table1[[#This Row],[Re-process (Kg)]], "")</f>
        <v>6532</v>
      </c>
      <c r="J777" s="49">
        <v>22</v>
      </c>
      <c r="K777" s="72"/>
      <c r="L777" s="49">
        <f>IF(Table1[[#This Row],[Target Time (Hours)]]="","",Table1[[#This Row],[Target Time (Hours)]]-Table1[[#This Row],[Downtime (Hours)]])</f>
        <v>22</v>
      </c>
      <c r="M777" s="49">
        <f>IFERROR(Table1[[#This Row],[Capacity (Kg)]]/Table1[[#This Row],[Target Time (Hours)]] * Table1[[#This Row],[Downtime (Hours)]], "")</f>
        <v>0</v>
      </c>
      <c r="N777" s="50">
        <f>IFERROR(Table1[[#This Row],[Running Time (hr)]]/Table1[Target Time (Hours)], "")</f>
        <v>1</v>
      </c>
      <c r="O777" s="50">
        <f>IFERROR(Table1[[#This Row],[Actual Production (Kg)]]/Table1[Capacity (Kg)], "")</f>
        <v>0.72577777777777774</v>
      </c>
      <c r="P777" s="50">
        <f>IFERROR(Table1[[#This Row],[Quality Pass Production]]/Table1[[#This Row],[Actual Production (Kg)]], "")</f>
        <v>1</v>
      </c>
      <c r="Q777" s="50">
        <f>IFERROR(Table1[[#This Row],[Utilization %]]*Table1[[#This Row],[Efficiency %]]*Table1[[#This Row],[Quality %]], "")</f>
        <v>0.72577777777777774</v>
      </c>
      <c r="R777" s="48" t="s">
        <v>191</v>
      </c>
    </row>
    <row r="778" spans="1:18" ht="30" customHeight="1" x14ac:dyDescent="0.25">
      <c r="A778" s="47">
        <v>46186</v>
      </c>
      <c r="B778" s="48" t="s">
        <v>33</v>
      </c>
      <c r="C778" s="48" t="s">
        <v>36</v>
      </c>
      <c r="D778" s="48" t="s">
        <v>37</v>
      </c>
      <c r="E778" s="49">
        <v>8000</v>
      </c>
      <c r="F778" s="76">
        <v>5979</v>
      </c>
      <c r="G778" s="49">
        <v>0</v>
      </c>
      <c r="H778" s="50">
        <f>IFERROR(Table1[Re-process (Kg)]/Table1[Actual Production (Kg)], "")</f>
        <v>0</v>
      </c>
      <c r="I778" s="49">
        <f>IFERROR(Table1[[#This Row],[Actual Production (Kg)]]-Table1[[#This Row],[Re-process (Kg)]], "")</f>
        <v>5979</v>
      </c>
      <c r="J778" s="49">
        <v>22</v>
      </c>
      <c r="K778" s="72">
        <v>1</v>
      </c>
      <c r="L778" s="49">
        <f>IF(Table1[[#This Row],[Target Time (Hours)]]="","",Table1[[#This Row],[Target Time (Hours)]]-Table1[[#This Row],[Downtime (Hours)]])</f>
        <v>21</v>
      </c>
      <c r="M778" s="49">
        <f>IFERROR(Table1[[#This Row],[Capacity (Kg)]]/Table1[[#This Row],[Target Time (Hours)]] * Table1[[#This Row],[Downtime (Hours)]], "")</f>
        <v>363.63636363636363</v>
      </c>
      <c r="N778" s="50">
        <f>IFERROR(Table1[[#This Row],[Running Time (hr)]]/Table1[Target Time (Hours)], "")</f>
        <v>0.95454545454545459</v>
      </c>
      <c r="O778" s="50">
        <f>IFERROR(Table1[[#This Row],[Actual Production (Kg)]]/Table1[Capacity (Kg)], "")</f>
        <v>0.74737500000000001</v>
      </c>
      <c r="P778" s="50">
        <f>IFERROR(Table1[[#This Row],[Quality Pass Production]]/Table1[[#This Row],[Actual Production (Kg)]], "")</f>
        <v>1</v>
      </c>
      <c r="Q778" s="50">
        <f>IFERROR(Table1[[#This Row],[Utilization %]]*Table1[[#This Row],[Efficiency %]]*Table1[[#This Row],[Quality %]], "")</f>
        <v>0.71340340909090916</v>
      </c>
      <c r="R778" s="48" t="s">
        <v>190</v>
      </c>
    </row>
    <row r="779" spans="1:18" ht="30" customHeight="1" x14ac:dyDescent="0.25">
      <c r="A779" s="47">
        <v>46186</v>
      </c>
      <c r="B779" s="48" t="s">
        <v>33</v>
      </c>
      <c r="C779" s="48" t="s">
        <v>39</v>
      </c>
      <c r="D779" s="48" t="s">
        <v>31</v>
      </c>
      <c r="E779" s="49">
        <v>6000</v>
      </c>
      <c r="F779" s="76">
        <v>3107</v>
      </c>
      <c r="G779" s="49">
        <v>0</v>
      </c>
      <c r="H779" s="50">
        <f>IFERROR(Table1[Re-process (Kg)]/Table1[Actual Production (Kg)], "")</f>
        <v>0</v>
      </c>
      <c r="I779" s="49">
        <f>IFERROR(Table1[[#This Row],[Actual Production (Kg)]]-Table1[[#This Row],[Re-process (Kg)]], "")</f>
        <v>3107</v>
      </c>
      <c r="J779" s="49">
        <v>22</v>
      </c>
      <c r="K779" s="72"/>
      <c r="L779" s="49">
        <f>IF(Table1[[#This Row],[Target Time (Hours)]]="","",Table1[[#This Row],[Target Time (Hours)]]-Table1[[#This Row],[Downtime (Hours)]])</f>
        <v>22</v>
      </c>
      <c r="M779" s="49">
        <f>IFERROR(Table1[[#This Row],[Capacity (Kg)]]/Table1[[#This Row],[Target Time (Hours)]] * Table1[[#This Row],[Downtime (Hours)]], "")</f>
        <v>0</v>
      </c>
      <c r="N779" s="50">
        <f>IFERROR(Table1[[#This Row],[Running Time (hr)]]/Table1[Target Time (Hours)], "")</f>
        <v>1</v>
      </c>
      <c r="O779" s="50">
        <f>IFERROR(Table1[[#This Row],[Actual Production (Kg)]]/Table1[Capacity (Kg)], "")</f>
        <v>0.51783333333333337</v>
      </c>
      <c r="P779" s="50">
        <f>IFERROR(Table1[[#This Row],[Quality Pass Production]]/Table1[[#This Row],[Actual Production (Kg)]], "")</f>
        <v>1</v>
      </c>
      <c r="Q779" s="50">
        <f>IFERROR(Table1[[#This Row],[Utilization %]]*Table1[[#This Row],[Efficiency %]]*Table1[[#This Row],[Quality %]], "")</f>
        <v>0.51783333333333337</v>
      </c>
      <c r="R779" s="48" t="s">
        <v>191</v>
      </c>
    </row>
    <row r="780" spans="1:18" ht="45" customHeight="1" x14ac:dyDescent="0.25">
      <c r="A780" s="54">
        <v>46186</v>
      </c>
      <c r="B780" s="55" t="s">
        <v>33</v>
      </c>
      <c r="C780" s="55" t="s">
        <v>40</v>
      </c>
      <c r="D780" s="55" t="s">
        <v>31</v>
      </c>
      <c r="E780" s="56">
        <v>5000</v>
      </c>
      <c r="F780" s="56">
        <v>2468</v>
      </c>
      <c r="G780" s="56">
        <v>0</v>
      </c>
      <c r="H780" s="58">
        <f>IFERROR(Table1[Re-process (Kg)]/Table1[Actual Production (Kg)], "")</f>
        <v>0</v>
      </c>
      <c r="I780" s="56">
        <f>IFERROR(Table1[[#This Row],[Actual Production (Kg)]]-Table1[[#This Row],[Re-process (Kg)]], "")</f>
        <v>2468</v>
      </c>
      <c r="J780" s="56">
        <v>22</v>
      </c>
      <c r="K780" s="55"/>
      <c r="L780" s="56">
        <f>IF(Table1[[#This Row],[Target Time (Hours)]]="","",Table1[[#This Row],[Target Time (Hours)]]-Table1[[#This Row],[Downtime (Hours)]])</f>
        <v>22</v>
      </c>
      <c r="M780" s="56">
        <f>IFERROR(Table1[[#This Row],[Capacity (Kg)]]/Table1[[#This Row],[Target Time (Hours)]] * Table1[[#This Row],[Downtime (Hours)]], "")</f>
        <v>0</v>
      </c>
      <c r="N780" s="58">
        <f>IFERROR(Table1[[#This Row],[Running Time (hr)]]/Table1[Target Time (Hours)], "")</f>
        <v>1</v>
      </c>
      <c r="O780" s="58">
        <f>IFERROR(Table1[[#This Row],[Actual Production (Kg)]]/Table1[Capacity (Kg)], "")</f>
        <v>0.49359999999999998</v>
      </c>
      <c r="P780" s="58">
        <f>IFERROR(Table1[[#This Row],[Quality Pass Production]]/Table1[[#This Row],[Actual Production (Kg)]], "")</f>
        <v>1</v>
      </c>
      <c r="Q780" s="58">
        <f>IFERROR(Table1[[#This Row],[Utilization %]]*Table1[[#This Row],[Efficiency %]]*Table1[[#This Row],[Quality %]], "")</f>
        <v>0.49359999999999998</v>
      </c>
      <c r="R780" s="55" t="s">
        <v>191</v>
      </c>
    </row>
    <row r="781" spans="1:18" ht="30" customHeight="1" x14ac:dyDescent="0.25">
      <c r="A781" s="47">
        <v>46187</v>
      </c>
      <c r="B781" s="48" t="s">
        <v>18</v>
      </c>
      <c r="C781" s="48" t="s">
        <v>19</v>
      </c>
      <c r="D781" s="48" t="s">
        <v>20</v>
      </c>
      <c r="E781" s="49">
        <v>10000</v>
      </c>
      <c r="F781" s="76">
        <v>9450</v>
      </c>
      <c r="G781" s="49">
        <v>0</v>
      </c>
      <c r="H781" s="50">
        <f>IFERROR(Table1[Re-process (Kg)]/Table1[Actual Production (Kg)], "")</f>
        <v>0</v>
      </c>
      <c r="I781" s="49">
        <f>IFERROR(Table1[[#This Row],[Actual Production (Kg)]]-Table1[[#This Row],[Re-process (Kg)]], "")</f>
        <v>9450</v>
      </c>
      <c r="J781" s="49">
        <v>22</v>
      </c>
      <c r="K781" s="72"/>
      <c r="L781" s="49">
        <f>IF(Table1[[#This Row],[Target Time (Hours)]]="","",Table1[[#This Row],[Target Time (Hours)]]-Table1[[#This Row],[Downtime (Hours)]])</f>
        <v>22</v>
      </c>
      <c r="M781" s="49">
        <f>IFERROR(Table1[[#This Row],[Capacity (Kg)]]/Table1[[#This Row],[Target Time (Hours)]] * Table1[[#This Row],[Downtime (Hours)]], "")</f>
        <v>0</v>
      </c>
      <c r="N781" s="50">
        <f>IFERROR(Table1[[#This Row],[Running Time (hr)]]/Table1[Target Time (Hours)], "")</f>
        <v>1</v>
      </c>
      <c r="O781" s="50">
        <f>IFERROR(Table1[[#This Row],[Actual Production (Kg)]]/Table1[Capacity (Kg)], "")</f>
        <v>0.94499999999999995</v>
      </c>
      <c r="P781" s="50">
        <f>IFERROR(Table1[[#This Row],[Quality Pass Production]]/Table1[[#This Row],[Actual Production (Kg)]], "")</f>
        <v>1</v>
      </c>
      <c r="Q781" s="50">
        <f>IFERROR(Table1[[#This Row],[Utilization %]]*Table1[[#This Row],[Efficiency %]]*Table1[[#This Row],[Quality %]], "")</f>
        <v>0.94499999999999995</v>
      </c>
    </row>
    <row r="782" spans="1:18" x14ac:dyDescent="0.25">
      <c r="A782" s="47">
        <v>46187</v>
      </c>
      <c r="B782" s="48" t="s">
        <v>18</v>
      </c>
      <c r="C782" s="48" t="s">
        <v>22</v>
      </c>
      <c r="D782" s="48" t="s">
        <v>23</v>
      </c>
      <c r="E782" s="49">
        <v>5000</v>
      </c>
      <c r="F782" s="76">
        <v>3223</v>
      </c>
      <c r="G782" s="49">
        <v>0</v>
      </c>
      <c r="H782" s="50">
        <f>IFERROR(Table1[Re-process (Kg)]/Table1[Actual Production (Kg)], "")</f>
        <v>0</v>
      </c>
      <c r="I782" s="49">
        <f>IFERROR(Table1[[#This Row],[Actual Production (Kg)]]-Table1[[#This Row],[Re-process (Kg)]], "")</f>
        <v>3223</v>
      </c>
      <c r="J782" s="49">
        <v>22</v>
      </c>
      <c r="K782" s="72"/>
      <c r="L782" s="49">
        <f>IF(Table1[[#This Row],[Target Time (Hours)]]="","",Table1[[#This Row],[Target Time (Hours)]]-Table1[[#This Row],[Downtime (Hours)]])</f>
        <v>22</v>
      </c>
      <c r="M782" s="49">
        <f>IFERROR(Table1[[#This Row],[Capacity (Kg)]]/Table1[[#This Row],[Target Time (Hours)]] * Table1[[#This Row],[Downtime (Hours)]], "")</f>
        <v>0</v>
      </c>
      <c r="N782" s="50">
        <f>IFERROR(Table1[[#This Row],[Running Time (hr)]]/Table1[Target Time (Hours)], "")</f>
        <v>1</v>
      </c>
      <c r="O782" s="50">
        <f>IFERROR(Table1[[#This Row],[Actual Production (Kg)]]/Table1[Capacity (Kg)], "")</f>
        <v>0.64459999999999995</v>
      </c>
      <c r="P782" s="50">
        <f>IFERROR(Table1[[#This Row],[Quality Pass Production]]/Table1[[#This Row],[Actual Production (Kg)]], "")</f>
        <v>1</v>
      </c>
      <c r="Q782" s="50">
        <f>IFERROR(Table1[[#This Row],[Utilization %]]*Table1[[#This Row],[Efficiency %]]*Table1[[#This Row],[Quality %]], "")</f>
        <v>0.64459999999999995</v>
      </c>
    </row>
    <row r="783" spans="1:18" x14ac:dyDescent="0.25">
      <c r="A783" s="47">
        <v>46187</v>
      </c>
      <c r="B783" s="48" t="s">
        <v>18</v>
      </c>
      <c r="C783" s="48" t="s">
        <v>22</v>
      </c>
      <c r="D783" s="48" t="s">
        <v>25</v>
      </c>
      <c r="E783" s="49">
        <v>4000</v>
      </c>
      <c r="F783" s="76">
        <v>5186</v>
      </c>
      <c r="G783" s="49">
        <v>0</v>
      </c>
      <c r="H783" s="50">
        <f>IFERROR(Table1[Re-process (Kg)]/Table1[Actual Production (Kg)], "")</f>
        <v>0</v>
      </c>
      <c r="I783" s="49">
        <f>IFERROR(Table1[[#This Row],[Actual Production (Kg)]]-Table1[[#This Row],[Re-process (Kg)]], "")</f>
        <v>5186</v>
      </c>
      <c r="J783" s="49"/>
      <c r="K783" s="72"/>
      <c r="L783" s="49" t="str">
        <f>IF(Table1[[#This Row],[Target Time (Hours)]]="","",Table1[[#This Row],[Target Time (Hours)]]-Table1[[#This Row],[Downtime (Hours)]])</f>
        <v/>
      </c>
      <c r="M783" s="49" t="str">
        <f>IFERROR(Table1[[#This Row],[Capacity (Kg)]]/Table1[[#This Row],[Target Time (Hours)]] * Table1[[#This Row],[Downtime (Hours)]], "")</f>
        <v/>
      </c>
      <c r="N783" s="50" t="str">
        <f>IFERROR(Table1[[#This Row],[Running Time (hr)]]/Table1[Target Time (Hours)], "")</f>
        <v/>
      </c>
      <c r="O783" s="50">
        <f>IFERROR(Table1[[#This Row],[Actual Production (Kg)]]/Table1[Capacity (Kg)], "")</f>
        <v>1.2965</v>
      </c>
      <c r="P783" s="50">
        <f>IFERROR(Table1[[#This Row],[Quality Pass Production]]/Table1[[#This Row],[Actual Production (Kg)]], "")</f>
        <v>1</v>
      </c>
      <c r="Q783" s="50" t="str">
        <f>IFERROR(Table1[[#This Row],[Utilization %]]*Table1[[#This Row],[Efficiency %]]*Table1[[#This Row],[Quality %]], "")</f>
        <v/>
      </c>
    </row>
    <row r="784" spans="1:18" x14ac:dyDescent="0.25">
      <c r="A784" s="47">
        <v>46187</v>
      </c>
      <c r="B784" s="48" t="s">
        <v>18</v>
      </c>
      <c r="C784" s="48" t="s">
        <v>26</v>
      </c>
      <c r="D784" s="48" t="s">
        <v>25</v>
      </c>
      <c r="E784" s="49">
        <v>7000</v>
      </c>
      <c r="F784" s="76">
        <v>7530</v>
      </c>
      <c r="G784" s="49">
        <v>0</v>
      </c>
      <c r="H784" s="50">
        <f>IFERROR(Table1[Re-process (Kg)]/Table1[Actual Production (Kg)], "")</f>
        <v>0</v>
      </c>
      <c r="I784" s="49">
        <f>IFERROR(Table1[[#This Row],[Actual Production (Kg)]]-Table1[[#This Row],[Re-process (Kg)]], "")</f>
        <v>7530</v>
      </c>
      <c r="J784" s="49">
        <v>22</v>
      </c>
      <c r="K784" s="72"/>
      <c r="L784" s="49">
        <f>IF(Table1[[#This Row],[Target Time (Hours)]]="","",Table1[[#This Row],[Target Time (Hours)]]-Table1[[#This Row],[Downtime (Hours)]])</f>
        <v>22</v>
      </c>
      <c r="M784" s="49">
        <f>IFERROR(Table1[[#This Row],[Capacity (Kg)]]/Table1[[#This Row],[Target Time (Hours)]] * Table1[[#This Row],[Downtime (Hours)]], "")</f>
        <v>0</v>
      </c>
      <c r="N784" s="50">
        <f>IFERROR(Table1[[#This Row],[Running Time (hr)]]/Table1[Target Time (Hours)], "")</f>
        <v>1</v>
      </c>
      <c r="O784" s="50">
        <f>IFERROR(Table1[[#This Row],[Actual Production (Kg)]]/Table1[Capacity (Kg)], "")</f>
        <v>1.0757142857142856</v>
      </c>
      <c r="P784" s="50">
        <f>IFERROR(Table1[[#This Row],[Quality Pass Production]]/Table1[[#This Row],[Actual Production (Kg)]], "")</f>
        <v>1</v>
      </c>
      <c r="Q784" s="50">
        <f>IFERROR(Table1[[#This Row],[Utilization %]]*Table1[[#This Row],[Efficiency %]]*Table1[[#This Row],[Quality %]], "")</f>
        <v>1.0757142857142856</v>
      </c>
    </row>
    <row r="785" spans="1:18" ht="30" customHeight="1" x14ac:dyDescent="0.25">
      <c r="A785" s="47">
        <v>46187</v>
      </c>
      <c r="B785" s="48" t="s">
        <v>18</v>
      </c>
      <c r="C785" s="48" t="s">
        <v>28</v>
      </c>
      <c r="D785" s="48" t="s">
        <v>29</v>
      </c>
      <c r="E785" s="49">
        <v>7800</v>
      </c>
      <c r="F785" s="76">
        <v>5260</v>
      </c>
      <c r="G785" s="49">
        <v>0</v>
      </c>
      <c r="H785" s="50">
        <f>IFERROR(Table1[Re-process (Kg)]/Table1[Actual Production (Kg)], "")</f>
        <v>0</v>
      </c>
      <c r="I785" s="49">
        <f>IFERROR(Table1[[#This Row],[Actual Production (Kg)]]-Table1[[#This Row],[Re-process (Kg)]], "")</f>
        <v>5260</v>
      </c>
      <c r="J785" s="49">
        <v>22</v>
      </c>
      <c r="K785" s="72">
        <v>5</v>
      </c>
      <c r="L785" s="49">
        <f>IF(Table1[[#This Row],[Target Time (Hours)]]="","",Table1[[#This Row],[Target Time (Hours)]]-Table1[[#This Row],[Downtime (Hours)]])</f>
        <v>17</v>
      </c>
      <c r="M785" s="49">
        <f>IFERROR(Table1[[#This Row],[Capacity (Kg)]]/Table1[[#This Row],[Target Time (Hours)]] * Table1[[#This Row],[Downtime (Hours)]], "")</f>
        <v>1772.7272727272727</v>
      </c>
      <c r="N785" s="50">
        <f>IFERROR(Table1[[#This Row],[Running Time (hr)]]/Table1[Target Time (Hours)], "")</f>
        <v>0.77272727272727271</v>
      </c>
      <c r="O785" s="50">
        <f>IFERROR(Table1[[#This Row],[Actual Production (Kg)]]/Table1[Capacity (Kg)], "")</f>
        <v>0.67435897435897441</v>
      </c>
      <c r="P785" s="50">
        <f>IFERROR(Table1[[#This Row],[Quality Pass Production]]/Table1[[#This Row],[Actual Production (Kg)]], "")</f>
        <v>1</v>
      </c>
      <c r="Q785" s="50">
        <f>IFERROR(Table1[[#This Row],[Utilization %]]*Table1[[#This Row],[Efficiency %]]*Table1[[#This Row],[Quality %]], "")</f>
        <v>0.52109557109557114</v>
      </c>
      <c r="R785" s="48" t="s">
        <v>205</v>
      </c>
    </row>
    <row r="786" spans="1:18" ht="30" customHeight="1" x14ac:dyDescent="0.25">
      <c r="A786" s="51">
        <v>46187</v>
      </c>
      <c r="B786" s="52" t="s">
        <v>18</v>
      </c>
      <c r="C786" s="52" t="s">
        <v>135</v>
      </c>
      <c r="D786" s="52" t="s">
        <v>29</v>
      </c>
      <c r="E786" s="53"/>
      <c r="F786" s="53"/>
      <c r="G786" s="79"/>
      <c r="H786" s="57" t="str">
        <f>IFERROR(Table1[Re-process (Kg)]/Table1[Actual Production (Kg)], "")</f>
        <v/>
      </c>
      <c r="I786" s="53">
        <f>IFERROR(Table1[[#This Row],[Actual Production (Kg)]]-Table1[[#This Row],[Re-process (Kg)]], "")</f>
        <v>0</v>
      </c>
      <c r="J786" s="53"/>
      <c r="K786" s="52"/>
      <c r="L786" s="53" t="str">
        <f>IF(Table1[[#This Row],[Target Time (Hours)]]="","",Table1[[#This Row],[Target Time (Hours)]]-Table1[[#This Row],[Downtime (Hours)]])</f>
        <v/>
      </c>
      <c r="M786" s="53" t="str">
        <f>IFERROR(Table1[[#This Row],[Capacity (Kg)]]/Table1[[#This Row],[Target Time (Hours)]] * Table1[[#This Row],[Downtime (Hours)]], "")</f>
        <v/>
      </c>
      <c r="N786" s="57" t="str">
        <f>IFERROR(Table1[[#This Row],[Running Time (hr)]]/Table1[Target Time (Hours)], "")</f>
        <v/>
      </c>
      <c r="O786" s="57" t="str">
        <f>IFERROR(Table1[[#This Row],[Actual Production (Kg)]]/Table1[Capacity (Kg)], "")</f>
        <v/>
      </c>
      <c r="P786" s="57" t="str">
        <f>IFERROR(Table1[[#This Row],[Quality Pass Production]]/Table1[[#This Row],[Actual Production (Kg)]], "")</f>
        <v/>
      </c>
      <c r="Q786" s="57" t="str">
        <f>IFERROR(Table1[[#This Row],[Utilization %]]*Table1[[#This Row],[Efficiency %]]*Table1[[#This Row],[Quality %]], "")</f>
        <v/>
      </c>
      <c r="R786" s="52" t="s">
        <v>156</v>
      </c>
    </row>
    <row r="787" spans="1:18" ht="30" customHeight="1" x14ac:dyDescent="0.25">
      <c r="A787" s="47">
        <v>46187</v>
      </c>
      <c r="B787" s="48" t="s">
        <v>18</v>
      </c>
      <c r="C787" s="48" t="s">
        <v>30</v>
      </c>
      <c r="D787" s="48" t="s">
        <v>31</v>
      </c>
      <c r="E787" s="49">
        <v>9000</v>
      </c>
      <c r="F787" s="76">
        <v>7509</v>
      </c>
      <c r="G787" s="49">
        <v>0</v>
      </c>
      <c r="H787" s="50">
        <f>IFERROR(Table1[Re-process (Kg)]/Table1[Actual Production (Kg)], "")</f>
        <v>0</v>
      </c>
      <c r="I787" s="49">
        <f>IFERROR(Table1[[#This Row],[Actual Production (Kg)]]-Table1[[#This Row],[Re-process (Kg)]], "")</f>
        <v>7509</v>
      </c>
      <c r="J787" s="49">
        <v>22</v>
      </c>
      <c r="K787" s="72"/>
      <c r="L787" s="49">
        <f>IF(Table1[[#This Row],[Target Time (Hours)]]="","",Table1[[#This Row],[Target Time (Hours)]]-Table1[[#This Row],[Downtime (Hours)]])</f>
        <v>22</v>
      </c>
      <c r="M787" s="49">
        <f>IFERROR(Table1[[#This Row],[Capacity (Kg)]]/Table1[[#This Row],[Target Time (Hours)]] * Table1[[#This Row],[Downtime (Hours)]], "")</f>
        <v>0</v>
      </c>
      <c r="N787" s="50">
        <f>IFERROR(Table1[[#This Row],[Running Time (hr)]]/Table1[Target Time (Hours)], "")</f>
        <v>1</v>
      </c>
      <c r="O787" s="50">
        <f>IFERROR(Table1[[#This Row],[Actual Production (Kg)]]/Table1[Capacity (Kg)], "")</f>
        <v>0.83433333333333337</v>
      </c>
      <c r="P787" s="50">
        <f>IFERROR(Table1[[#This Row],[Quality Pass Production]]/Table1[[#This Row],[Actual Production (Kg)]], "")</f>
        <v>1</v>
      </c>
      <c r="Q787" s="50">
        <f>IFERROR(Table1[[#This Row],[Utilization %]]*Table1[[#This Row],[Efficiency %]]*Table1[[#This Row],[Quality %]], "")</f>
        <v>0.83433333333333337</v>
      </c>
    </row>
    <row r="788" spans="1:18" ht="30" customHeight="1" x14ac:dyDescent="0.25">
      <c r="A788" s="51">
        <v>46187</v>
      </c>
      <c r="B788" s="52" t="s">
        <v>18</v>
      </c>
      <c r="C788" s="52" t="s">
        <v>32</v>
      </c>
      <c r="D788" s="52" t="s">
        <v>31</v>
      </c>
      <c r="E788" s="79">
        <f>Table1[[#This Row],[Actual Production (Kg)]]</f>
        <v>0</v>
      </c>
      <c r="F788" s="53"/>
      <c r="G788" s="79"/>
      <c r="H788" s="57" t="str">
        <f>IFERROR(Table1[Re-process (Kg)]/Table1[Actual Production (Kg)], "")</f>
        <v/>
      </c>
      <c r="I788" s="53">
        <f>IFERROR(Table1[[#This Row],[Actual Production (Kg)]]-Table1[[#This Row],[Re-process (Kg)]], "")</f>
        <v>0</v>
      </c>
      <c r="J788" s="53"/>
      <c r="K788" s="52"/>
      <c r="L788" s="53" t="str">
        <f>IF(Table1[[#This Row],[Target Time (Hours)]]="","",Table1[[#This Row],[Target Time (Hours)]]-Table1[[#This Row],[Downtime (Hours)]])</f>
        <v/>
      </c>
      <c r="M788" s="53" t="str">
        <f>IFERROR(Table1[[#This Row],[Capacity (Kg)]]/Table1[[#This Row],[Target Time (Hours)]] * Table1[[#This Row],[Downtime (Hours)]], "")</f>
        <v/>
      </c>
      <c r="N788" s="57" t="str">
        <f>IFERROR(Table1[[#This Row],[Running Time (hr)]]/Table1[Target Time (Hours)], "")</f>
        <v/>
      </c>
      <c r="O788" s="57" t="str">
        <f>IFERROR(Table1[[#This Row],[Actual Production (Kg)]]/Table1[Capacity (Kg)], "")</f>
        <v/>
      </c>
      <c r="P788" s="57" t="str">
        <f>IFERROR(Table1[[#This Row],[Quality Pass Production]]/Table1[[#This Row],[Actual Production (Kg)]], "")</f>
        <v/>
      </c>
      <c r="Q788" s="57" t="str">
        <f>IFERROR(Table1[[#This Row],[Utilization %]]*Table1[[#This Row],[Efficiency %]]*Table1[[#This Row],[Quality %]], "")</f>
        <v/>
      </c>
      <c r="R788" s="52" t="s">
        <v>156</v>
      </c>
    </row>
    <row r="789" spans="1:18" ht="30" customHeight="1" x14ac:dyDescent="0.25">
      <c r="A789" s="47">
        <v>46187</v>
      </c>
      <c r="B789" s="48" t="s">
        <v>33</v>
      </c>
      <c r="C789" s="48" t="s">
        <v>34</v>
      </c>
      <c r="D789" s="48" t="s">
        <v>35</v>
      </c>
      <c r="E789" s="49">
        <v>9000</v>
      </c>
      <c r="F789" s="76">
        <v>5344</v>
      </c>
      <c r="G789" s="49">
        <v>0</v>
      </c>
      <c r="H789" s="50">
        <f>IFERROR(Table1[Re-process (Kg)]/Table1[Actual Production (Kg)], "")</f>
        <v>0</v>
      </c>
      <c r="I789" s="49">
        <f>IFERROR(Table1[[#This Row],[Actual Production (Kg)]]-Table1[[#This Row],[Re-process (Kg)]], "")</f>
        <v>5344</v>
      </c>
      <c r="J789" s="49">
        <v>22</v>
      </c>
      <c r="K789" s="72"/>
      <c r="L789" s="49">
        <f>IF(Table1[[#This Row],[Target Time (Hours)]]="","",Table1[[#This Row],[Target Time (Hours)]]-Table1[[#This Row],[Downtime (Hours)]])</f>
        <v>22</v>
      </c>
      <c r="M789" s="49">
        <f>IFERROR(Table1[[#This Row],[Capacity (Kg)]]/Table1[[#This Row],[Target Time (Hours)]] * Table1[[#This Row],[Downtime (Hours)]], "")</f>
        <v>0</v>
      </c>
      <c r="N789" s="50">
        <f>IFERROR(Table1[[#This Row],[Running Time (hr)]]/Table1[Target Time (Hours)], "")</f>
        <v>1</v>
      </c>
      <c r="O789" s="50">
        <f>IFERROR(Table1[[#This Row],[Actual Production (Kg)]]/Table1[Capacity (Kg)], "")</f>
        <v>0.59377777777777774</v>
      </c>
      <c r="P789" s="50">
        <f>IFERROR(Table1[[#This Row],[Quality Pass Production]]/Table1[[#This Row],[Actual Production (Kg)]], "")</f>
        <v>1</v>
      </c>
      <c r="Q789" s="50">
        <f>IFERROR(Table1[[#This Row],[Utilization %]]*Table1[[#This Row],[Efficiency %]]*Table1[[#This Row],[Quality %]], "")</f>
        <v>0.59377777777777774</v>
      </c>
      <c r="R789" s="48" t="s">
        <v>191</v>
      </c>
    </row>
    <row r="790" spans="1:18" ht="30" customHeight="1" x14ac:dyDescent="0.25">
      <c r="A790" s="47">
        <v>46187</v>
      </c>
      <c r="B790" s="48" t="s">
        <v>33</v>
      </c>
      <c r="C790" s="48" t="s">
        <v>36</v>
      </c>
      <c r="D790" s="48" t="s">
        <v>37</v>
      </c>
      <c r="E790" s="49">
        <v>8000</v>
      </c>
      <c r="F790" s="76">
        <v>4629</v>
      </c>
      <c r="G790" s="49">
        <v>0</v>
      </c>
      <c r="H790" s="50">
        <f>IFERROR(Table1[Re-process (Kg)]/Table1[Actual Production (Kg)], "")</f>
        <v>0</v>
      </c>
      <c r="I790" s="49">
        <f>IFERROR(Table1[[#This Row],[Actual Production (Kg)]]-Table1[[#This Row],[Re-process (Kg)]], "")</f>
        <v>4629</v>
      </c>
      <c r="J790" s="49">
        <v>22</v>
      </c>
      <c r="K790" s="72">
        <v>1</v>
      </c>
      <c r="L790" s="49">
        <f>IF(Table1[[#This Row],[Target Time (Hours)]]="","",Table1[[#This Row],[Target Time (Hours)]]-Table1[[#This Row],[Downtime (Hours)]])</f>
        <v>21</v>
      </c>
      <c r="M790" s="49">
        <f>IFERROR(Table1[[#This Row],[Capacity (Kg)]]/Table1[[#This Row],[Target Time (Hours)]] * Table1[[#This Row],[Downtime (Hours)]], "")</f>
        <v>363.63636363636363</v>
      </c>
      <c r="N790" s="50">
        <f>IFERROR(Table1[[#This Row],[Running Time (hr)]]/Table1[Target Time (Hours)], "")</f>
        <v>0.95454545454545459</v>
      </c>
      <c r="O790" s="50">
        <f>IFERROR(Table1[[#This Row],[Actual Production (Kg)]]/Table1[Capacity (Kg)], "")</f>
        <v>0.57862499999999994</v>
      </c>
      <c r="P790" s="50">
        <f>IFERROR(Table1[[#This Row],[Quality Pass Production]]/Table1[[#This Row],[Actual Production (Kg)]], "")</f>
        <v>1</v>
      </c>
      <c r="Q790" s="50">
        <f>IFERROR(Table1[[#This Row],[Utilization %]]*Table1[[#This Row],[Efficiency %]]*Table1[[#This Row],[Quality %]], "")</f>
        <v>0.55232386363636365</v>
      </c>
      <c r="R790" s="48" t="s">
        <v>190</v>
      </c>
    </row>
    <row r="791" spans="1:18" ht="30" customHeight="1" x14ac:dyDescent="0.25">
      <c r="A791" s="47">
        <v>46187</v>
      </c>
      <c r="B791" s="48" t="s">
        <v>33</v>
      </c>
      <c r="C791" s="48" t="s">
        <v>39</v>
      </c>
      <c r="D791" s="48" t="s">
        <v>31</v>
      </c>
      <c r="E791" s="49">
        <v>6000</v>
      </c>
      <c r="F791" s="76">
        <v>1787</v>
      </c>
      <c r="G791" s="49">
        <v>0</v>
      </c>
      <c r="H791" s="50">
        <f>IFERROR(Table1[Re-process (Kg)]/Table1[Actual Production (Kg)], "")</f>
        <v>0</v>
      </c>
      <c r="I791" s="49">
        <f>IFERROR(Table1[[#This Row],[Actual Production (Kg)]]-Table1[[#This Row],[Re-process (Kg)]], "")</f>
        <v>1787</v>
      </c>
      <c r="J791" s="49">
        <v>22</v>
      </c>
      <c r="K791" s="72"/>
      <c r="L791" s="49">
        <f>IF(Table1[[#This Row],[Target Time (Hours)]]="","",Table1[[#This Row],[Target Time (Hours)]]-Table1[[#This Row],[Downtime (Hours)]])</f>
        <v>22</v>
      </c>
      <c r="M791" s="49">
        <f>IFERROR(Table1[[#This Row],[Capacity (Kg)]]/Table1[[#This Row],[Target Time (Hours)]] * Table1[[#This Row],[Downtime (Hours)]], "")</f>
        <v>0</v>
      </c>
      <c r="N791" s="50">
        <f>IFERROR(Table1[[#This Row],[Running Time (hr)]]/Table1[Target Time (Hours)], "")</f>
        <v>1</v>
      </c>
      <c r="O791" s="50">
        <f>IFERROR(Table1[[#This Row],[Actual Production (Kg)]]/Table1[Capacity (Kg)], "")</f>
        <v>0.29783333333333334</v>
      </c>
      <c r="P791" s="50">
        <f>IFERROR(Table1[[#This Row],[Quality Pass Production]]/Table1[[#This Row],[Actual Production (Kg)]], "")</f>
        <v>1</v>
      </c>
      <c r="Q791" s="50">
        <f>IFERROR(Table1[[#This Row],[Utilization %]]*Table1[[#This Row],[Efficiency %]]*Table1[[#This Row],[Quality %]], "")</f>
        <v>0.29783333333333334</v>
      </c>
      <c r="R791" s="48" t="s">
        <v>191</v>
      </c>
    </row>
    <row r="792" spans="1:18" ht="45" customHeight="1" x14ac:dyDescent="0.25">
      <c r="A792" s="54">
        <v>46187</v>
      </c>
      <c r="B792" s="55" t="s">
        <v>33</v>
      </c>
      <c r="C792" s="55" t="s">
        <v>40</v>
      </c>
      <c r="D792" s="55" t="s">
        <v>31</v>
      </c>
      <c r="E792" s="56">
        <v>5000</v>
      </c>
      <c r="F792" s="56">
        <v>2890</v>
      </c>
      <c r="G792" s="56">
        <v>0</v>
      </c>
      <c r="H792" s="58">
        <f>IFERROR(Table1[Re-process (Kg)]/Table1[Actual Production (Kg)], "")</f>
        <v>0</v>
      </c>
      <c r="I792" s="56">
        <f>IFERROR(Table1[[#This Row],[Actual Production (Kg)]]-Table1[[#This Row],[Re-process (Kg)]], "")</f>
        <v>2890</v>
      </c>
      <c r="J792" s="56">
        <v>22</v>
      </c>
      <c r="K792" s="55"/>
      <c r="L792" s="56">
        <f>IF(Table1[[#This Row],[Target Time (Hours)]]="","",Table1[[#This Row],[Target Time (Hours)]]-Table1[[#This Row],[Downtime (Hours)]])</f>
        <v>22</v>
      </c>
      <c r="M792" s="56">
        <f>IFERROR(Table1[[#This Row],[Capacity (Kg)]]/Table1[[#This Row],[Target Time (Hours)]] * Table1[[#This Row],[Downtime (Hours)]], "")</f>
        <v>0</v>
      </c>
      <c r="N792" s="58">
        <f>IFERROR(Table1[[#This Row],[Running Time (hr)]]/Table1[Target Time (Hours)], "")</f>
        <v>1</v>
      </c>
      <c r="O792" s="58">
        <f>IFERROR(Table1[[#This Row],[Actual Production (Kg)]]/Table1[Capacity (Kg)], "")</f>
        <v>0.57799999999999996</v>
      </c>
      <c r="P792" s="58">
        <f>IFERROR(Table1[[#This Row],[Quality Pass Production]]/Table1[[#This Row],[Actual Production (Kg)]], "")</f>
        <v>1</v>
      </c>
      <c r="Q792" s="58">
        <f>IFERROR(Table1[[#This Row],[Utilization %]]*Table1[[#This Row],[Efficiency %]]*Table1[[#This Row],[Quality %]], "")</f>
        <v>0.57799999999999996</v>
      </c>
      <c r="R792" s="55" t="s">
        <v>191</v>
      </c>
    </row>
    <row r="793" spans="1:18" ht="30" customHeight="1" x14ac:dyDescent="0.25">
      <c r="A793" s="47">
        <v>46188</v>
      </c>
      <c r="B793" s="48" t="s">
        <v>18</v>
      </c>
      <c r="C793" s="48" t="s">
        <v>19</v>
      </c>
      <c r="D793" s="48" t="s">
        <v>20</v>
      </c>
      <c r="E793" s="49">
        <v>10000</v>
      </c>
      <c r="F793" s="76">
        <v>8642</v>
      </c>
      <c r="G793" s="49">
        <v>0</v>
      </c>
      <c r="H793" s="50">
        <f>IFERROR(Table1[Re-process (Kg)]/Table1[Actual Production (Kg)], "")</f>
        <v>0</v>
      </c>
      <c r="I793" s="49">
        <f>IFERROR(Table1[[#This Row],[Actual Production (Kg)]]-Table1[[#This Row],[Re-process (Kg)]], "")</f>
        <v>8642</v>
      </c>
      <c r="J793" s="49">
        <v>22</v>
      </c>
      <c r="K793" s="72"/>
      <c r="L793" s="49">
        <f>IF(Table1[[#This Row],[Target Time (Hours)]]="","",Table1[[#This Row],[Target Time (Hours)]]-Table1[[#This Row],[Downtime (Hours)]])</f>
        <v>22</v>
      </c>
      <c r="M793" s="49">
        <f>IFERROR(Table1[[#This Row],[Capacity (Kg)]]/Table1[[#This Row],[Target Time (Hours)]] * Table1[[#This Row],[Downtime (Hours)]], "")</f>
        <v>0</v>
      </c>
      <c r="N793" s="50">
        <f>IFERROR(Table1[[#This Row],[Running Time (hr)]]/Table1[Target Time (Hours)], "")</f>
        <v>1</v>
      </c>
      <c r="O793" s="50">
        <f>IFERROR(Table1[[#This Row],[Actual Production (Kg)]]/Table1[Capacity (Kg)], "")</f>
        <v>0.86419999999999997</v>
      </c>
      <c r="P793" s="50">
        <f>IFERROR(Table1[[#This Row],[Quality Pass Production]]/Table1[[#This Row],[Actual Production (Kg)]], "")</f>
        <v>1</v>
      </c>
      <c r="Q793" s="50">
        <f>IFERROR(Table1[[#This Row],[Utilization %]]*Table1[[#This Row],[Efficiency %]]*Table1[[#This Row],[Quality %]], "")</f>
        <v>0.86419999999999997</v>
      </c>
    </row>
    <row r="794" spans="1:18" ht="30" customHeight="1" x14ac:dyDescent="0.25">
      <c r="A794" s="47">
        <v>46188</v>
      </c>
      <c r="B794" s="48" t="s">
        <v>18</v>
      </c>
      <c r="C794" s="48" t="s">
        <v>22</v>
      </c>
      <c r="D794" s="48" t="s">
        <v>23</v>
      </c>
      <c r="E794" s="49">
        <v>5000</v>
      </c>
      <c r="F794" s="76">
        <v>3539</v>
      </c>
      <c r="G794" s="49">
        <v>0</v>
      </c>
      <c r="H794" s="50">
        <f>IFERROR(Table1[Re-process (Kg)]/Table1[Actual Production (Kg)], "")</f>
        <v>0</v>
      </c>
      <c r="I794" s="49">
        <f>IFERROR(Table1[[#This Row],[Actual Production (Kg)]]-Table1[[#This Row],[Re-process (Kg)]], "")</f>
        <v>3539</v>
      </c>
      <c r="J794" s="49">
        <v>22</v>
      </c>
      <c r="K794" s="72"/>
      <c r="L794" s="49">
        <f>IF(Table1[[#This Row],[Target Time (Hours)]]="","",Table1[[#This Row],[Target Time (Hours)]]-Table1[[#This Row],[Downtime (Hours)]])</f>
        <v>22</v>
      </c>
      <c r="M794" s="49">
        <f>IFERROR(Table1[[#This Row],[Capacity (Kg)]]/Table1[[#This Row],[Target Time (Hours)]] * Table1[[#This Row],[Downtime (Hours)]], "")</f>
        <v>0</v>
      </c>
      <c r="N794" s="50">
        <f>IFERROR(Table1[[#This Row],[Running Time (hr)]]/Table1[Target Time (Hours)], "")</f>
        <v>1</v>
      </c>
      <c r="O794" s="50">
        <f>IFERROR(Table1[[#This Row],[Actual Production (Kg)]]/Table1[Capacity (Kg)], "")</f>
        <v>0.70779999999999998</v>
      </c>
      <c r="P794" s="50">
        <f>IFERROR(Table1[[#This Row],[Quality Pass Production]]/Table1[[#This Row],[Actual Production (Kg)]], "")</f>
        <v>1</v>
      </c>
      <c r="Q794" s="50">
        <f>IFERROR(Table1[[#This Row],[Utilization %]]*Table1[[#This Row],[Efficiency %]]*Table1[[#This Row],[Quality %]], "")</f>
        <v>0.70779999999999998</v>
      </c>
      <c r="R794" s="48" t="s">
        <v>206</v>
      </c>
    </row>
    <row r="795" spans="1:18" x14ac:dyDescent="0.25">
      <c r="A795" s="47">
        <v>46188</v>
      </c>
      <c r="B795" s="48" t="s">
        <v>18</v>
      </c>
      <c r="C795" s="48" t="s">
        <v>22</v>
      </c>
      <c r="D795" s="48" t="s">
        <v>25</v>
      </c>
      <c r="E795" s="49">
        <v>4000</v>
      </c>
      <c r="F795" s="76">
        <v>4621</v>
      </c>
      <c r="G795" s="49">
        <v>0</v>
      </c>
      <c r="H795" s="50">
        <f>IFERROR(Table1[Re-process (Kg)]/Table1[Actual Production (Kg)], "")</f>
        <v>0</v>
      </c>
      <c r="I795" s="49">
        <f>IFERROR(Table1[[#This Row],[Actual Production (Kg)]]-Table1[[#This Row],[Re-process (Kg)]], "")</f>
        <v>4621</v>
      </c>
      <c r="J795" s="49"/>
      <c r="K795" s="72"/>
      <c r="L795" s="49" t="str">
        <f>IF(Table1[[#This Row],[Target Time (Hours)]]="","",Table1[[#This Row],[Target Time (Hours)]]-Table1[[#This Row],[Downtime (Hours)]])</f>
        <v/>
      </c>
      <c r="M795" s="49" t="str">
        <f>IFERROR(Table1[[#This Row],[Capacity (Kg)]]/Table1[[#This Row],[Target Time (Hours)]] * Table1[[#This Row],[Downtime (Hours)]], "")</f>
        <v/>
      </c>
      <c r="N795" s="50" t="str">
        <f>IFERROR(Table1[[#This Row],[Running Time (hr)]]/Table1[Target Time (Hours)], "")</f>
        <v/>
      </c>
      <c r="O795" s="50">
        <f>IFERROR(Table1[[#This Row],[Actual Production (Kg)]]/Table1[Capacity (Kg)], "")</f>
        <v>1.1552500000000001</v>
      </c>
      <c r="P795" s="50">
        <f>IFERROR(Table1[[#This Row],[Quality Pass Production]]/Table1[[#This Row],[Actual Production (Kg)]], "")</f>
        <v>1</v>
      </c>
      <c r="Q795" s="50" t="str">
        <f>IFERROR(Table1[[#This Row],[Utilization %]]*Table1[[#This Row],[Efficiency %]]*Table1[[#This Row],[Quality %]], "")</f>
        <v/>
      </c>
    </row>
    <row r="796" spans="1:18" x14ac:dyDescent="0.25">
      <c r="A796" s="47">
        <v>46188</v>
      </c>
      <c r="B796" s="48" t="s">
        <v>18</v>
      </c>
      <c r="C796" s="48" t="s">
        <v>26</v>
      </c>
      <c r="D796" s="48" t="s">
        <v>25</v>
      </c>
      <c r="E796" s="49">
        <v>7000</v>
      </c>
      <c r="F796" s="76">
        <v>7436</v>
      </c>
      <c r="G796" s="49">
        <v>0</v>
      </c>
      <c r="H796" s="50">
        <f>IFERROR(Table1[Re-process (Kg)]/Table1[Actual Production (Kg)], "")</f>
        <v>0</v>
      </c>
      <c r="I796" s="49">
        <f>IFERROR(Table1[[#This Row],[Actual Production (Kg)]]-Table1[[#This Row],[Re-process (Kg)]], "")</f>
        <v>7436</v>
      </c>
      <c r="J796" s="49">
        <v>22</v>
      </c>
      <c r="K796" s="72"/>
      <c r="L796" s="49">
        <f>IF(Table1[[#This Row],[Target Time (Hours)]]="","",Table1[[#This Row],[Target Time (Hours)]]-Table1[[#This Row],[Downtime (Hours)]])</f>
        <v>22</v>
      </c>
      <c r="M796" s="49">
        <f>IFERROR(Table1[[#This Row],[Capacity (Kg)]]/Table1[[#This Row],[Target Time (Hours)]] * Table1[[#This Row],[Downtime (Hours)]], "")</f>
        <v>0</v>
      </c>
      <c r="N796" s="50">
        <f>IFERROR(Table1[[#This Row],[Running Time (hr)]]/Table1[Target Time (Hours)], "")</f>
        <v>1</v>
      </c>
      <c r="O796" s="50">
        <f>IFERROR(Table1[[#This Row],[Actual Production (Kg)]]/Table1[Capacity (Kg)], "")</f>
        <v>1.0622857142857143</v>
      </c>
      <c r="P796" s="50">
        <f>IFERROR(Table1[[#This Row],[Quality Pass Production]]/Table1[[#This Row],[Actual Production (Kg)]], "")</f>
        <v>1</v>
      </c>
      <c r="Q796" s="50">
        <f>IFERROR(Table1[[#This Row],[Utilization %]]*Table1[[#This Row],[Efficiency %]]*Table1[[#This Row],[Quality %]], "")</f>
        <v>1.0622857142857143</v>
      </c>
    </row>
    <row r="797" spans="1:18" ht="30" customHeight="1" x14ac:dyDescent="0.25">
      <c r="A797" s="47">
        <v>46188</v>
      </c>
      <c r="B797" s="48" t="s">
        <v>18</v>
      </c>
      <c r="C797" s="48" t="s">
        <v>28</v>
      </c>
      <c r="D797" s="48" t="s">
        <v>29</v>
      </c>
      <c r="E797" s="49">
        <v>7800</v>
      </c>
      <c r="F797" s="76">
        <v>5850</v>
      </c>
      <c r="G797" s="49">
        <v>0</v>
      </c>
      <c r="H797" s="50">
        <f>IFERROR(Table1[Re-process (Kg)]/Table1[Actual Production (Kg)], "")</f>
        <v>0</v>
      </c>
      <c r="I797" s="49">
        <f>IFERROR(Table1[[#This Row],[Actual Production (Kg)]]-Table1[[#This Row],[Re-process (Kg)]], "")</f>
        <v>5850</v>
      </c>
      <c r="J797" s="49">
        <v>22</v>
      </c>
      <c r="K797" s="72">
        <v>4</v>
      </c>
      <c r="L797" s="49">
        <f>IF(Table1[[#This Row],[Target Time (Hours)]]="","",Table1[[#This Row],[Target Time (Hours)]]-Table1[[#This Row],[Downtime (Hours)]])</f>
        <v>18</v>
      </c>
      <c r="M797" s="49">
        <f>IFERROR(Table1[[#This Row],[Capacity (Kg)]]/Table1[[#This Row],[Target Time (Hours)]] * Table1[[#This Row],[Downtime (Hours)]], "")</f>
        <v>1418.1818181818182</v>
      </c>
      <c r="N797" s="50">
        <f>IFERROR(Table1[[#This Row],[Running Time (hr)]]/Table1[Target Time (Hours)], "")</f>
        <v>0.81818181818181823</v>
      </c>
      <c r="O797" s="50">
        <f>IFERROR(Table1[[#This Row],[Actual Production (Kg)]]/Table1[Capacity (Kg)], "")</f>
        <v>0.75</v>
      </c>
      <c r="P797" s="50">
        <f>IFERROR(Table1[[#This Row],[Quality Pass Production]]/Table1[[#This Row],[Actual Production (Kg)]], "")</f>
        <v>1</v>
      </c>
      <c r="Q797" s="50">
        <f>IFERROR(Table1[[#This Row],[Utilization %]]*Table1[[#This Row],[Efficiency %]]*Table1[[#This Row],[Quality %]], "")</f>
        <v>0.61363636363636365</v>
      </c>
      <c r="R797" s="48" t="s">
        <v>198</v>
      </c>
    </row>
    <row r="798" spans="1:18" ht="30" customHeight="1" x14ac:dyDescent="0.25">
      <c r="A798" s="51">
        <v>46188</v>
      </c>
      <c r="B798" s="52" t="s">
        <v>18</v>
      </c>
      <c r="C798" s="52" t="s">
        <v>135</v>
      </c>
      <c r="D798" s="52" t="s">
        <v>29</v>
      </c>
      <c r="E798" s="53"/>
      <c r="F798" s="53"/>
      <c r="G798" s="79"/>
      <c r="H798" s="57" t="str">
        <f>IFERROR(Table1[Re-process (Kg)]/Table1[Actual Production (Kg)], "")</f>
        <v/>
      </c>
      <c r="I798" s="53">
        <f>IFERROR(Table1[[#This Row],[Actual Production (Kg)]]-Table1[[#This Row],[Re-process (Kg)]], "")</f>
        <v>0</v>
      </c>
      <c r="J798" s="53"/>
      <c r="K798" s="52"/>
      <c r="L798" s="53" t="str">
        <f>IF(Table1[[#This Row],[Target Time (Hours)]]="","",Table1[[#This Row],[Target Time (Hours)]]-Table1[[#This Row],[Downtime (Hours)]])</f>
        <v/>
      </c>
      <c r="M798" s="53" t="str">
        <f>IFERROR(Table1[[#This Row],[Capacity (Kg)]]/Table1[[#This Row],[Target Time (Hours)]] * Table1[[#This Row],[Downtime (Hours)]], "")</f>
        <v/>
      </c>
      <c r="N798" s="57" t="str">
        <f>IFERROR(Table1[[#This Row],[Running Time (hr)]]/Table1[Target Time (Hours)], "")</f>
        <v/>
      </c>
      <c r="O798" s="57" t="str">
        <f>IFERROR(Table1[[#This Row],[Actual Production (Kg)]]/Table1[Capacity (Kg)], "")</f>
        <v/>
      </c>
      <c r="P798" s="57" t="str">
        <f>IFERROR(Table1[[#This Row],[Quality Pass Production]]/Table1[[#This Row],[Actual Production (Kg)]], "")</f>
        <v/>
      </c>
      <c r="Q798" s="57" t="str">
        <f>IFERROR(Table1[[#This Row],[Utilization %]]*Table1[[#This Row],[Efficiency %]]*Table1[[#This Row],[Quality %]], "")</f>
        <v/>
      </c>
      <c r="R798" s="52"/>
    </row>
    <row r="799" spans="1:18" ht="30" customHeight="1" x14ac:dyDescent="0.25">
      <c r="A799" s="47">
        <v>46188</v>
      </c>
      <c r="B799" s="48" t="s">
        <v>18</v>
      </c>
      <c r="C799" s="48" t="s">
        <v>30</v>
      </c>
      <c r="D799" s="48" t="s">
        <v>31</v>
      </c>
      <c r="E799" s="49">
        <v>9000</v>
      </c>
      <c r="F799" s="76">
        <v>7472</v>
      </c>
      <c r="G799" s="49">
        <v>0</v>
      </c>
      <c r="H799" s="50">
        <f>IFERROR(Table1[Re-process (Kg)]/Table1[Actual Production (Kg)], "")</f>
        <v>0</v>
      </c>
      <c r="I799" s="49">
        <f>IFERROR(Table1[[#This Row],[Actual Production (Kg)]]-Table1[[#This Row],[Re-process (Kg)]], "")</f>
        <v>7472</v>
      </c>
      <c r="J799" s="49">
        <v>22</v>
      </c>
      <c r="K799" s="72"/>
      <c r="L799" s="49">
        <f>IF(Table1[[#This Row],[Target Time (Hours)]]="","",Table1[[#This Row],[Target Time (Hours)]]-Table1[[#This Row],[Downtime (Hours)]])</f>
        <v>22</v>
      </c>
      <c r="M799" s="49">
        <f>IFERROR(Table1[[#This Row],[Capacity (Kg)]]/Table1[[#This Row],[Target Time (Hours)]] * Table1[[#This Row],[Downtime (Hours)]], "")</f>
        <v>0</v>
      </c>
      <c r="N799" s="50">
        <f>IFERROR(Table1[[#This Row],[Running Time (hr)]]/Table1[Target Time (Hours)], "")</f>
        <v>1</v>
      </c>
      <c r="O799" s="50">
        <f>IFERROR(Table1[[#This Row],[Actual Production (Kg)]]/Table1[Capacity (Kg)], "")</f>
        <v>0.83022222222222219</v>
      </c>
      <c r="P799" s="50">
        <f>IFERROR(Table1[[#This Row],[Quality Pass Production]]/Table1[[#This Row],[Actual Production (Kg)]], "")</f>
        <v>1</v>
      </c>
      <c r="Q799" s="50">
        <f>IFERROR(Table1[[#This Row],[Utilization %]]*Table1[[#This Row],[Efficiency %]]*Table1[[#This Row],[Quality %]], "")</f>
        <v>0.83022222222222219</v>
      </c>
    </row>
    <row r="800" spans="1:18" ht="30" customHeight="1" x14ac:dyDescent="0.25">
      <c r="A800" s="51">
        <v>46188</v>
      </c>
      <c r="B800" s="52" t="s">
        <v>18</v>
      </c>
      <c r="C800" s="52" t="s">
        <v>32</v>
      </c>
      <c r="D800" s="52" t="s">
        <v>31</v>
      </c>
      <c r="E800" s="79">
        <f>Table1[[#This Row],[Actual Production (Kg)]]</f>
        <v>0</v>
      </c>
      <c r="F800" s="53"/>
      <c r="G800" s="79"/>
      <c r="H800" s="57" t="str">
        <f>IFERROR(Table1[Re-process (Kg)]/Table1[Actual Production (Kg)], "")</f>
        <v/>
      </c>
      <c r="I800" s="53">
        <f>IFERROR(Table1[[#This Row],[Actual Production (Kg)]]-Table1[[#This Row],[Re-process (Kg)]], "")</f>
        <v>0</v>
      </c>
      <c r="J800" s="53"/>
      <c r="K800" s="52"/>
      <c r="L800" s="53" t="str">
        <f>IF(Table1[[#This Row],[Target Time (Hours)]]="","",Table1[[#This Row],[Target Time (Hours)]]-Table1[[#This Row],[Downtime (Hours)]])</f>
        <v/>
      </c>
      <c r="M800" s="53" t="str">
        <f>IFERROR(Table1[[#This Row],[Capacity (Kg)]]/Table1[[#This Row],[Target Time (Hours)]] * Table1[[#This Row],[Downtime (Hours)]], "")</f>
        <v/>
      </c>
      <c r="N800" s="57" t="str">
        <f>IFERROR(Table1[[#This Row],[Running Time (hr)]]/Table1[Target Time (Hours)], "")</f>
        <v/>
      </c>
      <c r="O800" s="57" t="str">
        <f>IFERROR(Table1[[#This Row],[Actual Production (Kg)]]/Table1[Capacity (Kg)], "")</f>
        <v/>
      </c>
      <c r="P800" s="57" t="str">
        <f>IFERROR(Table1[[#This Row],[Quality Pass Production]]/Table1[[#This Row],[Actual Production (Kg)]], "")</f>
        <v/>
      </c>
      <c r="Q800" s="57" t="str">
        <f>IFERROR(Table1[[#This Row],[Utilization %]]*Table1[[#This Row],[Efficiency %]]*Table1[[#This Row],[Quality %]], "")</f>
        <v/>
      </c>
      <c r="R800" s="52"/>
    </row>
    <row r="801" spans="1:18" ht="30" customHeight="1" x14ac:dyDescent="0.25">
      <c r="A801" s="47">
        <v>46188</v>
      </c>
      <c r="B801" s="48" t="s">
        <v>33</v>
      </c>
      <c r="C801" s="48" t="s">
        <v>34</v>
      </c>
      <c r="D801" s="48" t="s">
        <v>35</v>
      </c>
      <c r="E801" s="49">
        <v>9000</v>
      </c>
      <c r="F801" s="76">
        <v>6125</v>
      </c>
      <c r="G801" s="49">
        <v>0</v>
      </c>
      <c r="H801" s="50">
        <f>IFERROR(Table1[Re-process (Kg)]/Table1[Actual Production (Kg)], "")</f>
        <v>0</v>
      </c>
      <c r="I801" s="49">
        <f>IFERROR(Table1[[#This Row],[Actual Production (Kg)]]-Table1[[#This Row],[Re-process (Kg)]], "")</f>
        <v>6125</v>
      </c>
      <c r="J801" s="49">
        <v>22</v>
      </c>
      <c r="K801" s="72"/>
      <c r="L801" s="49">
        <f>IF(Table1[[#This Row],[Target Time (Hours)]]="","",Table1[[#This Row],[Target Time (Hours)]]-Table1[[#This Row],[Downtime (Hours)]])</f>
        <v>22</v>
      </c>
      <c r="M801" s="49">
        <f>IFERROR(Table1[[#This Row],[Capacity (Kg)]]/Table1[[#This Row],[Target Time (Hours)]] * Table1[[#This Row],[Downtime (Hours)]], "")</f>
        <v>0</v>
      </c>
      <c r="N801" s="50">
        <f>IFERROR(Table1[[#This Row],[Running Time (hr)]]/Table1[Target Time (Hours)], "")</f>
        <v>1</v>
      </c>
      <c r="O801" s="50">
        <f>IFERROR(Table1[[#This Row],[Actual Production (Kg)]]/Table1[Capacity (Kg)], "")</f>
        <v>0.68055555555555558</v>
      </c>
      <c r="P801" s="50">
        <f>IFERROR(Table1[[#This Row],[Quality Pass Production]]/Table1[[#This Row],[Actual Production (Kg)]], "")</f>
        <v>1</v>
      </c>
      <c r="Q801" s="50">
        <f>IFERROR(Table1[[#This Row],[Utilization %]]*Table1[[#This Row],[Efficiency %]]*Table1[[#This Row],[Quality %]], "")</f>
        <v>0.68055555555555558</v>
      </c>
      <c r="R801" s="48" t="s">
        <v>191</v>
      </c>
    </row>
    <row r="802" spans="1:18" ht="30" customHeight="1" x14ac:dyDescent="0.25">
      <c r="A802" s="47">
        <v>46188</v>
      </c>
      <c r="B802" s="48" t="s">
        <v>33</v>
      </c>
      <c r="C802" s="48" t="s">
        <v>36</v>
      </c>
      <c r="D802" s="48" t="s">
        <v>37</v>
      </c>
      <c r="E802" s="49">
        <v>8000</v>
      </c>
      <c r="F802" s="76">
        <v>6235</v>
      </c>
      <c r="G802" s="49">
        <v>0</v>
      </c>
      <c r="H802" s="50">
        <f>IFERROR(Table1[Re-process (Kg)]/Table1[Actual Production (Kg)], "")</f>
        <v>0</v>
      </c>
      <c r="I802" s="49">
        <f>IFERROR(Table1[[#This Row],[Actual Production (Kg)]]-Table1[[#This Row],[Re-process (Kg)]], "")</f>
        <v>6235</v>
      </c>
      <c r="J802" s="49">
        <v>22</v>
      </c>
      <c r="K802" s="72">
        <v>2</v>
      </c>
      <c r="L802" s="49">
        <f>IF(Table1[[#This Row],[Target Time (Hours)]]="","",Table1[[#This Row],[Target Time (Hours)]]-Table1[[#This Row],[Downtime (Hours)]])</f>
        <v>20</v>
      </c>
      <c r="M802" s="49">
        <f>IFERROR(Table1[[#This Row],[Capacity (Kg)]]/Table1[[#This Row],[Target Time (Hours)]] * Table1[[#This Row],[Downtime (Hours)]], "")</f>
        <v>727.27272727272725</v>
      </c>
      <c r="N802" s="50">
        <f>IFERROR(Table1[[#This Row],[Running Time (hr)]]/Table1[Target Time (Hours)], "")</f>
        <v>0.90909090909090906</v>
      </c>
      <c r="O802" s="50">
        <f>IFERROR(Table1[[#This Row],[Actual Production (Kg)]]/Table1[Capacity (Kg)], "")</f>
        <v>0.77937500000000004</v>
      </c>
      <c r="P802" s="50">
        <f>IFERROR(Table1[[#This Row],[Quality Pass Production]]/Table1[[#This Row],[Actual Production (Kg)]], "")</f>
        <v>1</v>
      </c>
      <c r="Q802" s="50">
        <f>IFERROR(Table1[[#This Row],[Utilization %]]*Table1[[#This Row],[Efficiency %]]*Table1[[#This Row],[Quality %]], "")</f>
        <v>0.70852272727272725</v>
      </c>
      <c r="R802" s="48" t="s">
        <v>207</v>
      </c>
    </row>
    <row r="803" spans="1:18" ht="30" customHeight="1" x14ac:dyDescent="0.25">
      <c r="A803" s="47">
        <v>46188</v>
      </c>
      <c r="B803" s="48" t="s">
        <v>33</v>
      </c>
      <c r="C803" s="48" t="s">
        <v>39</v>
      </c>
      <c r="D803" s="48" t="s">
        <v>31</v>
      </c>
      <c r="E803" s="49">
        <v>6000</v>
      </c>
      <c r="F803" s="76">
        <v>2423</v>
      </c>
      <c r="G803" s="49">
        <v>0</v>
      </c>
      <c r="H803" s="50">
        <f>IFERROR(Table1[Re-process (Kg)]/Table1[Actual Production (Kg)], "")</f>
        <v>0</v>
      </c>
      <c r="I803" s="49">
        <f>IFERROR(Table1[[#This Row],[Actual Production (Kg)]]-Table1[[#This Row],[Re-process (Kg)]], "")</f>
        <v>2423</v>
      </c>
      <c r="J803" s="49">
        <v>22</v>
      </c>
      <c r="K803" s="72"/>
      <c r="L803" s="49">
        <f>IF(Table1[[#This Row],[Target Time (Hours)]]="","",Table1[[#This Row],[Target Time (Hours)]]-Table1[[#This Row],[Downtime (Hours)]])</f>
        <v>22</v>
      </c>
      <c r="M803" s="49">
        <f>IFERROR(Table1[[#This Row],[Capacity (Kg)]]/Table1[[#This Row],[Target Time (Hours)]] * Table1[[#This Row],[Downtime (Hours)]], "")</f>
        <v>0</v>
      </c>
      <c r="N803" s="50">
        <f>IFERROR(Table1[[#This Row],[Running Time (hr)]]/Table1[Target Time (Hours)], "")</f>
        <v>1</v>
      </c>
      <c r="O803" s="50">
        <f>IFERROR(Table1[[#This Row],[Actual Production (Kg)]]/Table1[Capacity (Kg)], "")</f>
        <v>0.40383333333333332</v>
      </c>
      <c r="P803" s="50">
        <f>IFERROR(Table1[[#This Row],[Quality Pass Production]]/Table1[[#This Row],[Actual Production (Kg)]], "")</f>
        <v>1</v>
      </c>
      <c r="Q803" s="50">
        <f>IFERROR(Table1[[#This Row],[Utilization %]]*Table1[[#This Row],[Efficiency %]]*Table1[[#This Row],[Quality %]], "")</f>
        <v>0.40383333333333332</v>
      </c>
      <c r="R803" s="48" t="s">
        <v>191</v>
      </c>
    </row>
    <row r="804" spans="1:18" ht="45" customHeight="1" x14ac:dyDescent="0.25">
      <c r="A804" s="54">
        <v>46188</v>
      </c>
      <c r="B804" s="55" t="s">
        <v>33</v>
      </c>
      <c r="C804" s="55" t="s">
        <v>40</v>
      </c>
      <c r="D804" s="55" t="s">
        <v>31</v>
      </c>
      <c r="E804" s="56">
        <v>5000</v>
      </c>
      <c r="F804" s="56">
        <v>3291</v>
      </c>
      <c r="G804" s="56">
        <v>0</v>
      </c>
      <c r="H804" s="58">
        <f>IFERROR(Table1[Re-process (Kg)]/Table1[Actual Production (Kg)], "")</f>
        <v>0</v>
      </c>
      <c r="I804" s="56">
        <f>IFERROR(Table1[[#This Row],[Actual Production (Kg)]]-Table1[[#This Row],[Re-process (Kg)]], "")</f>
        <v>3291</v>
      </c>
      <c r="J804" s="56">
        <v>22</v>
      </c>
      <c r="K804" s="55"/>
      <c r="L804" s="56">
        <f>IF(Table1[[#This Row],[Target Time (Hours)]]="","",Table1[[#This Row],[Target Time (Hours)]]-Table1[[#This Row],[Downtime (Hours)]])</f>
        <v>22</v>
      </c>
      <c r="M804" s="56">
        <f>IFERROR(Table1[[#This Row],[Capacity (Kg)]]/Table1[[#This Row],[Target Time (Hours)]] * Table1[[#This Row],[Downtime (Hours)]], "")</f>
        <v>0</v>
      </c>
      <c r="N804" s="58">
        <f>IFERROR(Table1[[#This Row],[Running Time (hr)]]/Table1[Target Time (Hours)], "")</f>
        <v>1</v>
      </c>
      <c r="O804" s="58">
        <f>IFERROR(Table1[[#This Row],[Actual Production (Kg)]]/Table1[Capacity (Kg)], "")</f>
        <v>0.65820000000000001</v>
      </c>
      <c r="P804" s="58">
        <f>IFERROR(Table1[[#This Row],[Quality Pass Production]]/Table1[[#This Row],[Actual Production (Kg)]], "")</f>
        <v>1</v>
      </c>
      <c r="Q804" s="58">
        <f>IFERROR(Table1[[#This Row],[Utilization %]]*Table1[[#This Row],[Efficiency %]]*Table1[[#This Row],[Quality %]], "")</f>
        <v>0.65820000000000001</v>
      </c>
      <c r="R804" s="55" t="s">
        <v>191</v>
      </c>
    </row>
    <row r="805" spans="1:18" ht="30" customHeight="1" x14ac:dyDescent="0.25">
      <c r="A805" s="47">
        <v>46189</v>
      </c>
      <c r="B805" s="48" t="s">
        <v>18</v>
      </c>
      <c r="C805" s="48" t="s">
        <v>19</v>
      </c>
      <c r="D805" s="48" t="s">
        <v>20</v>
      </c>
      <c r="E805" s="49">
        <v>10000</v>
      </c>
      <c r="F805" s="76">
        <v>8521</v>
      </c>
      <c r="G805" s="49">
        <v>0</v>
      </c>
      <c r="H805" s="50">
        <f>IFERROR(Table1[Re-process (Kg)]/Table1[Actual Production (Kg)], "")</f>
        <v>0</v>
      </c>
      <c r="I805" s="49">
        <f>IFERROR(Table1[[#This Row],[Actual Production (Kg)]]-Table1[[#This Row],[Re-process (Kg)]], "")</f>
        <v>8521</v>
      </c>
      <c r="J805" s="49">
        <v>22</v>
      </c>
      <c r="K805" s="72">
        <v>2</v>
      </c>
      <c r="L805" s="49">
        <f>IF(Table1[[#This Row],[Target Time (Hours)]]="","",Table1[[#This Row],[Target Time (Hours)]]-Table1[[#This Row],[Downtime (Hours)]])</f>
        <v>20</v>
      </c>
      <c r="M805" s="49">
        <f>IFERROR(Table1[[#This Row],[Capacity (Kg)]]/Table1[[#This Row],[Target Time (Hours)]] * Table1[[#This Row],[Downtime (Hours)]], "")</f>
        <v>909.09090909090912</v>
      </c>
      <c r="N805" s="50">
        <f>IFERROR(Table1[[#This Row],[Running Time (hr)]]/Table1[Target Time (Hours)], "")</f>
        <v>0.90909090909090906</v>
      </c>
      <c r="O805" s="50">
        <f>IFERROR(Table1[[#This Row],[Actual Production (Kg)]]/Table1[Capacity (Kg)], "")</f>
        <v>0.85209999999999997</v>
      </c>
      <c r="P805" s="50">
        <f>IFERROR(Table1[[#This Row],[Quality Pass Production]]/Table1[[#This Row],[Actual Production (Kg)]], "")</f>
        <v>1</v>
      </c>
      <c r="Q805" s="50">
        <f>IFERROR(Table1[[#This Row],[Utilization %]]*Table1[[#This Row],[Efficiency %]]*Table1[[#This Row],[Quality %]], "")</f>
        <v>0.77463636363636357</v>
      </c>
      <c r="R805" s="48" t="s">
        <v>208</v>
      </c>
    </row>
    <row r="806" spans="1:18" ht="30" customHeight="1" x14ac:dyDescent="0.25">
      <c r="A806" s="47">
        <v>46189</v>
      </c>
      <c r="B806" s="48" t="s">
        <v>18</v>
      </c>
      <c r="C806" s="48" t="s">
        <v>22</v>
      </c>
      <c r="D806" s="48" t="s">
        <v>23</v>
      </c>
      <c r="E806" s="49">
        <v>5000</v>
      </c>
      <c r="F806" s="76">
        <v>4833</v>
      </c>
      <c r="G806" s="49">
        <v>0</v>
      </c>
      <c r="H806" s="50">
        <f>IFERROR(Table1[Re-process (Kg)]/Table1[Actual Production (Kg)], "")</f>
        <v>0</v>
      </c>
      <c r="I806" s="49">
        <f>IFERROR(Table1[[#This Row],[Actual Production (Kg)]]-Table1[[#This Row],[Re-process (Kg)]], "")</f>
        <v>4833</v>
      </c>
      <c r="J806" s="49">
        <v>22</v>
      </c>
      <c r="K806" s="72"/>
      <c r="L806" s="49">
        <f>IF(Table1[[#This Row],[Target Time (Hours)]]="","",Table1[[#This Row],[Target Time (Hours)]]-Table1[[#This Row],[Downtime (Hours)]])</f>
        <v>22</v>
      </c>
      <c r="M806" s="49">
        <f>IFERROR(Table1[[#This Row],[Capacity (Kg)]]/Table1[[#This Row],[Target Time (Hours)]] * Table1[[#This Row],[Downtime (Hours)]], "")</f>
        <v>0</v>
      </c>
      <c r="N806" s="50">
        <f>IFERROR(Table1[[#This Row],[Running Time (hr)]]/Table1[Target Time (Hours)], "")</f>
        <v>1</v>
      </c>
      <c r="O806" s="50">
        <f>IFERROR(Table1[[#This Row],[Actual Production (Kg)]]/Table1[Capacity (Kg)], "")</f>
        <v>0.96660000000000001</v>
      </c>
      <c r="P806" s="50">
        <f>IFERROR(Table1[[#This Row],[Quality Pass Production]]/Table1[[#This Row],[Actual Production (Kg)]], "")</f>
        <v>1</v>
      </c>
      <c r="Q806" s="50">
        <f>IFERROR(Table1[[#This Row],[Utilization %]]*Table1[[#This Row],[Efficiency %]]*Table1[[#This Row],[Quality %]], "")</f>
        <v>0.96660000000000001</v>
      </c>
      <c r="R806" s="48" t="s">
        <v>206</v>
      </c>
    </row>
    <row r="807" spans="1:18" x14ac:dyDescent="0.25">
      <c r="A807" s="47">
        <v>46189</v>
      </c>
      <c r="B807" s="48" t="s">
        <v>18</v>
      </c>
      <c r="C807" s="48" t="s">
        <v>22</v>
      </c>
      <c r="D807" s="48" t="s">
        <v>25</v>
      </c>
      <c r="E807" s="49">
        <v>4000</v>
      </c>
      <c r="F807" s="76">
        <v>3790</v>
      </c>
      <c r="G807" s="49">
        <v>0</v>
      </c>
      <c r="H807" s="50">
        <f>IFERROR(Table1[Re-process (Kg)]/Table1[Actual Production (Kg)], "")</f>
        <v>0</v>
      </c>
      <c r="I807" s="49">
        <f>IFERROR(Table1[[#This Row],[Actual Production (Kg)]]-Table1[[#This Row],[Re-process (Kg)]], "")</f>
        <v>3790</v>
      </c>
      <c r="J807" s="49"/>
      <c r="K807" s="72"/>
      <c r="L807" s="49" t="str">
        <f>IF(Table1[[#This Row],[Target Time (Hours)]]="","",Table1[[#This Row],[Target Time (Hours)]]-Table1[[#This Row],[Downtime (Hours)]])</f>
        <v/>
      </c>
      <c r="M807" s="49" t="str">
        <f>IFERROR(Table1[[#This Row],[Capacity (Kg)]]/Table1[[#This Row],[Target Time (Hours)]] * Table1[[#This Row],[Downtime (Hours)]], "")</f>
        <v/>
      </c>
      <c r="N807" s="50" t="str">
        <f>IFERROR(Table1[[#This Row],[Running Time (hr)]]/Table1[Target Time (Hours)], "")</f>
        <v/>
      </c>
      <c r="O807" s="50">
        <f>IFERROR(Table1[[#This Row],[Actual Production (Kg)]]/Table1[Capacity (Kg)], "")</f>
        <v>0.94750000000000001</v>
      </c>
      <c r="P807" s="50">
        <f>IFERROR(Table1[[#This Row],[Quality Pass Production]]/Table1[[#This Row],[Actual Production (Kg)]], "")</f>
        <v>1</v>
      </c>
      <c r="Q807" s="50" t="str">
        <f>IFERROR(Table1[[#This Row],[Utilization %]]*Table1[[#This Row],[Efficiency %]]*Table1[[#This Row],[Quality %]], "")</f>
        <v/>
      </c>
    </row>
    <row r="808" spans="1:18" ht="30" customHeight="1" x14ac:dyDescent="0.25">
      <c r="A808" s="47">
        <v>46189</v>
      </c>
      <c r="B808" s="48" t="s">
        <v>18</v>
      </c>
      <c r="C808" s="48" t="s">
        <v>26</v>
      </c>
      <c r="D808" s="48" t="s">
        <v>25</v>
      </c>
      <c r="E808" s="49">
        <v>7000</v>
      </c>
      <c r="F808" s="76">
        <v>8246</v>
      </c>
      <c r="G808" s="49">
        <v>0</v>
      </c>
      <c r="H808" s="50">
        <f>IFERROR(Table1[Re-process (Kg)]/Table1[Actual Production (Kg)], "")</f>
        <v>0</v>
      </c>
      <c r="I808" s="49">
        <f>IFERROR(Table1[[#This Row],[Actual Production (Kg)]]-Table1[[#This Row],[Re-process (Kg)]], "")</f>
        <v>8246</v>
      </c>
      <c r="J808" s="49">
        <v>22</v>
      </c>
      <c r="K808" s="72"/>
      <c r="L808" s="49">
        <f>IF(Table1[[#This Row],[Target Time (Hours)]]="","",Table1[[#This Row],[Target Time (Hours)]]-Table1[[#This Row],[Downtime (Hours)]])</f>
        <v>22</v>
      </c>
      <c r="M808" s="49">
        <f>IFERROR(Table1[[#This Row],[Capacity (Kg)]]/Table1[[#This Row],[Target Time (Hours)]] * Table1[[#This Row],[Downtime (Hours)]], "")</f>
        <v>0</v>
      </c>
      <c r="N808" s="50">
        <f>IFERROR(Table1[[#This Row],[Running Time (hr)]]/Table1[Target Time (Hours)], "")</f>
        <v>1</v>
      </c>
      <c r="O808" s="50">
        <f>IFERROR(Table1[[#This Row],[Actual Production (Kg)]]/Table1[Capacity (Kg)], "")</f>
        <v>1.1779999999999999</v>
      </c>
      <c r="P808" s="50">
        <f>IFERROR(Table1[[#This Row],[Quality Pass Production]]/Table1[[#This Row],[Actual Production (Kg)]], "")</f>
        <v>1</v>
      </c>
      <c r="Q808" s="50">
        <f>IFERROR(Table1[[#This Row],[Utilization %]]*Table1[[#This Row],[Efficiency %]]*Table1[[#This Row],[Quality %]], "")</f>
        <v>1.1779999999999999</v>
      </c>
      <c r="R808" s="48" t="s">
        <v>209</v>
      </c>
    </row>
    <row r="809" spans="1:18" ht="30" customHeight="1" x14ac:dyDescent="0.25">
      <c r="A809" s="47">
        <v>46189</v>
      </c>
      <c r="B809" s="48" t="s">
        <v>18</v>
      </c>
      <c r="C809" s="48" t="s">
        <v>28</v>
      </c>
      <c r="D809" s="48" t="s">
        <v>29</v>
      </c>
      <c r="E809" s="49">
        <v>7800</v>
      </c>
      <c r="F809" s="76">
        <v>5537</v>
      </c>
      <c r="G809" s="49">
        <v>0</v>
      </c>
      <c r="H809" s="50">
        <f>IFERROR(Table1[Re-process (Kg)]/Table1[Actual Production (Kg)], "")</f>
        <v>0</v>
      </c>
      <c r="I809" s="49">
        <f>IFERROR(Table1[[#This Row],[Actual Production (Kg)]]-Table1[[#This Row],[Re-process (Kg)]], "")</f>
        <v>5537</v>
      </c>
      <c r="J809" s="49">
        <v>22</v>
      </c>
      <c r="K809" s="72">
        <v>4</v>
      </c>
      <c r="L809" s="49">
        <f>IF(Table1[[#This Row],[Target Time (Hours)]]="","",Table1[[#This Row],[Target Time (Hours)]]-Table1[[#This Row],[Downtime (Hours)]])</f>
        <v>18</v>
      </c>
      <c r="M809" s="49">
        <f>IFERROR(Table1[[#This Row],[Capacity (Kg)]]/Table1[[#This Row],[Target Time (Hours)]] * Table1[[#This Row],[Downtime (Hours)]], "")</f>
        <v>1418.1818181818182</v>
      </c>
      <c r="N809" s="50">
        <f>IFERROR(Table1[[#This Row],[Running Time (hr)]]/Table1[Target Time (Hours)], "")</f>
        <v>0.81818181818181823</v>
      </c>
      <c r="O809" s="50">
        <f>IFERROR(Table1[[#This Row],[Actual Production (Kg)]]/Table1[Capacity (Kg)], "")</f>
        <v>0.70987179487179486</v>
      </c>
      <c r="P809" s="50">
        <f>IFERROR(Table1[[#This Row],[Quality Pass Production]]/Table1[[#This Row],[Actual Production (Kg)]], "")</f>
        <v>1</v>
      </c>
      <c r="Q809" s="50">
        <f>IFERROR(Table1[[#This Row],[Utilization %]]*Table1[[#This Row],[Efficiency %]]*Table1[[#This Row],[Quality %]], "")</f>
        <v>0.58080419580419584</v>
      </c>
      <c r="R809" s="48" t="s">
        <v>198</v>
      </c>
    </row>
    <row r="810" spans="1:18" ht="30" customHeight="1" x14ac:dyDescent="0.25">
      <c r="A810" s="51">
        <v>46189</v>
      </c>
      <c r="B810" s="52" t="s">
        <v>18</v>
      </c>
      <c r="C810" s="52" t="s">
        <v>135</v>
      </c>
      <c r="D810" s="52" t="s">
        <v>29</v>
      </c>
      <c r="E810" s="53"/>
      <c r="F810" s="53"/>
      <c r="G810" s="79"/>
      <c r="H810" s="57" t="str">
        <f>IFERROR(Table1[Re-process (Kg)]/Table1[Actual Production (Kg)], "")</f>
        <v/>
      </c>
      <c r="I810" s="53">
        <f>IFERROR(Table1[[#This Row],[Actual Production (Kg)]]-Table1[[#This Row],[Re-process (Kg)]], "")</f>
        <v>0</v>
      </c>
      <c r="J810" s="53"/>
      <c r="K810" s="52"/>
      <c r="L810" s="53" t="str">
        <f>IF(Table1[[#This Row],[Target Time (Hours)]]="","",Table1[[#This Row],[Target Time (Hours)]]-Table1[[#This Row],[Downtime (Hours)]])</f>
        <v/>
      </c>
      <c r="M810" s="53" t="str">
        <f>IFERROR(Table1[[#This Row],[Capacity (Kg)]]/Table1[[#This Row],[Target Time (Hours)]] * Table1[[#This Row],[Downtime (Hours)]], "")</f>
        <v/>
      </c>
      <c r="N810" s="57" t="str">
        <f>IFERROR(Table1[[#This Row],[Running Time (hr)]]/Table1[Target Time (Hours)], "")</f>
        <v/>
      </c>
      <c r="O810" s="57" t="str">
        <f>IFERROR(Table1[[#This Row],[Actual Production (Kg)]]/Table1[Capacity (Kg)], "")</f>
        <v/>
      </c>
      <c r="P810" s="57" t="str">
        <f>IFERROR(Table1[[#This Row],[Quality Pass Production]]/Table1[[#This Row],[Actual Production (Kg)]], "")</f>
        <v/>
      </c>
      <c r="Q810" s="57" t="str">
        <f>IFERROR(Table1[[#This Row],[Utilization %]]*Table1[[#This Row],[Efficiency %]]*Table1[[#This Row],[Quality %]], "")</f>
        <v/>
      </c>
      <c r="R810" s="52"/>
    </row>
    <row r="811" spans="1:18" ht="30" customHeight="1" x14ac:dyDescent="0.25">
      <c r="A811" s="47">
        <v>46189</v>
      </c>
      <c r="B811" s="48" t="s">
        <v>18</v>
      </c>
      <c r="C811" s="48" t="s">
        <v>30</v>
      </c>
      <c r="D811" s="48" t="s">
        <v>31</v>
      </c>
      <c r="E811" s="49">
        <v>9000</v>
      </c>
      <c r="F811" s="76">
        <v>8608</v>
      </c>
      <c r="G811" s="49">
        <v>0</v>
      </c>
      <c r="H811" s="50">
        <f>IFERROR(Table1[Re-process (Kg)]/Table1[Actual Production (Kg)], "")</f>
        <v>0</v>
      </c>
      <c r="I811" s="49">
        <f>IFERROR(Table1[[#This Row],[Actual Production (Kg)]]-Table1[[#This Row],[Re-process (Kg)]], "")</f>
        <v>8608</v>
      </c>
      <c r="J811" s="49">
        <v>22</v>
      </c>
      <c r="K811" s="72"/>
      <c r="L811" s="49">
        <f>IF(Table1[[#This Row],[Target Time (Hours)]]="","",Table1[[#This Row],[Target Time (Hours)]]-Table1[[#This Row],[Downtime (Hours)]])</f>
        <v>22</v>
      </c>
      <c r="M811" s="49">
        <f>IFERROR(Table1[[#This Row],[Capacity (Kg)]]/Table1[[#This Row],[Target Time (Hours)]] * Table1[[#This Row],[Downtime (Hours)]], "")</f>
        <v>0</v>
      </c>
      <c r="N811" s="50">
        <f>IFERROR(Table1[[#This Row],[Running Time (hr)]]/Table1[Target Time (Hours)], "")</f>
        <v>1</v>
      </c>
      <c r="O811" s="50">
        <f>IFERROR(Table1[[#This Row],[Actual Production (Kg)]]/Table1[Capacity (Kg)], "")</f>
        <v>0.95644444444444443</v>
      </c>
      <c r="P811" s="50">
        <f>IFERROR(Table1[[#This Row],[Quality Pass Production]]/Table1[[#This Row],[Actual Production (Kg)]], "")</f>
        <v>1</v>
      </c>
      <c r="Q811" s="50">
        <f>IFERROR(Table1[[#This Row],[Utilization %]]*Table1[[#This Row],[Efficiency %]]*Table1[[#This Row],[Quality %]], "")</f>
        <v>0.95644444444444443</v>
      </c>
    </row>
    <row r="812" spans="1:18" ht="30" customHeight="1" x14ac:dyDescent="0.25">
      <c r="A812" s="51">
        <v>46189</v>
      </c>
      <c r="B812" s="52" t="s">
        <v>18</v>
      </c>
      <c r="C812" s="52" t="s">
        <v>32</v>
      </c>
      <c r="D812" s="52" t="s">
        <v>31</v>
      </c>
      <c r="E812" s="79">
        <f>Table1[[#This Row],[Actual Production (Kg)]]</f>
        <v>0</v>
      </c>
      <c r="F812" s="53"/>
      <c r="G812" s="79"/>
      <c r="H812" s="57" t="str">
        <f>IFERROR(Table1[Re-process (Kg)]/Table1[Actual Production (Kg)], "")</f>
        <v/>
      </c>
      <c r="I812" s="53">
        <f>IFERROR(Table1[[#This Row],[Actual Production (Kg)]]-Table1[[#This Row],[Re-process (Kg)]], "")</f>
        <v>0</v>
      </c>
      <c r="J812" s="53"/>
      <c r="K812" s="52"/>
      <c r="L812" s="53" t="str">
        <f>IF(Table1[[#This Row],[Target Time (Hours)]]="","",Table1[[#This Row],[Target Time (Hours)]]-Table1[[#This Row],[Downtime (Hours)]])</f>
        <v/>
      </c>
      <c r="M812" s="53" t="str">
        <f>IFERROR(Table1[[#This Row],[Capacity (Kg)]]/Table1[[#This Row],[Target Time (Hours)]] * Table1[[#This Row],[Downtime (Hours)]], "")</f>
        <v/>
      </c>
      <c r="N812" s="57" t="str">
        <f>IFERROR(Table1[[#This Row],[Running Time (hr)]]/Table1[Target Time (Hours)], "")</f>
        <v/>
      </c>
      <c r="O812" s="57" t="str">
        <f>IFERROR(Table1[[#This Row],[Actual Production (Kg)]]/Table1[Capacity (Kg)], "")</f>
        <v/>
      </c>
      <c r="P812" s="57" t="str">
        <f>IFERROR(Table1[[#This Row],[Quality Pass Production]]/Table1[[#This Row],[Actual Production (Kg)]], "")</f>
        <v/>
      </c>
      <c r="Q812" s="57" t="str">
        <f>IFERROR(Table1[[#This Row],[Utilization %]]*Table1[[#This Row],[Efficiency %]]*Table1[[#This Row],[Quality %]], "")</f>
        <v/>
      </c>
      <c r="R812" s="52"/>
    </row>
    <row r="813" spans="1:18" ht="30" customHeight="1" x14ac:dyDescent="0.25">
      <c r="A813" s="47">
        <v>46189</v>
      </c>
      <c r="B813" s="48" t="s">
        <v>33</v>
      </c>
      <c r="C813" s="48" t="s">
        <v>34</v>
      </c>
      <c r="D813" s="48" t="s">
        <v>35</v>
      </c>
      <c r="E813" s="49">
        <v>9000</v>
      </c>
      <c r="F813" s="76">
        <v>5857</v>
      </c>
      <c r="G813" s="49">
        <v>0</v>
      </c>
      <c r="H813" s="50">
        <f>IFERROR(Table1[Re-process (Kg)]/Table1[Actual Production (Kg)], "")</f>
        <v>0</v>
      </c>
      <c r="I813" s="49">
        <f>IFERROR(Table1[[#This Row],[Actual Production (Kg)]]-Table1[[#This Row],[Re-process (Kg)]], "")</f>
        <v>5857</v>
      </c>
      <c r="J813" s="49">
        <v>22</v>
      </c>
      <c r="K813" s="72"/>
      <c r="L813" s="49">
        <f>IF(Table1[[#This Row],[Target Time (Hours)]]="","",Table1[[#This Row],[Target Time (Hours)]]-Table1[[#This Row],[Downtime (Hours)]])</f>
        <v>22</v>
      </c>
      <c r="M813" s="49">
        <f>IFERROR(Table1[[#This Row],[Capacity (Kg)]]/Table1[[#This Row],[Target Time (Hours)]] * Table1[[#This Row],[Downtime (Hours)]], "")</f>
        <v>0</v>
      </c>
      <c r="N813" s="50">
        <f>IFERROR(Table1[[#This Row],[Running Time (hr)]]/Table1[Target Time (Hours)], "")</f>
        <v>1</v>
      </c>
      <c r="O813" s="50">
        <f>IFERROR(Table1[[#This Row],[Actual Production (Kg)]]/Table1[Capacity (Kg)], "")</f>
        <v>0.65077777777777779</v>
      </c>
      <c r="P813" s="50">
        <f>IFERROR(Table1[[#This Row],[Quality Pass Production]]/Table1[[#This Row],[Actual Production (Kg)]], "")</f>
        <v>1</v>
      </c>
      <c r="Q813" s="50">
        <f>IFERROR(Table1[[#This Row],[Utilization %]]*Table1[[#This Row],[Efficiency %]]*Table1[[#This Row],[Quality %]], "")</f>
        <v>0.65077777777777779</v>
      </c>
      <c r="R813" s="48" t="s">
        <v>191</v>
      </c>
    </row>
    <row r="814" spans="1:18" ht="30" customHeight="1" x14ac:dyDescent="0.25">
      <c r="A814" s="47">
        <v>46189</v>
      </c>
      <c r="B814" s="48" t="s">
        <v>33</v>
      </c>
      <c r="C814" s="48" t="s">
        <v>36</v>
      </c>
      <c r="D814" s="48" t="s">
        <v>37</v>
      </c>
      <c r="E814" s="49">
        <v>8000</v>
      </c>
      <c r="F814" s="76">
        <v>5849</v>
      </c>
      <c r="G814" s="49">
        <v>0</v>
      </c>
      <c r="H814" s="50">
        <f>IFERROR(Table1[Re-process (Kg)]/Table1[Actual Production (Kg)], "")</f>
        <v>0</v>
      </c>
      <c r="I814" s="49">
        <f>IFERROR(Table1[[#This Row],[Actual Production (Kg)]]-Table1[[#This Row],[Re-process (Kg)]], "")</f>
        <v>5849</v>
      </c>
      <c r="J814" s="49">
        <v>22</v>
      </c>
      <c r="K814" s="72">
        <v>4</v>
      </c>
      <c r="L814" s="49">
        <f>IF(Table1[[#This Row],[Target Time (Hours)]]="","",Table1[[#This Row],[Target Time (Hours)]]-Table1[[#This Row],[Downtime (Hours)]])</f>
        <v>18</v>
      </c>
      <c r="M814" s="49">
        <f>IFERROR(Table1[[#This Row],[Capacity (Kg)]]/Table1[[#This Row],[Target Time (Hours)]] * Table1[[#This Row],[Downtime (Hours)]], "")</f>
        <v>1454.5454545454545</v>
      </c>
      <c r="N814" s="50">
        <f>IFERROR(Table1[[#This Row],[Running Time (hr)]]/Table1[Target Time (Hours)], "")</f>
        <v>0.81818181818181823</v>
      </c>
      <c r="O814" s="50">
        <f>IFERROR(Table1[[#This Row],[Actual Production (Kg)]]/Table1[Capacity (Kg)], "")</f>
        <v>0.73112500000000002</v>
      </c>
      <c r="P814" s="50">
        <f>IFERROR(Table1[[#This Row],[Quality Pass Production]]/Table1[[#This Row],[Actual Production (Kg)]], "")</f>
        <v>1</v>
      </c>
      <c r="Q814" s="50">
        <f>IFERROR(Table1[[#This Row],[Utilization %]]*Table1[[#This Row],[Efficiency %]]*Table1[[#This Row],[Quality %]], "")</f>
        <v>0.59819318181818193</v>
      </c>
      <c r="R814" s="48" t="s">
        <v>210</v>
      </c>
    </row>
    <row r="815" spans="1:18" ht="30" customHeight="1" x14ac:dyDescent="0.25">
      <c r="A815" s="47">
        <v>46189</v>
      </c>
      <c r="B815" s="48" t="s">
        <v>33</v>
      </c>
      <c r="C815" s="48" t="s">
        <v>39</v>
      </c>
      <c r="D815" s="48" t="s">
        <v>31</v>
      </c>
      <c r="E815" s="49">
        <v>6000</v>
      </c>
      <c r="F815" s="76">
        <v>1787</v>
      </c>
      <c r="G815" s="49">
        <v>0</v>
      </c>
      <c r="H815" s="50">
        <f>IFERROR(Table1[Re-process (Kg)]/Table1[Actual Production (Kg)], "")</f>
        <v>0</v>
      </c>
      <c r="I815" s="49">
        <f>IFERROR(Table1[[#This Row],[Actual Production (Kg)]]-Table1[[#This Row],[Re-process (Kg)]], "")</f>
        <v>1787</v>
      </c>
      <c r="J815" s="49">
        <v>22</v>
      </c>
      <c r="K815" s="72"/>
      <c r="L815" s="49">
        <f>IF(Table1[[#This Row],[Target Time (Hours)]]="","",Table1[[#This Row],[Target Time (Hours)]]-Table1[[#This Row],[Downtime (Hours)]])</f>
        <v>22</v>
      </c>
      <c r="M815" s="49">
        <f>IFERROR(Table1[[#This Row],[Capacity (Kg)]]/Table1[[#This Row],[Target Time (Hours)]] * Table1[[#This Row],[Downtime (Hours)]], "")</f>
        <v>0</v>
      </c>
      <c r="N815" s="50">
        <f>IFERROR(Table1[[#This Row],[Running Time (hr)]]/Table1[Target Time (Hours)], "")</f>
        <v>1</v>
      </c>
      <c r="O815" s="50">
        <f>IFERROR(Table1[[#This Row],[Actual Production (Kg)]]/Table1[Capacity (Kg)], "")</f>
        <v>0.29783333333333334</v>
      </c>
      <c r="P815" s="50">
        <f>IFERROR(Table1[[#This Row],[Quality Pass Production]]/Table1[[#This Row],[Actual Production (Kg)]], "")</f>
        <v>1</v>
      </c>
      <c r="Q815" s="50">
        <f>IFERROR(Table1[[#This Row],[Utilization %]]*Table1[[#This Row],[Efficiency %]]*Table1[[#This Row],[Quality %]], "")</f>
        <v>0.29783333333333334</v>
      </c>
      <c r="R815" s="48" t="s">
        <v>191</v>
      </c>
    </row>
    <row r="816" spans="1:18" ht="45" customHeight="1" x14ac:dyDescent="0.25">
      <c r="A816" s="54">
        <v>46189</v>
      </c>
      <c r="B816" s="55" t="s">
        <v>33</v>
      </c>
      <c r="C816" s="55" t="s">
        <v>40</v>
      </c>
      <c r="D816" s="55" t="s">
        <v>31</v>
      </c>
      <c r="E816" s="56">
        <v>5000</v>
      </c>
      <c r="F816" s="56">
        <v>3061</v>
      </c>
      <c r="G816" s="56">
        <v>0</v>
      </c>
      <c r="H816" s="58">
        <f>IFERROR(Table1[Re-process (Kg)]/Table1[Actual Production (Kg)], "")</f>
        <v>0</v>
      </c>
      <c r="I816" s="56">
        <f>IFERROR(Table1[[#This Row],[Actual Production (Kg)]]-Table1[[#This Row],[Re-process (Kg)]], "")</f>
        <v>3061</v>
      </c>
      <c r="J816" s="56">
        <v>22</v>
      </c>
      <c r="K816" s="55"/>
      <c r="L816" s="56">
        <f>IF(Table1[[#This Row],[Target Time (Hours)]]="","",Table1[[#This Row],[Target Time (Hours)]]-Table1[[#This Row],[Downtime (Hours)]])</f>
        <v>22</v>
      </c>
      <c r="M816" s="56">
        <f>IFERROR(Table1[[#This Row],[Capacity (Kg)]]/Table1[[#This Row],[Target Time (Hours)]] * Table1[[#This Row],[Downtime (Hours)]], "")</f>
        <v>0</v>
      </c>
      <c r="N816" s="58">
        <f>IFERROR(Table1[[#This Row],[Running Time (hr)]]/Table1[Target Time (Hours)], "")</f>
        <v>1</v>
      </c>
      <c r="O816" s="58">
        <f>IFERROR(Table1[[#This Row],[Actual Production (Kg)]]/Table1[Capacity (Kg)], "")</f>
        <v>0.61219999999999997</v>
      </c>
      <c r="P816" s="58">
        <f>IFERROR(Table1[[#This Row],[Quality Pass Production]]/Table1[[#This Row],[Actual Production (Kg)]], "")</f>
        <v>1</v>
      </c>
      <c r="Q816" s="58">
        <f>IFERROR(Table1[[#This Row],[Utilization %]]*Table1[[#This Row],[Efficiency %]]*Table1[[#This Row],[Quality %]], "")</f>
        <v>0.61219999999999997</v>
      </c>
      <c r="R816" s="55" t="s">
        <v>191</v>
      </c>
    </row>
    <row r="817" spans="1:18" ht="30" customHeight="1" x14ac:dyDescent="0.25">
      <c r="A817" s="47">
        <v>46190</v>
      </c>
      <c r="B817" s="48" t="s">
        <v>18</v>
      </c>
      <c r="C817" s="48" t="s">
        <v>19</v>
      </c>
      <c r="D817" s="48" t="s">
        <v>20</v>
      </c>
      <c r="E817" s="49">
        <v>10000</v>
      </c>
      <c r="F817" s="76">
        <v>8240</v>
      </c>
      <c r="G817" s="49">
        <v>0</v>
      </c>
      <c r="H817" s="50">
        <f>IFERROR(Table1[Re-process (Kg)]/Table1[Actual Production (Kg)], "")</f>
        <v>0</v>
      </c>
      <c r="I817" s="49">
        <f>IFERROR(Table1[[#This Row],[Actual Production (Kg)]]-Table1[[#This Row],[Re-process (Kg)]], "")</f>
        <v>8240</v>
      </c>
      <c r="J817" s="49">
        <v>22</v>
      </c>
      <c r="K817" s="72"/>
      <c r="L817" s="49">
        <f>IF(Table1[[#This Row],[Target Time (Hours)]]="","",Table1[[#This Row],[Target Time (Hours)]]-Table1[[#This Row],[Downtime (Hours)]])</f>
        <v>22</v>
      </c>
      <c r="M817" s="49">
        <f>IFERROR(Table1[[#This Row],[Capacity (Kg)]]/Table1[[#This Row],[Target Time (Hours)]] * Table1[[#This Row],[Downtime (Hours)]], "")</f>
        <v>0</v>
      </c>
      <c r="N817" s="50">
        <f>IFERROR(Table1[[#This Row],[Running Time (hr)]]/Table1[Target Time (Hours)], "")</f>
        <v>1</v>
      </c>
      <c r="O817" s="50">
        <f>IFERROR(Table1[[#This Row],[Actual Production (Kg)]]/Table1[Capacity (Kg)], "")</f>
        <v>0.82399999999999995</v>
      </c>
      <c r="P817" s="50">
        <f>IFERROR(Table1[[#This Row],[Quality Pass Production]]/Table1[[#This Row],[Actual Production (Kg)]], "")</f>
        <v>1</v>
      </c>
      <c r="Q817" s="50">
        <f>IFERROR(Table1[[#This Row],[Utilization %]]*Table1[[#This Row],[Efficiency %]]*Table1[[#This Row],[Quality %]], "")</f>
        <v>0.82399999999999995</v>
      </c>
    </row>
    <row r="818" spans="1:18" ht="30" customHeight="1" x14ac:dyDescent="0.25">
      <c r="A818" s="47">
        <v>46190</v>
      </c>
      <c r="B818" s="48" t="s">
        <v>18</v>
      </c>
      <c r="C818" s="48" t="s">
        <v>22</v>
      </c>
      <c r="D818" s="48" t="s">
        <v>23</v>
      </c>
      <c r="E818" s="49">
        <v>5000</v>
      </c>
      <c r="F818" s="76">
        <v>5104</v>
      </c>
      <c r="G818" s="49">
        <v>0</v>
      </c>
      <c r="H818" s="50">
        <f>IFERROR(Table1[Re-process (Kg)]/Table1[Actual Production (Kg)], "")</f>
        <v>0</v>
      </c>
      <c r="I818" s="49">
        <f>IFERROR(Table1[[#This Row],[Actual Production (Kg)]]-Table1[[#This Row],[Re-process (Kg)]], "")</f>
        <v>5104</v>
      </c>
      <c r="J818" s="49">
        <v>22</v>
      </c>
      <c r="K818" s="72"/>
      <c r="L818" s="49">
        <f>IF(Table1[[#This Row],[Target Time (Hours)]]="","",Table1[[#This Row],[Target Time (Hours)]]-Table1[[#This Row],[Downtime (Hours)]])</f>
        <v>22</v>
      </c>
      <c r="M818" s="49">
        <f>IFERROR(Table1[[#This Row],[Capacity (Kg)]]/Table1[[#This Row],[Target Time (Hours)]] * Table1[[#This Row],[Downtime (Hours)]], "")</f>
        <v>0</v>
      </c>
      <c r="N818" s="50">
        <f>IFERROR(Table1[[#This Row],[Running Time (hr)]]/Table1[Target Time (Hours)], "")</f>
        <v>1</v>
      </c>
      <c r="O818" s="50">
        <f>IFERROR(Table1[[#This Row],[Actual Production (Kg)]]/Table1[Capacity (Kg)], "")</f>
        <v>1.0207999999999999</v>
      </c>
      <c r="P818" s="50">
        <f>IFERROR(Table1[[#This Row],[Quality Pass Production]]/Table1[[#This Row],[Actual Production (Kg)]], "")</f>
        <v>1</v>
      </c>
      <c r="Q818" s="50">
        <f>IFERROR(Table1[[#This Row],[Utilization %]]*Table1[[#This Row],[Efficiency %]]*Table1[[#This Row],[Quality %]], "")</f>
        <v>1.0207999999999999</v>
      </c>
      <c r="R818" s="48" t="s">
        <v>206</v>
      </c>
    </row>
    <row r="819" spans="1:18" x14ac:dyDescent="0.25">
      <c r="A819" s="47">
        <v>46190</v>
      </c>
      <c r="B819" s="48" t="s">
        <v>18</v>
      </c>
      <c r="C819" s="48" t="s">
        <v>22</v>
      </c>
      <c r="D819" s="48" t="s">
        <v>25</v>
      </c>
      <c r="E819" s="49">
        <v>4000</v>
      </c>
      <c r="F819" s="76">
        <v>3321</v>
      </c>
      <c r="G819" s="49">
        <v>0</v>
      </c>
      <c r="H819" s="50">
        <f>IFERROR(Table1[Re-process (Kg)]/Table1[Actual Production (Kg)], "")</f>
        <v>0</v>
      </c>
      <c r="I819" s="49">
        <f>IFERROR(Table1[[#This Row],[Actual Production (Kg)]]-Table1[[#This Row],[Re-process (Kg)]], "")</f>
        <v>3321</v>
      </c>
      <c r="J819" s="49"/>
      <c r="K819" s="72"/>
      <c r="L819" s="49" t="str">
        <f>IF(Table1[[#This Row],[Target Time (Hours)]]="","",Table1[[#This Row],[Target Time (Hours)]]-Table1[[#This Row],[Downtime (Hours)]])</f>
        <v/>
      </c>
      <c r="M819" s="49" t="str">
        <f>IFERROR(Table1[[#This Row],[Capacity (Kg)]]/Table1[[#This Row],[Target Time (Hours)]] * Table1[[#This Row],[Downtime (Hours)]], "")</f>
        <v/>
      </c>
      <c r="N819" s="50" t="str">
        <f>IFERROR(Table1[[#This Row],[Running Time (hr)]]/Table1[Target Time (Hours)], "")</f>
        <v/>
      </c>
      <c r="O819" s="50">
        <f>IFERROR(Table1[[#This Row],[Actual Production (Kg)]]/Table1[Capacity (Kg)], "")</f>
        <v>0.83025000000000004</v>
      </c>
      <c r="P819" s="50">
        <f>IFERROR(Table1[[#This Row],[Quality Pass Production]]/Table1[[#This Row],[Actual Production (Kg)]], "")</f>
        <v>1</v>
      </c>
      <c r="Q819" s="50" t="str">
        <f>IFERROR(Table1[[#This Row],[Utilization %]]*Table1[[#This Row],[Efficiency %]]*Table1[[#This Row],[Quality %]], "")</f>
        <v/>
      </c>
    </row>
    <row r="820" spans="1:18" ht="30" customHeight="1" x14ac:dyDescent="0.25">
      <c r="A820" s="47">
        <v>46190</v>
      </c>
      <c r="B820" s="48" t="s">
        <v>18</v>
      </c>
      <c r="C820" s="48" t="s">
        <v>26</v>
      </c>
      <c r="D820" s="48" t="s">
        <v>25</v>
      </c>
      <c r="E820" s="49">
        <v>7000</v>
      </c>
      <c r="F820" s="76">
        <v>7284</v>
      </c>
      <c r="G820" s="49">
        <v>0</v>
      </c>
      <c r="H820" s="50">
        <f>IFERROR(Table1[Re-process (Kg)]/Table1[Actual Production (Kg)], "")</f>
        <v>0</v>
      </c>
      <c r="I820" s="49">
        <f>IFERROR(Table1[[#This Row],[Actual Production (Kg)]]-Table1[[#This Row],[Re-process (Kg)]], "")</f>
        <v>7284</v>
      </c>
      <c r="J820" s="49">
        <v>22</v>
      </c>
      <c r="K820" s="72"/>
      <c r="L820" s="49">
        <f>IF(Table1[[#This Row],[Target Time (Hours)]]="","",Table1[[#This Row],[Target Time (Hours)]]-Table1[[#This Row],[Downtime (Hours)]])</f>
        <v>22</v>
      </c>
      <c r="M820" s="49">
        <f>IFERROR(Table1[[#This Row],[Capacity (Kg)]]/Table1[[#This Row],[Target Time (Hours)]] * Table1[[#This Row],[Downtime (Hours)]], "")</f>
        <v>0</v>
      </c>
      <c r="N820" s="50">
        <f>IFERROR(Table1[[#This Row],[Running Time (hr)]]/Table1[Target Time (Hours)], "")</f>
        <v>1</v>
      </c>
      <c r="O820" s="50">
        <f>IFERROR(Table1[[#This Row],[Actual Production (Kg)]]/Table1[Capacity (Kg)], "")</f>
        <v>1.0405714285714285</v>
      </c>
      <c r="P820" s="50">
        <f>IFERROR(Table1[[#This Row],[Quality Pass Production]]/Table1[[#This Row],[Actual Production (Kg)]], "")</f>
        <v>1</v>
      </c>
      <c r="Q820" s="50">
        <f>IFERROR(Table1[[#This Row],[Utilization %]]*Table1[[#This Row],[Efficiency %]]*Table1[[#This Row],[Quality %]], "")</f>
        <v>1.0405714285714285</v>
      </c>
      <c r="R820" s="48" t="s">
        <v>211</v>
      </c>
    </row>
    <row r="821" spans="1:18" ht="30" customHeight="1" x14ac:dyDescent="0.25">
      <c r="A821" s="47">
        <v>46190</v>
      </c>
      <c r="B821" s="48" t="s">
        <v>18</v>
      </c>
      <c r="C821" s="48" t="s">
        <v>28</v>
      </c>
      <c r="D821" s="48" t="s">
        <v>29</v>
      </c>
      <c r="E821" s="49">
        <v>7800</v>
      </c>
      <c r="F821" s="76">
        <v>7623</v>
      </c>
      <c r="G821" s="49">
        <v>0</v>
      </c>
      <c r="H821" s="50">
        <f>IFERROR(Table1[Re-process (Kg)]/Table1[Actual Production (Kg)], "")</f>
        <v>0</v>
      </c>
      <c r="I821" s="49">
        <f>IFERROR(Table1[[#This Row],[Actual Production (Kg)]]-Table1[[#This Row],[Re-process (Kg)]], "")</f>
        <v>7623</v>
      </c>
      <c r="J821" s="49">
        <v>22</v>
      </c>
      <c r="K821" s="72"/>
      <c r="L821" s="49">
        <f>IF(Table1[[#This Row],[Target Time (Hours)]]="","",Table1[[#This Row],[Target Time (Hours)]]-Table1[[#This Row],[Downtime (Hours)]])</f>
        <v>22</v>
      </c>
      <c r="M821" s="49">
        <f>IFERROR(Table1[[#This Row],[Capacity (Kg)]]/Table1[[#This Row],[Target Time (Hours)]] * Table1[[#This Row],[Downtime (Hours)]], "")</f>
        <v>0</v>
      </c>
      <c r="N821" s="50">
        <f>IFERROR(Table1[[#This Row],[Running Time (hr)]]/Table1[Target Time (Hours)], "")</f>
        <v>1</v>
      </c>
      <c r="O821" s="50">
        <f>IFERROR(Table1[[#This Row],[Actual Production (Kg)]]/Table1[Capacity (Kg)], "")</f>
        <v>0.97730769230769232</v>
      </c>
      <c r="P821" s="50">
        <f>IFERROR(Table1[[#This Row],[Quality Pass Production]]/Table1[[#This Row],[Actual Production (Kg)]], "")</f>
        <v>1</v>
      </c>
      <c r="Q821" s="50">
        <f>IFERROR(Table1[[#This Row],[Utilization %]]*Table1[[#This Row],[Efficiency %]]*Table1[[#This Row],[Quality %]], "")</f>
        <v>0.97730769230769232</v>
      </c>
    </row>
    <row r="822" spans="1:18" ht="30" customHeight="1" x14ac:dyDescent="0.25">
      <c r="A822" s="51">
        <v>46190</v>
      </c>
      <c r="B822" s="52" t="s">
        <v>18</v>
      </c>
      <c r="C822" s="52" t="s">
        <v>135</v>
      </c>
      <c r="D822" s="52" t="s">
        <v>29</v>
      </c>
      <c r="E822" s="53"/>
      <c r="F822" s="53"/>
      <c r="G822" s="79"/>
      <c r="H822" s="57" t="str">
        <f>IFERROR(Table1[Re-process (Kg)]/Table1[Actual Production (Kg)], "")</f>
        <v/>
      </c>
      <c r="I822" s="53">
        <f>IFERROR(Table1[[#This Row],[Actual Production (Kg)]]-Table1[[#This Row],[Re-process (Kg)]], "")</f>
        <v>0</v>
      </c>
      <c r="J822" s="53"/>
      <c r="K822" s="52"/>
      <c r="L822" s="53" t="str">
        <f>IF(Table1[[#This Row],[Target Time (Hours)]]="","",Table1[[#This Row],[Target Time (Hours)]]-Table1[[#This Row],[Downtime (Hours)]])</f>
        <v/>
      </c>
      <c r="M822" s="53" t="str">
        <f>IFERROR(Table1[[#This Row],[Capacity (Kg)]]/Table1[[#This Row],[Target Time (Hours)]] * Table1[[#This Row],[Downtime (Hours)]], "")</f>
        <v/>
      </c>
      <c r="N822" s="57" t="str">
        <f>IFERROR(Table1[[#This Row],[Running Time (hr)]]/Table1[Target Time (Hours)], "")</f>
        <v/>
      </c>
      <c r="O822" s="57" t="str">
        <f>IFERROR(Table1[[#This Row],[Actual Production (Kg)]]/Table1[Capacity (Kg)], "")</f>
        <v/>
      </c>
      <c r="P822" s="57" t="str">
        <f>IFERROR(Table1[[#This Row],[Quality Pass Production]]/Table1[[#This Row],[Actual Production (Kg)]], "")</f>
        <v/>
      </c>
      <c r="Q822" s="57" t="str">
        <f>IFERROR(Table1[[#This Row],[Utilization %]]*Table1[[#This Row],[Efficiency %]]*Table1[[#This Row],[Quality %]], "")</f>
        <v/>
      </c>
      <c r="R822" s="52"/>
    </row>
    <row r="823" spans="1:18" ht="30" customHeight="1" x14ac:dyDescent="0.25">
      <c r="A823" s="47">
        <v>46190</v>
      </c>
      <c r="B823" s="48" t="s">
        <v>18</v>
      </c>
      <c r="C823" s="48" t="s">
        <v>30</v>
      </c>
      <c r="D823" s="48" t="s">
        <v>31</v>
      </c>
      <c r="E823" s="49">
        <v>9000</v>
      </c>
      <c r="F823" s="76">
        <v>8352</v>
      </c>
      <c r="G823" s="49">
        <v>0</v>
      </c>
      <c r="H823" s="50">
        <f>IFERROR(Table1[Re-process (Kg)]/Table1[Actual Production (Kg)], "")</f>
        <v>0</v>
      </c>
      <c r="I823" s="49">
        <f>IFERROR(Table1[[#This Row],[Actual Production (Kg)]]-Table1[[#This Row],[Re-process (Kg)]], "")</f>
        <v>8352</v>
      </c>
      <c r="J823" s="49">
        <v>22</v>
      </c>
      <c r="K823" s="72"/>
      <c r="L823" s="49">
        <f>IF(Table1[[#This Row],[Target Time (Hours)]]="","",Table1[[#This Row],[Target Time (Hours)]]-Table1[[#This Row],[Downtime (Hours)]])</f>
        <v>22</v>
      </c>
      <c r="M823" s="49">
        <f>IFERROR(Table1[[#This Row],[Capacity (Kg)]]/Table1[[#This Row],[Target Time (Hours)]] * Table1[[#This Row],[Downtime (Hours)]], "")</f>
        <v>0</v>
      </c>
      <c r="N823" s="50">
        <f>IFERROR(Table1[[#This Row],[Running Time (hr)]]/Table1[Target Time (Hours)], "")</f>
        <v>1</v>
      </c>
      <c r="O823" s="50">
        <f>IFERROR(Table1[[#This Row],[Actual Production (Kg)]]/Table1[Capacity (Kg)], "")</f>
        <v>0.92800000000000005</v>
      </c>
      <c r="P823" s="50">
        <f>IFERROR(Table1[[#This Row],[Quality Pass Production]]/Table1[[#This Row],[Actual Production (Kg)]], "")</f>
        <v>1</v>
      </c>
      <c r="Q823" s="50">
        <f>IFERROR(Table1[[#This Row],[Utilization %]]*Table1[[#This Row],[Efficiency %]]*Table1[[#This Row],[Quality %]], "")</f>
        <v>0.92800000000000005</v>
      </c>
    </row>
    <row r="824" spans="1:18" ht="30" customHeight="1" x14ac:dyDescent="0.25">
      <c r="A824" s="51">
        <v>46190</v>
      </c>
      <c r="B824" s="52" t="s">
        <v>18</v>
      </c>
      <c r="C824" s="52" t="s">
        <v>32</v>
      </c>
      <c r="D824" s="52" t="s">
        <v>31</v>
      </c>
      <c r="E824" s="79">
        <f>Table1[[#This Row],[Actual Production (Kg)]]</f>
        <v>0</v>
      </c>
      <c r="F824" s="53"/>
      <c r="G824" s="79"/>
      <c r="H824" s="57" t="str">
        <f>IFERROR(Table1[Re-process (Kg)]/Table1[Actual Production (Kg)], "")</f>
        <v/>
      </c>
      <c r="I824" s="53">
        <f>IFERROR(Table1[[#This Row],[Actual Production (Kg)]]-Table1[[#This Row],[Re-process (Kg)]], "")</f>
        <v>0</v>
      </c>
      <c r="J824" s="53"/>
      <c r="K824" s="52"/>
      <c r="L824" s="53" t="str">
        <f>IF(Table1[[#This Row],[Target Time (Hours)]]="","",Table1[[#This Row],[Target Time (Hours)]]-Table1[[#This Row],[Downtime (Hours)]])</f>
        <v/>
      </c>
      <c r="M824" s="53" t="str">
        <f>IFERROR(Table1[[#This Row],[Capacity (Kg)]]/Table1[[#This Row],[Target Time (Hours)]] * Table1[[#This Row],[Downtime (Hours)]], "")</f>
        <v/>
      </c>
      <c r="N824" s="57" t="str">
        <f>IFERROR(Table1[[#This Row],[Running Time (hr)]]/Table1[Target Time (Hours)], "")</f>
        <v/>
      </c>
      <c r="O824" s="57" t="str">
        <f>IFERROR(Table1[[#This Row],[Actual Production (Kg)]]/Table1[Capacity (Kg)], "")</f>
        <v/>
      </c>
      <c r="P824" s="57" t="str">
        <f>IFERROR(Table1[[#This Row],[Quality Pass Production]]/Table1[[#This Row],[Actual Production (Kg)]], "")</f>
        <v/>
      </c>
      <c r="Q824" s="57" t="str">
        <f>IFERROR(Table1[[#This Row],[Utilization %]]*Table1[[#This Row],[Efficiency %]]*Table1[[#This Row],[Quality %]], "")</f>
        <v/>
      </c>
      <c r="R824" s="52"/>
    </row>
    <row r="825" spans="1:18" ht="30" customHeight="1" x14ac:dyDescent="0.25">
      <c r="A825" s="47">
        <v>46190</v>
      </c>
      <c r="B825" s="48" t="s">
        <v>33</v>
      </c>
      <c r="C825" s="48" t="s">
        <v>34</v>
      </c>
      <c r="D825" s="48" t="s">
        <v>35</v>
      </c>
      <c r="E825" s="49">
        <v>9000</v>
      </c>
      <c r="F825" s="76">
        <v>5756</v>
      </c>
      <c r="G825" s="49">
        <v>0</v>
      </c>
      <c r="H825" s="50">
        <f>IFERROR(Table1[Re-process (Kg)]/Table1[Actual Production (Kg)], "")</f>
        <v>0</v>
      </c>
      <c r="I825" s="49">
        <f>IFERROR(Table1[[#This Row],[Actual Production (Kg)]]-Table1[[#This Row],[Re-process (Kg)]], "")</f>
        <v>5756</v>
      </c>
      <c r="J825" s="49">
        <v>22</v>
      </c>
      <c r="K825" s="72"/>
      <c r="L825" s="49">
        <f>IF(Table1[[#This Row],[Target Time (Hours)]]="","",Table1[[#This Row],[Target Time (Hours)]]-Table1[[#This Row],[Downtime (Hours)]])</f>
        <v>22</v>
      </c>
      <c r="M825" s="49">
        <f>IFERROR(Table1[[#This Row],[Capacity (Kg)]]/Table1[[#This Row],[Target Time (Hours)]] * Table1[[#This Row],[Downtime (Hours)]], "")</f>
        <v>0</v>
      </c>
      <c r="N825" s="50">
        <f>IFERROR(Table1[[#This Row],[Running Time (hr)]]/Table1[Target Time (Hours)], "")</f>
        <v>1</v>
      </c>
      <c r="O825" s="50">
        <f>IFERROR(Table1[[#This Row],[Actual Production (Kg)]]/Table1[Capacity (Kg)], "")</f>
        <v>0.63955555555555554</v>
      </c>
      <c r="P825" s="50">
        <f>IFERROR(Table1[[#This Row],[Quality Pass Production]]/Table1[[#This Row],[Actual Production (Kg)]], "")</f>
        <v>1</v>
      </c>
      <c r="Q825" s="50">
        <f>IFERROR(Table1[[#This Row],[Utilization %]]*Table1[[#This Row],[Efficiency %]]*Table1[[#This Row],[Quality %]], "")</f>
        <v>0.63955555555555554</v>
      </c>
      <c r="R825" s="48" t="s">
        <v>191</v>
      </c>
    </row>
    <row r="826" spans="1:18" ht="30" customHeight="1" x14ac:dyDescent="0.25">
      <c r="A826" s="47">
        <v>46190</v>
      </c>
      <c r="B826" s="48" t="s">
        <v>33</v>
      </c>
      <c r="C826" s="48" t="s">
        <v>36</v>
      </c>
      <c r="D826" s="48" t="s">
        <v>37</v>
      </c>
      <c r="E826" s="49">
        <v>8000</v>
      </c>
      <c r="F826" s="76">
        <v>6397</v>
      </c>
      <c r="G826" s="49">
        <v>0</v>
      </c>
      <c r="H826" s="50">
        <f>IFERROR(Table1[Re-process (Kg)]/Table1[Actual Production (Kg)], "")</f>
        <v>0</v>
      </c>
      <c r="I826" s="49">
        <f>IFERROR(Table1[[#This Row],[Actual Production (Kg)]]-Table1[[#This Row],[Re-process (Kg)]], "")</f>
        <v>6397</v>
      </c>
      <c r="J826" s="49">
        <v>22</v>
      </c>
      <c r="K826" s="72">
        <v>1</v>
      </c>
      <c r="L826" s="49">
        <f>IF(Table1[[#This Row],[Target Time (Hours)]]="","",Table1[[#This Row],[Target Time (Hours)]]-Table1[[#This Row],[Downtime (Hours)]])</f>
        <v>21</v>
      </c>
      <c r="M826" s="49">
        <f>IFERROR(Table1[[#This Row],[Capacity (Kg)]]/Table1[[#This Row],[Target Time (Hours)]] * Table1[[#This Row],[Downtime (Hours)]], "")</f>
        <v>363.63636363636363</v>
      </c>
      <c r="N826" s="50">
        <f>IFERROR(Table1[[#This Row],[Running Time (hr)]]/Table1[Target Time (Hours)], "")</f>
        <v>0.95454545454545459</v>
      </c>
      <c r="O826" s="50">
        <f>IFERROR(Table1[[#This Row],[Actual Production (Kg)]]/Table1[Capacity (Kg)], "")</f>
        <v>0.79962500000000003</v>
      </c>
      <c r="P826" s="50">
        <f>IFERROR(Table1[[#This Row],[Quality Pass Production]]/Table1[[#This Row],[Actual Production (Kg)]], "")</f>
        <v>1</v>
      </c>
      <c r="Q826" s="50">
        <f>IFERROR(Table1[[#This Row],[Utilization %]]*Table1[[#This Row],[Efficiency %]]*Table1[[#This Row],[Quality %]], "")</f>
        <v>0.76327840909090916</v>
      </c>
      <c r="R826" s="48" t="s">
        <v>212</v>
      </c>
    </row>
    <row r="827" spans="1:18" ht="30" customHeight="1" x14ac:dyDescent="0.25">
      <c r="A827" s="47">
        <v>46190</v>
      </c>
      <c r="B827" s="48" t="s">
        <v>33</v>
      </c>
      <c r="C827" s="48" t="s">
        <v>39</v>
      </c>
      <c r="D827" s="48" t="s">
        <v>31</v>
      </c>
      <c r="E827" s="49">
        <v>6000</v>
      </c>
      <c r="F827" s="76">
        <v>1748</v>
      </c>
      <c r="G827" s="49">
        <v>0</v>
      </c>
      <c r="H827" s="50">
        <f>IFERROR(Table1[Re-process (Kg)]/Table1[Actual Production (Kg)], "")</f>
        <v>0</v>
      </c>
      <c r="I827" s="49">
        <f>IFERROR(Table1[[#This Row],[Actual Production (Kg)]]-Table1[[#This Row],[Re-process (Kg)]], "")</f>
        <v>1748</v>
      </c>
      <c r="J827" s="49">
        <v>22</v>
      </c>
      <c r="K827" s="72"/>
      <c r="L827" s="49">
        <f>IF(Table1[[#This Row],[Target Time (Hours)]]="","",Table1[[#This Row],[Target Time (Hours)]]-Table1[[#This Row],[Downtime (Hours)]])</f>
        <v>22</v>
      </c>
      <c r="M827" s="49">
        <f>IFERROR(Table1[[#This Row],[Capacity (Kg)]]/Table1[[#This Row],[Target Time (Hours)]] * Table1[[#This Row],[Downtime (Hours)]], "")</f>
        <v>0</v>
      </c>
      <c r="N827" s="50">
        <f>IFERROR(Table1[[#This Row],[Running Time (hr)]]/Table1[Target Time (Hours)], "")</f>
        <v>1</v>
      </c>
      <c r="O827" s="50">
        <f>IFERROR(Table1[[#This Row],[Actual Production (Kg)]]/Table1[Capacity (Kg)], "")</f>
        <v>0.29133333333333333</v>
      </c>
      <c r="P827" s="50">
        <f>IFERROR(Table1[[#This Row],[Quality Pass Production]]/Table1[[#This Row],[Actual Production (Kg)]], "")</f>
        <v>1</v>
      </c>
      <c r="Q827" s="50">
        <f>IFERROR(Table1[[#This Row],[Utilization %]]*Table1[[#This Row],[Efficiency %]]*Table1[[#This Row],[Quality %]], "")</f>
        <v>0.29133333333333333</v>
      </c>
      <c r="R827" s="48" t="s">
        <v>191</v>
      </c>
    </row>
    <row r="828" spans="1:18" ht="45" customHeight="1" x14ac:dyDescent="0.25">
      <c r="A828" s="54">
        <v>46190</v>
      </c>
      <c r="B828" s="55" t="s">
        <v>33</v>
      </c>
      <c r="C828" s="55" t="s">
        <v>40</v>
      </c>
      <c r="D828" s="55" t="s">
        <v>31</v>
      </c>
      <c r="E828" s="56">
        <v>5000</v>
      </c>
      <c r="F828" s="56">
        <v>4614</v>
      </c>
      <c r="G828" s="56">
        <v>0</v>
      </c>
      <c r="H828" s="58">
        <f>IFERROR(Table1[Re-process (Kg)]/Table1[Actual Production (Kg)], "")</f>
        <v>0</v>
      </c>
      <c r="I828" s="56">
        <f>IFERROR(Table1[[#This Row],[Actual Production (Kg)]]-Table1[[#This Row],[Re-process (Kg)]], "")</f>
        <v>4614</v>
      </c>
      <c r="J828" s="56">
        <v>22</v>
      </c>
      <c r="K828" s="55"/>
      <c r="L828" s="56">
        <f>IF(Table1[[#This Row],[Target Time (Hours)]]="","",Table1[[#This Row],[Target Time (Hours)]]-Table1[[#This Row],[Downtime (Hours)]])</f>
        <v>22</v>
      </c>
      <c r="M828" s="56">
        <f>IFERROR(Table1[[#This Row],[Capacity (Kg)]]/Table1[[#This Row],[Target Time (Hours)]] * Table1[[#This Row],[Downtime (Hours)]], "")</f>
        <v>0</v>
      </c>
      <c r="N828" s="58">
        <f>IFERROR(Table1[[#This Row],[Running Time (hr)]]/Table1[Target Time (Hours)], "")</f>
        <v>1</v>
      </c>
      <c r="O828" s="58">
        <f>IFERROR(Table1[[#This Row],[Actual Production (Kg)]]/Table1[Capacity (Kg)], "")</f>
        <v>0.92279999999999995</v>
      </c>
      <c r="P828" s="58">
        <f>IFERROR(Table1[[#This Row],[Quality Pass Production]]/Table1[[#This Row],[Actual Production (Kg)]], "")</f>
        <v>1</v>
      </c>
      <c r="Q828" s="58">
        <f>IFERROR(Table1[[#This Row],[Utilization %]]*Table1[[#This Row],[Efficiency %]]*Table1[[#This Row],[Quality %]], "")</f>
        <v>0.92279999999999995</v>
      </c>
      <c r="R828" s="55"/>
    </row>
    <row r="829" spans="1:18" ht="30" customHeight="1" x14ac:dyDescent="0.25">
      <c r="A829" s="47">
        <v>46191</v>
      </c>
      <c r="B829" s="48" t="s">
        <v>18</v>
      </c>
      <c r="C829" s="48" t="s">
        <v>19</v>
      </c>
      <c r="D829" s="48" t="s">
        <v>20</v>
      </c>
      <c r="E829" s="49">
        <v>10000</v>
      </c>
      <c r="F829" s="76">
        <v>8384</v>
      </c>
      <c r="G829" s="49">
        <v>0</v>
      </c>
      <c r="H829" s="50">
        <f>IFERROR(Table1[Re-process (Kg)]/Table1[Actual Production (Kg)], "")</f>
        <v>0</v>
      </c>
      <c r="I829" s="49">
        <f>IFERROR(Table1[[#This Row],[Actual Production (Kg)]]-Table1[[#This Row],[Re-process (Kg)]], "")</f>
        <v>8384</v>
      </c>
      <c r="J829" s="49">
        <v>22</v>
      </c>
      <c r="K829" s="72"/>
      <c r="L829" s="49">
        <f>IF(Table1[[#This Row],[Target Time (Hours)]]="","",Table1[[#This Row],[Target Time (Hours)]]-Table1[[#This Row],[Downtime (Hours)]])</f>
        <v>22</v>
      </c>
      <c r="M829" s="49">
        <f>IFERROR(Table1[[#This Row],[Capacity (Kg)]]/Table1[[#This Row],[Target Time (Hours)]] * Table1[[#This Row],[Downtime (Hours)]], "")</f>
        <v>0</v>
      </c>
      <c r="N829" s="50">
        <f>IFERROR(Table1[[#This Row],[Running Time (hr)]]/Table1[Target Time (Hours)], "")</f>
        <v>1</v>
      </c>
      <c r="O829" s="50">
        <f>IFERROR(Table1[[#This Row],[Actual Production (Kg)]]/Table1[Capacity (Kg)], "")</f>
        <v>0.83840000000000003</v>
      </c>
      <c r="P829" s="50">
        <f>IFERROR(Table1[[#This Row],[Quality Pass Production]]/Table1[[#This Row],[Actual Production (Kg)]], "")</f>
        <v>1</v>
      </c>
      <c r="Q829" s="50">
        <f>IFERROR(Table1[[#This Row],[Utilization %]]*Table1[[#This Row],[Efficiency %]]*Table1[[#This Row],[Quality %]], "")</f>
        <v>0.83840000000000003</v>
      </c>
    </row>
    <row r="830" spans="1:18" ht="30" customHeight="1" x14ac:dyDescent="0.25">
      <c r="A830" s="47">
        <v>46191</v>
      </c>
      <c r="B830" s="48" t="s">
        <v>18</v>
      </c>
      <c r="C830" s="48" t="s">
        <v>22</v>
      </c>
      <c r="D830" s="48" t="s">
        <v>23</v>
      </c>
      <c r="E830" s="49">
        <v>5000</v>
      </c>
      <c r="F830" s="76">
        <v>3678</v>
      </c>
      <c r="G830" s="49">
        <v>0</v>
      </c>
      <c r="H830" s="50">
        <f>IFERROR(Table1[Re-process (Kg)]/Table1[Actual Production (Kg)], "")</f>
        <v>0</v>
      </c>
      <c r="I830" s="49">
        <f>IFERROR(Table1[[#This Row],[Actual Production (Kg)]]-Table1[[#This Row],[Re-process (Kg)]], "")</f>
        <v>3678</v>
      </c>
      <c r="J830" s="49">
        <v>22</v>
      </c>
      <c r="K830" s="72"/>
      <c r="L830" s="49">
        <f>IF(Table1[[#This Row],[Target Time (Hours)]]="","",Table1[[#This Row],[Target Time (Hours)]]-Table1[[#This Row],[Downtime (Hours)]])</f>
        <v>22</v>
      </c>
      <c r="M830" s="49">
        <f>IFERROR(Table1[[#This Row],[Capacity (Kg)]]/Table1[[#This Row],[Target Time (Hours)]] * Table1[[#This Row],[Downtime (Hours)]], "")</f>
        <v>0</v>
      </c>
      <c r="N830" s="50">
        <f>IFERROR(Table1[[#This Row],[Running Time (hr)]]/Table1[Target Time (Hours)], "")</f>
        <v>1</v>
      </c>
      <c r="O830" s="50">
        <f>IFERROR(Table1[[#This Row],[Actual Production (Kg)]]/Table1[Capacity (Kg)], "")</f>
        <v>0.73560000000000003</v>
      </c>
      <c r="P830" s="50">
        <f>IFERROR(Table1[[#This Row],[Quality Pass Production]]/Table1[[#This Row],[Actual Production (Kg)]], "")</f>
        <v>1</v>
      </c>
      <c r="Q830" s="50">
        <f>IFERROR(Table1[[#This Row],[Utilization %]]*Table1[[#This Row],[Efficiency %]]*Table1[[#This Row],[Quality %]], "")</f>
        <v>0.73560000000000003</v>
      </c>
      <c r="R830" s="48" t="s">
        <v>206</v>
      </c>
    </row>
    <row r="831" spans="1:18" x14ac:dyDescent="0.25">
      <c r="A831" s="47">
        <v>46191</v>
      </c>
      <c r="B831" s="48" t="s">
        <v>18</v>
      </c>
      <c r="C831" s="48" t="s">
        <v>22</v>
      </c>
      <c r="D831" s="48" t="s">
        <v>25</v>
      </c>
      <c r="E831" s="49">
        <v>4000</v>
      </c>
      <c r="F831" s="76">
        <v>5373</v>
      </c>
      <c r="G831" s="49">
        <v>0</v>
      </c>
      <c r="H831" s="50">
        <f>IFERROR(Table1[Re-process (Kg)]/Table1[Actual Production (Kg)], "")</f>
        <v>0</v>
      </c>
      <c r="I831" s="49">
        <f>IFERROR(Table1[[#This Row],[Actual Production (Kg)]]-Table1[[#This Row],[Re-process (Kg)]], "")</f>
        <v>5373</v>
      </c>
      <c r="J831" s="49"/>
      <c r="K831" s="72"/>
      <c r="L831" s="49" t="str">
        <f>IF(Table1[[#This Row],[Target Time (Hours)]]="","",Table1[[#This Row],[Target Time (Hours)]]-Table1[[#This Row],[Downtime (Hours)]])</f>
        <v/>
      </c>
      <c r="M831" s="49" t="str">
        <f>IFERROR(Table1[[#This Row],[Capacity (Kg)]]/Table1[[#This Row],[Target Time (Hours)]] * Table1[[#This Row],[Downtime (Hours)]], "")</f>
        <v/>
      </c>
      <c r="N831" s="50" t="str">
        <f>IFERROR(Table1[[#This Row],[Running Time (hr)]]/Table1[Target Time (Hours)], "")</f>
        <v/>
      </c>
      <c r="O831" s="50">
        <f>IFERROR(Table1[[#This Row],[Actual Production (Kg)]]/Table1[Capacity (Kg)], "")</f>
        <v>1.3432500000000001</v>
      </c>
      <c r="P831" s="50">
        <f>IFERROR(Table1[[#This Row],[Quality Pass Production]]/Table1[[#This Row],[Actual Production (Kg)]], "")</f>
        <v>1</v>
      </c>
      <c r="Q831" s="50" t="str">
        <f>IFERROR(Table1[[#This Row],[Utilization %]]*Table1[[#This Row],[Efficiency %]]*Table1[[#This Row],[Quality %]], "")</f>
        <v/>
      </c>
    </row>
    <row r="832" spans="1:18" ht="30" customHeight="1" x14ac:dyDescent="0.25">
      <c r="A832" s="47">
        <v>46191</v>
      </c>
      <c r="B832" s="48" t="s">
        <v>18</v>
      </c>
      <c r="C832" s="48" t="s">
        <v>26</v>
      </c>
      <c r="D832" s="48" t="s">
        <v>25</v>
      </c>
      <c r="E832" s="49">
        <v>7000</v>
      </c>
      <c r="F832" s="76">
        <v>7394</v>
      </c>
      <c r="G832" s="49">
        <v>0</v>
      </c>
      <c r="H832" s="50">
        <f>IFERROR(Table1[Re-process (Kg)]/Table1[Actual Production (Kg)], "")</f>
        <v>0</v>
      </c>
      <c r="I832" s="49">
        <f>IFERROR(Table1[[#This Row],[Actual Production (Kg)]]-Table1[[#This Row],[Re-process (Kg)]], "")</f>
        <v>7394</v>
      </c>
      <c r="J832" s="49">
        <v>22</v>
      </c>
      <c r="K832" s="72"/>
      <c r="L832" s="49">
        <f>IF(Table1[[#This Row],[Target Time (Hours)]]="","",Table1[[#This Row],[Target Time (Hours)]]-Table1[[#This Row],[Downtime (Hours)]])</f>
        <v>22</v>
      </c>
      <c r="M832" s="49">
        <f>IFERROR(Table1[[#This Row],[Capacity (Kg)]]/Table1[[#This Row],[Target Time (Hours)]] * Table1[[#This Row],[Downtime (Hours)]], "")</f>
        <v>0</v>
      </c>
      <c r="N832" s="50">
        <f>IFERROR(Table1[[#This Row],[Running Time (hr)]]/Table1[Target Time (Hours)], "")</f>
        <v>1</v>
      </c>
      <c r="O832" s="50">
        <f>IFERROR(Table1[[#This Row],[Actual Production (Kg)]]/Table1[Capacity (Kg)], "")</f>
        <v>1.0562857142857143</v>
      </c>
      <c r="P832" s="50">
        <f>IFERROR(Table1[[#This Row],[Quality Pass Production]]/Table1[[#This Row],[Actual Production (Kg)]], "")</f>
        <v>1</v>
      </c>
      <c r="Q832" s="50">
        <f>IFERROR(Table1[[#This Row],[Utilization %]]*Table1[[#This Row],[Efficiency %]]*Table1[[#This Row],[Quality %]], "")</f>
        <v>1.0562857142857143</v>
      </c>
      <c r="R832" s="48" t="s">
        <v>209</v>
      </c>
    </row>
    <row r="833" spans="1:18" ht="30" customHeight="1" x14ac:dyDescent="0.25">
      <c r="A833" s="47">
        <v>46191</v>
      </c>
      <c r="B833" s="48" t="s">
        <v>18</v>
      </c>
      <c r="C833" s="48" t="s">
        <v>28</v>
      </c>
      <c r="D833" s="48" t="s">
        <v>29</v>
      </c>
      <c r="E833" s="49">
        <v>7800</v>
      </c>
      <c r="F833" s="76">
        <v>3411</v>
      </c>
      <c r="G833" s="49">
        <v>0</v>
      </c>
      <c r="H833" s="50">
        <f>IFERROR(Table1[Re-process (Kg)]/Table1[Actual Production (Kg)], "")</f>
        <v>0</v>
      </c>
      <c r="I833" s="49">
        <f>IFERROR(Table1[[#This Row],[Actual Production (Kg)]]-Table1[[#This Row],[Re-process (Kg)]], "")</f>
        <v>3411</v>
      </c>
      <c r="J833" s="49">
        <v>22</v>
      </c>
      <c r="K833" s="72">
        <v>6</v>
      </c>
      <c r="L833" s="49">
        <f>IF(Table1[[#This Row],[Target Time (Hours)]]="","",Table1[[#This Row],[Target Time (Hours)]]-Table1[[#This Row],[Downtime (Hours)]])</f>
        <v>16</v>
      </c>
      <c r="M833" s="49">
        <f>IFERROR(Table1[[#This Row],[Capacity (Kg)]]/Table1[[#This Row],[Target Time (Hours)]] * Table1[[#This Row],[Downtime (Hours)]], "")</f>
        <v>2127.2727272727275</v>
      </c>
      <c r="N833" s="50">
        <f>IFERROR(Table1[[#This Row],[Running Time (hr)]]/Table1[Target Time (Hours)], "")</f>
        <v>0.72727272727272729</v>
      </c>
      <c r="O833" s="50">
        <f>IFERROR(Table1[[#This Row],[Actual Production (Kg)]]/Table1[Capacity (Kg)], "")</f>
        <v>0.43730769230769229</v>
      </c>
      <c r="P833" s="50">
        <f>IFERROR(Table1[[#This Row],[Quality Pass Production]]/Table1[[#This Row],[Actual Production (Kg)]], "")</f>
        <v>1</v>
      </c>
      <c r="Q833" s="50">
        <f>IFERROR(Table1[[#This Row],[Utilization %]]*Table1[[#This Row],[Efficiency %]]*Table1[[#This Row],[Quality %]], "")</f>
        <v>0.31804195804195806</v>
      </c>
      <c r="R833" s="48" t="s">
        <v>213</v>
      </c>
    </row>
    <row r="834" spans="1:18" ht="30" customHeight="1" x14ac:dyDescent="0.25">
      <c r="A834" s="51">
        <v>46191</v>
      </c>
      <c r="B834" s="52" t="s">
        <v>18</v>
      </c>
      <c r="C834" s="52" t="s">
        <v>135</v>
      </c>
      <c r="D834" s="52" t="s">
        <v>29</v>
      </c>
      <c r="E834" s="53"/>
      <c r="F834" s="53"/>
      <c r="G834" s="79"/>
      <c r="H834" s="57" t="str">
        <f>IFERROR(Table1[Re-process (Kg)]/Table1[Actual Production (Kg)], "")</f>
        <v/>
      </c>
      <c r="I834" s="53">
        <f>IFERROR(Table1[[#This Row],[Actual Production (Kg)]]-Table1[[#This Row],[Re-process (Kg)]], "")</f>
        <v>0</v>
      </c>
      <c r="J834" s="53"/>
      <c r="K834" s="52"/>
      <c r="L834" s="53" t="str">
        <f>IF(Table1[[#This Row],[Target Time (Hours)]]="","",Table1[[#This Row],[Target Time (Hours)]]-Table1[[#This Row],[Downtime (Hours)]])</f>
        <v/>
      </c>
      <c r="M834" s="53" t="str">
        <f>IFERROR(Table1[[#This Row],[Capacity (Kg)]]/Table1[[#This Row],[Target Time (Hours)]] * Table1[[#This Row],[Downtime (Hours)]], "")</f>
        <v/>
      </c>
      <c r="N834" s="57" t="str">
        <f>IFERROR(Table1[[#This Row],[Running Time (hr)]]/Table1[Target Time (Hours)], "")</f>
        <v/>
      </c>
      <c r="O834" s="57" t="str">
        <f>IFERROR(Table1[[#This Row],[Actual Production (Kg)]]/Table1[Capacity (Kg)], "")</f>
        <v/>
      </c>
      <c r="P834" s="57" t="str">
        <f>IFERROR(Table1[[#This Row],[Quality Pass Production]]/Table1[[#This Row],[Actual Production (Kg)]], "")</f>
        <v/>
      </c>
      <c r="Q834" s="57" t="str">
        <f>IFERROR(Table1[[#This Row],[Utilization %]]*Table1[[#This Row],[Efficiency %]]*Table1[[#This Row],[Quality %]], "")</f>
        <v/>
      </c>
      <c r="R834" s="52"/>
    </row>
    <row r="835" spans="1:18" ht="30" customHeight="1" x14ac:dyDescent="0.25">
      <c r="A835" s="47">
        <v>46191</v>
      </c>
      <c r="B835" s="48" t="s">
        <v>18</v>
      </c>
      <c r="C835" s="48" t="s">
        <v>30</v>
      </c>
      <c r="D835" s="48" t="s">
        <v>31</v>
      </c>
      <c r="E835" s="49">
        <v>9000</v>
      </c>
      <c r="F835" s="76">
        <v>317</v>
      </c>
      <c r="G835" s="49">
        <v>0</v>
      </c>
      <c r="H835" s="50">
        <f>IFERROR(Table1[Re-process (Kg)]/Table1[Actual Production (Kg)], "")</f>
        <v>0</v>
      </c>
      <c r="I835" s="49">
        <f>IFERROR(Table1[[#This Row],[Actual Production (Kg)]]-Table1[[#This Row],[Re-process (Kg)]], "")</f>
        <v>317</v>
      </c>
      <c r="J835" s="49">
        <v>22</v>
      </c>
      <c r="K835" s="72">
        <v>21</v>
      </c>
      <c r="L835" s="49">
        <f>IF(Table1[[#This Row],[Target Time (Hours)]]="","",Table1[[#This Row],[Target Time (Hours)]]-Table1[[#This Row],[Downtime (Hours)]])</f>
        <v>1</v>
      </c>
      <c r="M835" s="49">
        <f>IFERROR(Table1[[#This Row],[Capacity (Kg)]]/Table1[[#This Row],[Target Time (Hours)]] * Table1[[#This Row],[Downtime (Hours)]], "")</f>
        <v>8590.9090909090901</v>
      </c>
      <c r="N835" s="50">
        <f>IFERROR(Table1[[#This Row],[Running Time (hr)]]/Table1[Target Time (Hours)], "")</f>
        <v>4.5454545454545456E-2</v>
      </c>
      <c r="O835" s="50">
        <f>IFERROR(Table1[[#This Row],[Actual Production (Kg)]]/Table1[Capacity (Kg)], "")</f>
        <v>3.5222222222222224E-2</v>
      </c>
      <c r="P835" s="50">
        <f>IFERROR(Table1[[#This Row],[Quality Pass Production]]/Table1[[#This Row],[Actual Production (Kg)]], "")</f>
        <v>1</v>
      </c>
      <c r="Q835" s="50">
        <f>IFERROR(Table1[[#This Row],[Utilization %]]*Table1[[#This Row],[Efficiency %]]*Table1[[#This Row],[Quality %]], "")</f>
        <v>1.601010101010101E-3</v>
      </c>
      <c r="R835" s="48" t="s">
        <v>214</v>
      </c>
    </row>
    <row r="836" spans="1:18" ht="30" customHeight="1" x14ac:dyDescent="0.25">
      <c r="A836" s="51">
        <v>46191</v>
      </c>
      <c r="B836" s="52" t="s">
        <v>18</v>
      </c>
      <c r="C836" s="52" t="s">
        <v>32</v>
      </c>
      <c r="D836" s="52" t="s">
        <v>31</v>
      </c>
      <c r="E836" s="79">
        <f>Table1[[#This Row],[Actual Production (Kg)]]</f>
        <v>6221</v>
      </c>
      <c r="F836" s="53">
        <v>6221</v>
      </c>
      <c r="G836" s="79"/>
      <c r="H836" s="57">
        <f>IFERROR(Table1[Re-process (Kg)]/Table1[Actual Production (Kg)], "")</f>
        <v>0</v>
      </c>
      <c r="I836" s="53">
        <f>IFERROR(Table1[[#This Row],[Actual Production (Kg)]]-Table1[[#This Row],[Re-process (Kg)]], "")</f>
        <v>6221</v>
      </c>
      <c r="J836" s="53"/>
      <c r="K836" s="52"/>
      <c r="L836" s="53" t="str">
        <f>IF(Table1[[#This Row],[Target Time (Hours)]]="","",Table1[[#This Row],[Target Time (Hours)]]-Table1[[#This Row],[Downtime (Hours)]])</f>
        <v/>
      </c>
      <c r="M836" s="53" t="str">
        <f>IFERROR(Table1[[#This Row],[Capacity (Kg)]]/Table1[[#This Row],[Target Time (Hours)]] * Table1[[#This Row],[Downtime (Hours)]], "")</f>
        <v/>
      </c>
      <c r="N836" s="57" t="str">
        <f>IFERROR(Table1[[#This Row],[Running Time (hr)]]/Table1[Target Time (Hours)], "")</f>
        <v/>
      </c>
      <c r="O836" s="57">
        <f>IFERROR(Table1[[#This Row],[Actual Production (Kg)]]/Table1[Capacity (Kg)], "")</f>
        <v>1</v>
      </c>
      <c r="P836" s="57">
        <f>IFERROR(Table1[[#This Row],[Quality Pass Production]]/Table1[[#This Row],[Actual Production (Kg)]], "")</f>
        <v>1</v>
      </c>
      <c r="Q836" s="57" t="str">
        <f>IFERROR(Table1[[#This Row],[Utilization %]]*Table1[[#This Row],[Efficiency %]]*Table1[[#This Row],[Quality %]], "")</f>
        <v/>
      </c>
      <c r="R836" s="52"/>
    </row>
    <row r="837" spans="1:18" ht="30" customHeight="1" x14ac:dyDescent="0.25">
      <c r="A837" s="47">
        <v>46191</v>
      </c>
      <c r="B837" s="48" t="s">
        <v>33</v>
      </c>
      <c r="C837" s="48" t="s">
        <v>34</v>
      </c>
      <c r="D837" s="48" t="s">
        <v>35</v>
      </c>
      <c r="E837" s="49">
        <v>9000</v>
      </c>
      <c r="F837" s="76">
        <v>3151</v>
      </c>
      <c r="G837" s="49">
        <v>0</v>
      </c>
      <c r="H837" s="50">
        <f>IFERROR(Table1[Re-process (Kg)]/Table1[Actual Production (Kg)], "")</f>
        <v>0</v>
      </c>
      <c r="I837" s="49">
        <f>IFERROR(Table1[[#This Row],[Actual Production (Kg)]]-Table1[[#This Row],[Re-process (Kg)]], "")</f>
        <v>3151</v>
      </c>
      <c r="J837" s="49">
        <v>22</v>
      </c>
      <c r="K837" s="72"/>
      <c r="L837" s="49">
        <f>IF(Table1[[#This Row],[Target Time (Hours)]]="","",Table1[[#This Row],[Target Time (Hours)]]-Table1[[#This Row],[Downtime (Hours)]])</f>
        <v>22</v>
      </c>
      <c r="M837" s="49">
        <f>IFERROR(Table1[[#This Row],[Capacity (Kg)]]/Table1[[#This Row],[Target Time (Hours)]] * Table1[[#This Row],[Downtime (Hours)]], "")</f>
        <v>0</v>
      </c>
      <c r="N837" s="50">
        <f>IFERROR(Table1[[#This Row],[Running Time (hr)]]/Table1[Target Time (Hours)], "")</f>
        <v>1</v>
      </c>
      <c r="O837" s="50">
        <f>IFERROR(Table1[[#This Row],[Actual Production (Kg)]]/Table1[Capacity (Kg)], "")</f>
        <v>0.3501111111111111</v>
      </c>
      <c r="P837" s="50">
        <f>IFERROR(Table1[[#This Row],[Quality Pass Production]]/Table1[[#This Row],[Actual Production (Kg)]], "")</f>
        <v>1</v>
      </c>
      <c r="Q837" s="50">
        <f>IFERROR(Table1[[#This Row],[Utilization %]]*Table1[[#This Row],[Efficiency %]]*Table1[[#This Row],[Quality %]], "")</f>
        <v>0.3501111111111111</v>
      </c>
      <c r="R837" s="48" t="s">
        <v>191</v>
      </c>
    </row>
    <row r="838" spans="1:18" ht="45" customHeight="1" x14ac:dyDescent="0.25">
      <c r="A838" s="47">
        <v>46191</v>
      </c>
      <c r="B838" s="48" t="s">
        <v>33</v>
      </c>
      <c r="C838" s="48" t="s">
        <v>36</v>
      </c>
      <c r="D838" s="48" t="s">
        <v>37</v>
      </c>
      <c r="E838" s="49">
        <v>8000</v>
      </c>
      <c r="F838" s="76">
        <v>3299</v>
      </c>
      <c r="G838" s="49">
        <v>0</v>
      </c>
      <c r="H838" s="50">
        <f>IFERROR(Table1[Re-process (Kg)]/Table1[Actual Production (Kg)], "")</f>
        <v>0</v>
      </c>
      <c r="I838" s="49">
        <f>IFERROR(Table1[[#This Row],[Actual Production (Kg)]]-Table1[[#This Row],[Re-process (Kg)]], "")</f>
        <v>3299</v>
      </c>
      <c r="J838" s="49">
        <v>22</v>
      </c>
      <c r="K838" s="72">
        <v>9</v>
      </c>
      <c r="L838" s="49">
        <f>IF(Table1[[#This Row],[Target Time (Hours)]]="","",Table1[[#This Row],[Target Time (Hours)]]-Table1[[#This Row],[Downtime (Hours)]])</f>
        <v>13</v>
      </c>
      <c r="M838" s="49">
        <f>IFERROR(Table1[[#This Row],[Capacity (Kg)]]/Table1[[#This Row],[Target Time (Hours)]] * Table1[[#This Row],[Downtime (Hours)]], "")</f>
        <v>3272.7272727272725</v>
      </c>
      <c r="N838" s="50">
        <f>IFERROR(Table1[[#This Row],[Running Time (hr)]]/Table1[Target Time (Hours)], "")</f>
        <v>0.59090909090909094</v>
      </c>
      <c r="O838" s="50">
        <f>IFERROR(Table1[[#This Row],[Actual Production (Kg)]]/Table1[Capacity (Kg)], "")</f>
        <v>0.41237499999999999</v>
      </c>
      <c r="P838" s="50">
        <f>IFERROR(Table1[[#This Row],[Quality Pass Production]]/Table1[[#This Row],[Actual Production (Kg)]], "")</f>
        <v>1</v>
      </c>
      <c r="Q838" s="50">
        <f>IFERROR(Table1[[#This Row],[Utilization %]]*Table1[[#This Row],[Efficiency %]]*Table1[[#This Row],[Quality %]], "")</f>
        <v>0.24367613636363636</v>
      </c>
      <c r="R838" s="48" t="s">
        <v>215</v>
      </c>
    </row>
    <row r="839" spans="1:18" ht="30" customHeight="1" x14ac:dyDescent="0.25">
      <c r="A839" s="47">
        <v>46191</v>
      </c>
      <c r="B839" s="48" t="s">
        <v>33</v>
      </c>
      <c r="C839" s="48" t="s">
        <v>39</v>
      </c>
      <c r="D839" s="48" t="s">
        <v>31</v>
      </c>
      <c r="E839" s="49">
        <v>6000</v>
      </c>
      <c r="F839" s="76">
        <v>1749</v>
      </c>
      <c r="G839" s="49">
        <v>0</v>
      </c>
      <c r="H839" s="50">
        <f>IFERROR(Table1[Re-process (Kg)]/Table1[Actual Production (Kg)], "")</f>
        <v>0</v>
      </c>
      <c r="I839" s="49">
        <f>IFERROR(Table1[[#This Row],[Actual Production (Kg)]]-Table1[[#This Row],[Re-process (Kg)]], "")</f>
        <v>1749</v>
      </c>
      <c r="J839" s="49">
        <v>22</v>
      </c>
      <c r="K839" s="72">
        <v>10</v>
      </c>
      <c r="L839" s="49">
        <f>IF(Table1[[#This Row],[Target Time (Hours)]]="","",Table1[[#This Row],[Target Time (Hours)]]-Table1[[#This Row],[Downtime (Hours)]])</f>
        <v>12</v>
      </c>
      <c r="M839" s="49">
        <f>IFERROR(Table1[[#This Row],[Capacity (Kg)]]/Table1[[#This Row],[Target Time (Hours)]] * Table1[[#This Row],[Downtime (Hours)]], "")</f>
        <v>2727.2727272727275</v>
      </c>
      <c r="N839" s="50">
        <f>IFERROR(Table1[[#This Row],[Running Time (hr)]]/Table1[Target Time (Hours)], "")</f>
        <v>0.54545454545454541</v>
      </c>
      <c r="O839" s="50">
        <f>IFERROR(Table1[[#This Row],[Actual Production (Kg)]]/Table1[Capacity (Kg)], "")</f>
        <v>0.29149999999999998</v>
      </c>
      <c r="P839" s="50">
        <f>IFERROR(Table1[[#This Row],[Quality Pass Production]]/Table1[[#This Row],[Actual Production (Kg)]], "")</f>
        <v>1</v>
      </c>
      <c r="Q839" s="50">
        <f>IFERROR(Table1[[#This Row],[Utilization %]]*Table1[[#This Row],[Efficiency %]]*Table1[[#This Row],[Quality %]], "")</f>
        <v>0.15899999999999997</v>
      </c>
      <c r="R839" s="48" t="s">
        <v>216</v>
      </c>
    </row>
    <row r="840" spans="1:18" ht="45" customHeight="1" x14ac:dyDescent="0.25">
      <c r="A840" s="54">
        <v>46191</v>
      </c>
      <c r="B840" s="55" t="s">
        <v>33</v>
      </c>
      <c r="C840" s="55" t="s">
        <v>40</v>
      </c>
      <c r="D840" s="55" t="s">
        <v>31</v>
      </c>
      <c r="E840" s="56">
        <v>5000</v>
      </c>
      <c r="F840" s="56">
        <v>1919</v>
      </c>
      <c r="G840" s="56">
        <v>0</v>
      </c>
      <c r="H840" s="58">
        <f>IFERROR(Table1[Re-process (Kg)]/Table1[Actual Production (Kg)], "")</f>
        <v>0</v>
      </c>
      <c r="I840" s="56">
        <f>IFERROR(Table1[[#This Row],[Actual Production (Kg)]]-Table1[[#This Row],[Re-process (Kg)]], "")</f>
        <v>1919</v>
      </c>
      <c r="J840" s="56">
        <v>22</v>
      </c>
      <c r="K840" s="55">
        <v>11</v>
      </c>
      <c r="L840" s="56">
        <f>IF(Table1[[#This Row],[Target Time (Hours)]]="","",Table1[[#This Row],[Target Time (Hours)]]-Table1[[#This Row],[Downtime (Hours)]])</f>
        <v>11</v>
      </c>
      <c r="M840" s="56">
        <f>IFERROR(Table1[[#This Row],[Capacity (Kg)]]/Table1[[#This Row],[Target Time (Hours)]] * Table1[[#This Row],[Downtime (Hours)]], "")</f>
        <v>2500</v>
      </c>
      <c r="N840" s="58">
        <f>IFERROR(Table1[[#This Row],[Running Time (hr)]]/Table1[Target Time (Hours)], "")</f>
        <v>0.5</v>
      </c>
      <c r="O840" s="58">
        <f>IFERROR(Table1[[#This Row],[Actual Production (Kg)]]/Table1[Capacity (Kg)], "")</f>
        <v>0.38379999999999997</v>
      </c>
      <c r="P840" s="58">
        <f>IFERROR(Table1[[#This Row],[Quality Pass Production]]/Table1[[#This Row],[Actual Production (Kg)]], "")</f>
        <v>1</v>
      </c>
      <c r="Q840" s="58">
        <f>IFERROR(Table1[[#This Row],[Utilization %]]*Table1[[#This Row],[Efficiency %]]*Table1[[#This Row],[Quality %]], "")</f>
        <v>0.19189999999999999</v>
      </c>
      <c r="R840" s="55" t="s">
        <v>217</v>
      </c>
    </row>
    <row r="841" spans="1:18" ht="30" customHeight="1" x14ac:dyDescent="0.25">
      <c r="A841" s="47">
        <v>46193</v>
      </c>
      <c r="B841" s="48" t="s">
        <v>18</v>
      </c>
      <c r="C841" s="48" t="s">
        <v>19</v>
      </c>
      <c r="D841" s="48" t="s">
        <v>20</v>
      </c>
      <c r="E841" s="49">
        <v>10000</v>
      </c>
      <c r="F841" s="76">
        <v>10161</v>
      </c>
      <c r="G841" s="49">
        <v>0</v>
      </c>
      <c r="H841" s="50">
        <f>IFERROR(Table1[Re-process (Kg)]/Table1[Actual Production (Kg)], "")</f>
        <v>0</v>
      </c>
      <c r="I841" s="49">
        <f>IFERROR(Table1[[#This Row],[Actual Production (Kg)]]-Table1[[#This Row],[Re-process (Kg)]], "")</f>
        <v>10161</v>
      </c>
      <c r="J841" s="49">
        <v>22</v>
      </c>
      <c r="K841" s="72"/>
      <c r="L841" s="49">
        <f>IF(Table1[[#This Row],[Target Time (Hours)]]="","",Table1[[#This Row],[Target Time (Hours)]]-Table1[[#This Row],[Downtime (Hours)]])</f>
        <v>22</v>
      </c>
      <c r="M841" s="49">
        <f>IFERROR(Table1[[#This Row],[Capacity (Kg)]]/Table1[[#This Row],[Target Time (Hours)]] * Table1[[#This Row],[Downtime (Hours)]], "")</f>
        <v>0</v>
      </c>
      <c r="N841" s="50">
        <f>IFERROR(Table1[[#This Row],[Running Time (hr)]]/Table1[Target Time (Hours)], "")</f>
        <v>1</v>
      </c>
      <c r="O841" s="50">
        <f>IFERROR(Table1[[#This Row],[Actual Production (Kg)]]/Table1[Capacity (Kg)], "")</f>
        <v>1.0161</v>
      </c>
      <c r="P841" s="50">
        <f>IFERROR(Table1[[#This Row],[Quality Pass Production]]/Table1[[#This Row],[Actual Production (Kg)]], "")</f>
        <v>1</v>
      </c>
      <c r="Q841" s="50">
        <f>IFERROR(Table1[[#This Row],[Utilization %]]*Table1[[#This Row],[Efficiency %]]*Table1[[#This Row],[Quality %]], "")</f>
        <v>1.0161</v>
      </c>
      <c r="R841" s="48" t="s">
        <v>218</v>
      </c>
    </row>
    <row r="842" spans="1:18" ht="30" customHeight="1" x14ac:dyDescent="0.25">
      <c r="A842" s="47">
        <v>46193</v>
      </c>
      <c r="B842" s="48" t="s">
        <v>18</v>
      </c>
      <c r="C842" s="48" t="s">
        <v>22</v>
      </c>
      <c r="D842" s="48" t="s">
        <v>23</v>
      </c>
      <c r="E842" s="49">
        <v>5000</v>
      </c>
      <c r="F842" s="76">
        <v>3050</v>
      </c>
      <c r="G842" s="49">
        <v>0</v>
      </c>
      <c r="H842" s="50">
        <f>IFERROR(Table1[Re-process (Kg)]/Table1[Actual Production (Kg)], "")</f>
        <v>0</v>
      </c>
      <c r="I842" s="49">
        <f>IFERROR(Table1[[#This Row],[Actual Production (Kg)]]-Table1[[#This Row],[Re-process (Kg)]], "")</f>
        <v>3050</v>
      </c>
      <c r="J842" s="49">
        <v>22</v>
      </c>
      <c r="K842" s="72">
        <v>3</v>
      </c>
      <c r="L842" s="49">
        <f>IF(Table1[[#This Row],[Target Time (Hours)]]="","",Table1[[#This Row],[Target Time (Hours)]]-Table1[[#This Row],[Downtime (Hours)]])</f>
        <v>19</v>
      </c>
      <c r="M842" s="49">
        <f>IFERROR(Table1[[#This Row],[Capacity (Kg)]]/Table1[[#This Row],[Target Time (Hours)]] * Table1[[#This Row],[Downtime (Hours)]], "")</f>
        <v>681.81818181818187</v>
      </c>
      <c r="N842" s="50">
        <f>IFERROR(Table1[[#This Row],[Running Time (hr)]]/Table1[Target Time (Hours)], "")</f>
        <v>0.86363636363636365</v>
      </c>
      <c r="O842" s="50">
        <f>IFERROR(Table1[[#This Row],[Actual Production (Kg)]]/Table1[Capacity (Kg)], "")</f>
        <v>0.61</v>
      </c>
      <c r="P842" s="50">
        <f>IFERROR(Table1[[#This Row],[Quality Pass Production]]/Table1[[#This Row],[Actual Production (Kg)]], "")</f>
        <v>1</v>
      </c>
      <c r="Q842" s="50">
        <f>IFERROR(Table1[[#This Row],[Utilization %]]*Table1[[#This Row],[Efficiency %]]*Table1[[#This Row],[Quality %]], "")</f>
        <v>0.52681818181818185</v>
      </c>
      <c r="R842" s="48" t="s">
        <v>219</v>
      </c>
    </row>
    <row r="843" spans="1:18" x14ac:dyDescent="0.25">
      <c r="A843" s="47">
        <v>46193</v>
      </c>
      <c r="B843" s="48" t="s">
        <v>18</v>
      </c>
      <c r="C843" s="48" t="s">
        <v>22</v>
      </c>
      <c r="D843" s="48" t="s">
        <v>25</v>
      </c>
      <c r="E843" s="49">
        <v>4000</v>
      </c>
      <c r="F843" s="76">
        <v>4527</v>
      </c>
      <c r="G843" s="49">
        <v>0</v>
      </c>
      <c r="H843" s="50">
        <f>IFERROR(Table1[Re-process (Kg)]/Table1[Actual Production (Kg)], "")</f>
        <v>0</v>
      </c>
      <c r="I843" s="49">
        <f>IFERROR(Table1[[#This Row],[Actual Production (Kg)]]-Table1[[#This Row],[Re-process (Kg)]], "")</f>
        <v>4527</v>
      </c>
      <c r="J843" s="49"/>
      <c r="K843" s="72"/>
      <c r="L843" s="49" t="str">
        <f>IF(Table1[[#This Row],[Target Time (Hours)]]="","",Table1[[#This Row],[Target Time (Hours)]]-Table1[[#This Row],[Downtime (Hours)]])</f>
        <v/>
      </c>
      <c r="M843" s="49" t="str">
        <f>IFERROR(Table1[[#This Row],[Capacity (Kg)]]/Table1[[#This Row],[Target Time (Hours)]] * Table1[[#This Row],[Downtime (Hours)]], "")</f>
        <v/>
      </c>
      <c r="N843" s="50" t="str">
        <f>IFERROR(Table1[[#This Row],[Running Time (hr)]]/Table1[Target Time (Hours)], "")</f>
        <v/>
      </c>
      <c r="O843" s="50">
        <f>IFERROR(Table1[[#This Row],[Actual Production (Kg)]]/Table1[Capacity (Kg)], "")</f>
        <v>1.13175</v>
      </c>
      <c r="P843" s="50">
        <f>IFERROR(Table1[[#This Row],[Quality Pass Production]]/Table1[[#This Row],[Actual Production (Kg)]], "")</f>
        <v>1</v>
      </c>
      <c r="Q843" s="50" t="str">
        <f>IFERROR(Table1[[#This Row],[Utilization %]]*Table1[[#This Row],[Efficiency %]]*Table1[[#This Row],[Quality %]], "")</f>
        <v/>
      </c>
    </row>
    <row r="844" spans="1:18" ht="45" customHeight="1" x14ac:dyDescent="0.25">
      <c r="A844" s="47">
        <v>46193</v>
      </c>
      <c r="B844" s="48" t="s">
        <v>18</v>
      </c>
      <c r="C844" s="48" t="s">
        <v>26</v>
      </c>
      <c r="D844" s="48" t="s">
        <v>25</v>
      </c>
      <c r="E844" s="49">
        <v>7000</v>
      </c>
      <c r="F844" s="76">
        <v>7108</v>
      </c>
      <c r="G844" s="49">
        <v>0</v>
      </c>
      <c r="H844" s="50">
        <f>IFERROR(Table1[Re-process (Kg)]/Table1[Actual Production (Kg)], "")</f>
        <v>0</v>
      </c>
      <c r="I844" s="49">
        <f>IFERROR(Table1[[#This Row],[Actual Production (Kg)]]-Table1[[#This Row],[Re-process (Kg)]], "")</f>
        <v>7108</v>
      </c>
      <c r="J844" s="49">
        <v>22</v>
      </c>
      <c r="K844" s="72">
        <v>3</v>
      </c>
      <c r="L844" s="49">
        <f>IF(Table1[[#This Row],[Target Time (Hours)]]="","",Table1[[#This Row],[Target Time (Hours)]]-Table1[[#This Row],[Downtime (Hours)]])</f>
        <v>19</v>
      </c>
      <c r="M844" s="49">
        <f>IFERROR(Table1[[#This Row],[Capacity (Kg)]]/Table1[[#This Row],[Target Time (Hours)]] * Table1[[#This Row],[Downtime (Hours)]], "")</f>
        <v>954.5454545454545</v>
      </c>
      <c r="N844" s="50">
        <f>IFERROR(Table1[[#This Row],[Running Time (hr)]]/Table1[Target Time (Hours)], "")</f>
        <v>0.86363636363636365</v>
      </c>
      <c r="O844" s="50">
        <f>IFERROR(Table1[[#This Row],[Actual Production (Kg)]]/Table1[Capacity (Kg)], "")</f>
        <v>1.0154285714285713</v>
      </c>
      <c r="P844" s="50">
        <f>IFERROR(Table1[[#This Row],[Quality Pass Production]]/Table1[[#This Row],[Actual Production (Kg)]], "")</f>
        <v>1</v>
      </c>
      <c r="Q844" s="50">
        <f>IFERROR(Table1[[#This Row],[Utilization %]]*Table1[[#This Row],[Efficiency %]]*Table1[[#This Row],[Quality %]], "")</f>
        <v>0.87696103896103894</v>
      </c>
      <c r="R844" s="48" t="s">
        <v>220</v>
      </c>
    </row>
    <row r="845" spans="1:18" ht="30" customHeight="1" x14ac:dyDescent="0.25">
      <c r="A845" s="47">
        <v>46193</v>
      </c>
      <c r="B845" s="48" t="s">
        <v>18</v>
      </c>
      <c r="C845" s="48" t="s">
        <v>28</v>
      </c>
      <c r="D845" s="48" t="s">
        <v>29</v>
      </c>
      <c r="E845" s="49">
        <v>7800</v>
      </c>
      <c r="F845" s="76">
        <v>3710</v>
      </c>
      <c r="G845" s="49">
        <v>0</v>
      </c>
      <c r="H845" s="50">
        <f>IFERROR(Table1[Re-process (Kg)]/Table1[Actual Production (Kg)], "")</f>
        <v>0</v>
      </c>
      <c r="I845" s="49">
        <f>IFERROR(Table1[[#This Row],[Actual Production (Kg)]]-Table1[[#This Row],[Re-process (Kg)]], "")</f>
        <v>3710</v>
      </c>
      <c r="J845" s="49">
        <v>22</v>
      </c>
      <c r="K845" s="72">
        <v>11</v>
      </c>
      <c r="L845" s="49">
        <f>IF(Table1[[#This Row],[Target Time (Hours)]]="","",Table1[[#This Row],[Target Time (Hours)]]-Table1[[#This Row],[Downtime (Hours)]])</f>
        <v>11</v>
      </c>
      <c r="M845" s="49">
        <f>IFERROR(Table1[[#This Row],[Capacity (Kg)]]/Table1[[#This Row],[Target Time (Hours)]] * Table1[[#This Row],[Downtime (Hours)]], "")</f>
        <v>3900</v>
      </c>
      <c r="N845" s="50">
        <f>IFERROR(Table1[[#This Row],[Running Time (hr)]]/Table1[Target Time (Hours)], "")</f>
        <v>0.5</v>
      </c>
      <c r="O845" s="50">
        <f>IFERROR(Table1[[#This Row],[Actual Production (Kg)]]/Table1[Capacity (Kg)], "")</f>
        <v>0.47564102564102562</v>
      </c>
      <c r="P845" s="50">
        <f>IFERROR(Table1[[#This Row],[Quality Pass Production]]/Table1[[#This Row],[Actual Production (Kg)]], "")</f>
        <v>1</v>
      </c>
      <c r="Q845" s="50">
        <f>IFERROR(Table1[[#This Row],[Utilization %]]*Table1[[#This Row],[Efficiency %]]*Table1[[#This Row],[Quality %]], "")</f>
        <v>0.23782051282051281</v>
      </c>
      <c r="R845" s="48" t="s">
        <v>221</v>
      </c>
    </row>
    <row r="846" spans="1:18" ht="30" customHeight="1" x14ac:dyDescent="0.25">
      <c r="A846" s="51">
        <v>46193</v>
      </c>
      <c r="B846" s="52" t="s">
        <v>18</v>
      </c>
      <c r="C846" s="52" t="s">
        <v>135</v>
      </c>
      <c r="D846" s="52" t="s">
        <v>29</v>
      </c>
      <c r="E846" s="53"/>
      <c r="F846" s="53"/>
      <c r="G846" s="79"/>
      <c r="H846" s="57" t="str">
        <f>IFERROR(Table1[Re-process (Kg)]/Table1[Actual Production (Kg)], "")</f>
        <v/>
      </c>
      <c r="I846" s="53">
        <f>IFERROR(Table1[[#This Row],[Actual Production (Kg)]]-Table1[[#This Row],[Re-process (Kg)]], "")</f>
        <v>0</v>
      </c>
      <c r="J846" s="53"/>
      <c r="K846" s="52"/>
      <c r="L846" s="53" t="str">
        <f>IF(Table1[[#This Row],[Target Time (Hours)]]="","",Table1[[#This Row],[Target Time (Hours)]]-Table1[[#This Row],[Downtime (Hours)]])</f>
        <v/>
      </c>
      <c r="M846" s="53" t="str">
        <f>IFERROR(Table1[[#This Row],[Capacity (Kg)]]/Table1[[#This Row],[Target Time (Hours)]] * Table1[[#This Row],[Downtime (Hours)]], "")</f>
        <v/>
      </c>
      <c r="N846" s="57" t="str">
        <f>IFERROR(Table1[[#This Row],[Running Time (hr)]]/Table1[Target Time (Hours)], "")</f>
        <v/>
      </c>
      <c r="O846" s="57" t="str">
        <f>IFERROR(Table1[[#This Row],[Actual Production (Kg)]]/Table1[Capacity (Kg)], "")</f>
        <v/>
      </c>
      <c r="P846" s="57" t="str">
        <f>IFERROR(Table1[[#This Row],[Quality Pass Production]]/Table1[[#This Row],[Actual Production (Kg)]], "")</f>
        <v/>
      </c>
      <c r="Q846" s="57" t="str">
        <f>IFERROR(Table1[[#This Row],[Utilization %]]*Table1[[#This Row],[Efficiency %]]*Table1[[#This Row],[Quality %]], "")</f>
        <v/>
      </c>
      <c r="R846" s="52"/>
    </row>
    <row r="847" spans="1:18" ht="30" customHeight="1" x14ac:dyDescent="0.25">
      <c r="A847" s="47">
        <v>46193</v>
      </c>
      <c r="B847" s="48" t="s">
        <v>18</v>
      </c>
      <c r="C847" s="48" t="s">
        <v>30</v>
      </c>
      <c r="D847" s="48" t="s">
        <v>31</v>
      </c>
      <c r="E847" s="49">
        <v>9000</v>
      </c>
      <c r="F847" s="76">
        <v>0</v>
      </c>
      <c r="G847" s="49">
        <v>0</v>
      </c>
      <c r="H847" s="50" t="str">
        <f>IFERROR(Table1[Re-process (Kg)]/Table1[Actual Production (Kg)], "")</f>
        <v/>
      </c>
      <c r="I847" s="49">
        <f>IFERROR(Table1[[#This Row],[Actual Production (Kg)]]-Table1[[#This Row],[Re-process (Kg)]], "")</f>
        <v>0</v>
      </c>
      <c r="J847" s="49">
        <v>22</v>
      </c>
      <c r="K847" s="72">
        <v>22</v>
      </c>
      <c r="L847" s="49">
        <f>IF(Table1[[#This Row],[Target Time (Hours)]]="","",Table1[[#This Row],[Target Time (Hours)]]-Table1[[#This Row],[Downtime (Hours)]])</f>
        <v>0</v>
      </c>
      <c r="M847" s="49">
        <f>IFERROR(Table1[[#This Row],[Capacity (Kg)]]/Table1[[#This Row],[Target Time (Hours)]] * Table1[[#This Row],[Downtime (Hours)]], "")</f>
        <v>9000</v>
      </c>
      <c r="N847" s="50">
        <f>IFERROR(Table1[[#This Row],[Running Time (hr)]]/Table1[Target Time (Hours)], "")</f>
        <v>0</v>
      </c>
      <c r="O847" s="50">
        <f>IFERROR(Table1[[#This Row],[Actual Production (Kg)]]/Table1[Capacity (Kg)], "")</f>
        <v>0</v>
      </c>
      <c r="P847" s="50" t="str">
        <f>IFERROR(Table1[[#This Row],[Quality Pass Production]]/Table1[[#This Row],[Actual Production (Kg)]], "")</f>
        <v/>
      </c>
      <c r="Q847" s="50" t="str">
        <f>IFERROR(Table1[[#This Row],[Utilization %]]*Table1[[#This Row],[Efficiency %]]*Table1[[#This Row],[Quality %]], "")</f>
        <v/>
      </c>
      <c r="R847" s="48" t="s">
        <v>222</v>
      </c>
    </row>
    <row r="848" spans="1:18" ht="30" customHeight="1" x14ac:dyDescent="0.25">
      <c r="A848" s="51">
        <v>46193</v>
      </c>
      <c r="B848" s="52" t="s">
        <v>18</v>
      </c>
      <c r="C848" s="52" t="s">
        <v>32</v>
      </c>
      <c r="D848" s="52" t="s">
        <v>31</v>
      </c>
      <c r="E848" s="79">
        <f>Table1[[#This Row],[Actual Production (Kg)]]</f>
        <v>5631</v>
      </c>
      <c r="F848" s="53">
        <v>5631</v>
      </c>
      <c r="G848" s="79"/>
      <c r="H848" s="57">
        <f>IFERROR(Table1[Re-process (Kg)]/Table1[Actual Production (Kg)], "")</f>
        <v>0</v>
      </c>
      <c r="I848" s="53">
        <f>IFERROR(Table1[[#This Row],[Actual Production (Kg)]]-Table1[[#This Row],[Re-process (Kg)]], "")</f>
        <v>5631</v>
      </c>
      <c r="J848" s="53"/>
      <c r="K848" s="52"/>
      <c r="L848" s="53" t="str">
        <f>IF(Table1[[#This Row],[Target Time (Hours)]]="","",Table1[[#This Row],[Target Time (Hours)]]-Table1[[#This Row],[Downtime (Hours)]])</f>
        <v/>
      </c>
      <c r="M848" s="53" t="str">
        <f>IFERROR(Table1[[#This Row],[Capacity (Kg)]]/Table1[[#This Row],[Target Time (Hours)]] * Table1[[#This Row],[Downtime (Hours)]], "")</f>
        <v/>
      </c>
      <c r="N848" s="57" t="str">
        <f>IFERROR(Table1[[#This Row],[Running Time (hr)]]/Table1[Target Time (Hours)], "")</f>
        <v/>
      </c>
      <c r="O848" s="57">
        <f>IFERROR(Table1[[#This Row],[Actual Production (Kg)]]/Table1[Capacity (Kg)], "")</f>
        <v>1</v>
      </c>
      <c r="P848" s="57">
        <f>IFERROR(Table1[[#This Row],[Quality Pass Production]]/Table1[[#This Row],[Actual Production (Kg)]], "")</f>
        <v>1</v>
      </c>
      <c r="Q848" s="57" t="str">
        <f>IFERROR(Table1[[#This Row],[Utilization %]]*Table1[[#This Row],[Efficiency %]]*Table1[[#This Row],[Quality %]], "")</f>
        <v/>
      </c>
      <c r="R848" s="52" t="s">
        <v>223</v>
      </c>
    </row>
    <row r="849" spans="1:18" ht="30" customHeight="1" x14ac:dyDescent="0.25">
      <c r="A849" s="47">
        <v>46193</v>
      </c>
      <c r="B849" s="48" t="s">
        <v>33</v>
      </c>
      <c r="C849" s="48" t="s">
        <v>34</v>
      </c>
      <c r="D849" s="48" t="s">
        <v>35</v>
      </c>
      <c r="E849" s="49">
        <v>9000</v>
      </c>
      <c r="F849" s="76">
        <v>6350</v>
      </c>
      <c r="G849" s="49">
        <v>0</v>
      </c>
      <c r="H849" s="50">
        <f>IFERROR(Table1[Re-process (Kg)]/Table1[Actual Production (Kg)], "")</f>
        <v>0</v>
      </c>
      <c r="I849" s="49">
        <f>IFERROR(Table1[[#This Row],[Actual Production (Kg)]]-Table1[[#This Row],[Re-process (Kg)]], "")</f>
        <v>6350</v>
      </c>
      <c r="J849" s="49">
        <v>22</v>
      </c>
      <c r="K849" s="72"/>
      <c r="L849" s="49">
        <f>IF(Table1[[#This Row],[Target Time (Hours)]]="","",Table1[[#This Row],[Target Time (Hours)]]-Table1[[#This Row],[Downtime (Hours)]])</f>
        <v>22</v>
      </c>
      <c r="M849" s="49">
        <f>IFERROR(Table1[[#This Row],[Capacity (Kg)]]/Table1[[#This Row],[Target Time (Hours)]] * Table1[[#This Row],[Downtime (Hours)]], "")</f>
        <v>0</v>
      </c>
      <c r="N849" s="50">
        <f>IFERROR(Table1[[#This Row],[Running Time (hr)]]/Table1[Target Time (Hours)], "")</f>
        <v>1</v>
      </c>
      <c r="O849" s="50">
        <f>IFERROR(Table1[[#This Row],[Actual Production (Kg)]]/Table1[Capacity (Kg)], "")</f>
        <v>0.7055555555555556</v>
      </c>
      <c r="P849" s="50">
        <f>IFERROR(Table1[[#This Row],[Quality Pass Production]]/Table1[[#This Row],[Actual Production (Kg)]], "")</f>
        <v>1</v>
      </c>
      <c r="Q849" s="50">
        <f>IFERROR(Table1[[#This Row],[Utilization %]]*Table1[[#This Row],[Efficiency %]]*Table1[[#This Row],[Quality %]], "")</f>
        <v>0.7055555555555556</v>
      </c>
      <c r="R849" s="48" t="s">
        <v>224</v>
      </c>
    </row>
    <row r="850" spans="1:18" ht="30" customHeight="1" x14ac:dyDescent="0.25">
      <c r="A850" s="47">
        <v>46193</v>
      </c>
      <c r="B850" s="48" t="s">
        <v>33</v>
      </c>
      <c r="C850" s="48" t="s">
        <v>36</v>
      </c>
      <c r="D850" s="48" t="s">
        <v>37</v>
      </c>
      <c r="E850" s="49">
        <v>8000</v>
      </c>
      <c r="F850" s="76">
        <v>5875</v>
      </c>
      <c r="G850" s="49">
        <v>0</v>
      </c>
      <c r="H850" s="50">
        <f>IFERROR(Table1[Re-process (Kg)]/Table1[Actual Production (Kg)], "")</f>
        <v>0</v>
      </c>
      <c r="I850" s="49">
        <f>IFERROR(Table1[[#This Row],[Actual Production (Kg)]]-Table1[[#This Row],[Re-process (Kg)]], "")</f>
        <v>5875</v>
      </c>
      <c r="J850" s="49">
        <v>22</v>
      </c>
      <c r="K850" s="72">
        <v>3</v>
      </c>
      <c r="L850" s="49">
        <f>IF(Table1[[#This Row],[Target Time (Hours)]]="","",Table1[[#This Row],[Target Time (Hours)]]-Table1[[#This Row],[Downtime (Hours)]])</f>
        <v>19</v>
      </c>
      <c r="M850" s="49">
        <f>IFERROR(Table1[[#This Row],[Capacity (Kg)]]/Table1[[#This Row],[Target Time (Hours)]] * Table1[[#This Row],[Downtime (Hours)]], "")</f>
        <v>1090.909090909091</v>
      </c>
      <c r="N850" s="50">
        <f>IFERROR(Table1[[#This Row],[Running Time (hr)]]/Table1[Target Time (Hours)], "")</f>
        <v>0.86363636363636365</v>
      </c>
      <c r="O850" s="50">
        <f>IFERROR(Table1[[#This Row],[Actual Production (Kg)]]/Table1[Capacity (Kg)], "")</f>
        <v>0.734375</v>
      </c>
      <c r="P850" s="50">
        <f>IFERROR(Table1[[#This Row],[Quality Pass Production]]/Table1[[#This Row],[Actual Production (Kg)]], "")</f>
        <v>1</v>
      </c>
      <c r="Q850" s="50">
        <f>IFERROR(Table1[[#This Row],[Utilization %]]*Table1[[#This Row],[Efficiency %]]*Table1[[#This Row],[Quality %]], "")</f>
        <v>0.63423295454545459</v>
      </c>
      <c r="R850" s="48" t="s">
        <v>225</v>
      </c>
    </row>
    <row r="851" spans="1:18" ht="30" customHeight="1" x14ac:dyDescent="0.25">
      <c r="A851" s="47">
        <v>46193</v>
      </c>
      <c r="B851" s="48" t="s">
        <v>33</v>
      </c>
      <c r="C851" s="48" t="s">
        <v>39</v>
      </c>
      <c r="D851" s="48" t="s">
        <v>31</v>
      </c>
      <c r="E851" s="49">
        <v>6000</v>
      </c>
      <c r="F851" s="76">
        <v>2062</v>
      </c>
      <c r="G851" s="49">
        <v>0</v>
      </c>
      <c r="H851" s="50">
        <f>IFERROR(Table1[Re-process (Kg)]/Table1[Actual Production (Kg)], "")</f>
        <v>0</v>
      </c>
      <c r="I851" s="49">
        <f>IFERROR(Table1[[#This Row],[Actual Production (Kg)]]-Table1[[#This Row],[Re-process (Kg)]], "")</f>
        <v>2062</v>
      </c>
      <c r="J851" s="49">
        <v>22</v>
      </c>
      <c r="K851" s="72">
        <v>4</v>
      </c>
      <c r="L851" s="49">
        <f>IF(Table1[[#This Row],[Target Time (Hours)]]="","",Table1[[#This Row],[Target Time (Hours)]]-Table1[[#This Row],[Downtime (Hours)]])</f>
        <v>18</v>
      </c>
      <c r="M851" s="49">
        <f>IFERROR(Table1[[#This Row],[Capacity (Kg)]]/Table1[[#This Row],[Target Time (Hours)]] * Table1[[#This Row],[Downtime (Hours)]], "")</f>
        <v>1090.909090909091</v>
      </c>
      <c r="N851" s="50">
        <f>IFERROR(Table1[[#This Row],[Running Time (hr)]]/Table1[Target Time (Hours)], "")</f>
        <v>0.81818181818181823</v>
      </c>
      <c r="O851" s="50">
        <f>IFERROR(Table1[[#This Row],[Actual Production (Kg)]]/Table1[Capacity (Kg)], "")</f>
        <v>0.34366666666666668</v>
      </c>
      <c r="P851" s="50">
        <f>IFERROR(Table1[[#This Row],[Quality Pass Production]]/Table1[[#This Row],[Actual Production (Kg)]], "")</f>
        <v>1</v>
      </c>
      <c r="Q851" s="50">
        <f>IFERROR(Table1[[#This Row],[Utilization %]]*Table1[[#This Row],[Efficiency %]]*Table1[[#This Row],[Quality %]], "")</f>
        <v>0.2811818181818182</v>
      </c>
      <c r="R851" s="48" t="s">
        <v>226</v>
      </c>
    </row>
    <row r="852" spans="1:18" ht="45" customHeight="1" x14ac:dyDescent="0.25">
      <c r="A852" s="54">
        <v>46193</v>
      </c>
      <c r="B852" s="55" t="s">
        <v>33</v>
      </c>
      <c r="C852" s="55" t="s">
        <v>40</v>
      </c>
      <c r="D852" s="55" t="s">
        <v>31</v>
      </c>
      <c r="E852" s="56">
        <v>5000</v>
      </c>
      <c r="F852" s="56">
        <v>1962</v>
      </c>
      <c r="G852" s="56">
        <v>0</v>
      </c>
      <c r="H852" s="58">
        <f>IFERROR(Table1[Re-process (Kg)]/Table1[Actual Production (Kg)], "")</f>
        <v>0</v>
      </c>
      <c r="I852" s="56">
        <f>IFERROR(Table1[[#This Row],[Actual Production (Kg)]]-Table1[[#This Row],[Re-process (Kg)]], "")</f>
        <v>1962</v>
      </c>
      <c r="J852" s="56">
        <v>22</v>
      </c>
      <c r="K852" s="55">
        <v>4</v>
      </c>
      <c r="L852" s="56">
        <f>IF(Table1[[#This Row],[Target Time (Hours)]]="","",Table1[[#This Row],[Target Time (Hours)]]-Table1[[#This Row],[Downtime (Hours)]])</f>
        <v>18</v>
      </c>
      <c r="M852" s="56">
        <f>IFERROR(Table1[[#This Row],[Capacity (Kg)]]/Table1[[#This Row],[Target Time (Hours)]] * Table1[[#This Row],[Downtime (Hours)]], "")</f>
        <v>909.09090909090912</v>
      </c>
      <c r="N852" s="58">
        <f>IFERROR(Table1[[#This Row],[Running Time (hr)]]/Table1[Target Time (Hours)], "")</f>
        <v>0.81818181818181823</v>
      </c>
      <c r="O852" s="58">
        <f>IFERROR(Table1[[#This Row],[Actual Production (Kg)]]/Table1[Capacity (Kg)], "")</f>
        <v>0.39240000000000003</v>
      </c>
      <c r="P852" s="58">
        <f>IFERROR(Table1[[#This Row],[Quality Pass Production]]/Table1[[#This Row],[Actual Production (Kg)]], "")</f>
        <v>1</v>
      </c>
      <c r="Q852" s="58">
        <f>IFERROR(Table1[[#This Row],[Utilization %]]*Table1[[#This Row],[Efficiency %]]*Table1[[#This Row],[Quality %]], "")</f>
        <v>0.32105454545454548</v>
      </c>
      <c r="R852" s="55" t="s">
        <v>226</v>
      </c>
    </row>
    <row r="853" spans="1:18" ht="30" customHeight="1" x14ac:dyDescent="0.25">
      <c r="A853" s="47">
        <v>46194</v>
      </c>
      <c r="B853" s="48" t="s">
        <v>18</v>
      </c>
      <c r="C853" s="48" t="s">
        <v>19</v>
      </c>
      <c r="D853" s="48" t="s">
        <v>20</v>
      </c>
      <c r="E853" s="49">
        <v>10000</v>
      </c>
      <c r="F853" s="76">
        <v>7767</v>
      </c>
      <c r="G853" s="49">
        <v>0</v>
      </c>
      <c r="H853" s="50">
        <f>IFERROR(Table1[Re-process (Kg)]/Table1[Actual Production (Kg)], "")</f>
        <v>0</v>
      </c>
      <c r="I853" s="49">
        <f>IFERROR(Table1[[#This Row],[Actual Production (Kg)]]-Table1[[#This Row],[Re-process (Kg)]], "")</f>
        <v>7767</v>
      </c>
      <c r="J853" s="49">
        <v>22</v>
      </c>
      <c r="K853" s="72">
        <v>2</v>
      </c>
      <c r="L853" s="49">
        <f>IF(Table1[[#This Row],[Target Time (Hours)]]="","",Table1[[#This Row],[Target Time (Hours)]]-Table1[[#This Row],[Downtime (Hours)]])</f>
        <v>20</v>
      </c>
      <c r="M853" s="49">
        <f>IFERROR(Table1[[#This Row],[Capacity (Kg)]]/Table1[[#This Row],[Target Time (Hours)]] * Table1[[#This Row],[Downtime (Hours)]], "")</f>
        <v>909.09090909090912</v>
      </c>
      <c r="N853" s="50">
        <f>IFERROR(Table1[[#This Row],[Running Time (hr)]]/Table1[Target Time (Hours)], "")</f>
        <v>0.90909090909090906</v>
      </c>
      <c r="O853" s="50">
        <f>IFERROR(Table1[[#This Row],[Actual Production (Kg)]]/Table1[Capacity (Kg)], "")</f>
        <v>0.77669999999999995</v>
      </c>
      <c r="P853" s="50">
        <f>IFERROR(Table1[[#This Row],[Quality Pass Production]]/Table1[[#This Row],[Actual Production (Kg)]], "")</f>
        <v>1</v>
      </c>
      <c r="Q853" s="50">
        <f>IFERROR(Table1[[#This Row],[Utilization %]]*Table1[[#This Row],[Efficiency %]]*Table1[[#This Row],[Quality %]], "")</f>
        <v>0.70609090909090899</v>
      </c>
      <c r="R853" s="48" t="s">
        <v>227</v>
      </c>
    </row>
    <row r="854" spans="1:18" ht="30" customHeight="1" x14ac:dyDescent="0.25">
      <c r="A854" s="47">
        <v>46194</v>
      </c>
      <c r="B854" s="48" t="s">
        <v>18</v>
      </c>
      <c r="C854" s="48" t="s">
        <v>22</v>
      </c>
      <c r="D854" s="48" t="s">
        <v>23</v>
      </c>
      <c r="E854" s="49">
        <v>5000</v>
      </c>
      <c r="F854" s="76">
        <v>4104</v>
      </c>
      <c r="G854" s="49">
        <v>0</v>
      </c>
      <c r="H854" s="50">
        <f>IFERROR(Table1[Re-process (Kg)]/Table1[Actual Production (Kg)], "")</f>
        <v>0</v>
      </c>
      <c r="I854" s="49">
        <f>IFERROR(Table1[[#This Row],[Actual Production (Kg)]]-Table1[[#This Row],[Re-process (Kg)]], "")</f>
        <v>4104</v>
      </c>
      <c r="J854" s="49">
        <v>22</v>
      </c>
      <c r="K854" s="72"/>
      <c r="L854" s="49">
        <f>IF(Table1[[#This Row],[Target Time (Hours)]]="","",Table1[[#This Row],[Target Time (Hours)]]-Table1[[#This Row],[Downtime (Hours)]])</f>
        <v>22</v>
      </c>
      <c r="M854" s="49">
        <f>IFERROR(Table1[[#This Row],[Capacity (Kg)]]/Table1[[#This Row],[Target Time (Hours)]] * Table1[[#This Row],[Downtime (Hours)]], "")</f>
        <v>0</v>
      </c>
      <c r="N854" s="50">
        <f>IFERROR(Table1[[#This Row],[Running Time (hr)]]/Table1[Target Time (Hours)], "")</f>
        <v>1</v>
      </c>
      <c r="O854" s="50">
        <f>IFERROR(Table1[[#This Row],[Actual Production (Kg)]]/Table1[Capacity (Kg)], "")</f>
        <v>0.82079999999999997</v>
      </c>
      <c r="P854" s="50">
        <f>IFERROR(Table1[[#This Row],[Quality Pass Production]]/Table1[[#This Row],[Actual Production (Kg)]], "")</f>
        <v>1</v>
      </c>
      <c r="Q854" s="50">
        <f>IFERROR(Table1[[#This Row],[Utilization %]]*Table1[[#This Row],[Efficiency %]]*Table1[[#This Row],[Quality %]], "")</f>
        <v>0.82079999999999997</v>
      </c>
      <c r="R854" s="48" t="s">
        <v>206</v>
      </c>
    </row>
    <row r="855" spans="1:18" x14ac:dyDescent="0.25">
      <c r="A855" s="47">
        <v>46194</v>
      </c>
      <c r="B855" s="48" t="s">
        <v>18</v>
      </c>
      <c r="C855" s="48" t="s">
        <v>22</v>
      </c>
      <c r="D855" s="48" t="s">
        <v>25</v>
      </c>
      <c r="E855" s="49">
        <v>4000</v>
      </c>
      <c r="F855" s="76">
        <v>4032</v>
      </c>
      <c r="G855" s="49">
        <v>0</v>
      </c>
      <c r="H855" s="50">
        <f>IFERROR(Table1[Re-process (Kg)]/Table1[Actual Production (Kg)], "")</f>
        <v>0</v>
      </c>
      <c r="I855" s="49">
        <f>IFERROR(Table1[[#This Row],[Actual Production (Kg)]]-Table1[[#This Row],[Re-process (Kg)]], "")</f>
        <v>4032</v>
      </c>
      <c r="J855" s="49"/>
      <c r="K855" s="72"/>
      <c r="L855" s="49" t="str">
        <f>IF(Table1[[#This Row],[Target Time (Hours)]]="","",Table1[[#This Row],[Target Time (Hours)]]-Table1[[#This Row],[Downtime (Hours)]])</f>
        <v/>
      </c>
      <c r="M855" s="49" t="str">
        <f>IFERROR(Table1[[#This Row],[Capacity (Kg)]]/Table1[[#This Row],[Target Time (Hours)]] * Table1[[#This Row],[Downtime (Hours)]], "")</f>
        <v/>
      </c>
      <c r="N855" s="50" t="str">
        <f>IFERROR(Table1[[#This Row],[Running Time (hr)]]/Table1[Target Time (Hours)], "")</f>
        <v/>
      </c>
      <c r="O855" s="50">
        <f>IFERROR(Table1[[#This Row],[Actual Production (Kg)]]/Table1[Capacity (Kg)], "")</f>
        <v>1.008</v>
      </c>
      <c r="P855" s="50">
        <f>IFERROR(Table1[[#This Row],[Quality Pass Production]]/Table1[[#This Row],[Actual Production (Kg)]], "")</f>
        <v>1</v>
      </c>
      <c r="Q855" s="50" t="str">
        <f>IFERROR(Table1[[#This Row],[Utilization %]]*Table1[[#This Row],[Efficiency %]]*Table1[[#This Row],[Quality %]], "")</f>
        <v/>
      </c>
    </row>
    <row r="856" spans="1:18" ht="45" customHeight="1" x14ac:dyDescent="0.25">
      <c r="A856" s="47">
        <v>46194</v>
      </c>
      <c r="B856" s="48" t="s">
        <v>18</v>
      </c>
      <c r="C856" s="48" t="s">
        <v>26</v>
      </c>
      <c r="D856" s="48" t="s">
        <v>25</v>
      </c>
      <c r="E856" s="49">
        <v>7000</v>
      </c>
      <c r="F856" s="76">
        <v>6502</v>
      </c>
      <c r="G856" s="49">
        <v>0</v>
      </c>
      <c r="H856" s="50">
        <f>IFERROR(Table1[Re-process (Kg)]/Table1[Actual Production (Kg)], "")</f>
        <v>0</v>
      </c>
      <c r="I856" s="49">
        <f>IFERROR(Table1[[#This Row],[Actual Production (Kg)]]-Table1[[#This Row],[Re-process (Kg)]], "")</f>
        <v>6502</v>
      </c>
      <c r="J856" s="49">
        <v>22</v>
      </c>
      <c r="K856" s="72">
        <v>0.5</v>
      </c>
      <c r="L856" s="49">
        <f>IF(Table1[[#This Row],[Target Time (Hours)]]="","",Table1[[#This Row],[Target Time (Hours)]]-Table1[[#This Row],[Downtime (Hours)]])</f>
        <v>21.5</v>
      </c>
      <c r="M856" s="49">
        <f>IFERROR(Table1[[#This Row],[Capacity (Kg)]]/Table1[[#This Row],[Target Time (Hours)]] * Table1[[#This Row],[Downtime (Hours)]], "")</f>
        <v>159.09090909090909</v>
      </c>
      <c r="N856" s="50">
        <f>IFERROR(Table1[[#This Row],[Running Time (hr)]]/Table1[Target Time (Hours)], "")</f>
        <v>0.97727272727272729</v>
      </c>
      <c r="O856" s="50">
        <f>IFERROR(Table1[[#This Row],[Actual Production (Kg)]]/Table1[Capacity (Kg)], "")</f>
        <v>0.92885714285714283</v>
      </c>
      <c r="P856" s="50">
        <f>IFERROR(Table1[[#This Row],[Quality Pass Production]]/Table1[[#This Row],[Actual Production (Kg)]], "")</f>
        <v>1</v>
      </c>
      <c r="Q856" s="50">
        <f>IFERROR(Table1[[#This Row],[Utilization %]]*Table1[[#This Row],[Efficiency %]]*Table1[[#This Row],[Quality %]], "")</f>
        <v>0.90774675324675325</v>
      </c>
      <c r="R856" s="48" t="s">
        <v>228</v>
      </c>
    </row>
    <row r="857" spans="1:18" ht="30" customHeight="1" x14ac:dyDescent="0.25">
      <c r="A857" s="47">
        <v>46194</v>
      </c>
      <c r="B857" s="48" t="s">
        <v>18</v>
      </c>
      <c r="C857" s="48" t="s">
        <v>28</v>
      </c>
      <c r="D857" s="48" t="s">
        <v>29</v>
      </c>
      <c r="E857" s="49">
        <v>7800</v>
      </c>
      <c r="F857" s="76">
        <v>4507</v>
      </c>
      <c r="G857" s="49">
        <v>0</v>
      </c>
      <c r="H857" s="50">
        <f>IFERROR(Table1[Re-process (Kg)]/Table1[Actual Production (Kg)], "")</f>
        <v>0</v>
      </c>
      <c r="I857" s="49">
        <f>IFERROR(Table1[[#This Row],[Actual Production (Kg)]]-Table1[[#This Row],[Re-process (Kg)]], "")</f>
        <v>4507</v>
      </c>
      <c r="J857" s="49">
        <v>22</v>
      </c>
      <c r="K857" s="72">
        <v>5</v>
      </c>
      <c r="L857" s="49">
        <f>IF(Table1[[#This Row],[Target Time (Hours)]]="","",Table1[[#This Row],[Target Time (Hours)]]-Table1[[#This Row],[Downtime (Hours)]])</f>
        <v>17</v>
      </c>
      <c r="M857" s="49">
        <f>IFERROR(Table1[[#This Row],[Capacity (Kg)]]/Table1[[#This Row],[Target Time (Hours)]] * Table1[[#This Row],[Downtime (Hours)]], "")</f>
        <v>1772.7272727272727</v>
      </c>
      <c r="N857" s="50">
        <f>IFERROR(Table1[[#This Row],[Running Time (hr)]]/Table1[Target Time (Hours)], "")</f>
        <v>0.77272727272727271</v>
      </c>
      <c r="O857" s="50">
        <f>IFERROR(Table1[[#This Row],[Actual Production (Kg)]]/Table1[Capacity (Kg)], "")</f>
        <v>0.57782051282051283</v>
      </c>
      <c r="P857" s="50">
        <f>IFERROR(Table1[[#This Row],[Quality Pass Production]]/Table1[[#This Row],[Actual Production (Kg)]], "")</f>
        <v>1</v>
      </c>
      <c r="Q857" s="50">
        <f>IFERROR(Table1[[#This Row],[Utilization %]]*Table1[[#This Row],[Efficiency %]]*Table1[[#This Row],[Quality %]], "")</f>
        <v>0.44649766899766902</v>
      </c>
      <c r="R857" s="48" t="s">
        <v>205</v>
      </c>
    </row>
    <row r="858" spans="1:18" ht="30" customHeight="1" x14ac:dyDescent="0.25">
      <c r="A858" s="51">
        <v>46194</v>
      </c>
      <c r="B858" s="52" t="s">
        <v>18</v>
      </c>
      <c r="C858" s="52" t="s">
        <v>135</v>
      </c>
      <c r="D858" s="52" t="s">
        <v>29</v>
      </c>
      <c r="E858" s="53"/>
      <c r="F858" s="53"/>
      <c r="G858" s="79"/>
      <c r="H858" s="57" t="str">
        <f>IFERROR(Table1[Re-process (Kg)]/Table1[Actual Production (Kg)], "")</f>
        <v/>
      </c>
      <c r="I858" s="53">
        <f>IFERROR(Table1[[#This Row],[Actual Production (Kg)]]-Table1[[#This Row],[Re-process (Kg)]], "")</f>
        <v>0</v>
      </c>
      <c r="J858" s="53"/>
      <c r="K858" s="52"/>
      <c r="L858" s="53" t="str">
        <f>IF(Table1[[#This Row],[Target Time (Hours)]]="","",Table1[[#This Row],[Target Time (Hours)]]-Table1[[#This Row],[Downtime (Hours)]])</f>
        <v/>
      </c>
      <c r="M858" s="53" t="str">
        <f>IFERROR(Table1[[#This Row],[Capacity (Kg)]]/Table1[[#This Row],[Target Time (Hours)]] * Table1[[#This Row],[Downtime (Hours)]], "")</f>
        <v/>
      </c>
      <c r="N858" s="57" t="str">
        <f>IFERROR(Table1[[#This Row],[Running Time (hr)]]/Table1[Target Time (Hours)], "")</f>
        <v/>
      </c>
      <c r="O858" s="57" t="str">
        <f>IFERROR(Table1[[#This Row],[Actual Production (Kg)]]/Table1[Capacity (Kg)], "")</f>
        <v/>
      </c>
      <c r="P858" s="57" t="str">
        <f>IFERROR(Table1[[#This Row],[Quality Pass Production]]/Table1[[#This Row],[Actual Production (Kg)]], "")</f>
        <v/>
      </c>
      <c r="Q858" s="57" t="str">
        <f>IFERROR(Table1[[#This Row],[Utilization %]]*Table1[[#This Row],[Efficiency %]]*Table1[[#This Row],[Quality %]], "")</f>
        <v/>
      </c>
      <c r="R858" s="52" t="s">
        <v>156</v>
      </c>
    </row>
    <row r="859" spans="1:18" ht="30" customHeight="1" x14ac:dyDescent="0.25">
      <c r="A859" s="47">
        <v>46194</v>
      </c>
      <c r="B859" s="48" t="s">
        <v>18</v>
      </c>
      <c r="C859" s="48" t="s">
        <v>30</v>
      </c>
      <c r="D859" s="48" t="s">
        <v>31</v>
      </c>
      <c r="E859" s="49">
        <v>9000</v>
      </c>
      <c r="F859" s="76">
        <v>0</v>
      </c>
      <c r="G859" s="49">
        <v>0</v>
      </c>
      <c r="H859" s="50" t="str">
        <f>IFERROR(Table1[Re-process (Kg)]/Table1[Actual Production (Kg)], "")</f>
        <v/>
      </c>
      <c r="I859" s="49">
        <f>IFERROR(Table1[[#This Row],[Actual Production (Kg)]]-Table1[[#This Row],[Re-process (Kg)]], "")</f>
        <v>0</v>
      </c>
      <c r="J859" s="49">
        <v>22</v>
      </c>
      <c r="K859" s="72">
        <v>22</v>
      </c>
      <c r="L859" s="49">
        <f>IF(Table1[[#This Row],[Target Time (Hours)]]="","",Table1[[#This Row],[Target Time (Hours)]]-Table1[[#This Row],[Downtime (Hours)]])</f>
        <v>0</v>
      </c>
      <c r="M859" s="49">
        <f>IFERROR(Table1[[#This Row],[Capacity (Kg)]]/Table1[[#This Row],[Target Time (Hours)]] * Table1[[#This Row],[Downtime (Hours)]], "")</f>
        <v>9000</v>
      </c>
      <c r="N859" s="50">
        <f>IFERROR(Table1[[#This Row],[Running Time (hr)]]/Table1[Target Time (Hours)], "")</f>
        <v>0</v>
      </c>
      <c r="O859" s="50">
        <f>IFERROR(Table1[[#This Row],[Actual Production (Kg)]]/Table1[Capacity (Kg)], "")</f>
        <v>0</v>
      </c>
      <c r="P859" s="50" t="str">
        <f>IFERROR(Table1[[#This Row],[Quality Pass Production]]/Table1[[#This Row],[Actual Production (Kg)]], "")</f>
        <v/>
      </c>
      <c r="Q859" s="50" t="str">
        <f>IFERROR(Table1[[#This Row],[Utilization %]]*Table1[[#This Row],[Efficiency %]]*Table1[[#This Row],[Quality %]], "")</f>
        <v/>
      </c>
      <c r="R859" s="48" t="s">
        <v>222</v>
      </c>
    </row>
    <row r="860" spans="1:18" ht="30" customHeight="1" x14ac:dyDescent="0.25">
      <c r="A860" s="51">
        <v>46194</v>
      </c>
      <c r="B860" s="52" t="s">
        <v>18</v>
      </c>
      <c r="C860" s="52" t="s">
        <v>32</v>
      </c>
      <c r="D860" s="52" t="s">
        <v>31</v>
      </c>
      <c r="E860" s="79">
        <f>Table1[[#This Row],[Actual Production (Kg)]]</f>
        <v>6258</v>
      </c>
      <c r="F860" s="53">
        <v>6258</v>
      </c>
      <c r="G860" s="79"/>
      <c r="H860" s="57">
        <f>IFERROR(Table1[Re-process (Kg)]/Table1[Actual Production (Kg)], "")</f>
        <v>0</v>
      </c>
      <c r="I860" s="53">
        <f>IFERROR(Table1[[#This Row],[Actual Production (Kg)]]-Table1[[#This Row],[Re-process (Kg)]], "")</f>
        <v>6258</v>
      </c>
      <c r="J860" s="53"/>
      <c r="K860" s="52"/>
      <c r="L860" s="53" t="str">
        <f>IF(Table1[[#This Row],[Target Time (Hours)]]="","",Table1[[#This Row],[Target Time (Hours)]]-Table1[[#This Row],[Downtime (Hours)]])</f>
        <v/>
      </c>
      <c r="M860" s="53" t="str">
        <f>IFERROR(Table1[[#This Row],[Capacity (Kg)]]/Table1[[#This Row],[Target Time (Hours)]] * Table1[[#This Row],[Downtime (Hours)]], "")</f>
        <v/>
      </c>
      <c r="N860" s="57" t="str">
        <f>IFERROR(Table1[[#This Row],[Running Time (hr)]]/Table1[Target Time (Hours)], "")</f>
        <v/>
      </c>
      <c r="O860" s="57">
        <f>IFERROR(Table1[[#This Row],[Actual Production (Kg)]]/Table1[Capacity (Kg)], "")</f>
        <v>1</v>
      </c>
      <c r="P860" s="57">
        <f>IFERROR(Table1[[#This Row],[Quality Pass Production]]/Table1[[#This Row],[Actual Production (Kg)]], "")</f>
        <v>1</v>
      </c>
      <c r="Q860" s="57" t="str">
        <f>IFERROR(Table1[[#This Row],[Utilization %]]*Table1[[#This Row],[Efficiency %]]*Table1[[#This Row],[Quality %]], "")</f>
        <v/>
      </c>
      <c r="R860" s="52" t="s">
        <v>229</v>
      </c>
    </row>
    <row r="861" spans="1:18" ht="30" customHeight="1" x14ac:dyDescent="0.25">
      <c r="A861" s="47">
        <v>46194</v>
      </c>
      <c r="B861" s="48" t="s">
        <v>33</v>
      </c>
      <c r="C861" s="48" t="s">
        <v>34</v>
      </c>
      <c r="D861" s="48" t="s">
        <v>35</v>
      </c>
      <c r="E861" s="49">
        <v>9000</v>
      </c>
      <c r="F861" s="76">
        <v>6310</v>
      </c>
      <c r="G861" s="49">
        <v>0</v>
      </c>
      <c r="H861" s="50">
        <f>IFERROR(Table1[Re-process (Kg)]/Table1[Actual Production (Kg)], "")</f>
        <v>0</v>
      </c>
      <c r="I861" s="49">
        <f>IFERROR(Table1[[#This Row],[Actual Production (Kg)]]-Table1[[#This Row],[Re-process (Kg)]], "")</f>
        <v>6310</v>
      </c>
      <c r="J861" s="49">
        <v>22</v>
      </c>
      <c r="K861" s="72"/>
      <c r="L861" s="49">
        <f>IF(Table1[[#This Row],[Target Time (Hours)]]="","",Table1[[#This Row],[Target Time (Hours)]]-Table1[[#This Row],[Downtime (Hours)]])</f>
        <v>22</v>
      </c>
      <c r="M861" s="49">
        <f>IFERROR(Table1[[#This Row],[Capacity (Kg)]]/Table1[[#This Row],[Target Time (Hours)]] * Table1[[#This Row],[Downtime (Hours)]], "")</f>
        <v>0</v>
      </c>
      <c r="N861" s="50">
        <f>IFERROR(Table1[[#This Row],[Running Time (hr)]]/Table1[Target Time (Hours)], "")</f>
        <v>1</v>
      </c>
      <c r="O861" s="50">
        <f>IFERROR(Table1[[#This Row],[Actual Production (Kg)]]/Table1[Capacity (Kg)], "")</f>
        <v>0.70111111111111113</v>
      </c>
      <c r="P861" s="50">
        <f>IFERROR(Table1[[#This Row],[Quality Pass Production]]/Table1[[#This Row],[Actual Production (Kg)]], "")</f>
        <v>1</v>
      </c>
      <c r="Q861" s="50">
        <f>IFERROR(Table1[[#This Row],[Utilization %]]*Table1[[#This Row],[Efficiency %]]*Table1[[#This Row],[Quality %]], "")</f>
        <v>0.70111111111111113</v>
      </c>
      <c r="R861" s="48" t="s">
        <v>224</v>
      </c>
    </row>
    <row r="862" spans="1:18" ht="30" customHeight="1" x14ac:dyDescent="0.25">
      <c r="A862" s="47">
        <v>46194</v>
      </c>
      <c r="B862" s="48" t="s">
        <v>33</v>
      </c>
      <c r="C862" s="48" t="s">
        <v>36</v>
      </c>
      <c r="D862" s="48" t="s">
        <v>37</v>
      </c>
      <c r="E862" s="49">
        <v>8000</v>
      </c>
      <c r="F862" s="76">
        <v>6575</v>
      </c>
      <c r="G862" s="49">
        <v>0</v>
      </c>
      <c r="H862" s="50">
        <f>IFERROR(Table1[Re-process (Kg)]/Table1[Actual Production (Kg)], "")</f>
        <v>0</v>
      </c>
      <c r="I862" s="49">
        <f>IFERROR(Table1[[#This Row],[Actual Production (Kg)]]-Table1[[#This Row],[Re-process (Kg)]], "")</f>
        <v>6575</v>
      </c>
      <c r="J862" s="49">
        <v>22</v>
      </c>
      <c r="K862" s="72">
        <v>2.5</v>
      </c>
      <c r="L862" s="49">
        <f>IF(Table1[[#This Row],[Target Time (Hours)]]="","",Table1[[#This Row],[Target Time (Hours)]]-Table1[[#This Row],[Downtime (Hours)]])</f>
        <v>19.5</v>
      </c>
      <c r="M862" s="49">
        <f>IFERROR(Table1[[#This Row],[Capacity (Kg)]]/Table1[[#This Row],[Target Time (Hours)]] * Table1[[#This Row],[Downtime (Hours)]], "")</f>
        <v>909.09090909090901</v>
      </c>
      <c r="N862" s="50">
        <f>IFERROR(Table1[[#This Row],[Running Time (hr)]]/Table1[Target Time (Hours)], "")</f>
        <v>0.88636363636363635</v>
      </c>
      <c r="O862" s="50">
        <f>IFERROR(Table1[[#This Row],[Actual Production (Kg)]]/Table1[Capacity (Kg)], "")</f>
        <v>0.82187500000000002</v>
      </c>
      <c r="P862" s="50">
        <f>IFERROR(Table1[[#This Row],[Quality Pass Production]]/Table1[[#This Row],[Actual Production (Kg)]], "")</f>
        <v>1</v>
      </c>
      <c r="Q862" s="50">
        <f>IFERROR(Table1[[#This Row],[Utilization %]]*Table1[[#This Row],[Efficiency %]]*Table1[[#This Row],[Quality %]], "")</f>
        <v>0.72848011363636367</v>
      </c>
      <c r="R862" s="48" t="s">
        <v>230</v>
      </c>
    </row>
    <row r="863" spans="1:18" ht="30" customHeight="1" x14ac:dyDescent="0.25">
      <c r="A863" s="47">
        <v>46194</v>
      </c>
      <c r="B863" s="48" t="s">
        <v>33</v>
      </c>
      <c r="C863" s="48" t="s">
        <v>39</v>
      </c>
      <c r="D863" s="48" t="s">
        <v>31</v>
      </c>
      <c r="E863" s="49">
        <v>6000</v>
      </c>
      <c r="F863" s="76">
        <v>2978</v>
      </c>
      <c r="G863" s="49">
        <v>0</v>
      </c>
      <c r="H863" s="50">
        <f>IFERROR(Table1[Re-process (Kg)]/Table1[Actual Production (Kg)], "")</f>
        <v>0</v>
      </c>
      <c r="I863" s="49">
        <f>IFERROR(Table1[[#This Row],[Actual Production (Kg)]]-Table1[[#This Row],[Re-process (Kg)]], "")</f>
        <v>2978</v>
      </c>
      <c r="J863" s="49">
        <v>22</v>
      </c>
      <c r="K863" s="72"/>
      <c r="L863" s="49">
        <f>IF(Table1[[#This Row],[Target Time (Hours)]]="","",Table1[[#This Row],[Target Time (Hours)]]-Table1[[#This Row],[Downtime (Hours)]])</f>
        <v>22</v>
      </c>
      <c r="M863" s="49">
        <f>IFERROR(Table1[[#This Row],[Capacity (Kg)]]/Table1[[#This Row],[Target Time (Hours)]] * Table1[[#This Row],[Downtime (Hours)]], "")</f>
        <v>0</v>
      </c>
      <c r="N863" s="50">
        <f>IFERROR(Table1[[#This Row],[Running Time (hr)]]/Table1[Target Time (Hours)], "")</f>
        <v>1</v>
      </c>
      <c r="O863" s="50">
        <f>IFERROR(Table1[[#This Row],[Actual Production (Kg)]]/Table1[Capacity (Kg)], "")</f>
        <v>0.49633333333333335</v>
      </c>
      <c r="P863" s="50">
        <f>IFERROR(Table1[[#This Row],[Quality Pass Production]]/Table1[[#This Row],[Actual Production (Kg)]], "")</f>
        <v>1</v>
      </c>
      <c r="Q863" s="50">
        <f>IFERROR(Table1[[#This Row],[Utilization %]]*Table1[[#This Row],[Efficiency %]]*Table1[[#This Row],[Quality %]], "")</f>
        <v>0.49633333333333335</v>
      </c>
      <c r="R863" s="48" t="s">
        <v>224</v>
      </c>
    </row>
    <row r="864" spans="1:18" ht="45" customHeight="1" x14ac:dyDescent="0.25">
      <c r="A864" s="54">
        <v>46194</v>
      </c>
      <c r="B864" s="55" t="s">
        <v>33</v>
      </c>
      <c r="C864" s="55" t="s">
        <v>40</v>
      </c>
      <c r="D864" s="55" t="s">
        <v>31</v>
      </c>
      <c r="E864" s="56">
        <v>5000</v>
      </c>
      <c r="F864" s="56">
        <v>4114</v>
      </c>
      <c r="G864" s="56">
        <v>0</v>
      </c>
      <c r="H864" s="58">
        <f>IFERROR(Table1[Re-process (Kg)]/Table1[Actual Production (Kg)], "")</f>
        <v>0</v>
      </c>
      <c r="I864" s="56">
        <f>IFERROR(Table1[[#This Row],[Actual Production (Kg)]]-Table1[[#This Row],[Re-process (Kg)]], "")</f>
        <v>4114</v>
      </c>
      <c r="J864" s="56">
        <v>22</v>
      </c>
      <c r="K864" s="55"/>
      <c r="L864" s="56">
        <f>IF(Table1[[#This Row],[Target Time (Hours)]]="","",Table1[[#This Row],[Target Time (Hours)]]-Table1[[#This Row],[Downtime (Hours)]])</f>
        <v>22</v>
      </c>
      <c r="M864" s="56">
        <f>IFERROR(Table1[[#This Row],[Capacity (Kg)]]/Table1[[#This Row],[Target Time (Hours)]] * Table1[[#This Row],[Downtime (Hours)]], "")</f>
        <v>0</v>
      </c>
      <c r="N864" s="58">
        <f>IFERROR(Table1[[#This Row],[Running Time (hr)]]/Table1[Target Time (Hours)], "")</f>
        <v>1</v>
      </c>
      <c r="O864" s="58">
        <f>IFERROR(Table1[[#This Row],[Actual Production (Kg)]]/Table1[Capacity (Kg)], "")</f>
        <v>0.82279999999999998</v>
      </c>
      <c r="P864" s="58">
        <f>IFERROR(Table1[[#This Row],[Quality Pass Production]]/Table1[[#This Row],[Actual Production (Kg)]], "")</f>
        <v>1</v>
      </c>
      <c r="Q864" s="58">
        <f>IFERROR(Table1[[#This Row],[Utilization %]]*Table1[[#This Row],[Efficiency %]]*Table1[[#This Row],[Quality %]], "")</f>
        <v>0.82279999999999998</v>
      </c>
      <c r="R864" s="55" t="s">
        <v>224</v>
      </c>
    </row>
    <row r="865" spans="1:18" ht="30" customHeight="1" x14ac:dyDescent="0.25">
      <c r="A865" s="47">
        <v>46195</v>
      </c>
      <c r="B865" s="48" t="s">
        <v>18</v>
      </c>
      <c r="C865" s="48" t="s">
        <v>19</v>
      </c>
      <c r="D865" s="48" t="s">
        <v>20</v>
      </c>
      <c r="E865" s="49">
        <v>10000</v>
      </c>
      <c r="F865" s="76">
        <v>7895</v>
      </c>
      <c r="G865" s="49">
        <v>0</v>
      </c>
      <c r="H865" s="50">
        <f>IFERROR(Table1[Re-process (Kg)]/Table1[Actual Production (Kg)], "")</f>
        <v>0</v>
      </c>
      <c r="I865" s="49">
        <f>IFERROR(Table1[[#This Row],[Actual Production (Kg)]]-Table1[[#This Row],[Re-process (Kg)]], "")</f>
        <v>7895</v>
      </c>
      <c r="J865" s="49">
        <v>22</v>
      </c>
      <c r="K865" s="72">
        <v>1.5</v>
      </c>
      <c r="L865" s="49">
        <f>IF(Table1[[#This Row],[Target Time (Hours)]]="","",Table1[[#This Row],[Target Time (Hours)]]-Table1[[#This Row],[Downtime (Hours)]])</f>
        <v>20.5</v>
      </c>
      <c r="M865" s="49">
        <f>IFERROR(Table1[[#This Row],[Capacity (Kg)]]/Table1[[#This Row],[Target Time (Hours)]] * Table1[[#This Row],[Downtime (Hours)]], "")</f>
        <v>681.81818181818187</v>
      </c>
      <c r="N865" s="50">
        <f>IFERROR(Table1[[#This Row],[Running Time (hr)]]/Table1[Target Time (Hours)], "")</f>
        <v>0.93181818181818177</v>
      </c>
      <c r="O865" s="50">
        <f>IFERROR(Table1[[#This Row],[Actual Production (Kg)]]/Table1[Capacity (Kg)], "")</f>
        <v>0.78949999999999998</v>
      </c>
      <c r="P865" s="50">
        <f>IFERROR(Table1[[#This Row],[Quality Pass Production]]/Table1[[#This Row],[Actual Production (Kg)]], "")</f>
        <v>1</v>
      </c>
      <c r="Q865" s="50">
        <f>IFERROR(Table1[[#This Row],[Utilization %]]*Table1[[#This Row],[Efficiency %]]*Table1[[#This Row],[Quality %]], "")</f>
        <v>0.73567045454545443</v>
      </c>
      <c r="R865" s="48" t="s">
        <v>231</v>
      </c>
    </row>
    <row r="866" spans="1:18" ht="30" customHeight="1" x14ac:dyDescent="0.25">
      <c r="A866" s="47">
        <v>46195</v>
      </c>
      <c r="B866" s="48" t="s">
        <v>18</v>
      </c>
      <c r="C866" s="48" t="s">
        <v>22</v>
      </c>
      <c r="D866" s="48" t="s">
        <v>23</v>
      </c>
      <c r="E866" s="49">
        <v>5000</v>
      </c>
      <c r="F866" s="76">
        <v>4718</v>
      </c>
      <c r="G866" s="49">
        <v>0</v>
      </c>
      <c r="H866" s="50">
        <f>IFERROR(Table1[Re-process (Kg)]/Table1[Actual Production (Kg)], "")</f>
        <v>0</v>
      </c>
      <c r="I866" s="49">
        <f>IFERROR(Table1[[#This Row],[Actual Production (Kg)]]-Table1[[#This Row],[Re-process (Kg)]], "")</f>
        <v>4718</v>
      </c>
      <c r="J866" s="49">
        <v>22</v>
      </c>
      <c r="K866" s="72"/>
      <c r="L866" s="49">
        <f>IF(Table1[[#This Row],[Target Time (Hours)]]="","",Table1[[#This Row],[Target Time (Hours)]]-Table1[[#This Row],[Downtime (Hours)]])</f>
        <v>22</v>
      </c>
      <c r="M866" s="49">
        <f>IFERROR(Table1[[#This Row],[Capacity (Kg)]]/Table1[[#This Row],[Target Time (Hours)]] * Table1[[#This Row],[Downtime (Hours)]], "")</f>
        <v>0</v>
      </c>
      <c r="N866" s="50">
        <f>IFERROR(Table1[[#This Row],[Running Time (hr)]]/Table1[Target Time (Hours)], "")</f>
        <v>1</v>
      </c>
      <c r="O866" s="50">
        <f>IFERROR(Table1[[#This Row],[Actual Production (Kg)]]/Table1[Capacity (Kg)], "")</f>
        <v>0.94359999999999999</v>
      </c>
      <c r="P866" s="50">
        <f>IFERROR(Table1[[#This Row],[Quality Pass Production]]/Table1[[#This Row],[Actual Production (Kg)]], "")</f>
        <v>1</v>
      </c>
      <c r="Q866" s="50">
        <f>IFERROR(Table1[[#This Row],[Utilization %]]*Table1[[#This Row],[Efficiency %]]*Table1[[#This Row],[Quality %]], "")</f>
        <v>0.94359999999999999</v>
      </c>
      <c r="R866" s="48" t="s">
        <v>206</v>
      </c>
    </row>
    <row r="867" spans="1:18" x14ac:dyDescent="0.25">
      <c r="A867" s="47">
        <v>46195</v>
      </c>
      <c r="B867" s="48" t="s">
        <v>18</v>
      </c>
      <c r="C867" s="48" t="s">
        <v>22</v>
      </c>
      <c r="D867" s="48" t="s">
        <v>25</v>
      </c>
      <c r="E867" s="49">
        <v>4000</v>
      </c>
      <c r="F867" s="76">
        <v>3966</v>
      </c>
      <c r="G867" s="49">
        <v>0</v>
      </c>
      <c r="H867" s="50">
        <f>IFERROR(Table1[Re-process (Kg)]/Table1[Actual Production (Kg)], "")</f>
        <v>0</v>
      </c>
      <c r="I867" s="49">
        <f>IFERROR(Table1[[#This Row],[Actual Production (Kg)]]-Table1[[#This Row],[Re-process (Kg)]], "")</f>
        <v>3966</v>
      </c>
      <c r="J867" s="49"/>
      <c r="K867" s="72"/>
      <c r="L867" s="49" t="str">
        <f>IF(Table1[[#This Row],[Target Time (Hours)]]="","",Table1[[#This Row],[Target Time (Hours)]]-Table1[[#This Row],[Downtime (Hours)]])</f>
        <v/>
      </c>
      <c r="M867" s="49" t="str">
        <f>IFERROR(Table1[[#This Row],[Capacity (Kg)]]/Table1[[#This Row],[Target Time (Hours)]] * Table1[[#This Row],[Downtime (Hours)]], "")</f>
        <v/>
      </c>
      <c r="N867" s="50" t="str">
        <f>IFERROR(Table1[[#This Row],[Running Time (hr)]]/Table1[Target Time (Hours)], "")</f>
        <v/>
      </c>
      <c r="O867" s="50">
        <f>IFERROR(Table1[[#This Row],[Actual Production (Kg)]]/Table1[Capacity (Kg)], "")</f>
        <v>0.99150000000000005</v>
      </c>
      <c r="P867" s="50">
        <f>IFERROR(Table1[[#This Row],[Quality Pass Production]]/Table1[[#This Row],[Actual Production (Kg)]], "")</f>
        <v>1</v>
      </c>
      <c r="Q867" s="50" t="str">
        <f>IFERROR(Table1[[#This Row],[Utilization %]]*Table1[[#This Row],[Efficiency %]]*Table1[[#This Row],[Quality %]], "")</f>
        <v/>
      </c>
    </row>
    <row r="868" spans="1:18" x14ac:dyDescent="0.25">
      <c r="A868" s="47">
        <v>46195</v>
      </c>
      <c r="B868" s="48" t="s">
        <v>18</v>
      </c>
      <c r="C868" s="48" t="s">
        <v>26</v>
      </c>
      <c r="D868" s="48" t="s">
        <v>25</v>
      </c>
      <c r="E868" s="49">
        <v>7000</v>
      </c>
      <c r="F868" s="76">
        <v>7356</v>
      </c>
      <c r="G868" s="49">
        <v>0</v>
      </c>
      <c r="H868" s="50">
        <f>IFERROR(Table1[Re-process (Kg)]/Table1[Actual Production (Kg)], "")</f>
        <v>0</v>
      </c>
      <c r="I868" s="49">
        <f>IFERROR(Table1[[#This Row],[Actual Production (Kg)]]-Table1[[#This Row],[Re-process (Kg)]], "")</f>
        <v>7356</v>
      </c>
      <c r="J868" s="49">
        <v>22</v>
      </c>
      <c r="K868" s="72"/>
      <c r="L868" s="49">
        <f>IF(Table1[[#This Row],[Target Time (Hours)]]="","",Table1[[#This Row],[Target Time (Hours)]]-Table1[[#This Row],[Downtime (Hours)]])</f>
        <v>22</v>
      </c>
      <c r="M868" s="49">
        <f>IFERROR(Table1[[#This Row],[Capacity (Kg)]]/Table1[[#This Row],[Target Time (Hours)]] * Table1[[#This Row],[Downtime (Hours)]], "")</f>
        <v>0</v>
      </c>
      <c r="N868" s="50">
        <f>IFERROR(Table1[[#This Row],[Running Time (hr)]]/Table1[Target Time (Hours)], "")</f>
        <v>1</v>
      </c>
      <c r="O868" s="50">
        <f>IFERROR(Table1[[#This Row],[Actual Production (Kg)]]/Table1[Capacity (Kg)], "")</f>
        <v>1.0508571428571429</v>
      </c>
      <c r="P868" s="50">
        <f>IFERROR(Table1[[#This Row],[Quality Pass Production]]/Table1[[#This Row],[Actual Production (Kg)]], "")</f>
        <v>1</v>
      </c>
      <c r="Q868" s="50">
        <f>IFERROR(Table1[[#This Row],[Utilization %]]*Table1[[#This Row],[Efficiency %]]*Table1[[#This Row],[Quality %]], "")</f>
        <v>1.0508571428571429</v>
      </c>
    </row>
    <row r="869" spans="1:18" ht="30" customHeight="1" x14ac:dyDescent="0.25">
      <c r="A869" s="47">
        <v>46195</v>
      </c>
      <c r="B869" s="48" t="s">
        <v>18</v>
      </c>
      <c r="C869" s="48" t="s">
        <v>28</v>
      </c>
      <c r="D869" s="48" t="s">
        <v>29</v>
      </c>
      <c r="E869" s="49">
        <v>7800</v>
      </c>
      <c r="F869" s="76">
        <v>4711</v>
      </c>
      <c r="G869" s="49">
        <v>0</v>
      </c>
      <c r="H869" s="50">
        <f>IFERROR(Table1[Re-process (Kg)]/Table1[Actual Production (Kg)], "")</f>
        <v>0</v>
      </c>
      <c r="I869" s="49">
        <f>IFERROR(Table1[[#This Row],[Actual Production (Kg)]]-Table1[[#This Row],[Re-process (Kg)]], "")</f>
        <v>4711</v>
      </c>
      <c r="J869" s="49">
        <v>22</v>
      </c>
      <c r="K869" s="72">
        <v>8.5</v>
      </c>
      <c r="L869" s="49">
        <f>IF(Table1[[#This Row],[Target Time (Hours)]]="","",Table1[[#This Row],[Target Time (Hours)]]-Table1[[#This Row],[Downtime (Hours)]])</f>
        <v>13.5</v>
      </c>
      <c r="M869" s="49">
        <f>IFERROR(Table1[[#This Row],[Capacity (Kg)]]/Table1[[#This Row],[Target Time (Hours)]] * Table1[[#This Row],[Downtime (Hours)]], "")</f>
        <v>3013.636363636364</v>
      </c>
      <c r="N869" s="50">
        <f>IFERROR(Table1[[#This Row],[Running Time (hr)]]/Table1[Target Time (Hours)], "")</f>
        <v>0.61363636363636365</v>
      </c>
      <c r="O869" s="50">
        <f>IFERROR(Table1[[#This Row],[Actual Production (Kg)]]/Table1[Capacity (Kg)], "")</f>
        <v>0.60397435897435903</v>
      </c>
      <c r="P869" s="50">
        <f>IFERROR(Table1[[#This Row],[Quality Pass Production]]/Table1[[#This Row],[Actual Production (Kg)]], "")</f>
        <v>1</v>
      </c>
      <c r="Q869" s="50">
        <f>IFERROR(Table1[[#This Row],[Utilization %]]*Table1[[#This Row],[Efficiency %]]*Table1[[#This Row],[Quality %]], "")</f>
        <v>0.3706206293706294</v>
      </c>
      <c r="R869" s="48" t="s">
        <v>232</v>
      </c>
    </row>
    <row r="870" spans="1:18" ht="30" customHeight="1" x14ac:dyDescent="0.25">
      <c r="A870" s="51">
        <v>46195</v>
      </c>
      <c r="B870" s="52" t="s">
        <v>18</v>
      </c>
      <c r="C870" s="52" t="s">
        <v>135</v>
      </c>
      <c r="D870" s="52" t="s">
        <v>29</v>
      </c>
      <c r="E870" s="53"/>
      <c r="F870" s="53"/>
      <c r="G870" s="79"/>
      <c r="H870" s="57" t="str">
        <f>IFERROR(Table1[Re-process (Kg)]/Table1[Actual Production (Kg)], "")</f>
        <v/>
      </c>
      <c r="I870" s="53">
        <f>IFERROR(Table1[[#This Row],[Actual Production (Kg)]]-Table1[[#This Row],[Re-process (Kg)]], "")</f>
        <v>0</v>
      </c>
      <c r="J870" s="53"/>
      <c r="K870" s="52"/>
      <c r="L870" s="53" t="str">
        <f>IF(Table1[[#This Row],[Target Time (Hours)]]="","",Table1[[#This Row],[Target Time (Hours)]]-Table1[[#This Row],[Downtime (Hours)]])</f>
        <v/>
      </c>
      <c r="M870" s="53" t="str">
        <f>IFERROR(Table1[[#This Row],[Capacity (Kg)]]/Table1[[#This Row],[Target Time (Hours)]] * Table1[[#This Row],[Downtime (Hours)]], "")</f>
        <v/>
      </c>
      <c r="N870" s="57" t="str">
        <f>IFERROR(Table1[[#This Row],[Running Time (hr)]]/Table1[Target Time (Hours)], "")</f>
        <v/>
      </c>
      <c r="O870" s="57" t="str">
        <f>IFERROR(Table1[[#This Row],[Actual Production (Kg)]]/Table1[Capacity (Kg)], "")</f>
        <v/>
      </c>
      <c r="P870" s="57" t="str">
        <f>IFERROR(Table1[[#This Row],[Quality Pass Production]]/Table1[[#This Row],[Actual Production (Kg)]], "")</f>
        <v/>
      </c>
      <c r="Q870" s="57" t="str">
        <f>IFERROR(Table1[[#This Row],[Utilization %]]*Table1[[#This Row],[Efficiency %]]*Table1[[#This Row],[Quality %]], "")</f>
        <v/>
      </c>
      <c r="R870" s="52"/>
    </row>
    <row r="871" spans="1:18" ht="45" customHeight="1" x14ac:dyDescent="0.25">
      <c r="A871" s="47">
        <v>46195</v>
      </c>
      <c r="B871" s="48" t="s">
        <v>18</v>
      </c>
      <c r="C871" s="48" t="s">
        <v>30</v>
      </c>
      <c r="D871" s="48" t="s">
        <v>31</v>
      </c>
      <c r="E871" s="49">
        <v>9000</v>
      </c>
      <c r="F871" s="76">
        <v>6511</v>
      </c>
      <c r="G871" s="49">
        <v>0</v>
      </c>
      <c r="H871" s="50">
        <f>IFERROR(Table1[Re-process (Kg)]/Table1[Actual Production (Kg)], "")</f>
        <v>0</v>
      </c>
      <c r="I871" s="49">
        <f>IFERROR(Table1[[#This Row],[Actual Production (Kg)]]-Table1[[#This Row],[Re-process (Kg)]], "")</f>
        <v>6511</v>
      </c>
      <c r="J871" s="49">
        <v>22</v>
      </c>
      <c r="K871" s="72">
        <v>4</v>
      </c>
      <c r="L871" s="49">
        <f>IF(Table1[[#This Row],[Target Time (Hours)]]="","",Table1[[#This Row],[Target Time (Hours)]]-Table1[[#This Row],[Downtime (Hours)]])</f>
        <v>18</v>
      </c>
      <c r="M871" s="49">
        <f>IFERROR(Table1[[#This Row],[Capacity (Kg)]]/Table1[[#This Row],[Target Time (Hours)]] * Table1[[#This Row],[Downtime (Hours)]], "")</f>
        <v>1636.3636363636363</v>
      </c>
      <c r="N871" s="50">
        <f>IFERROR(Table1[[#This Row],[Running Time (hr)]]/Table1[Target Time (Hours)], "")</f>
        <v>0.81818181818181823</v>
      </c>
      <c r="O871" s="50">
        <f>IFERROR(Table1[[#This Row],[Actual Production (Kg)]]/Table1[Capacity (Kg)], "")</f>
        <v>0.72344444444444445</v>
      </c>
      <c r="P871" s="50">
        <f>IFERROR(Table1[[#This Row],[Quality Pass Production]]/Table1[[#This Row],[Actual Production (Kg)]], "")</f>
        <v>1</v>
      </c>
      <c r="Q871" s="50">
        <f>IFERROR(Table1[[#This Row],[Utilization %]]*Table1[[#This Row],[Efficiency %]]*Table1[[#This Row],[Quality %]], "")</f>
        <v>0.59190909090909094</v>
      </c>
      <c r="R871" s="48" t="s">
        <v>233</v>
      </c>
    </row>
    <row r="872" spans="1:18" ht="30" customHeight="1" x14ac:dyDescent="0.25">
      <c r="A872" s="51">
        <v>46195</v>
      </c>
      <c r="B872" s="52" t="s">
        <v>18</v>
      </c>
      <c r="C872" s="52" t="s">
        <v>32</v>
      </c>
      <c r="D872" s="52" t="s">
        <v>31</v>
      </c>
      <c r="E872" s="79">
        <f>Table1[[#This Row],[Actual Production (Kg)]]</f>
        <v>6210</v>
      </c>
      <c r="F872" s="53">
        <v>6210</v>
      </c>
      <c r="G872" s="79"/>
      <c r="H872" s="57">
        <f>IFERROR(Table1[Re-process (Kg)]/Table1[Actual Production (Kg)], "")</f>
        <v>0</v>
      </c>
      <c r="I872" s="53">
        <f>IFERROR(Table1[[#This Row],[Actual Production (Kg)]]-Table1[[#This Row],[Re-process (Kg)]], "")</f>
        <v>6210</v>
      </c>
      <c r="J872" s="53"/>
      <c r="K872" s="52"/>
      <c r="L872" s="53" t="str">
        <f>IF(Table1[[#This Row],[Target Time (Hours)]]="","",Table1[[#This Row],[Target Time (Hours)]]-Table1[[#This Row],[Downtime (Hours)]])</f>
        <v/>
      </c>
      <c r="M872" s="53" t="str">
        <f>IFERROR(Table1[[#This Row],[Capacity (Kg)]]/Table1[[#This Row],[Target Time (Hours)]] * Table1[[#This Row],[Downtime (Hours)]], "")</f>
        <v/>
      </c>
      <c r="N872" s="57" t="str">
        <f>IFERROR(Table1[[#This Row],[Running Time (hr)]]/Table1[Target Time (Hours)], "")</f>
        <v/>
      </c>
      <c r="O872" s="57">
        <f>IFERROR(Table1[[#This Row],[Actual Production (Kg)]]/Table1[Capacity (Kg)], "")</f>
        <v>1</v>
      </c>
      <c r="P872" s="57">
        <f>IFERROR(Table1[[#This Row],[Quality Pass Production]]/Table1[[#This Row],[Actual Production (Kg)]], "")</f>
        <v>1</v>
      </c>
      <c r="Q872" s="57" t="str">
        <f>IFERROR(Table1[[#This Row],[Utilization %]]*Table1[[#This Row],[Efficiency %]]*Table1[[#This Row],[Quality %]], "")</f>
        <v/>
      </c>
      <c r="R872" s="52" t="s">
        <v>229</v>
      </c>
    </row>
    <row r="873" spans="1:18" ht="30" customHeight="1" x14ac:dyDescent="0.25">
      <c r="A873" s="47">
        <v>46195</v>
      </c>
      <c r="B873" s="48" t="s">
        <v>33</v>
      </c>
      <c r="C873" s="48" t="s">
        <v>34</v>
      </c>
      <c r="D873" s="48" t="s">
        <v>35</v>
      </c>
      <c r="E873" s="49">
        <v>9000</v>
      </c>
      <c r="F873" s="76">
        <v>4669</v>
      </c>
      <c r="G873" s="49">
        <v>0</v>
      </c>
      <c r="H873" s="50">
        <f>IFERROR(Table1[Re-process (Kg)]/Table1[Actual Production (Kg)], "")</f>
        <v>0</v>
      </c>
      <c r="I873" s="49">
        <f>IFERROR(Table1[[#This Row],[Actual Production (Kg)]]-Table1[[#This Row],[Re-process (Kg)]], "")</f>
        <v>4669</v>
      </c>
      <c r="J873" s="49">
        <v>22</v>
      </c>
      <c r="K873" s="72"/>
      <c r="L873" s="49">
        <f>IF(Table1[[#This Row],[Target Time (Hours)]]="","",Table1[[#This Row],[Target Time (Hours)]]-Table1[[#This Row],[Downtime (Hours)]])</f>
        <v>22</v>
      </c>
      <c r="M873" s="49">
        <f>IFERROR(Table1[[#This Row],[Capacity (Kg)]]/Table1[[#This Row],[Target Time (Hours)]] * Table1[[#This Row],[Downtime (Hours)]], "")</f>
        <v>0</v>
      </c>
      <c r="N873" s="50">
        <f>IFERROR(Table1[[#This Row],[Running Time (hr)]]/Table1[Target Time (Hours)], "")</f>
        <v>1</v>
      </c>
      <c r="O873" s="50">
        <f>IFERROR(Table1[[#This Row],[Actual Production (Kg)]]/Table1[Capacity (Kg)], "")</f>
        <v>0.51877777777777778</v>
      </c>
      <c r="P873" s="50">
        <f>IFERROR(Table1[[#This Row],[Quality Pass Production]]/Table1[[#This Row],[Actual Production (Kg)]], "")</f>
        <v>1</v>
      </c>
      <c r="Q873" s="50">
        <f>IFERROR(Table1[[#This Row],[Utilization %]]*Table1[[#This Row],[Efficiency %]]*Table1[[#This Row],[Quality %]], "")</f>
        <v>0.51877777777777778</v>
      </c>
      <c r="R873" s="48" t="s">
        <v>234</v>
      </c>
    </row>
    <row r="874" spans="1:18" ht="30" customHeight="1" x14ac:dyDescent="0.25">
      <c r="A874" s="47">
        <v>46195</v>
      </c>
      <c r="B874" s="48" t="s">
        <v>33</v>
      </c>
      <c r="C874" s="48" t="s">
        <v>36</v>
      </c>
      <c r="D874" s="48" t="s">
        <v>37</v>
      </c>
      <c r="E874" s="49">
        <v>8000</v>
      </c>
      <c r="F874" s="76">
        <v>5020</v>
      </c>
      <c r="G874" s="49">
        <v>0</v>
      </c>
      <c r="H874" s="50">
        <f>IFERROR(Table1[Re-process (Kg)]/Table1[Actual Production (Kg)], "")</f>
        <v>0</v>
      </c>
      <c r="I874" s="49">
        <f>IFERROR(Table1[[#This Row],[Actual Production (Kg)]]-Table1[[#This Row],[Re-process (Kg)]], "")</f>
        <v>5020</v>
      </c>
      <c r="J874" s="49">
        <v>22</v>
      </c>
      <c r="K874" s="72">
        <v>4.7</v>
      </c>
      <c r="L874" s="49">
        <f>IF(Table1[[#This Row],[Target Time (Hours)]]="","",Table1[[#This Row],[Target Time (Hours)]]-Table1[[#This Row],[Downtime (Hours)]])</f>
        <v>17.3</v>
      </c>
      <c r="M874" s="49">
        <f>IFERROR(Table1[[#This Row],[Capacity (Kg)]]/Table1[[#This Row],[Target Time (Hours)]] * Table1[[#This Row],[Downtime (Hours)]], "")</f>
        <v>1709.090909090909</v>
      </c>
      <c r="N874" s="50">
        <f>IFERROR(Table1[[#This Row],[Running Time (hr)]]/Table1[Target Time (Hours)], "")</f>
        <v>0.78636363636363638</v>
      </c>
      <c r="O874" s="50">
        <f>IFERROR(Table1[[#This Row],[Actual Production (Kg)]]/Table1[Capacity (Kg)], "")</f>
        <v>0.62749999999999995</v>
      </c>
      <c r="P874" s="50">
        <f>IFERROR(Table1[[#This Row],[Quality Pass Production]]/Table1[[#This Row],[Actual Production (Kg)]], "")</f>
        <v>1</v>
      </c>
      <c r="Q874" s="50">
        <f>IFERROR(Table1[[#This Row],[Utilization %]]*Table1[[#This Row],[Efficiency %]]*Table1[[#This Row],[Quality %]], "")</f>
        <v>0.49344318181818181</v>
      </c>
      <c r="R874" s="48" t="s">
        <v>235</v>
      </c>
    </row>
    <row r="875" spans="1:18" ht="45" customHeight="1" x14ac:dyDescent="0.25">
      <c r="A875" s="47">
        <v>46195</v>
      </c>
      <c r="B875" s="48" t="s">
        <v>33</v>
      </c>
      <c r="C875" s="48" t="s">
        <v>39</v>
      </c>
      <c r="D875" s="48" t="s">
        <v>31</v>
      </c>
      <c r="E875" s="49">
        <v>6000</v>
      </c>
      <c r="F875" s="76">
        <v>211</v>
      </c>
      <c r="G875" s="49">
        <v>0</v>
      </c>
      <c r="H875" s="50">
        <f>IFERROR(Table1[Re-process (Kg)]/Table1[Actual Production (Kg)], "")</f>
        <v>0</v>
      </c>
      <c r="I875" s="49">
        <f>IFERROR(Table1[[#This Row],[Actual Production (Kg)]]-Table1[[#This Row],[Re-process (Kg)]], "")</f>
        <v>211</v>
      </c>
      <c r="J875" s="49">
        <v>22</v>
      </c>
      <c r="K875" s="72"/>
      <c r="L875" s="49">
        <f>IF(Table1[[#This Row],[Target Time (Hours)]]="","",Table1[[#This Row],[Target Time (Hours)]]-Table1[[#This Row],[Downtime (Hours)]])</f>
        <v>22</v>
      </c>
      <c r="M875" s="49">
        <f>IFERROR(Table1[[#This Row],[Capacity (Kg)]]/Table1[[#This Row],[Target Time (Hours)]] * Table1[[#This Row],[Downtime (Hours)]], "")</f>
        <v>0</v>
      </c>
      <c r="N875" s="50">
        <f>IFERROR(Table1[[#This Row],[Running Time (hr)]]/Table1[Target Time (Hours)], "")</f>
        <v>1</v>
      </c>
      <c r="O875" s="50">
        <f>IFERROR(Table1[[#This Row],[Actual Production (Kg)]]/Table1[Capacity (Kg)], "")</f>
        <v>3.5166666666666666E-2</v>
      </c>
      <c r="P875" s="50">
        <f>IFERROR(Table1[[#This Row],[Quality Pass Production]]/Table1[[#This Row],[Actual Production (Kg)]], "")</f>
        <v>1</v>
      </c>
      <c r="Q875" s="50">
        <f>IFERROR(Table1[[#This Row],[Utilization %]]*Table1[[#This Row],[Efficiency %]]*Table1[[#This Row],[Quality %]], "")</f>
        <v>3.5166666666666666E-2</v>
      </c>
      <c r="R875" s="48" t="s">
        <v>236</v>
      </c>
    </row>
    <row r="876" spans="1:18" ht="45" customHeight="1" x14ac:dyDescent="0.25">
      <c r="A876" s="54">
        <v>46195</v>
      </c>
      <c r="B876" s="55" t="s">
        <v>33</v>
      </c>
      <c r="C876" s="55" t="s">
        <v>40</v>
      </c>
      <c r="D876" s="55" t="s">
        <v>31</v>
      </c>
      <c r="E876" s="56">
        <v>5000</v>
      </c>
      <c r="F876" s="56">
        <v>4568</v>
      </c>
      <c r="G876" s="56">
        <v>0</v>
      </c>
      <c r="H876" s="58">
        <f>IFERROR(Table1[Re-process (Kg)]/Table1[Actual Production (Kg)], "")</f>
        <v>0</v>
      </c>
      <c r="I876" s="56">
        <f>IFERROR(Table1[[#This Row],[Actual Production (Kg)]]-Table1[[#This Row],[Re-process (Kg)]], "")</f>
        <v>4568</v>
      </c>
      <c r="J876" s="56">
        <v>22</v>
      </c>
      <c r="K876" s="55"/>
      <c r="L876" s="56">
        <f>IF(Table1[[#This Row],[Target Time (Hours)]]="","",Table1[[#This Row],[Target Time (Hours)]]-Table1[[#This Row],[Downtime (Hours)]])</f>
        <v>22</v>
      </c>
      <c r="M876" s="56">
        <f>IFERROR(Table1[[#This Row],[Capacity (Kg)]]/Table1[[#This Row],[Target Time (Hours)]] * Table1[[#This Row],[Downtime (Hours)]], "")</f>
        <v>0</v>
      </c>
      <c r="N876" s="58">
        <f>IFERROR(Table1[[#This Row],[Running Time (hr)]]/Table1[Target Time (Hours)], "")</f>
        <v>1</v>
      </c>
      <c r="O876" s="58">
        <f>IFERROR(Table1[[#This Row],[Actual Production (Kg)]]/Table1[Capacity (Kg)], "")</f>
        <v>0.91359999999999997</v>
      </c>
      <c r="P876" s="58">
        <f>IFERROR(Table1[[#This Row],[Quality Pass Production]]/Table1[[#This Row],[Actual Production (Kg)]], "")</f>
        <v>1</v>
      </c>
      <c r="Q876" s="58">
        <f>IFERROR(Table1[[#This Row],[Utilization %]]*Table1[[#This Row],[Efficiency %]]*Table1[[#This Row],[Quality %]], "")</f>
        <v>0.91359999999999997</v>
      </c>
      <c r="R876" s="55" t="s">
        <v>234</v>
      </c>
    </row>
    <row r="877" spans="1:18" ht="30" customHeight="1" x14ac:dyDescent="0.25">
      <c r="A877" s="47">
        <v>46196</v>
      </c>
      <c r="B877" s="48" t="s">
        <v>18</v>
      </c>
      <c r="C877" s="48" t="s">
        <v>19</v>
      </c>
      <c r="D877" s="48" t="s">
        <v>20</v>
      </c>
      <c r="E877" s="49">
        <v>10000</v>
      </c>
      <c r="F877" s="76">
        <v>8899</v>
      </c>
      <c r="G877" s="49">
        <v>0</v>
      </c>
      <c r="H877" s="50">
        <f>IFERROR(Table1[Re-process (Kg)]/Table1[Actual Production (Kg)], "")</f>
        <v>0</v>
      </c>
      <c r="I877" s="49">
        <f>IFERROR(Table1[[#This Row],[Actual Production (Kg)]]-Table1[[#This Row],[Re-process (Kg)]], "")</f>
        <v>8899</v>
      </c>
      <c r="J877" s="49">
        <v>22</v>
      </c>
      <c r="K877" s="72">
        <v>0.5</v>
      </c>
      <c r="L877" s="49">
        <f>IF(Table1[[#This Row],[Target Time (Hours)]]="","",Table1[[#This Row],[Target Time (Hours)]]-Table1[[#This Row],[Downtime (Hours)]])</f>
        <v>21.5</v>
      </c>
      <c r="M877" s="49">
        <f>IFERROR(Table1[[#This Row],[Capacity (Kg)]]/Table1[[#This Row],[Target Time (Hours)]] * Table1[[#This Row],[Downtime (Hours)]], "")</f>
        <v>227.27272727272728</v>
      </c>
      <c r="N877" s="50">
        <f>IFERROR(Table1[[#This Row],[Running Time (hr)]]/Table1[Target Time (Hours)], "")</f>
        <v>0.97727272727272729</v>
      </c>
      <c r="O877" s="50">
        <f>IFERROR(Table1[[#This Row],[Actual Production (Kg)]]/Table1[Capacity (Kg)], "")</f>
        <v>0.88990000000000002</v>
      </c>
      <c r="P877" s="50">
        <f>IFERROR(Table1[[#This Row],[Quality Pass Production]]/Table1[[#This Row],[Actual Production (Kg)]], "")</f>
        <v>1</v>
      </c>
      <c r="Q877" s="50">
        <f>IFERROR(Table1[[#This Row],[Utilization %]]*Table1[[#This Row],[Efficiency %]]*Table1[[#This Row],[Quality %]], "")</f>
        <v>0.86967500000000009</v>
      </c>
      <c r="R877" s="48" t="s">
        <v>237</v>
      </c>
    </row>
    <row r="878" spans="1:18" ht="30" customHeight="1" x14ac:dyDescent="0.25">
      <c r="A878" s="51">
        <v>46196</v>
      </c>
      <c r="B878" s="52" t="s">
        <v>18</v>
      </c>
      <c r="C878" s="52" t="s">
        <v>238</v>
      </c>
      <c r="D878" s="52" t="s">
        <v>20</v>
      </c>
      <c r="E878" s="79">
        <f>Table1[[#This Row],[Actual Production (Kg)]]</f>
        <v>8459</v>
      </c>
      <c r="F878" s="53">
        <v>8459</v>
      </c>
      <c r="G878" s="53">
        <v>0</v>
      </c>
      <c r="H878" s="57">
        <f>IFERROR(Table1[Re-process (Kg)]/Table1[Actual Production (Kg)], "")</f>
        <v>0</v>
      </c>
      <c r="I878" s="53">
        <f>IFERROR(Table1[[#This Row],[Actual Production (Kg)]]-Table1[[#This Row],[Re-process (Kg)]], "")</f>
        <v>8459</v>
      </c>
      <c r="J878" s="53"/>
      <c r="K878" s="52">
        <v>3.2</v>
      </c>
      <c r="L878" s="53" t="str">
        <f>IF(Table1[[#This Row],[Target Time (Hours)]]="","",Table1[[#This Row],[Target Time (Hours)]]-Table1[[#This Row],[Downtime (Hours)]])</f>
        <v/>
      </c>
      <c r="M878" s="53" t="str">
        <f>IFERROR(Table1[[#This Row],[Capacity (Kg)]]/Table1[[#This Row],[Target Time (Hours)]] * Table1[[#This Row],[Downtime (Hours)]], "")</f>
        <v/>
      </c>
      <c r="N878" s="57" t="str">
        <f>IFERROR(Table1[[#This Row],[Running Time (hr)]]/Table1[Target Time (Hours)], "")</f>
        <v/>
      </c>
      <c r="O878" s="57">
        <f>IFERROR(Table1[[#This Row],[Actual Production (Kg)]]/Table1[Capacity (Kg)], "")</f>
        <v>1</v>
      </c>
      <c r="P878" s="57">
        <f>IFERROR(Table1[[#This Row],[Quality Pass Production]]/Table1[[#This Row],[Actual Production (Kg)]], "")</f>
        <v>1</v>
      </c>
      <c r="Q878" s="57" t="str">
        <f>IFERROR(Table1[[#This Row],[Utilization %]]*Table1[[#This Row],[Efficiency %]]*Table1[[#This Row],[Quality %]], "")</f>
        <v/>
      </c>
      <c r="R878" s="52" t="s">
        <v>239</v>
      </c>
    </row>
    <row r="879" spans="1:18" ht="30" customHeight="1" x14ac:dyDescent="0.25">
      <c r="A879" s="47">
        <v>46196</v>
      </c>
      <c r="B879" s="48" t="s">
        <v>18</v>
      </c>
      <c r="C879" s="48" t="s">
        <v>22</v>
      </c>
      <c r="D879" s="48" t="s">
        <v>23</v>
      </c>
      <c r="E879" s="49">
        <v>5000</v>
      </c>
      <c r="F879" s="76">
        <v>4308</v>
      </c>
      <c r="G879" s="49">
        <v>0</v>
      </c>
      <c r="H879" s="50">
        <f>IFERROR(Table1[Re-process (Kg)]/Table1[Actual Production (Kg)], "")</f>
        <v>0</v>
      </c>
      <c r="I879" s="49">
        <f>IFERROR(Table1[[#This Row],[Actual Production (Kg)]]-Table1[[#This Row],[Re-process (Kg)]], "")</f>
        <v>4308</v>
      </c>
      <c r="J879" s="49">
        <v>22</v>
      </c>
      <c r="K879" s="72"/>
      <c r="L879" s="49">
        <f>IF(Table1[[#This Row],[Target Time (Hours)]]="","",Table1[[#This Row],[Target Time (Hours)]]-Table1[[#This Row],[Downtime (Hours)]])</f>
        <v>22</v>
      </c>
      <c r="M879" s="49">
        <f>IFERROR(Table1[[#This Row],[Capacity (Kg)]]/Table1[[#This Row],[Target Time (Hours)]] * Table1[[#This Row],[Downtime (Hours)]], "")</f>
        <v>0</v>
      </c>
      <c r="N879" s="50">
        <f>IFERROR(Table1[[#This Row],[Running Time (hr)]]/Table1[Target Time (Hours)], "")</f>
        <v>1</v>
      </c>
      <c r="O879" s="50">
        <f>IFERROR(Table1[[#This Row],[Actual Production (Kg)]]/Table1[Capacity (Kg)], "")</f>
        <v>0.86160000000000003</v>
      </c>
      <c r="P879" s="50">
        <f>IFERROR(Table1[[#This Row],[Quality Pass Production]]/Table1[[#This Row],[Actual Production (Kg)]], "")</f>
        <v>1</v>
      </c>
      <c r="Q879" s="50">
        <f>IFERROR(Table1[[#This Row],[Utilization %]]*Table1[[#This Row],[Efficiency %]]*Table1[[#This Row],[Quality %]], "")</f>
        <v>0.86160000000000003</v>
      </c>
      <c r="R879" s="48" t="s">
        <v>206</v>
      </c>
    </row>
    <row r="880" spans="1:18" x14ac:dyDescent="0.25">
      <c r="A880" s="47">
        <v>46196</v>
      </c>
      <c r="B880" s="48" t="s">
        <v>18</v>
      </c>
      <c r="C880" s="48" t="s">
        <v>22</v>
      </c>
      <c r="D880" s="48" t="s">
        <v>25</v>
      </c>
      <c r="E880" s="49">
        <v>4000</v>
      </c>
      <c r="F880" s="76">
        <v>3599</v>
      </c>
      <c r="G880" s="49">
        <v>0</v>
      </c>
      <c r="H880" s="50">
        <f>IFERROR(Table1[Re-process (Kg)]/Table1[Actual Production (Kg)], "")</f>
        <v>0</v>
      </c>
      <c r="I880" s="49">
        <f>IFERROR(Table1[[#This Row],[Actual Production (Kg)]]-Table1[[#This Row],[Re-process (Kg)]], "")</f>
        <v>3599</v>
      </c>
      <c r="J880" s="49"/>
      <c r="K880" s="72"/>
      <c r="L880" s="49" t="str">
        <f>IF(Table1[[#This Row],[Target Time (Hours)]]="","",Table1[[#This Row],[Target Time (Hours)]]-Table1[[#This Row],[Downtime (Hours)]])</f>
        <v/>
      </c>
      <c r="M880" s="49" t="str">
        <f>IFERROR(Table1[[#This Row],[Capacity (Kg)]]/Table1[[#This Row],[Target Time (Hours)]] * Table1[[#This Row],[Downtime (Hours)]], "")</f>
        <v/>
      </c>
      <c r="N880" s="50" t="str">
        <f>IFERROR(Table1[[#This Row],[Running Time (hr)]]/Table1[Target Time (Hours)], "")</f>
        <v/>
      </c>
      <c r="O880" s="50">
        <f>IFERROR(Table1[[#This Row],[Actual Production (Kg)]]/Table1[Capacity (Kg)], "")</f>
        <v>0.89975000000000005</v>
      </c>
      <c r="P880" s="50">
        <f>IFERROR(Table1[[#This Row],[Quality Pass Production]]/Table1[[#This Row],[Actual Production (Kg)]], "")</f>
        <v>1</v>
      </c>
      <c r="Q880" s="50" t="str">
        <f>IFERROR(Table1[[#This Row],[Utilization %]]*Table1[[#This Row],[Efficiency %]]*Table1[[#This Row],[Quality %]], "")</f>
        <v/>
      </c>
    </row>
    <row r="881" spans="1:18" ht="30" customHeight="1" x14ac:dyDescent="0.25">
      <c r="A881" s="47">
        <v>46196</v>
      </c>
      <c r="B881" s="48" t="s">
        <v>18</v>
      </c>
      <c r="C881" s="48" t="s">
        <v>26</v>
      </c>
      <c r="D881" s="48" t="s">
        <v>25</v>
      </c>
      <c r="E881" s="49">
        <v>7000</v>
      </c>
      <c r="F881" s="76">
        <v>7474</v>
      </c>
      <c r="G881" s="49">
        <v>0</v>
      </c>
      <c r="H881" s="50">
        <f>IFERROR(Table1[Re-process (Kg)]/Table1[Actual Production (Kg)], "")</f>
        <v>0</v>
      </c>
      <c r="I881" s="49">
        <f>IFERROR(Table1[[#This Row],[Actual Production (Kg)]]-Table1[[#This Row],[Re-process (Kg)]], "")</f>
        <v>7474</v>
      </c>
      <c r="J881" s="49">
        <v>22</v>
      </c>
      <c r="K881" s="72"/>
      <c r="L881" s="49">
        <f>IF(Table1[[#This Row],[Target Time (Hours)]]="","",Table1[[#This Row],[Target Time (Hours)]]-Table1[[#This Row],[Downtime (Hours)]])</f>
        <v>22</v>
      </c>
      <c r="M881" s="49">
        <f>IFERROR(Table1[[#This Row],[Capacity (Kg)]]/Table1[[#This Row],[Target Time (Hours)]] * Table1[[#This Row],[Downtime (Hours)]], "")</f>
        <v>0</v>
      </c>
      <c r="N881" s="50">
        <f>IFERROR(Table1[[#This Row],[Running Time (hr)]]/Table1[Target Time (Hours)], "")</f>
        <v>1</v>
      </c>
      <c r="O881" s="50">
        <f>IFERROR(Table1[[#This Row],[Actual Production (Kg)]]/Table1[Capacity (Kg)], "")</f>
        <v>1.0677142857142856</v>
      </c>
      <c r="P881" s="50">
        <f>IFERROR(Table1[[#This Row],[Quality Pass Production]]/Table1[[#This Row],[Actual Production (Kg)]], "")</f>
        <v>1</v>
      </c>
      <c r="Q881" s="50">
        <f>IFERROR(Table1[[#This Row],[Utilization %]]*Table1[[#This Row],[Efficiency %]]*Table1[[#This Row],[Quality %]], "")</f>
        <v>1.0677142857142856</v>
      </c>
      <c r="R881" s="48" t="s">
        <v>240</v>
      </c>
    </row>
    <row r="882" spans="1:18" ht="30" customHeight="1" x14ac:dyDescent="0.25">
      <c r="A882" s="47">
        <v>46196</v>
      </c>
      <c r="B882" s="48" t="s">
        <v>18</v>
      </c>
      <c r="C882" s="48" t="s">
        <v>28</v>
      </c>
      <c r="D882" s="48" t="s">
        <v>29</v>
      </c>
      <c r="E882" s="49">
        <v>7800</v>
      </c>
      <c r="F882" s="76">
        <v>5548</v>
      </c>
      <c r="G882" s="49">
        <v>0</v>
      </c>
      <c r="H882" s="50">
        <f>IFERROR(Table1[Re-process (Kg)]/Table1[Actual Production (Kg)], "")</f>
        <v>0</v>
      </c>
      <c r="I882" s="49">
        <f>IFERROR(Table1[[#This Row],[Actual Production (Kg)]]-Table1[[#This Row],[Re-process (Kg)]], "")</f>
        <v>5548</v>
      </c>
      <c r="J882" s="49">
        <v>22</v>
      </c>
      <c r="K882" s="72">
        <v>3</v>
      </c>
      <c r="L882" s="49">
        <f>IF(Table1[[#This Row],[Target Time (Hours)]]="","",Table1[[#This Row],[Target Time (Hours)]]-Table1[[#This Row],[Downtime (Hours)]])</f>
        <v>19</v>
      </c>
      <c r="M882" s="49">
        <f>IFERROR(Table1[[#This Row],[Capacity (Kg)]]/Table1[[#This Row],[Target Time (Hours)]] * Table1[[#This Row],[Downtime (Hours)]], "")</f>
        <v>1063.6363636363637</v>
      </c>
      <c r="N882" s="50">
        <f>IFERROR(Table1[[#This Row],[Running Time (hr)]]/Table1[Target Time (Hours)], "")</f>
        <v>0.86363636363636365</v>
      </c>
      <c r="O882" s="50">
        <f>IFERROR(Table1[[#This Row],[Actual Production (Kg)]]/Table1[Capacity (Kg)], "")</f>
        <v>0.71128205128205124</v>
      </c>
      <c r="P882" s="50">
        <f>IFERROR(Table1[[#This Row],[Quality Pass Production]]/Table1[[#This Row],[Actual Production (Kg)]], "")</f>
        <v>1</v>
      </c>
      <c r="Q882" s="50">
        <f>IFERROR(Table1[[#This Row],[Utilization %]]*Table1[[#This Row],[Efficiency %]]*Table1[[#This Row],[Quality %]], "")</f>
        <v>0.61428904428904429</v>
      </c>
      <c r="R882" s="48" t="s">
        <v>241</v>
      </c>
    </row>
    <row r="883" spans="1:18" ht="30" customHeight="1" x14ac:dyDescent="0.25">
      <c r="A883" s="51">
        <v>46196</v>
      </c>
      <c r="B883" s="52" t="s">
        <v>18</v>
      </c>
      <c r="C883" s="52" t="s">
        <v>135</v>
      </c>
      <c r="D883" s="52" t="s">
        <v>29</v>
      </c>
      <c r="E883" s="53"/>
      <c r="F883" s="53"/>
      <c r="G883" s="53"/>
      <c r="H883" s="57" t="str">
        <f>IFERROR(Table1[Re-process (Kg)]/Table1[Actual Production (Kg)], "")</f>
        <v/>
      </c>
      <c r="I883" s="53">
        <f>IFERROR(Table1[[#This Row],[Actual Production (Kg)]]-Table1[[#This Row],[Re-process (Kg)]], "")</f>
        <v>0</v>
      </c>
      <c r="J883" s="53"/>
      <c r="K883" s="52"/>
      <c r="L883" s="53" t="str">
        <f>IF(Table1[[#This Row],[Target Time (Hours)]]="","",Table1[[#This Row],[Target Time (Hours)]]-Table1[[#This Row],[Downtime (Hours)]])</f>
        <v/>
      </c>
      <c r="M883" s="53" t="str">
        <f>IFERROR(Table1[[#This Row],[Capacity (Kg)]]/Table1[[#This Row],[Target Time (Hours)]] * Table1[[#This Row],[Downtime (Hours)]], "")</f>
        <v/>
      </c>
      <c r="N883" s="57" t="str">
        <f>IFERROR(Table1[[#This Row],[Running Time (hr)]]/Table1[Target Time (Hours)], "")</f>
        <v/>
      </c>
      <c r="O883" s="57" t="str">
        <f>IFERROR(Table1[[#This Row],[Actual Production (Kg)]]/Table1[Capacity (Kg)], "")</f>
        <v/>
      </c>
      <c r="P883" s="57" t="str">
        <f>IFERROR(Table1[[#This Row],[Quality Pass Production]]/Table1[[#This Row],[Actual Production (Kg)]], "")</f>
        <v/>
      </c>
      <c r="Q883" s="57" t="str">
        <f>IFERROR(Table1[[#This Row],[Utilization %]]*Table1[[#This Row],[Efficiency %]]*Table1[[#This Row],[Quality %]], "")</f>
        <v/>
      </c>
      <c r="R883" s="52"/>
    </row>
    <row r="884" spans="1:18" ht="45" customHeight="1" x14ac:dyDescent="0.25">
      <c r="A884" s="47">
        <v>46196</v>
      </c>
      <c r="B884" s="48" t="s">
        <v>18</v>
      </c>
      <c r="C884" s="48" t="s">
        <v>30</v>
      </c>
      <c r="D884" s="48" t="s">
        <v>31</v>
      </c>
      <c r="E884" s="49">
        <v>9000</v>
      </c>
      <c r="F884" s="76">
        <v>7119</v>
      </c>
      <c r="G884" s="49">
        <v>0</v>
      </c>
      <c r="H884" s="50">
        <f>IFERROR(Table1[Re-process (Kg)]/Table1[Actual Production (Kg)], "")</f>
        <v>0</v>
      </c>
      <c r="I884" s="49">
        <f>IFERROR(Table1[[#This Row],[Actual Production (Kg)]]-Table1[[#This Row],[Re-process (Kg)]], "")</f>
        <v>7119</v>
      </c>
      <c r="J884" s="49">
        <v>22</v>
      </c>
      <c r="K884" s="72"/>
      <c r="L884" s="49">
        <f>IF(Table1[[#This Row],[Target Time (Hours)]]="","",Table1[[#This Row],[Target Time (Hours)]]-Table1[[#This Row],[Downtime (Hours)]])</f>
        <v>22</v>
      </c>
      <c r="M884" s="49">
        <f>IFERROR(Table1[[#This Row],[Capacity (Kg)]]/Table1[[#This Row],[Target Time (Hours)]] * Table1[[#This Row],[Downtime (Hours)]], "")</f>
        <v>0</v>
      </c>
      <c r="N884" s="50">
        <f>IFERROR(Table1[[#This Row],[Running Time (hr)]]/Table1[Target Time (Hours)], "")</f>
        <v>1</v>
      </c>
      <c r="O884" s="50">
        <f>IFERROR(Table1[[#This Row],[Actual Production (Kg)]]/Table1[Capacity (Kg)], "")</f>
        <v>0.79100000000000004</v>
      </c>
      <c r="P884" s="50">
        <f>IFERROR(Table1[[#This Row],[Quality Pass Production]]/Table1[[#This Row],[Actual Production (Kg)]], "")</f>
        <v>1</v>
      </c>
      <c r="Q884" s="50">
        <f>IFERROR(Table1[[#This Row],[Utilization %]]*Table1[[#This Row],[Efficiency %]]*Table1[[#This Row],[Quality %]], "")</f>
        <v>0.79100000000000004</v>
      </c>
      <c r="R884" s="48" t="s">
        <v>242</v>
      </c>
    </row>
    <row r="885" spans="1:18" ht="30" customHeight="1" x14ac:dyDescent="0.25">
      <c r="A885" s="51">
        <v>46196</v>
      </c>
      <c r="B885" s="52" t="s">
        <v>18</v>
      </c>
      <c r="C885" s="52" t="s">
        <v>32</v>
      </c>
      <c r="D885" s="52" t="s">
        <v>31</v>
      </c>
      <c r="E885" s="79">
        <f>Table1[[#This Row],[Actual Production (Kg)]]</f>
        <v>1177</v>
      </c>
      <c r="F885" s="53">
        <v>1177</v>
      </c>
      <c r="G885" s="53"/>
      <c r="H885" s="57">
        <f>IFERROR(Table1[Re-process (Kg)]/Table1[Actual Production (Kg)], "")</f>
        <v>0</v>
      </c>
      <c r="I885" s="53">
        <f>IFERROR(Table1[[#This Row],[Actual Production (Kg)]]-Table1[[#This Row],[Re-process (Kg)]], "")</f>
        <v>1177</v>
      </c>
      <c r="J885" s="53"/>
      <c r="K885" s="52"/>
      <c r="L885" s="53" t="str">
        <f>IF(Table1[[#This Row],[Target Time (Hours)]]="","",Table1[[#This Row],[Target Time (Hours)]]-Table1[[#This Row],[Downtime (Hours)]])</f>
        <v/>
      </c>
      <c r="M885" s="53" t="str">
        <f>IFERROR(Table1[[#This Row],[Capacity (Kg)]]/Table1[[#This Row],[Target Time (Hours)]] * Table1[[#This Row],[Downtime (Hours)]], "")</f>
        <v/>
      </c>
      <c r="N885" s="57" t="str">
        <f>IFERROR(Table1[[#This Row],[Running Time (hr)]]/Table1[Target Time (Hours)], "")</f>
        <v/>
      </c>
      <c r="O885" s="57">
        <f>IFERROR(Table1[[#This Row],[Actual Production (Kg)]]/Table1[Capacity (Kg)], "")</f>
        <v>1</v>
      </c>
      <c r="P885" s="57">
        <f>IFERROR(Table1[[#This Row],[Quality Pass Production]]/Table1[[#This Row],[Actual Production (Kg)]], "")</f>
        <v>1</v>
      </c>
      <c r="Q885" s="57" t="str">
        <f>IFERROR(Table1[[#This Row],[Utilization %]]*Table1[[#This Row],[Efficiency %]]*Table1[[#This Row],[Quality %]], "")</f>
        <v/>
      </c>
      <c r="R885" s="52" t="s">
        <v>229</v>
      </c>
    </row>
    <row r="886" spans="1:18" ht="30" customHeight="1" x14ac:dyDescent="0.25">
      <c r="A886" s="47">
        <v>46196</v>
      </c>
      <c r="B886" s="48" t="s">
        <v>33</v>
      </c>
      <c r="C886" s="48" t="s">
        <v>34</v>
      </c>
      <c r="D886" s="48" t="s">
        <v>35</v>
      </c>
      <c r="E886" s="49">
        <v>9000</v>
      </c>
      <c r="F886" s="76">
        <v>8165</v>
      </c>
      <c r="G886" s="49">
        <v>0</v>
      </c>
      <c r="H886" s="50">
        <f>IFERROR(Table1[Re-process (Kg)]/Table1[Actual Production (Kg)], "")</f>
        <v>0</v>
      </c>
      <c r="I886" s="49">
        <f>IFERROR(Table1[[#This Row],[Actual Production (Kg)]]-Table1[[#This Row],[Re-process (Kg)]], "")</f>
        <v>8165</v>
      </c>
      <c r="J886" s="49">
        <v>22</v>
      </c>
      <c r="K886" s="72"/>
      <c r="L886" s="49">
        <f>IF(Table1[[#This Row],[Target Time (Hours)]]="","",Table1[[#This Row],[Target Time (Hours)]]-Table1[[#This Row],[Downtime (Hours)]])</f>
        <v>22</v>
      </c>
      <c r="M886" s="49">
        <f>IFERROR(Table1[[#This Row],[Capacity (Kg)]]/Table1[[#This Row],[Target Time (Hours)]] * Table1[[#This Row],[Downtime (Hours)]], "")</f>
        <v>0</v>
      </c>
      <c r="N886" s="50">
        <f>IFERROR(Table1[[#This Row],[Running Time (hr)]]/Table1[Target Time (Hours)], "")</f>
        <v>1</v>
      </c>
      <c r="O886" s="50">
        <f>IFERROR(Table1[[#This Row],[Actual Production (Kg)]]/Table1[Capacity (Kg)], "")</f>
        <v>0.90722222222222226</v>
      </c>
      <c r="P886" s="50">
        <f>IFERROR(Table1[[#This Row],[Quality Pass Production]]/Table1[[#This Row],[Actual Production (Kg)]], "")</f>
        <v>1</v>
      </c>
      <c r="Q886" s="50">
        <f>IFERROR(Table1[[#This Row],[Utilization %]]*Table1[[#This Row],[Efficiency %]]*Table1[[#This Row],[Quality %]], "")</f>
        <v>0.90722222222222226</v>
      </c>
      <c r="R886" s="48" t="s">
        <v>224</v>
      </c>
    </row>
    <row r="887" spans="1:18" ht="30" customHeight="1" x14ac:dyDescent="0.25">
      <c r="A887" s="47">
        <v>46196</v>
      </c>
      <c r="B887" s="48" t="s">
        <v>33</v>
      </c>
      <c r="C887" s="48" t="s">
        <v>36</v>
      </c>
      <c r="D887" s="48" t="s">
        <v>37</v>
      </c>
      <c r="E887" s="49">
        <v>8000</v>
      </c>
      <c r="F887" s="76">
        <v>7297</v>
      </c>
      <c r="G887" s="49">
        <v>0</v>
      </c>
      <c r="H887" s="50">
        <f>IFERROR(Table1[Re-process (Kg)]/Table1[Actual Production (Kg)], "")</f>
        <v>0</v>
      </c>
      <c r="I887" s="49">
        <f>IFERROR(Table1[[#This Row],[Actual Production (Kg)]]-Table1[[#This Row],[Re-process (Kg)]], "")</f>
        <v>7297</v>
      </c>
      <c r="J887" s="49">
        <v>22</v>
      </c>
      <c r="K887" s="72">
        <v>3.5</v>
      </c>
      <c r="L887" s="49">
        <f>IF(Table1[[#This Row],[Target Time (Hours)]]="","",Table1[[#This Row],[Target Time (Hours)]]-Table1[[#This Row],[Downtime (Hours)]])</f>
        <v>18.5</v>
      </c>
      <c r="M887" s="49">
        <f>IFERROR(Table1[[#This Row],[Capacity (Kg)]]/Table1[[#This Row],[Target Time (Hours)]] * Table1[[#This Row],[Downtime (Hours)]], "")</f>
        <v>1272.7272727272727</v>
      </c>
      <c r="N887" s="50">
        <f>IFERROR(Table1[[#This Row],[Running Time (hr)]]/Table1[Target Time (Hours)], "")</f>
        <v>0.84090909090909094</v>
      </c>
      <c r="O887" s="50">
        <f>IFERROR(Table1[[#This Row],[Actual Production (Kg)]]/Table1[Capacity (Kg)], "")</f>
        <v>0.91212499999999996</v>
      </c>
      <c r="P887" s="50">
        <f>IFERROR(Table1[[#This Row],[Quality Pass Production]]/Table1[[#This Row],[Actual Production (Kg)]], "")</f>
        <v>1</v>
      </c>
      <c r="Q887" s="50">
        <f>IFERROR(Table1[[#This Row],[Utilization %]]*Table1[[#This Row],[Efficiency %]]*Table1[[#This Row],[Quality %]], "")</f>
        <v>0.76701420454545455</v>
      </c>
      <c r="R887" s="48" t="s">
        <v>243</v>
      </c>
    </row>
    <row r="888" spans="1:18" ht="30" customHeight="1" x14ac:dyDescent="0.25">
      <c r="A888" s="47">
        <v>46196</v>
      </c>
      <c r="B888" s="48" t="s">
        <v>33</v>
      </c>
      <c r="C888" s="48" t="s">
        <v>39</v>
      </c>
      <c r="D888" s="48" t="s">
        <v>31</v>
      </c>
      <c r="E888" s="49">
        <v>6000</v>
      </c>
      <c r="F888" s="76">
        <v>3253</v>
      </c>
      <c r="G888" s="49">
        <v>0</v>
      </c>
      <c r="H888" s="50">
        <f>IFERROR(Table1[Re-process (Kg)]/Table1[Actual Production (Kg)], "")</f>
        <v>0</v>
      </c>
      <c r="I888" s="49">
        <f>IFERROR(Table1[[#This Row],[Actual Production (Kg)]]-Table1[[#This Row],[Re-process (Kg)]], "")</f>
        <v>3253</v>
      </c>
      <c r="J888" s="49">
        <v>22</v>
      </c>
      <c r="K888" s="72"/>
      <c r="L888" s="49">
        <f>IF(Table1[[#This Row],[Target Time (Hours)]]="","",Table1[[#This Row],[Target Time (Hours)]]-Table1[[#This Row],[Downtime (Hours)]])</f>
        <v>22</v>
      </c>
      <c r="M888" s="49">
        <f>IFERROR(Table1[[#This Row],[Capacity (Kg)]]/Table1[[#This Row],[Target Time (Hours)]] * Table1[[#This Row],[Downtime (Hours)]], "")</f>
        <v>0</v>
      </c>
      <c r="N888" s="50">
        <f>IFERROR(Table1[[#This Row],[Running Time (hr)]]/Table1[Target Time (Hours)], "")</f>
        <v>1</v>
      </c>
      <c r="O888" s="50">
        <f>IFERROR(Table1[[#This Row],[Actual Production (Kg)]]/Table1[Capacity (Kg)], "")</f>
        <v>0.54216666666666669</v>
      </c>
      <c r="P888" s="50">
        <f>IFERROR(Table1[[#This Row],[Quality Pass Production]]/Table1[[#This Row],[Actual Production (Kg)]], "")</f>
        <v>1</v>
      </c>
      <c r="Q888" s="50">
        <f>IFERROR(Table1[[#This Row],[Utilization %]]*Table1[[#This Row],[Efficiency %]]*Table1[[#This Row],[Quality %]], "")</f>
        <v>0.54216666666666669</v>
      </c>
      <c r="R888" s="48" t="s">
        <v>224</v>
      </c>
    </row>
    <row r="889" spans="1:18" ht="45" customHeight="1" x14ac:dyDescent="0.25">
      <c r="A889" s="54">
        <v>46196</v>
      </c>
      <c r="B889" s="55" t="s">
        <v>33</v>
      </c>
      <c r="C889" s="55" t="s">
        <v>40</v>
      </c>
      <c r="D889" s="55" t="s">
        <v>31</v>
      </c>
      <c r="E889" s="56">
        <v>5000</v>
      </c>
      <c r="F889" s="56">
        <v>2314</v>
      </c>
      <c r="G889" s="56">
        <v>0</v>
      </c>
      <c r="H889" s="58">
        <f>IFERROR(Table1[Re-process (Kg)]/Table1[Actual Production (Kg)], "")</f>
        <v>0</v>
      </c>
      <c r="I889" s="56">
        <f>IFERROR(Table1[[#This Row],[Actual Production (Kg)]]-Table1[[#This Row],[Re-process (Kg)]], "")</f>
        <v>2314</v>
      </c>
      <c r="J889" s="56">
        <v>22</v>
      </c>
      <c r="K889" s="55"/>
      <c r="L889" s="56">
        <f>IF(Table1[[#This Row],[Target Time (Hours)]]="","",Table1[[#This Row],[Target Time (Hours)]]-Table1[[#This Row],[Downtime (Hours)]])</f>
        <v>22</v>
      </c>
      <c r="M889" s="56">
        <f>IFERROR(Table1[[#This Row],[Capacity (Kg)]]/Table1[[#This Row],[Target Time (Hours)]] * Table1[[#This Row],[Downtime (Hours)]], "")</f>
        <v>0</v>
      </c>
      <c r="N889" s="58">
        <f>IFERROR(Table1[[#This Row],[Running Time (hr)]]/Table1[Target Time (Hours)], "")</f>
        <v>1</v>
      </c>
      <c r="O889" s="58">
        <f>IFERROR(Table1[[#This Row],[Actual Production (Kg)]]/Table1[Capacity (Kg)], "")</f>
        <v>0.46279999999999999</v>
      </c>
      <c r="P889" s="58">
        <f>IFERROR(Table1[[#This Row],[Quality Pass Production]]/Table1[[#This Row],[Actual Production (Kg)]], "")</f>
        <v>1</v>
      </c>
      <c r="Q889" s="58">
        <f>IFERROR(Table1[[#This Row],[Utilization %]]*Table1[[#This Row],[Efficiency %]]*Table1[[#This Row],[Quality %]], "")</f>
        <v>0.46279999999999999</v>
      </c>
      <c r="R889" s="55" t="s">
        <v>224</v>
      </c>
    </row>
    <row r="890" spans="1:18" ht="30" customHeight="1" x14ac:dyDescent="0.25">
      <c r="A890" s="47">
        <v>46197</v>
      </c>
      <c r="B890" s="48" t="s">
        <v>18</v>
      </c>
      <c r="C890" s="48" t="s">
        <v>19</v>
      </c>
      <c r="D890" s="48" t="s">
        <v>20</v>
      </c>
      <c r="E890" s="49">
        <v>10000</v>
      </c>
      <c r="F890" s="76">
        <v>6740</v>
      </c>
      <c r="G890" s="49">
        <v>0</v>
      </c>
      <c r="H890" s="50">
        <f>IFERROR(Table1[Re-process (Kg)]/Table1[Actual Production (Kg)], "")</f>
        <v>0</v>
      </c>
      <c r="I890" s="49">
        <f>IFERROR(Table1[[#This Row],[Actual Production (Kg)]]-Table1[[#This Row],[Re-process (Kg)]], "")</f>
        <v>6740</v>
      </c>
      <c r="J890" s="49">
        <v>22</v>
      </c>
      <c r="K890" s="72">
        <v>2.2000000000000002</v>
      </c>
      <c r="L890" s="49">
        <f>IF(Table1[[#This Row],[Target Time (Hours)]]="","",Table1[[#This Row],[Target Time (Hours)]]-Table1[[#This Row],[Downtime (Hours)]])</f>
        <v>19.8</v>
      </c>
      <c r="M890" s="49">
        <f>IFERROR(Table1[[#This Row],[Capacity (Kg)]]/Table1[[#This Row],[Target Time (Hours)]] * Table1[[#This Row],[Downtime (Hours)]], "")</f>
        <v>1000.0000000000001</v>
      </c>
      <c r="N890" s="50">
        <f>IFERROR(Table1[[#This Row],[Running Time (hr)]]/Table1[Target Time (Hours)], "")</f>
        <v>0.9</v>
      </c>
      <c r="O890" s="50">
        <f>IFERROR(Table1[[#This Row],[Actual Production (Kg)]]/Table1[Capacity (Kg)], "")</f>
        <v>0.67400000000000004</v>
      </c>
      <c r="P890" s="50">
        <f>IFERROR(Table1[[#This Row],[Quality Pass Production]]/Table1[[#This Row],[Actual Production (Kg)]], "")</f>
        <v>1</v>
      </c>
      <c r="Q890" s="50">
        <f>IFERROR(Table1[[#This Row],[Utilization %]]*Table1[[#This Row],[Efficiency %]]*Table1[[#This Row],[Quality %]], "")</f>
        <v>0.60660000000000003</v>
      </c>
      <c r="R890" s="48" t="s">
        <v>244</v>
      </c>
    </row>
    <row r="891" spans="1:18" x14ac:dyDescent="0.25">
      <c r="A891" s="51">
        <v>46197</v>
      </c>
      <c r="B891" s="52" t="s">
        <v>18</v>
      </c>
      <c r="C891" s="52" t="s">
        <v>238</v>
      </c>
      <c r="D891" s="52" t="s">
        <v>20</v>
      </c>
      <c r="E891" s="79">
        <f>Table1[[#This Row],[Actual Production (Kg)]]</f>
        <v>5808</v>
      </c>
      <c r="F891" s="53">
        <v>5808</v>
      </c>
      <c r="G891" s="53">
        <v>0</v>
      </c>
      <c r="H891" s="57">
        <f>IFERROR(Table1[Re-process (Kg)]/Table1[Actual Production (Kg)], "")</f>
        <v>0</v>
      </c>
      <c r="I891" s="53">
        <f>IFERROR(Table1[[#This Row],[Actual Production (Kg)]]-Table1[[#This Row],[Re-process (Kg)]], "")</f>
        <v>5808</v>
      </c>
      <c r="J891" s="53"/>
      <c r="K891" s="52"/>
      <c r="L891" s="53" t="str">
        <f>IF(Table1[[#This Row],[Target Time (Hours)]]="","",Table1[[#This Row],[Target Time (Hours)]]-Table1[[#This Row],[Downtime (Hours)]])</f>
        <v/>
      </c>
      <c r="M891" s="53" t="str">
        <f>IFERROR(Table1[[#This Row],[Capacity (Kg)]]/Table1[[#This Row],[Target Time (Hours)]] * Table1[[#This Row],[Downtime (Hours)]], "")</f>
        <v/>
      </c>
      <c r="N891" s="57" t="str">
        <f>IFERROR(Table1[[#This Row],[Running Time (hr)]]/Table1[Target Time (Hours)], "")</f>
        <v/>
      </c>
      <c r="O891" s="57">
        <f>IFERROR(Table1[[#This Row],[Actual Production (Kg)]]/Table1[Capacity (Kg)], "")</f>
        <v>1</v>
      </c>
      <c r="P891" s="57">
        <f>IFERROR(Table1[[#This Row],[Quality Pass Production]]/Table1[[#This Row],[Actual Production (Kg)]], "")</f>
        <v>1</v>
      </c>
      <c r="Q891" s="57" t="str">
        <f>IFERROR(Table1[[#This Row],[Utilization %]]*Table1[[#This Row],[Efficiency %]]*Table1[[#This Row],[Quality %]], "")</f>
        <v/>
      </c>
      <c r="R891" s="52"/>
    </row>
    <row r="892" spans="1:18" ht="30" customHeight="1" x14ac:dyDescent="0.25">
      <c r="A892" s="47">
        <v>46197</v>
      </c>
      <c r="B892" s="48" t="s">
        <v>18</v>
      </c>
      <c r="C892" s="48" t="s">
        <v>22</v>
      </c>
      <c r="D892" s="48" t="s">
        <v>23</v>
      </c>
      <c r="E892" s="49">
        <v>5000</v>
      </c>
      <c r="F892" s="76">
        <v>5788</v>
      </c>
      <c r="G892" s="49">
        <v>0</v>
      </c>
      <c r="H892" s="50">
        <f>IFERROR(Table1[Re-process (Kg)]/Table1[Actual Production (Kg)], "")</f>
        <v>0</v>
      </c>
      <c r="I892" s="49">
        <f>IFERROR(Table1[[#This Row],[Actual Production (Kg)]]-Table1[[#This Row],[Re-process (Kg)]], "")</f>
        <v>5788</v>
      </c>
      <c r="J892" s="49">
        <v>22</v>
      </c>
      <c r="K892" s="72"/>
      <c r="L892" s="49">
        <f>IF(Table1[[#This Row],[Target Time (Hours)]]="","",Table1[[#This Row],[Target Time (Hours)]]-Table1[[#This Row],[Downtime (Hours)]])</f>
        <v>22</v>
      </c>
      <c r="M892" s="49">
        <f>IFERROR(Table1[[#This Row],[Capacity (Kg)]]/Table1[[#This Row],[Target Time (Hours)]] * Table1[[#This Row],[Downtime (Hours)]], "")</f>
        <v>0</v>
      </c>
      <c r="N892" s="50">
        <f>IFERROR(Table1[[#This Row],[Running Time (hr)]]/Table1[Target Time (Hours)], "")</f>
        <v>1</v>
      </c>
      <c r="O892" s="50">
        <f>IFERROR(Table1[[#This Row],[Actual Production (Kg)]]/Table1[Capacity (Kg)], "")</f>
        <v>1.1576</v>
      </c>
      <c r="P892" s="50">
        <f>IFERROR(Table1[[#This Row],[Quality Pass Production]]/Table1[[#This Row],[Actual Production (Kg)]], "")</f>
        <v>1</v>
      </c>
      <c r="Q892" s="50">
        <f>IFERROR(Table1[[#This Row],[Utilization %]]*Table1[[#This Row],[Efficiency %]]*Table1[[#This Row],[Quality %]], "")</f>
        <v>1.1576</v>
      </c>
      <c r="R892" s="48" t="s">
        <v>206</v>
      </c>
    </row>
    <row r="893" spans="1:18" x14ac:dyDescent="0.25">
      <c r="A893" s="47">
        <v>46197</v>
      </c>
      <c r="B893" s="48" t="s">
        <v>18</v>
      </c>
      <c r="C893" s="48" t="s">
        <v>22</v>
      </c>
      <c r="D893" s="48" t="s">
        <v>25</v>
      </c>
      <c r="E893" s="49">
        <v>4000</v>
      </c>
      <c r="F893" s="76">
        <v>2646</v>
      </c>
      <c r="G893" s="49">
        <v>0</v>
      </c>
      <c r="H893" s="50">
        <f>IFERROR(Table1[Re-process (Kg)]/Table1[Actual Production (Kg)], "")</f>
        <v>0</v>
      </c>
      <c r="I893" s="49">
        <f>IFERROR(Table1[[#This Row],[Actual Production (Kg)]]-Table1[[#This Row],[Re-process (Kg)]], "")</f>
        <v>2646</v>
      </c>
      <c r="J893" s="49"/>
      <c r="K893" s="72"/>
      <c r="L893" s="49" t="str">
        <f>IF(Table1[[#This Row],[Target Time (Hours)]]="","",Table1[[#This Row],[Target Time (Hours)]]-Table1[[#This Row],[Downtime (Hours)]])</f>
        <v/>
      </c>
      <c r="M893" s="49" t="str">
        <f>IFERROR(Table1[[#This Row],[Capacity (Kg)]]/Table1[[#This Row],[Target Time (Hours)]] * Table1[[#This Row],[Downtime (Hours)]], "")</f>
        <v/>
      </c>
      <c r="N893" s="50" t="str">
        <f>IFERROR(Table1[[#This Row],[Running Time (hr)]]/Table1[Target Time (Hours)], "")</f>
        <v/>
      </c>
      <c r="O893" s="50">
        <f>IFERROR(Table1[[#This Row],[Actual Production (Kg)]]/Table1[Capacity (Kg)], "")</f>
        <v>0.66149999999999998</v>
      </c>
      <c r="P893" s="50">
        <f>IFERROR(Table1[[#This Row],[Quality Pass Production]]/Table1[[#This Row],[Actual Production (Kg)]], "")</f>
        <v>1</v>
      </c>
      <c r="Q893" s="50" t="str">
        <f>IFERROR(Table1[[#This Row],[Utilization %]]*Table1[[#This Row],[Efficiency %]]*Table1[[#This Row],[Quality %]], "")</f>
        <v/>
      </c>
    </row>
    <row r="894" spans="1:18" ht="30" customHeight="1" x14ac:dyDescent="0.25">
      <c r="A894" s="47">
        <v>46197</v>
      </c>
      <c r="B894" s="48" t="s">
        <v>18</v>
      </c>
      <c r="C894" s="48" t="s">
        <v>26</v>
      </c>
      <c r="D894" s="48" t="s">
        <v>25</v>
      </c>
      <c r="E894" s="49">
        <v>7000</v>
      </c>
      <c r="F894" s="76">
        <v>7287</v>
      </c>
      <c r="G894" s="49">
        <v>0</v>
      </c>
      <c r="H894" s="50">
        <f>IFERROR(Table1[Re-process (Kg)]/Table1[Actual Production (Kg)], "")</f>
        <v>0</v>
      </c>
      <c r="I894" s="49">
        <f>IFERROR(Table1[[#This Row],[Actual Production (Kg)]]-Table1[[#This Row],[Re-process (Kg)]], "")</f>
        <v>7287</v>
      </c>
      <c r="J894" s="49">
        <v>22</v>
      </c>
      <c r="K894" s="72"/>
      <c r="L894" s="49">
        <f>IF(Table1[[#This Row],[Target Time (Hours)]]="","",Table1[[#This Row],[Target Time (Hours)]]-Table1[[#This Row],[Downtime (Hours)]])</f>
        <v>22</v>
      </c>
      <c r="M894" s="49">
        <f>IFERROR(Table1[[#This Row],[Capacity (Kg)]]/Table1[[#This Row],[Target Time (Hours)]] * Table1[[#This Row],[Downtime (Hours)]], "")</f>
        <v>0</v>
      </c>
      <c r="N894" s="50">
        <f>IFERROR(Table1[[#This Row],[Running Time (hr)]]/Table1[Target Time (Hours)], "")</f>
        <v>1</v>
      </c>
      <c r="O894" s="50">
        <f>IFERROR(Table1[[#This Row],[Actual Production (Kg)]]/Table1[Capacity (Kg)], "")</f>
        <v>1.0409999999999999</v>
      </c>
      <c r="P894" s="50">
        <f>IFERROR(Table1[[#This Row],[Quality Pass Production]]/Table1[[#This Row],[Actual Production (Kg)]], "")</f>
        <v>1</v>
      </c>
      <c r="Q894" s="50">
        <f>IFERROR(Table1[[#This Row],[Utilization %]]*Table1[[#This Row],[Efficiency %]]*Table1[[#This Row],[Quality %]], "")</f>
        <v>1.0409999999999999</v>
      </c>
      <c r="R894" s="48" t="s">
        <v>245</v>
      </c>
    </row>
    <row r="895" spans="1:18" ht="30" customHeight="1" x14ac:dyDescent="0.25">
      <c r="A895" s="47">
        <v>46197</v>
      </c>
      <c r="B895" s="48" t="s">
        <v>18</v>
      </c>
      <c r="C895" s="48" t="s">
        <v>28</v>
      </c>
      <c r="D895" s="48" t="s">
        <v>29</v>
      </c>
      <c r="E895" s="49">
        <v>7800</v>
      </c>
      <c r="F895" s="76">
        <v>5696</v>
      </c>
      <c r="G895" s="49">
        <v>0</v>
      </c>
      <c r="H895" s="50">
        <f>IFERROR(Table1[Re-process (Kg)]/Table1[Actual Production (Kg)], "")</f>
        <v>0</v>
      </c>
      <c r="I895" s="49">
        <f>IFERROR(Table1[[#This Row],[Actual Production (Kg)]]-Table1[[#This Row],[Re-process (Kg)]], "")</f>
        <v>5696</v>
      </c>
      <c r="J895" s="49">
        <v>22</v>
      </c>
      <c r="K895" s="72">
        <v>6</v>
      </c>
      <c r="L895" s="49">
        <f>IF(Table1[[#This Row],[Target Time (Hours)]]="","",Table1[[#This Row],[Target Time (Hours)]]-Table1[[#This Row],[Downtime (Hours)]])</f>
        <v>16</v>
      </c>
      <c r="M895" s="49">
        <f>IFERROR(Table1[[#This Row],[Capacity (Kg)]]/Table1[[#This Row],[Target Time (Hours)]] * Table1[[#This Row],[Downtime (Hours)]], "")</f>
        <v>2127.2727272727275</v>
      </c>
      <c r="N895" s="50">
        <f>IFERROR(Table1[[#This Row],[Running Time (hr)]]/Table1[Target Time (Hours)], "")</f>
        <v>0.72727272727272729</v>
      </c>
      <c r="O895" s="50">
        <f>IFERROR(Table1[[#This Row],[Actual Production (Kg)]]/Table1[Capacity (Kg)], "")</f>
        <v>0.7302564102564103</v>
      </c>
      <c r="P895" s="50">
        <f>IFERROR(Table1[[#This Row],[Quality Pass Production]]/Table1[[#This Row],[Actual Production (Kg)]], "")</f>
        <v>1</v>
      </c>
      <c r="Q895" s="50">
        <f>IFERROR(Table1[[#This Row],[Utilization %]]*Table1[[#This Row],[Efficiency %]]*Table1[[#This Row],[Quality %]], "")</f>
        <v>0.53109557109557115</v>
      </c>
      <c r="R895" s="48" t="s">
        <v>213</v>
      </c>
    </row>
    <row r="896" spans="1:18" ht="30" customHeight="1" x14ac:dyDescent="0.25">
      <c r="A896" s="51">
        <v>46197</v>
      </c>
      <c r="B896" s="52" t="s">
        <v>18</v>
      </c>
      <c r="C896" s="52" t="s">
        <v>135</v>
      </c>
      <c r="D896" s="52" t="s">
        <v>29</v>
      </c>
      <c r="E896" s="53"/>
      <c r="F896" s="53"/>
      <c r="G896" s="53"/>
      <c r="H896" s="57" t="str">
        <f>IFERROR(Table1[Re-process (Kg)]/Table1[Actual Production (Kg)], "")</f>
        <v/>
      </c>
      <c r="I896" s="53">
        <f>IFERROR(Table1[[#This Row],[Actual Production (Kg)]]-Table1[[#This Row],[Re-process (Kg)]], "")</f>
        <v>0</v>
      </c>
      <c r="J896" s="53"/>
      <c r="K896" s="52"/>
      <c r="L896" s="53" t="str">
        <f>IF(Table1[[#This Row],[Target Time (Hours)]]="","",Table1[[#This Row],[Target Time (Hours)]]-Table1[[#This Row],[Downtime (Hours)]])</f>
        <v/>
      </c>
      <c r="M896" s="53" t="str">
        <f>IFERROR(Table1[[#This Row],[Capacity (Kg)]]/Table1[[#This Row],[Target Time (Hours)]] * Table1[[#This Row],[Downtime (Hours)]], "")</f>
        <v/>
      </c>
      <c r="N896" s="57" t="str">
        <f>IFERROR(Table1[[#This Row],[Running Time (hr)]]/Table1[Target Time (Hours)], "")</f>
        <v/>
      </c>
      <c r="O896" s="57" t="str">
        <f>IFERROR(Table1[[#This Row],[Actual Production (Kg)]]/Table1[Capacity (Kg)], "")</f>
        <v/>
      </c>
      <c r="P896" s="57" t="str">
        <f>IFERROR(Table1[[#This Row],[Quality Pass Production]]/Table1[[#This Row],[Actual Production (Kg)]], "")</f>
        <v/>
      </c>
      <c r="Q896" s="57" t="str">
        <f>IFERROR(Table1[[#This Row],[Utilization %]]*Table1[[#This Row],[Efficiency %]]*Table1[[#This Row],[Quality %]], "")</f>
        <v/>
      </c>
      <c r="R896" s="52"/>
    </row>
    <row r="897" spans="1:18" ht="30" customHeight="1" x14ac:dyDescent="0.25">
      <c r="A897" s="47">
        <v>46197</v>
      </c>
      <c r="B897" s="48" t="s">
        <v>18</v>
      </c>
      <c r="C897" s="48" t="s">
        <v>30</v>
      </c>
      <c r="D897" s="48" t="s">
        <v>31</v>
      </c>
      <c r="E897" s="49">
        <v>9000</v>
      </c>
      <c r="F897" s="76">
        <v>4707</v>
      </c>
      <c r="G897" s="49">
        <v>0</v>
      </c>
      <c r="H897" s="50">
        <f>IFERROR(Table1[Re-process (Kg)]/Table1[Actual Production (Kg)], "")</f>
        <v>0</v>
      </c>
      <c r="I897" s="49">
        <f>IFERROR(Table1[[#This Row],[Actual Production (Kg)]]-Table1[[#This Row],[Re-process (Kg)]], "")</f>
        <v>4707</v>
      </c>
      <c r="J897" s="49">
        <v>22</v>
      </c>
      <c r="K897" s="72">
        <v>7.2</v>
      </c>
      <c r="L897" s="49">
        <f>IF(Table1[[#This Row],[Target Time (Hours)]]="","",Table1[[#This Row],[Target Time (Hours)]]-Table1[[#This Row],[Downtime (Hours)]])</f>
        <v>14.8</v>
      </c>
      <c r="M897" s="49">
        <f>IFERROR(Table1[[#This Row],[Capacity (Kg)]]/Table1[[#This Row],[Target Time (Hours)]] * Table1[[#This Row],[Downtime (Hours)]], "")</f>
        <v>2945.4545454545455</v>
      </c>
      <c r="N897" s="50">
        <f>IFERROR(Table1[[#This Row],[Running Time (hr)]]/Table1[Target Time (Hours)], "")</f>
        <v>0.67272727272727273</v>
      </c>
      <c r="O897" s="50">
        <f>IFERROR(Table1[[#This Row],[Actual Production (Kg)]]/Table1[Capacity (Kg)], "")</f>
        <v>0.52300000000000002</v>
      </c>
      <c r="P897" s="50">
        <f>IFERROR(Table1[[#This Row],[Quality Pass Production]]/Table1[[#This Row],[Actual Production (Kg)]], "")</f>
        <v>1</v>
      </c>
      <c r="Q897" s="50">
        <f>IFERROR(Table1[[#This Row],[Utilization %]]*Table1[[#This Row],[Efficiency %]]*Table1[[#This Row],[Quality %]], "")</f>
        <v>0.35183636363636367</v>
      </c>
      <c r="R897" s="48" t="s">
        <v>246</v>
      </c>
    </row>
    <row r="898" spans="1:18" ht="30" customHeight="1" x14ac:dyDescent="0.25">
      <c r="A898" s="51">
        <v>46197</v>
      </c>
      <c r="B898" s="52" t="s">
        <v>18</v>
      </c>
      <c r="C898" s="52" t="s">
        <v>32</v>
      </c>
      <c r="D898" s="52" t="s">
        <v>31</v>
      </c>
      <c r="E898" s="79">
        <f>Table1[[#This Row],[Actual Production (Kg)]]</f>
        <v>0</v>
      </c>
      <c r="F898" s="53"/>
      <c r="G898" s="53"/>
      <c r="H898" s="57" t="str">
        <f>IFERROR(Table1[Re-process (Kg)]/Table1[Actual Production (Kg)], "")</f>
        <v/>
      </c>
      <c r="I898" s="53">
        <f>IFERROR(Table1[[#This Row],[Actual Production (Kg)]]-Table1[[#This Row],[Re-process (Kg)]], "")</f>
        <v>0</v>
      </c>
      <c r="J898" s="53"/>
      <c r="K898" s="52"/>
      <c r="L898" s="53" t="str">
        <f>IF(Table1[[#This Row],[Target Time (Hours)]]="","",Table1[[#This Row],[Target Time (Hours)]]-Table1[[#This Row],[Downtime (Hours)]])</f>
        <v/>
      </c>
      <c r="M898" s="53" t="str">
        <f>IFERROR(Table1[[#This Row],[Capacity (Kg)]]/Table1[[#This Row],[Target Time (Hours)]] * Table1[[#This Row],[Downtime (Hours)]], "")</f>
        <v/>
      </c>
      <c r="N898" s="57" t="str">
        <f>IFERROR(Table1[[#This Row],[Running Time (hr)]]/Table1[Target Time (Hours)], "")</f>
        <v/>
      </c>
      <c r="O898" s="57" t="str">
        <f>IFERROR(Table1[[#This Row],[Actual Production (Kg)]]/Table1[Capacity (Kg)], "")</f>
        <v/>
      </c>
      <c r="P898" s="57" t="str">
        <f>IFERROR(Table1[[#This Row],[Quality Pass Production]]/Table1[[#This Row],[Actual Production (Kg)]], "")</f>
        <v/>
      </c>
      <c r="Q898" s="57" t="str">
        <f>IFERROR(Table1[[#This Row],[Utilization %]]*Table1[[#This Row],[Efficiency %]]*Table1[[#This Row],[Quality %]], "")</f>
        <v/>
      </c>
      <c r="R898" s="52"/>
    </row>
    <row r="899" spans="1:18" ht="30" customHeight="1" x14ac:dyDescent="0.25">
      <c r="A899" s="47">
        <v>46197</v>
      </c>
      <c r="B899" s="48" t="s">
        <v>33</v>
      </c>
      <c r="C899" s="48" t="s">
        <v>34</v>
      </c>
      <c r="D899" s="48" t="s">
        <v>35</v>
      </c>
      <c r="E899" s="49">
        <v>9000</v>
      </c>
      <c r="F899" s="76">
        <v>8822</v>
      </c>
      <c r="G899" s="49">
        <v>0</v>
      </c>
      <c r="H899" s="50">
        <f>IFERROR(Table1[Re-process (Kg)]/Table1[Actual Production (Kg)], "")</f>
        <v>0</v>
      </c>
      <c r="I899" s="49">
        <f>IFERROR(Table1[[#This Row],[Actual Production (Kg)]]-Table1[[#This Row],[Re-process (Kg)]], "")</f>
        <v>8822</v>
      </c>
      <c r="J899" s="49">
        <v>22</v>
      </c>
      <c r="K899" s="72"/>
      <c r="L899" s="49">
        <f>IF(Table1[[#This Row],[Target Time (Hours)]]="","",Table1[[#This Row],[Target Time (Hours)]]-Table1[[#This Row],[Downtime (Hours)]])</f>
        <v>22</v>
      </c>
      <c r="M899" s="49">
        <f>IFERROR(Table1[[#This Row],[Capacity (Kg)]]/Table1[[#This Row],[Target Time (Hours)]] * Table1[[#This Row],[Downtime (Hours)]], "")</f>
        <v>0</v>
      </c>
      <c r="N899" s="50">
        <f>IFERROR(Table1[[#This Row],[Running Time (hr)]]/Table1[Target Time (Hours)], "")</f>
        <v>1</v>
      </c>
      <c r="O899" s="50">
        <f>IFERROR(Table1[[#This Row],[Actual Production (Kg)]]/Table1[Capacity (Kg)], "")</f>
        <v>0.98022222222222222</v>
      </c>
      <c r="P899" s="50">
        <f>IFERROR(Table1[[#This Row],[Quality Pass Production]]/Table1[[#This Row],[Actual Production (Kg)]], "")</f>
        <v>1</v>
      </c>
      <c r="Q899" s="50">
        <f>IFERROR(Table1[[#This Row],[Utilization %]]*Table1[[#This Row],[Efficiency %]]*Table1[[#This Row],[Quality %]], "")</f>
        <v>0.98022222222222222</v>
      </c>
    </row>
    <row r="900" spans="1:18" x14ac:dyDescent="0.25">
      <c r="A900" s="47">
        <v>46197</v>
      </c>
      <c r="B900" s="48" t="s">
        <v>33</v>
      </c>
      <c r="C900" s="48" t="s">
        <v>36</v>
      </c>
      <c r="D900" s="48" t="s">
        <v>37</v>
      </c>
      <c r="E900" s="49">
        <v>8000</v>
      </c>
      <c r="F900" s="76">
        <v>7864</v>
      </c>
      <c r="G900" s="49">
        <v>0</v>
      </c>
      <c r="H900" s="50">
        <f>IFERROR(Table1[Re-process (Kg)]/Table1[Actual Production (Kg)], "")</f>
        <v>0</v>
      </c>
      <c r="I900" s="49">
        <f>IFERROR(Table1[[#This Row],[Actual Production (Kg)]]-Table1[[#This Row],[Re-process (Kg)]], "")</f>
        <v>7864</v>
      </c>
      <c r="J900" s="49">
        <v>22</v>
      </c>
      <c r="K900" s="72">
        <v>1.5</v>
      </c>
      <c r="L900" s="49">
        <f>IF(Table1[[#This Row],[Target Time (Hours)]]="","",Table1[[#This Row],[Target Time (Hours)]]-Table1[[#This Row],[Downtime (Hours)]])</f>
        <v>20.5</v>
      </c>
      <c r="M900" s="49">
        <f>IFERROR(Table1[[#This Row],[Capacity (Kg)]]/Table1[[#This Row],[Target Time (Hours)]] * Table1[[#This Row],[Downtime (Hours)]], "")</f>
        <v>545.4545454545455</v>
      </c>
      <c r="N900" s="50">
        <f>IFERROR(Table1[[#This Row],[Running Time (hr)]]/Table1[Target Time (Hours)], "")</f>
        <v>0.93181818181818177</v>
      </c>
      <c r="O900" s="50">
        <f>IFERROR(Table1[[#This Row],[Actual Production (Kg)]]/Table1[Capacity (Kg)], "")</f>
        <v>0.98299999999999998</v>
      </c>
      <c r="P900" s="50">
        <f>IFERROR(Table1[[#This Row],[Quality Pass Production]]/Table1[[#This Row],[Actual Production (Kg)]], "")</f>
        <v>1</v>
      </c>
      <c r="Q900" s="50">
        <f>IFERROR(Table1[[#This Row],[Utilization %]]*Table1[[#This Row],[Efficiency %]]*Table1[[#This Row],[Quality %]], "")</f>
        <v>0.9159772727272727</v>
      </c>
      <c r="R900" s="48" t="s">
        <v>247</v>
      </c>
    </row>
    <row r="901" spans="1:18" ht="30" customHeight="1" x14ac:dyDescent="0.25">
      <c r="A901" s="47">
        <v>46197</v>
      </c>
      <c r="B901" s="48" t="s">
        <v>33</v>
      </c>
      <c r="C901" s="48" t="s">
        <v>39</v>
      </c>
      <c r="D901" s="48" t="s">
        <v>31</v>
      </c>
      <c r="E901" s="49">
        <v>6000</v>
      </c>
      <c r="F901" s="76">
        <v>3472</v>
      </c>
      <c r="G901" s="49">
        <v>0</v>
      </c>
      <c r="H901" s="50">
        <f>IFERROR(Table1[Re-process (Kg)]/Table1[Actual Production (Kg)], "")</f>
        <v>0</v>
      </c>
      <c r="I901" s="49">
        <f>IFERROR(Table1[[#This Row],[Actual Production (Kg)]]-Table1[[#This Row],[Re-process (Kg)]], "")</f>
        <v>3472</v>
      </c>
      <c r="J901" s="49">
        <v>22</v>
      </c>
      <c r="K901" s="72"/>
      <c r="L901" s="49">
        <f>IF(Table1[[#This Row],[Target Time (Hours)]]="","",Table1[[#This Row],[Target Time (Hours)]]-Table1[[#This Row],[Downtime (Hours)]])</f>
        <v>22</v>
      </c>
      <c r="M901" s="49">
        <f>IFERROR(Table1[[#This Row],[Capacity (Kg)]]/Table1[[#This Row],[Target Time (Hours)]] * Table1[[#This Row],[Downtime (Hours)]], "")</f>
        <v>0</v>
      </c>
      <c r="N901" s="50">
        <f>IFERROR(Table1[[#This Row],[Running Time (hr)]]/Table1[Target Time (Hours)], "")</f>
        <v>1</v>
      </c>
      <c r="O901" s="50">
        <f>IFERROR(Table1[[#This Row],[Actual Production (Kg)]]/Table1[Capacity (Kg)], "")</f>
        <v>0.57866666666666666</v>
      </c>
      <c r="P901" s="50">
        <f>IFERROR(Table1[[#This Row],[Quality Pass Production]]/Table1[[#This Row],[Actual Production (Kg)]], "")</f>
        <v>1</v>
      </c>
      <c r="Q901" s="50">
        <f>IFERROR(Table1[[#This Row],[Utilization %]]*Table1[[#This Row],[Efficiency %]]*Table1[[#This Row],[Quality %]], "")</f>
        <v>0.57866666666666666</v>
      </c>
      <c r="R901" s="48" t="s">
        <v>224</v>
      </c>
    </row>
    <row r="902" spans="1:18" ht="45" customHeight="1" x14ac:dyDescent="0.25">
      <c r="A902" s="54">
        <v>46197</v>
      </c>
      <c r="B902" s="55" t="s">
        <v>33</v>
      </c>
      <c r="C902" s="55" t="s">
        <v>40</v>
      </c>
      <c r="D902" s="55" t="s">
        <v>31</v>
      </c>
      <c r="E902" s="56">
        <v>5000</v>
      </c>
      <c r="F902" s="56">
        <v>4656</v>
      </c>
      <c r="G902" s="56">
        <v>0</v>
      </c>
      <c r="H902" s="58">
        <f>IFERROR(Table1[Re-process (Kg)]/Table1[Actual Production (Kg)], "")</f>
        <v>0</v>
      </c>
      <c r="I902" s="56">
        <f>IFERROR(Table1[[#This Row],[Actual Production (Kg)]]-Table1[[#This Row],[Re-process (Kg)]], "")</f>
        <v>4656</v>
      </c>
      <c r="J902" s="56">
        <v>22</v>
      </c>
      <c r="K902" s="55"/>
      <c r="L902" s="56">
        <f>IF(Table1[[#This Row],[Target Time (Hours)]]="","",Table1[[#This Row],[Target Time (Hours)]]-Table1[[#This Row],[Downtime (Hours)]])</f>
        <v>22</v>
      </c>
      <c r="M902" s="56">
        <f>IFERROR(Table1[[#This Row],[Capacity (Kg)]]/Table1[[#This Row],[Target Time (Hours)]] * Table1[[#This Row],[Downtime (Hours)]], "")</f>
        <v>0</v>
      </c>
      <c r="N902" s="58">
        <f>IFERROR(Table1[[#This Row],[Running Time (hr)]]/Table1[Target Time (Hours)], "")</f>
        <v>1</v>
      </c>
      <c r="O902" s="58">
        <f>IFERROR(Table1[[#This Row],[Actual Production (Kg)]]/Table1[Capacity (Kg)], "")</f>
        <v>0.93120000000000003</v>
      </c>
      <c r="P902" s="58">
        <f>IFERROR(Table1[[#This Row],[Quality Pass Production]]/Table1[[#This Row],[Actual Production (Kg)]], "")</f>
        <v>1</v>
      </c>
      <c r="Q902" s="58">
        <f>IFERROR(Table1[[#This Row],[Utilization %]]*Table1[[#This Row],[Efficiency %]]*Table1[[#This Row],[Quality %]], "")</f>
        <v>0.93120000000000003</v>
      </c>
      <c r="R902" s="55"/>
    </row>
    <row r="903" spans="1:18" ht="30" customHeight="1" x14ac:dyDescent="0.25">
      <c r="A903" s="47">
        <v>46198</v>
      </c>
      <c r="B903" s="48" t="s">
        <v>18</v>
      </c>
      <c r="C903" s="48" t="s">
        <v>19</v>
      </c>
      <c r="D903" s="48" t="s">
        <v>20</v>
      </c>
      <c r="E903" s="49">
        <v>10000</v>
      </c>
      <c r="F903" s="73">
        <v>7343</v>
      </c>
      <c r="G903" s="49">
        <v>0</v>
      </c>
      <c r="H903" s="50">
        <f>IFERROR(Table1[Re-process (Kg)]/Table1[Actual Production (Kg)], "")</f>
        <v>0</v>
      </c>
      <c r="I903" s="49">
        <f>IFERROR(Table1[[#This Row],[Actual Production (Kg)]]-Table1[[#This Row],[Re-process (Kg)]], "")</f>
        <v>7343</v>
      </c>
      <c r="J903" s="49">
        <v>22</v>
      </c>
      <c r="K903" s="69">
        <v>1.4</v>
      </c>
      <c r="L903" s="49">
        <f>IF(Table1[[#This Row],[Target Time (Hours)]]="","",Table1[[#This Row],[Target Time (Hours)]]-Table1[[#This Row],[Downtime (Hours)]])</f>
        <v>20.6</v>
      </c>
      <c r="M903" s="49">
        <f>IFERROR(Table1[[#This Row],[Capacity (Kg)]]/Table1[[#This Row],[Target Time (Hours)]] * Table1[[#This Row],[Downtime (Hours)]], "")</f>
        <v>636.36363636363637</v>
      </c>
      <c r="N903" s="50">
        <f>IFERROR(Table1[[#This Row],[Running Time (hr)]]/Table1[Target Time (Hours)], "")</f>
        <v>0.9363636363636364</v>
      </c>
      <c r="O903" s="50">
        <f>IFERROR(Table1[[#This Row],[Actual Production (Kg)]]/Table1[Capacity (Kg)], "")</f>
        <v>0.73429999999999995</v>
      </c>
      <c r="P903" s="50">
        <f>IFERROR(Table1[[#This Row],[Quality Pass Production]]/Table1[[#This Row],[Actual Production (Kg)]], "")</f>
        <v>1</v>
      </c>
      <c r="Q903" s="50">
        <f>IFERROR(Table1[[#This Row],[Utilization %]]*Table1[[#This Row],[Efficiency %]]*Table1[[#This Row],[Quality %]], "")</f>
        <v>0.68757181818181812</v>
      </c>
      <c r="R903" s="48" t="s">
        <v>248</v>
      </c>
    </row>
    <row r="904" spans="1:18" x14ac:dyDescent="0.25">
      <c r="A904" s="51">
        <v>46198</v>
      </c>
      <c r="B904" s="52" t="s">
        <v>18</v>
      </c>
      <c r="C904" s="52" t="s">
        <v>238</v>
      </c>
      <c r="D904" s="52" t="s">
        <v>20</v>
      </c>
      <c r="E904" s="79">
        <f>Table1[[#This Row],[Actual Production (Kg)]]</f>
        <v>3968</v>
      </c>
      <c r="F904" s="77">
        <v>3968</v>
      </c>
      <c r="G904" s="53">
        <v>0</v>
      </c>
      <c r="H904" s="57">
        <f>IFERROR(Table1[Re-process (Kg)]/Table1[Actual Production (Kg)], "")</f>
        <v>0</v>
      </c>
      <c r="I904" s="53">
        <f>IFERROR(Table1[[#This Row],[Actual Production (Kg)]]-Table1[[#This Row],[Re-process (Kg)]], "")</f>
        <v>3968</v>
      </c>
      <c r="J904" s="53"/>
      <c r="K904" s="17"/>
      <c r="L904" s="53" t="str">
        <f>IF(Table1[[#This Row],[Target Time (Hours)]]="","",Table1[[#This Row],[Target Time (Hours)]]-Table1[[#This Row],[Downtime (Hours)]])</f>
        <v/>
      </c>
      <c r="M904" s="53" t="str">
        <f>IFERROR(Table1[[#This Row],[Capacity (Kg)]]/Table1[[#This Row],[Target Time (Hours)]] * Table1[[#This Row],[Downtime (Hours)]], "")</f>
        <v/>
      </c>
      <c r="N904" s="57" t="str">
        <f>IFERROR(Table1[[#This Row],[Running Time (hr)]]/Table1[Target Time (Hours)], "")</f>
        <v/>
      </c>
      <c r="O904" s="57">
        <f>IFERROR(Table1[[#This Row],[Actual Production (Kg)]]/Table1[Capacity (Kg)], "")</f>
        <v>1</v>
      </c>
      <c r="P904" s="57">
        <f>IFERROR(Table1[[#This Row],[Quality Pass Production]]/Table1[[#This Row],[Actual Production (Kg)]], "")</f>
        <v>1</v>
      </c>
      <c r="Q904" s="57" t="str">
        <f>IFERROR(Table1[[#This Row],[Utilization %]]*Table1[[#This Row],[Efficiency %]]*Table1[[#This Row],[Quality %]], "")</f>
        <v/>
      </c>
      <c r="R904" s="52"/>
    </row>
    <row r="905" spans="1:18" ht="45" customHeight="1" x14ac:dyDescent="0.25">
      <c r="A905" s="47">
        <v>46198</v>
      </c>
      <c r="B905" s="48" t="s">
        <v>18</v>
      </c>
      <c r="C905" s="48" t="s">
        <v>22</v>
      </c>
      <c r="D905" s="48" t="s">
        <v>23</v>
      </c>
      <c r="E905" s="49">
        <v>5000</v>
      </c>
      <c r="F905" s="73">
        <v>5148</v>
      </c>
      <c r="G905" s="49">
        <v>0</v>
      </c>
      <c r="H905" s="50">
        <f>IFERROR(Table1[Re-process (Kg)]/Table1[Actual Production (Kg)], "")</f>
        <v>0</v>
      </c>
      <c r="I905" s="49">
        <f>IFERROR(Table1[[#This Row],[Actual Production (Kg)]]-Table1[[#This Row],[Re-process (Kg)]], "")</f>
        <v>5148</v>
      </c>
      <c r="J905" s="49">
        <v>22</v>
      </c>
      <c r="K905" s="69">
        <v>1.1000000000000001</v>
      </c>
      <c r="L905" s="49">
        <f>IF(Table1[[#This Row],[Target Time (Hours)]]="","",Table1[[#This Row],[Target Time (Hours)]]-Table1[[#This Row],[Downtime (Hours)]])</f>
        <v>20.9</v>
      </c>
      <c r="M905" s="49">
        <f>IFERROR(Table1[[#This Row],[Capacity (Kg)]]/Table1[[#This Row],[Target Time (Hours)]] * Table1[[#This Row],[Downtime (Hours)]], "")</f>
        <v>250.00000000000003</v>
      </c>
      <c r="N905" s="50">
        <f>IFERROR(Table1[[#This Row],[Running Time (hr)]]/Table1[Target Time (Hours)], "")</f>
        <v>0.95</v>
      </c>
      <c r="O905" s="50">
        <f>IFERROR(Table1[[#This Row],[Actual Production (Kg)]]/Table1[Capacity (Kg)], "")</f>
        <v>1.0296000000000001</v>
      </c>
      <c r="P905" s="50">
        <f>IFERROR(Table1[[#This Row],[Quality Pass Production]]/Table1[[#This Row],[Actual Production (Kg)]], "")</f>
        <v>1</v>
      </c>
      <c r="Q905" s="50">
        <f>IFERROR(Table1[[#This Row],[Utilization %]]*Table1[[#This Row],[Efficiency %]]*Table1[[#This Row],[Quality %]], "")</f>
        <v>0.97811999999999999</v>
      </c>
      <c r="R905" s="48" t="s">
        <v>249</v>
      </c>
    </row>
    <row r="906" spans="1:18" x14ac:dyDescent="0.25">
      <c r="A906" s="47">
        <v>46198</v>
      </c>
      <c r="B906" s="48" t="s">
        <v>18</v>
      </c>
      <c r="C906" s="48" t="s">
        <v>22</v>
      </c>
      <c r="D906" s="48" t="s">
        <v>25</v>
      </c>
      <c r="E906" s="49">
        <v>4000</v>
      </c>
      <c r="F906" s="73">
        <v>2897</v>
      </c>
      <c r="G906" s="49">
        <v>0</v>
      </c>
      <c r="H906" s="50">
        <f>IFERROR(Table1[Re-process (Kg)]/Table1[Actual Production (Kg)], "")</f>
        <v>0</v>
      </c>
      <c r="I906" s="49">
        <f>IFERROR(Table1[[#This Row],[Actual Production (Kg)]]-Table1[[#This Row],[Re-process (Kg)]], "")</f>
        <v>2897</v>
      </c>
      <c r="J906" s="49"/>
      <c r="K906" s="69"/>
      <c r="L906" s="49" t="str">
        <f>IF(Table1[[#This Row],[Target Time (Hours)]]="","",Table1[[#This Row],[Target Time (Hours)]]-Table1[[#This Row],[Downtime (Hours)]])</f>
        <v/>
      </c>
      <c r="M906" s="49" t="str">
        <f>IFERROR(Table1[[#This Row],[Capacity (Kg)]]/Table1[[#This Row],[Target Time (Hours)]] * Table1[[#This Row],[Downtime (Hours)]], "")</f>
        <v/>
      </c>
      <c r="N906" s="50" t="str">
        <f>IFERROR(Table1[[#This Row],[Running Time (hr)]]/Table1[Target Time (Hours)], "")</f>
        <v/>
      </c>
      <c r="O906" s="50">
        <f>IFERROR(Table1[[#This Row],[Actual Production (Kg)]]/Table1[Capacity (Kg)], "")</f>
        <v>0.72424999999999995</v>
      </c>
      <c r="P906" s="50">
        <f>IFERROR(Table1[[#This Row],[Quality Pass Production]]/Table1[[#This Row],[Actual Production (Kg)]], "")</f>
        <v>1</v>
      </c>
      <c r="Q906" s="50" t="str">
        <f>IFERROR(Table1[[#This Row],[Utilization %]]*Table1[[#This Row],[Efficiency %]]*Table1[[#This Row],[Quality %]], "")</f>
        <v/>
      </c>
    </row>
    <row r="907" spans="1:18" x14ac:dyDescent="0.25">
      <c r="A907" s="47">
        <v>46198</v>
      </c>
      <c r="B907" s="48" t="s">
        <v>18</v>
      </c>
      <c r="C907" s="48" t="s">
        <v>26</v>
      </c>
      <c r="D907" s="48" t="s">
        <v>25</v>
      </c>
      <c r="E907" s="49">
        <v>7000</v>
      </c>
      <c r="F907" s="73">
        <v>7382</v>
      </c>
      <c r="G907" s="49">
        <v>0</v>
      </c>
      <c r="H907" s="50">
        <f>IFERROR(Table1[Re-process (Kg)]/Table1[Actual Production (Kg)], "")</f>
        <v>0</v>
      </c>
      <c r="I907" s="49">
        <f>IFERROR(Table1[[#This Row],[Actual Production (Kg)]]-Table1[[#This Row],[Re-process (Kg)]], "")</f>
        <v>7382</v>
      </c>
      <c r="J907" s="49">
        <v>22</v>
      </c>
      <c r="K907" s="69"/>
      <c r="L907" s="49">
        <f>IF(Table1[[#This Row],[Target Time (Hours)]]="","",Table1[[#This Row],[Target Time (Hours)]]-Table1[[#This Row],[Downtime (Hours)]])</f>
        <v>22</v>
      </c>
      <c r="M907" s="49">
        <f>IFERROR(Table1[[#This Row],[Capacity (Kg)]]/Table1[[#This Row],[Target Time (Hours)]] * Table1[[#This Row],[Downtime (Hours)]], "")</f>
        <v>0</v>
      </c>
      <c r="N907" s="50">
        <f>IFERROR(Table1[[#This Row],[Running Time (hr)]]/Table1[Target Time (Hours)], "")</f>
        <v>1</v>
      </c>
      <c r="O907" s="50">
        <f>IFERROR(Table1[[#This Row],[Actual Production (Kg)]]/Table1[Capacity (Kg)], "")</f>
        <v>1.0545714285714285</v>
      </c>
      <c r="P907" s="50">
        <f>IFERROR(Table1[[#This Row],[Quality Pass Production]]/Table1[[#This Row],[Actual Production (Kg)]], "")</f>
        <v>1</v>
      </c>
      <c r="Q907" s="50">
        <f>IFERROR(Table1[[#This Row],[Utilization %]]*Table1[[#This Row],[Efficiency %]]*Table1[[#This Row],[Quality %]], "")</f>
        <v>1.0545714285714285</v>
      </c>
    </row>
    <row r="908" spans="1:18" ht="30" customHeight="1" x14ac:dyDescent="0.25">
      <c r="A908" s="47">
        <v>46198</v>
      </c>
      <c r="B908" s="48" t="s">
        <v>18</v>
      </c>
      <c r="C908" s="48" t="s">
        <v>28</v>
      </c>
      <c r="D908" s="48" t="s">
        <v>29</v>
      </c>
      <c r="E908" s="49">
        <v>7800</v>
      </c>
      <c r="F908" s="73">
        <v>4931</v>
      </c>
      <c r="G908" s="49">
        <v>0</v>
      </c>
      <c r="H908" s="50">
        <f>IFERROR(Table1[Re-process (Kg)]/Table1[Actual Production (Kg)], "")</f>
        <v>0</v>
      </c>
      <c r="I908" s="49">
        <f>IFERROR(Table1[[#This Row],[Actual Production (Kg)]]-Table1[[#This Row],[Re-process (Kg)]], "")</f>
        <v>4931</v>
      </c>
      <c r="J908" s="49">
        <v>22</v>
      </c>
      <c r="K908" s="69">
        <v>6</v>
      </c>
      <c r="L908" s="49">
        <f>IF(Table1[[#This Row],[Target Time (Hours)]]="","",Table1[[#This Row],[Target Time (Hours)]]-Table1[[#This Row],[Downtime (Hours)]])</f>
        <v>16</v>
      </c>
      <c r="M908" s="49">
        <f>IFERROR(Table1[[#This Row],[Capacity (Kg)]]/Table1[[#This Row],[Target Time (Hours)]] * Table1[[#This Row],[Downtime (Hours)]], "")</f>
        <v>2127.2727272727275</v>
      </c>
      <c r="N908" s="50">
        <f>IFERROR(Table1[[#This Row],[Running Time (hr)]]/Table1[Target Time (Hours)], "")</f>
        <v>0.72727272727272729</v>
      </c>
      <c r="O908" s="50">
        <f>IFERROR(Table1[[#This Row],[Actual Production (Kg)]]/Table1[Capacity (Kg)], "")</f>
        <v>0.63217948717948713</v>
      </c>
      <c r="P908" s="50">
        <f>IFERROR(Table1[[#This Row],[Quality Pass Production]]/Table1[[#This Row],[Actual Production (Kg)]], "")</f>
        <v>1</v>
      </c>
      <c r="Q908" s="50">
        <f>IFERROR(Table1[[#This Row],[Utilization %]]*Table1[[#This Row],[Efficiency %]]*Table1[[#This Row],[Quality %]], "")</f>
        <v>0.45976689976689977</v>
      </c>
      <c r="R908" s="48" t="s">
        <v>213</v>
      </c>
    </row>
    <row r="909" spans="1:18" ht="30" customHeight="1" x14ac:dyDescent="0.25">
      <c r="A909" s="51">
        <v>46198</v>
      </c>
      <c r="B909" s="52" t="s">
        <v>18</v>
      </c>
      <c r="C909" s="52" t="s">
        <v>135</v>
      </c>
      <c r="D909" s="52" t="s">
        <v>29</v>
      </c>
      <c r="E909" s="53"/>
      <c r="F909" s="77"/>
      <c r="G909" s="53"/>
      <c r="H909" s="57" t="str">
        <f>IFERROR(Table1[Re-process (Kg)]/Table1[Actual Production (Kg)], "")</f>
        <v/>
      </c>
      <c r="I909" s="53">
        <f>IFERROR(Table1[[#This Row],[Actual Production (Kg)]]-Table1[[#This Row],[Re-process (Kg)]], "")</f>
        <v>0</v>
      </c>
      <c r="J909" s="53"/>
      <c r="K909" s="17"/>
      <c r="L909" s="53" t="str">
        <f>IF(Table1[[#This Row],[Target Time (Hours)]]="","",Table1[[#This Row],[Target Time (Hours)]]-Table1[[#This Row],[Downtime (Hours)]])</f>
        <v/>
      </c>
      <c r="M909" s="53" t="str">
        <f>IFERROR(Table1[[#This Row],[Capacity (Kg)]]/Table1[[#This Row],[Target Time (Hours)]] * Table1[[#This Row],[Downtime (Hours)]], "")</f>
        <v/>
      </c>
      <c r="N909" s="57" t="str">
        <f>IFERROR(Table1[[#This Row],[Running Time (hr)]]/Table1[Target Time (Hours)], "")</f>
        <v/>
      </c>
      <c r="O909" s="57" t="str">
        <f>IFERROR(Table1[[#This Row],[Actual Production (Kg)]]/Table1[Capacity (Kg)], "")</f>
        <v/>
      </c>
      <c r="P909" s="57" t="str">
        <f>IFERROR(Table1[[#This Row],[Quality Pass Production]]/Table1[[#This Row],[Actual Production (Kg)]], "")</f>
        <v/>
      </c>
      <c r="Q909" s="57" t="str">
        <f>IFERROR(Table1[[#This Row],[Utilization %]]*Table1[[#This Row],[Efficiency %]]*Table1[[#This Row],[Quality %]], "")</f>
        <v/>
      </c>
      <c r="R909" s="52"/>
    </row>
    <row r="910" spans="1:18" ht="30" customHeight="1" x14ac:dyDescent="0.25">
      <c r="A910" s="47">
        <v>46198</v>
      </c>
      <c r="B910" s="48" t="s">
        <v>18</v>
      </c>
      <c r="C910" s="48" t="s">
        <v>30</v>
      </c>
      <c r="D910" s="48" t="s">
        <v>31</v>
      </c>
      <c r="E910" s="49">
        <v>9000</v>
      </c>
      <c r="F910" s="73">
        <v>5878</v>
      </c>
      <c r="G910" s="49">
        <v>0</v>
      </c>
      <c r="H910" s="50">
        <f>IFERROR(Table1[Re-process (Kg)]/Table1[Actual Production (Kg)], "")</f>
        <v>0</v>
      </c>
      <c r="I910" s="49">
        <f>IFERROR(Table1[[#This Row],[Actual Production (Kg)]]-Table1[[#This Row],[Re-process (Kg)]], "")</f>
        <v>5878</v>
      </c>
      <c r="J910" s="49">
        <v>22</v>
      </c>
      <c r="K910" s="69"/>
      <c r="L910" s="49">
        <f>IF(Table1[[#This Row],[Target Time (Hours)]]="","",Table1[[#This Row],[Target Time (Hours)]]-Table1[[#This Row],[Downtime (Hours)]])</f>
        <v>22</v>
      </c>
      <c r="M910" s="49">
        <f>IFERROR(Table1[[#This Row],[Capacity (Kg)]]/Table1[[#This Row],[Target Time (Hours)]] * Table1[[#This Row],[Downtime (Hours)]], "")</f>
        <v>0</v>
      </c>
      <c r="N910" s="50">
        <f>IFERROR(Table1[[#This Row],[Running Time (hr)]]/Table1[Target Time (Hours)], "")</f>
        <v>1</v>
      </c>
      <c r="O910" s="50">
        <f>IFERROR(Table1[[#This Row],[Actual Production (Kg)]]/Table1[Capacity (Kg)], "")</f>
        <v>0.65311111111111109</v>
      </c>
      <c r="P910" s="50">
        <f>IFERROR(Table1[[#This Row],[Quality Pass Production]]/Table1[[#This Row],[Actual Production (Kg)]], "")</f>
        <v>1</v>
      </c>
      <c r="Q910" s="50">
        <f>IFERROR(Table1[[#This Row],[Utilization %]]*Table1[[#This Row],[Efficiency %]]*Table1[[#This Row],[Quality %]], "")</f>
        <v>0.65311111111111109</v>
      </c>
    </row>
    <row r="911" spans="1:18" ht="30" customHeight="1" x14ac:dyDescent="0.25">
      <c r="A911" s="51">
        <v>46198</v>
      </c>
      <c r="B911" s="52" t="s">
        <v>18</v>
      </c>
      <c r="C911" s="52" t="s">
        <v>32</v>
      </c>
      <c r="D911" s="52" t="s">
        <v>31</v>
      </c>
      <c r="E911" s="79">
        <f>Table1[[#This Row],[Actual Production (Kg)]]</f>
        <v>0</v>
      </c>
      <c r="F911" s="77"/>
      <c r="G911" s="53"/>
      <c r="H911" s="57" t="str">
        <f>IFERROR(Table1[Re-process (Kg)]/Table1[Actual Production (Kg)], "")</f>
        <v/>
      </c>
      <c r="I911" s="53">
        <f>IFERROR(Table1[[#This Row],[Actual Production (Kg)]]-Table1[[#This Row],[Re-process (Kg)]], "")</f>
        <v>0</v>
      </c>
      <c r="J911" s="53"/>
      <c r="K911" s="17"/>
      <c r="L911" s="53" t="str">
        <f>IF(Table1[[#This Row],[Target Time (Hours)]]="","",Table1[[#This Row],[Target Time (Hours)]]-Table1[[#This Row],[Downtime (Hours)]])</f>
        <v/>
      </c>
      <c r="M911" s="53" t="str">
        <f>IFERROR(Table1[[#This Row],[Capacity (Kg)]]/Table1[[#This Row],[Target Time (Hours)]] * Table1[[#This Row],[Downtime (Hours)]], "")</f>
        <v/>
      </c>
      <c r="N911" s="57" t="str">
        <f>IFERROR(Table1[[#This Row],[Running Time (hr)]]/Table1[Target Time (Hours)], "")</f>
        <v/>
      </c>
      <c r="O911" s="57" t="str">
        <f>IFERROR(Table1[[#This Row],[Actual Production (Kg)]]/Table1[Capacity (Kg)], "")</f>
        <v/>
      </c>
      <c r="P911" s="57" t="str">
        <f>IFERROR(Table1[[#This Row],[Quality Pass Production]]/Table1[[#This Row],[Actual Production (Kg)]], "")</f>
        <v/>
      </c>
      <c r="Q911" s="57" t="str">
        <f>IFERROR(Table1[[#This Row],[Utilization %]]*Table1[[#This Row],[Efficiency %]]*Table1[[#This Row],[Quality %]], "")</f>
        <v/>
      </c>
      <c r="R911" s="52"/>
    </row>
    <row r="912" spans="1:18" ht="30" customHeight="1" x14ac:dyDescent="0.25">
      <c r="A912" s="47">
        <v>46198</v>
      </c>
      <c r="B912" s="48" t="s">
        <v>33</v>
      </c>
      <c r="C912" s="48" t="s">
        <v>34</v>
      </c>
      <c r="D912" s="48" t="s">
        <v>35</v>
      </c>
      <c r="E912" s="49">
        <v>9000</v>
      </c>
      <c r="F912" s="73">
        <v>5842</v>
      </c>
      <c r="G912" s="49">
        <v>0</v>
      </c>
      <c r="H912" s="50">
        <f>IFERROR(Table1[Re-process (Kg)]/Table1[Actual Production (Kg)], "")</f>
        <v>0</v>
      </c>
      <c r="I912" s="49">
        <f>IFERROR(Table1[[#This Row],[Actual Production (Kg)]]-Table1[[#This Row],[Re-process (Kg)]], "")</f>
        <v>5842</v>
      </c>
      <c r="J912" s="49">
        <v>22</v>
      </c>
      <c r="K912" s="69"/>
      <c r="L912" s="49">
        <f>IF(Table1[[#This Row],[Target Time (Hours)]]="","",Table1[[#This Row],[Target Time (Hours)]]-Table1[[#This Row],[Downtime (Hours)]])</f>
        <v>22</v>
      </c>
      <c r="M912" s="49">
        <f>IFERROR(Table1[[#This Row],[Capacity (Kg)]]/Table1[[#This Row],[Target Time (Hours)]] * Table1[[#This Row],[Downtime (Hours)]], "")</f>
        <v>0</v>
      </c>
      <c r="N912" s="50">
        <f>IFERROR(Table1[[#This Row],[Running Time (hr)]]/Table1[Target Time (Hours)], "")</f>
        <v>1</v>
      </c>
      <c r="O912" s="50">
        <f>IFERROR(Table1[[#This Row],[Actual Production (Kg)]]/Table1[Capacity (Kg)], "")</f>
        <v>0.64911111111111108</v>
      </c>
      <c r="P912" s="50">
        <f>IFERROR(Table1[[#This Row],[Quality Pass Production]]/Table1[[#This Row],[Actual Production (Kg)]], "")</f>
        <v>1</v>
      </c>
      <c r="Q912" s="50">
        <f>IFERROR(Table1[[#This Row],[Utilization %]]*Table1[[#This Row],[Efficiency %]]*Table1[[#This Row],[Quality %]], "")</f>
        <v>0.64911111111111108</v>
      </c>
      <c r="R912" s="48" t="s">
        <v>250</v>
      </c>
    </row>
    <row r="913" spans="1:18" ht="30" customHeight="1" x14ac:dyDescent="0.25">
      <c r="A913" s="47">
        <v>46198</v>
      </c>
      <c r="B913" s="48" t="s">
        <v>33</v>
      </c>
      <c r="C913" s="48" t="s">
        <v>36</v>
      </c>
      <c r="D913" s="48" t="s">
        <v>37</v>
      </c>
      <c r="E913" s="49">
        <v>8000</v>
      </c>
      <c r="F913" s="73">
        <v>7597</v>
      </c>
      <c r="G913" s="49">
        <v>0</v>
      </c>
      <c r="H913" s="50">
        <f>IFERROR(Table1[Re-process (Kg)]/Table1[Actual Production (Kg)], "")</f>
        <v>0</v>
      </c>
      <c r="I913" s="49">
        <f>IFERROR(Table1[[#This Row],[Actual Production (Kg)]]-Table1[[#This Row],[Re-process (Kg)]], "")</f>
        <v>7597</v>
      </c>
      <c r="J913" s="49">
        <v>22</v>
      </c>
      <c r="K913" s="69">
        <v>2.5</v>
      </c>
      <c r="L913" s="49">
        <f>IF(Table1[[#This Row],[Target Time (Hours)]]="","",Table1[[#This Row],[Target Time (Hours)]]-Table1[[#This Row],[Downtime (Hours)]])</f>
        <v>19.5</v>
      </c>
      <c r="M913" s="49">
        <f>IFERROR(Table1[[#This Row],[Capacity (Kg)]]/Table1[[#This Row],[Target Time (Hours)]] * Table1[[#This Row],[Downtime (Hours)]], "")</f>
        <v>909.09090909090901</v>
      </c>
      <c r="N913" s="50">
        <f>IFERROR(Table1[[#This Row],[Running Time (hr)]]/Table1[Target Time (Hours)], "")</f>
        <v>0.88636363636363635</v>
      </c>
      <c r="O913" s="50">
        <f>IFERROR(Table1[[#This Row],[Actual Production (Kg)]]/Table1[Capacity (Kg)], "")</f>
        <v>0.94962500000000005</v>
      </c>
      <c r="P913" s="50">
        <f>IFERROR(Table1[[#This Row],[Quality Pass Production]]/Table1[[#This Row],[Actual Production (Kg)]], "")</f>
        <v>1</v>
      </c>
      <c r="Q913" s="50">
        <f>IFERROR(Table1[[#This Row],[Utilization %]]*Table1[[#This Row],[Efficiency %]]*Table1[[#This Row],[Quality %]], "")</f>
        <v>0.84171306818181824</v>
      </c>
      <c r="R913" s="48" t="s">
        <v>251</v>
      </c>
    </row>
    <row r="914" spans="1:18" ht="30" customHeight="1" x14ac:dyDescent="0.25">
      <c r="A914" s="47">
        <v>46198</v>
      </c>
      <c r="B914" s="48" t="s">
        <v>33</v>
      </c>
      <c r="C914" s="48" t="s">
        <v>39</v>
      </c>
      <c r="D914" s="48" t="s">
        <v>31</v>
      </c>
      <c r="E914" s="49">
        <v>6000</v>
      </c>
      <c r="F914" s="73">
        <v>3410</v>
      </c>
      <c r="G914" s="49">
        <v>0</v>
      </c>
      <c r="H914" s="50">
        <f>IFERROR(Table1[Re-process (Kg)]/Table1[Actual Production (Kg)], "")</f>
        <v>0</v>
      </c>
      <c r="I914" s="49">
        <f>IFERROR(Table1[[#This Row],[Actual Production (Kg)]]-Table1[[#This Row],[Re-process (Kg)]], "")</f>
        <v>3410</v>
      </c>
      <c r="J914" s="49">
        <v>22</v>
      </c>
      <c r="K914" s="69"/>
      <c r="L914" s="49">
        <f>IF(Table1[[#This Row],[Target Time (Hours)]]="","",Table1[[#This Row],[Target Time (Hours)]]-Table1[[#This Row],[Downtime (Hours)]])</f>
        <v>22</v>
      </c>
      <c r="M914" s="49">
        <f>IFERROR(Table1[[#This Row],[Capacity (Kg)]]/Table1[[#This Row],[Target Time (Hours)]] * Table1[[#This Row],[Downtime (Hours)]], "")</f>
        <v>0</v>
      </c>
      <c r="N914" s="50">
        <f>IFERROR(Table1[[#This Row],[Running Time (hr)]]/Table1[Target Time (Hours)], "")</f>
        <v>1</v>
      </c>
      <c r="O914" s="50">
        <f>IFERROR(Table1[[#This Row],[Actual Production (Kg)]]/Table1[Capacity (Kg)], "")</f>
        <v>0.56833333333333336</v>
      </c>
      <c r="P914" s="50">
        <f>IFERROR(Table1[[#This Row],[Quality Pass Production]]/Table1[[#This Row],[Actual Production (Kg)]], "")</f>
        <v>1</v>
      </c>
      <c r="Q914" s="50">
        <f>IFERROR(Table1[[#This Row],[Utilization %]]*Table1[[#This Row],[Efficiency %]]*Table1[[#This Row],[Quality %]], "")</f>
        <v>0.56833333333333336</v>
      </c>
      <c r="R914" s="48" t="s">
        <v>250</v>
      </c>
    </row>
    <row r="915" spans="1:18" ht="45" customHeight="1" x14ac:dyDescent="0.25">
      <c r="A915" s="54">
        <v>46198</v>
      </c>
      <c r="B915" s="55" t="s">
        <v>33</v>
      </c>
      <c r="C915" s="55" t="s">
        <v>40</v>
      </c>
      <c r="D915" s="55" t="s">
        <v>31</v>
      </c>
      <c r="E915" s="56">
        <v>5000</v>
      </c>
      <c r="F915" s="78">
        <v>3189</v>
      </c>
      <c r="G915" s="56">
        <v>0</v>
      </c>
      <c r="H915" s="58">
        <f>IFERROR(Table1[Re-process (Kg)]/Table1[Actual Production (Kg)], "")</f>
        <v>0</v>
      </c>
      <c r="I915" s="56">
        <f>IFERROR(Table1[[#This Row],[Actual Production (Kg)]]-Table1[[#This Row],[Re-process (Kg)]], "")</f>
        <v>3189</v>
      </c>
      <c r="J915" s="56">
        <v>22</v>
      </c>
      <c r="K915" s="41"/>
      <c r="L915" s="56">
        <f>IF(Table1[[#This Row],[Target Time (Hours)]]="","",Table1[[#This Row],[Target Time (Hours)]]-Table1[[#This Row],[Downtime (Hours)]])</f>
        <v>22</v>
      </c>
      <c r="M915" s="56">
        <f>IFERROR(Table1[[#This Row],[Capacity (Kg)]]/Table1[[#This Row],[Target Time (Hours)]] * Table1[[#This Row],[Downtime (Hours)]], "")</f>
        <v>0</v>
      </c>
      <c r="N915" s="58">
        <f>IFERROR(Table1[[#This Row],[Running Time (hr)]]/Table1[Target Time (Hours)], "")</f>
        <v>1</v>
      </c>
      <c r="O915" s="58">
        <f>IFERROR(Table1[[#This Row],[Actual Production (Kg)]]/Table1[Capacity (Kg)], "")</f>
        <v>0.63780000000000003</v>
      </c>
      <c r="P915" s="58">
        <f>IFERROR(Table1[[#This Row],[Quality Pass Production]]/Table1[[#This Row],[Actual Production (Kg)]], "")</f>
        <v>1</v>
      </c>
      <c r="Q915" s="58">
        <f>IFERROR(Table1[[#This Row],[Utilization %]]*Table1[[#This Row],[Efficiency %]]*Table1[[#This Row],[Quality %]], "")</f>
        <v>0.63780000000000003</v>
      </c>
      <c r="R915" s="55" t="s">
        <v>250</v>
      </c>
    </row>
    <row r="916" spans="1:18" ht="30" customHeight="1" x14ac:dyDescent="0.25">
      <c r="A916" s="32">
        <v>46200</v>
      </c>
      <c r="B916" s="33" t="s">
        <v>18</v>
      </c>
      <c r="C916" s="33" t="s">
        <v>19</v>
      </c>
      <c r="D916" s="33" t="s">
        <v>20</v>
      </c>
      <c r="E916" s="34">
        <v>15000</v>
      </c>
      <c r="F916" s="74">
        <f>3791+8995</f>
        <v>12786</v>
      </c>
      <c r="G916" s="34">
        <v>0</v>
      </c>
      <c r="H916" s="35">
        <f>IFERROR(Table1[Re-process (Kg)]/Table1[Actual Production (Kg)], "")</f>
        <v>0</v>
      </c>
      <c r="I916" s="34">
        <f>IFERROR(Table1[[#This Row],[Actual Production (Kg)]]-Table1[[#This Row],[Re-process (Kg)]], "")</f>
        <v>12786</v>
      </c>
      <c r="J916" s="34">
        <v>33</v>
      </c>
      <c r="K916" s="70">
        <v>0</v>
      </c>
      <c r="L916" s="49">
        <f>IF(Table1[[#This Row],[Target Time (Hours)]]="","",Table1[[#This Row],[Target Time (Hours)]]-Table1[[#This Row],[Downtime (Hours)]])</f>
        <v>33</v>
      </c>
      <c r="M916" s="34">
        <f>IFERROR(Table1[[#This Row],[Capacity (Kg)]]/Table1[[#This Row],[Target Time (Hours)]] * Table1[[#This Row],[Downtime (Hours)]], "")</f>
        <v>0</v>
      </c>
      <c r="N916" s="35">
        <f>IFERROR(Table1[[#This Row],[Running Time (hr)]]/Table1[Target Time (Hours)], "")</f>
        <v>1</v>
      </c>
      <c r="O916" s="35">
        <f>IFERROR(Table1[[#This Row],[Actual Production (Kg)]]/Table1[Capacity (Kg)], "")</f>
        <v>0.85240000000000005</v>
      </c>
      <c r="P916" s="35">
        <f>IFERROR(Table1[[#This Row],[Quality Pass Production]]/Table1[[#This Row],[Actual Production (Kg)]], "")</f>
        <v>1</v>
      </c>
      <c r="Q916" s="35">
        <f>IFERROR(Table1[[#This Row],[Utilization %]]*Table1[[#This Row],[Efficiency %]]*Table1[[#This Row],[Quality %]], "")</f>
        <v>0.85240000000000005</v>
      </c>
      <c r="R916" s="33"/>
    </row>
    <row r="917" spans="1:18" x14ac:dyDescent="0.25">
      <c r="A917" s="36">
        <v>46200</v>
      </c>
      <c r="B917" s="37" t="s">
        <v>18</v>
      </c>
      <c r="C917" s="37" t="s">
        <v>238</v>
      </c>
      <c r="D917" s="37" t="s">
        <v>20</v>
      </c>
      <c r="E917" s="79">
        <f>Table1[[#This Row],[Actual Production (Kg)]]</f>
        <v>10740</v>
      </c>
      <c r="F917" s="38">
        <f>2857+7883</f>
        <v>10740</v>
      </c>
      <c r="G917" s="38">
        <v>0</v>
      </c>
      <c r="H917" s="39">
        <f>IFERROR(Table1[Re-process (Kg)]/Table1[Actual Production (Kg)], "")</f>
        <v>0</v>
      </c>
      <c r="I917" s="38">
        <f>IFERROR(Table1[[#This Row],[Actual Production (Kg)]]-Table1[[#This Row],[Re-process (Kg)]], "")</f>
        <v>10740</v>
      </c>
      <c r="J917" s="38"/>
      <c r="K917" s="37"/>
      <c r="L917" s="38" t="str">
        <f>IF(Table1[[#This Row],[Target Time (Hours)]]="","",Table1[[#This Row],[Target Time (Hours)]]-Table1[[#This Row],[Downtime (Hours)]])</f>
        <v/>
      </c>
      <c r="M917" s="38" t="str">
        <f>IFERROR(Table1[[#This Row],[Capacity (Kg)]]/Table1[[#This Row],[Target Time (Hours)]] * Table1[[#This Row],[Downtime (Hours)]], "")</f>
        <v/>
      </c>
      <c r="N917" s="39" t="str">
        <f>IFERROR(Table1[[#This Row],[Running Time (hr)]]/Table1[Target Time (Hours)], "")</f>
        <v/>
      </c>
      <c r="O917" s="39">
        <f>IFERROR(Table1[[#This Row],[Actual Production (Kg)]]/Table1[Capacity (Kg)], "")</f>
        <v>1</v>
      </c>
      <c r="P917" s="39">
        <f>IFERROR(Table1[[#This Row],[Quality Pass Production]]/Table1[[#This Row],[Actual Production (Kg)]], "")</f>
        <v>1</v>
      </c>
      <c r="Q917" s="39" t="str">
        <f>IFERROR(Table1[[#This Row],[Utilization %]]*Table1[[#This Row],[Efficiency %]]*Table1[[#This Row],[Quality %]], "")</f>
        <v/>
      </c>
      <c r="R917" s="37"/>
    </row>
    <row r="918" spans="1:18" ht="45" customHeight="1" x14ac:dyDescent="0.25">
      <c r="A918" s="32">
        <v>46200</v>
      </c>
      <c r="B918" s="33" t="s">
        <v>18</v>
      </c>
      <c r="C918" s="33" t="s">
        <v>22</v>
      </c>
      <c r="D918" s="33" t="s">
        <v>23</v>
      </c>
      <c r="E918" s="34">
        <v>7000</v>
      </c>
      <c r="F918" s="74">
        <f>3562+4298</f>
        <v>7860</v>
      </c>
      <c r="G918" s="34">
        <v>0</v>
      </c>
      <c r="H918" s="35">
        <f>IFERROR(Table1[Re-process (Kg)]/Table1[Actual Production (Kg)], "")</f>
        <v>0</v>
      </c>
      <c r="I918" s="34">
        <f>IFERROR(Table1[[#This Row],[Actual Production (Kg)]]-Table1[[#This Row],[Re-process (Kg)]], "")</f>
        <v>7860</v>
      </c>
      <c r="J918" s="34">
        <v>33</v>
      </c>
      <c r="K918" s="70">
        <v>0.4</v>
      </c>
      <c r="L918" s="34">
        <f>IF(Table1[[#This Row],[Target Time (Hours)]]="","",Table1[[#This Row],[Target Time (Hours)]]-Table1[[#This Row],[Downtime (Hours)]])</f>
        <v>32.6</v>
      </c>
      <c r="M918" s="34">
        <f>IFERROR(Table1[[#This Row],[Capacity (Kg)]]/Table1[[#This Row],[Target Time (Hours)]] * Table1[[#This Row],[Downtime (Hours)]], "")</f>
        <v>84.848484848484858</v>
      </c>
      <c r="N918" s="35">
        <f>IFERROR(Table1[[#This Row],[Running Time (hr)]]/Table1[Target Time (Hours)], "")</f>
        <v>0.98787878787878791</v>
      </c>
      <c r="O918" s="35">
        <f>IFERROR(Table1[[#This Row],[Actual Production (Kg)]]/Table1[Capacity (Kg)], "")</f>
        <v>1.1228571428571428</v>
      </c>
      <c r="P918" s="35">
        <f>IFERROR(Table1[[#This Row],[Quality Pass Production]]/Table1[[#This Row],[Actual Production (Kg)]], "")</f>
        <v>1</v>
      </c>
      <c r="Q918" s="35">
        <f>IFERROR(Table1[[#This Row],[Utilization %]]*Table1[[#This Row],[Efficiency %]]*Table1[[#This Row],[Quality %]], "")</f>
        <v>1.1092467532467531</v>
      </c>
      <c r="R918" s="33" t="s">
        <v>252</v>
      </c>
    </row>
    <row r="919" spans="1:18" x14ac:dyDescent="0.25">
      <c r="A919" s="32">
        <v>46200</v>
      </c>
      <c r="B919" s="29" t="s">
        <v>18</v>
      </c>
      <c r="C919" s="29" t="s">
        <v>22</v>
      </c>
      <c r="D919" s="29" t="s">
        <v>25</v>
      </c>
      <c r="E919" s="30">
        <v>6000</v>
      </c>
      <c r="F919" s="75">
        <v>4961</v>
      </c>
      <c r="G919" s="30">
        <v>0</v>
      </c>
      <c r="H919" s="31">
        <f>IFERROR(Table1[Re-process (Kg)]/Table1[Actual Production (Kg)], "")</f>
        <v>0</v>
      </c>
      <c r="I919" s="30">
        <f>IFERROR(Table1[[#This Row],[Actual Production (Kg)]]-Table1[[#This Row],[Re-process (Kg)]], "")</f>
        <v>4961</v>
      </c>
      <c r="J919" s="30"/>
      <c r="K919" s="71"/>
      <c r="L919" s="30" t="str">
        <f>IF(Table1[[#This Row],[Target Time (Hours)]]="","",Table1[[#This Row],[Target Time (Hours)]]-Table1[[#This Row],[Downtime (Hours)]])</f>
        <v/>
      </c>
      <c r="M919" s="30" t="str">
        <f>IFERROR(Table1[[#This Row],[Capacity (Kg)]]/Table1[[#This Row],[Target Time (Hours)]] * Table1[[#This Row],[Downtime (Hours)]], "")</f>
        <v/>
      </c>
      <c r="N919" s="31" t="str">
        <f>IFERROR(Table1[[#This Row],[Running Time (hr)]]/Table1[Target Time (Hours)], "")</f>
        <v/>
      </c>
      <c r="O919" s="31">
        <f>IFERROR(Table1[[#This Row],[Actual Production (Kg)]]/Table1[Capacity (Kg)], "")</f>
        <v>0.82683333333333331</v>
      </c>
      <c r="P919" s="31">
        <f>IFERROR(Table1[[#This Row],[Quality Pass Production]]/Table1[[#This Row],[Actual Production (Kg)]], "")</f>
        <v>1</v>
      </c>
      <c r="Q919" s="31" t="str">
        <f>IFERROR(Table1[[#This Row],[Utilization %]]*Table1[[#This Row],[Efficiency %]]*Table1[[#This Row],[Quality %]], "")</f>
        <v/>
      </c>
      <c r="R919" s="29"/>
    </row>
    <row r="920" spans="1:18" ht="45" customHeight="1" x14ac:dyDescent="0.25">
      <c r="A920" s="32">
        <v>46200</v>
      </c>
      <c r="B920" s="33" t="s">
        <v>18</v>
      </c>
      <c r="C920" s="33" t="s">
        <v>26</v>
      </c>
      <c r="D920" s="33" t="s">
        <v>25</v>
      </c>
      <c r="E920" s="34">
        <v>10500</v>
      </c>
      <c r="F920" s="74">
        <f>3154+7936</f>
        <v>11090</v>
      </c>
      <c r="G920" s="34">
        <v>0</v>
      </c>
      <c r="H920" s="35">
        <f>IFERROR(Table1[Re-process (Kg)]/Table1[Actual Production (Kg)], "")</f>
        <v>0</v>
      </c>
      <c r="I920" s="34">
        <f>IFERROR(Table1[[#This Row],[Actual Production (Kg)]]-Table1[[#This Row],[Re-process (Kg)]], "")</f>
        <v>11090</v>
      </c>
      <c r="J920" s="34"/>
      <c r="K920" s="70">
        <v>0.4</v>
      </c>
      <c r="L920" s="34" t="str">
        <f>IF(Table1[[#This Row],[Target Time (Hours)]]="","",Table1[[#This Row],[Target Time (Hours)]]-Table1[[#This Row],[Downtime (Hours)]])</f>
        <v/>
      </c>
      <c r="M920" s="34" t="str">
        <f>IFERROR(Table1[[#This Row],[Capacity (Kg)]]/Table1[[#This Row],[Target Time (Hours)]] * Table1[[#This Row],[Downtime (Hours)]], "")</f>
        <v/>
      </c>
      <c r="N920" s="35" t="str">
        <f>IFERROR(Table1[[#This Row],[Running Time (hr)]]/Table1[Target Time (Hours)], "")</f>
        <v/>
      </c>
      <c r="O920" s="35">
        <f>IFERROR(Table1[[#This Row],[Actual Production (Kg)]]/Table1[Capacity (Kg)], "")</f>
        <v>1.0561904761904761</v>
      </c>
      <c r="P920" s="35">
        <f>IFERROR(Table1[[#This Row],[Quality Pass Production]]/Table1[[#This Row],[Actual Production (Kg)]], "")</f>
        <v>1</v>
      </c>
      <c r="Q920" s="35" t="str">
        <f>IFERROR(Table1[[#This Row],[Utilization %]]*Table1[[#This Row],[Efficiency %]]*Table1[[#This Row],[Quality %]], "")</f>
        <v/>
      </c>
      <c r="R920" s="33" t="s">
        <v>252</v>
      </c>
    </row>
    <row r="921" spans="1:18" ht="30" customHeight="1" x14ac:dyDescent="0.25">
      <c r="A921" s="32">
        <v>46200</v>
      </c>
      <c r="B921" s="29" t="s">
        <v>18</v>
      </c>
      <c r="C921" s="29" t="s">
        <v>28</v>
      </c>
      <c r="D921" s="29" t="s">
        <v>29</v>
      </c>
      <c r="E921" s="30">
        <v>11700</v>
      </c>
      <c r="F921" s="75">
        <f>2809+3860</f>
        <v>6669</v>
      </c>
      <c r="G921" s="30">
        <v>0</v>
      </c>
      <c r="H921" s="31">
        <f>IFERROR(Table1[Re-process (Kg)]/Table1[Actual Production (Kg)], "")</f>
        <v>0</v>
      </c>
      <c r="I921" s="30">
        <f>IFERROR(Table1[[#This Row],[Actual Production (Kg)]]-Table1[[#This Row],[Re-process (Kg)]], "")</f>
        <v>6669</v>
      </c>
      <c r="J921" s="30">
        <v>33</v>
      </c>
      <c r="K921" s="71">
        <v>8</v>
      </c>
      <c r="L921" s="30">
        <f>IF(Table1[[#This Row],[Target Time (Hours)]]="","",Table1[[#This Row],[Target Time (Hours)]]-Table1[[#This Row],[Downtime (Hours)]])</f>
        <v>25</v>
      </c>
      <c r="M921" s="30">
        <f>IFERROR(Table1[[#This Row],[Capacity (Kg)]]/Table1[[#This Row],[Target Time (Hours)]] * Table1[[#This Row],[Downtime (Hours)]], "")</f>
        <v>2836.3636363636365</v>
      </c>
      <c r="N921" s="31">
        <f>IFERROR(Table1[[#This Row],[Running Time (hr)]]/Table1[Target Time (Hours)], "")</f>
        <v>0.75757575757575757</v>
      </c>
      <c r="O921" s="31">
        <f>IFERROR(Table1[[#This Row],[Actual Production (Kg)]]/Table1[Capacity (Kg)], "")</f>
        <v>0.56999999999999995</v>
      </c>
      <c r="P921" s="31">
        <f>IFERROR(Table1[[#This Row],[Quality Pass Production]]/Table1[[#This Row],[Actual Production (Kg)]], "")</f>
        <v>1</v>
      </c>
      <c r="Q921" s="31">
        <f>IFERROR(Table1[[#This Row],[Utilization %]]*Table1[[#This Row],[Efficiency %]]*Table1[[#This Row],[Quality %]], "")</f>
        <v>0.43181818181818177</v>
      </c>
      <c r="R921" s="29" t="s">
        <v>253</v>
      </c>
    </row>
    <row r="922" spans="1:18" ht="30" customHeight="1" x14ac:dyDescent="0.25">
      <c r="A922" s="36">
        <v>46200</v>
      </c>
      <c r="B922" s="37" t="s">
        <v>18</v>
      </c>
      <c r="C922" s="37" t="s">
        <v>135</v>
      </c>
      <c r="D922" s="37" t="s">
        <v>29</v>
      </c>
      <c r="E922" s="38"/>
      <c r="F922" s="38"/>
      <c r="G922" s="38"/>
      <c r="H922" s="39" t="str">
        <f>IFERROR(Table1[Re-process (Kg)]/Table1[Actual Production (Kg)], "")</f>
        <v/>
      </c>
      <c r="I922" s="38">
        <f>IFERROR(Table1[[#This Row],[Actual Production (Kg)]]-Table1[[#This Row],[Re-process (Kg)]], "")</f>
        <v>0</v>
      </c>
      <c r="J922" s="38"/>
      <c r="K922" s="37"/>
      <c r="L922" s="38" t="str">
        <f>IF(Table1[[#This Row],[Target Time (Hours)]]="","",Table1[[#This Row],[Target Time (Hours)]]-Table1[[#This Row],[Downtime (Hours)]])</f>
        <v/>
      </c>
      <c r="M922" s="38" t="str">
        <f>IFERROR(Table1[[#This Row],[Capacity (Kg)]]/Table1[[#This Row],[Target Time (Hours)]] * Table1[[#This Row],[Downtime (Hours)]], "")</f>
        <v/>
      </c>
      <c r="N922" s="39" t="str">
        <f>IFERROR(Table1[[#This Row],[Running Time (hr)]]/Table1[Target Time (Hours)], "")</f>
        <v/>
      </c>
      <c r="O922" s="39" t="str">
        <f>IFERROR(Table1[[#This Row],[Actual Production (Kg)]]/Table1[Capacity (Kg)], "")</f>
        <v/>
      </c>
      <c r="P922" s="39" t="str">
        <f>IFERROR(Table1[[#This Row],[Quality Pass Production]]/Table1[[#This Row],[Actual Production (Kg)]], "")</f>
        <v/>
      </c>
      <c r="Q922" s="39" t="str">
        <f>IFERROR(Table1[[#This Row],[Utilization %]]*Table1[[#This Row],[Efficiency %]]*Table1[[#This Row],[Quality %]], "")</f>
        <v/>
      </c>
      <c r="R922" s="37"/>
    </row>
    <row r="923" spans="1:18" ht="30" customHeight="1" x14ac:dyDescent="0.25">
      <c r="A923" s="32">
        <v>46200</v>
      </c>
      <c r="B923" s="29" t="s">
        <v>18</v>
      </c>
      <c r="C923" s="29" t="s">
        <v>30</v>
      </c>
      <c r="D923" s="29" t="s">
        <v>31</v>
      </c>
      <c r="E923" s="30">
        <v>13500</v>
      </c>
      <c r="F923" s="75">
        <f>743+8612</f>
        <v>9355</v>
      </c>
      <c r="G923" s="30">
        <v>0</v>
      </c>
      <c r="H923" s="31">
        <f>IFERROR(Table1[Re-process (Kg)]/Table1[Actual Production (Kg)], "")</f>
        <v>0</v>
      </c>
      <c r="I923" s="30">
        <f>IFERROR(Table1[[#This Row],[Actual Production (Kg)]]-Table1[[#This Row],[Re-process (Kg)]], "")</f>
        <v>9355</v>
      </c>
      <c r="J923" s="30">
        <v>33</v>
      </c>
      <c r="K923" s="71">
        <v>8</v>
      </c>
      <c r="L923" s="30">
        <f>IF(Table1[[#This Row],[Target Time (Hours)]]="","",Table1[[#This Row],[Target Time (Hours)]]-Table1[[#This Row],[Downtime (Hours)]])</f>
        <v>25</v>
      </c>
      <c r="M923" s="30">
        <f>IFERROR(Table1[[#This Row],[Capacity (Kg)]]/Table1[[#This Row],[Target Time (Hours)]] * Table1[[#This Row],[Downtime (Hours)]], "")</f>
        <v>3272.7272727272725</v>
      </c>
      <c r="N923" s="31">
        <f>IFERROR(Table1[[#This Row],[Running Time (hr)]]/Table1[Target Time (Hours)], "")</f>
        <v>0.75757575757575757</v>
      </c>
      <c r="O923" s="31">
        <f>IFERROR(Table1[[#This Row],[Actual Production (Kg)]]/Table1[Capacity (Kg)], "")</f>
        <v>0.692962962962963</v>
      </c>
      <c r="P923" s="31">
        <f>IFERROR(Table1[[#This Row],[Quality Pass Production]]/Table1[[#This Row],[Actual Production (Kg)]], "")</f>
        <v>1</v>
      </c>
      <c r="Q923" s="31">
        <f>IFERROR(Table1[[#This Row],[Utilization %]]*Table1[[#This Row],[Efficiency %]]*Table1[[#This Row],[Quality %]], "")</f>
        <v>0.52497194163860839</v>
      </c>
      <c r="R923" s="29" t="s">
        <v>254</v>
      </c>
    </row>
    <row r="924" spans="1:18" ht="30" customHeight="1" x14ac:dyDescent="0.25">
      <c r="A924" s="36">
        <v>46200</v>
      </c>
      <c r="B924" s="37" t="s">
        <v>18</v>
      </c>
      <c r="C924" s="37" t="s">
        <v>32</v>
      </c>
      <c r="D924" s="37" t="s">
        <v>31</v>
      </c>
      <c r="E924" s="79">
        <f>Table1[[#This Row],[Actual Production (Kg)]]</f>
        <v>2013</v>
      </c>
      <c r="F924" s="38">
        <v>2013</v>
      </c>
      <c r="G924" s="38"/>
      <c r="H924" s="39">
        <f>IFERROR(Table1[Re-process (Kg)]/Table1[Actual Production (Kg)], "")</f>
        <v>0</v>
      </c>
      <c r="I924" s="38">
        <f>IFERROR(Table1[[#This Row],[Actual Production (Kg)]]-Table1[[#This Row],[Re-process (Kg)]], "")</f>
        <v>2013</v>
      </c>
      <c r="J924" s="38"/>
      <c r="K924" s="37"/>
      <c r="L924" s="38" t="str">
        <f>IF(Table1[[#This Row],[Target Time (Hours)]]="","",Table1[[#This Row],[Target Time (Hours)]]-Table1[[#This Row],[Downtime (Hours)]])</f>
        <v/>
      </c>
      <c r="M924" s="38" t="str">
        <f>IFERROR(Table1[[#This Row],[Capacity (Kg)]]/Table1[[#This Row],[Target Time (Hours)]] * Table1[[#This Row],[Downtime (Hours)]], "")</f>
        <v/>
      </c>
      <c r="N924" s="39" t="str">
        <f>IFERROR(Table1[[#This Row],[Running Time (hr)]]/Table1[Target Time (Hours)], "")</f>
        <v/>
      </c>
      <c r="O924" s="39">
        <f>IFERROR(Table1[[#This Row],[Actual Production (Kg)]]/Table1[Capacity (Kg)], "")</f>
        <v>1</v>
      </c>
      <c r="P924" s="39">
        <f>IFERROR(Table1[[#This Row],[Quality Pass Production]]/Table1[[#This Row],[Actual Production (Kg)]], "")</f>
        <v>1</v>
      </c>
      <c r="Q924" s="39" t="str">
        <f>IFERROR(Table1[[#This Row],[Utilization %]]*Table1[[#This Row],[Efficiency %]]*Table1[[#This Row],[Quality %]], "")</f>
        <v/>
      </c>
      <c r="R924" s="37" t="s">
        <v>255</v>
      </c>
    </row>
    <row r="925" spans="1:18" ht="30" customHeight="1" x14ac:dyDescent="0.25">
      <c r="A925" s="32">
        <v>46200</v>
      </c>
      <c r="B925" s="29" t="s">
        <v>33</v>
      </c>
      <c r="C925" s="29" t="s">
        <v>34</v>
      </c>
      <c r="D925" s="29" t="s">
        <v>35</v>
      </c>
      <c r="E925" s="30">
        <v>13500</v>
      </c>
      <c r="F925" s="75">
        <f>4591+7640</f>
        <v>12231</v>
      </c>
      <c r="G925" s="30">
        <v>0</v>
      </c>
      <c r="H925" s="31">
        <f>IFERROR(Table1[Re-process (Kg)]/Table1[Actual Production (Kg)], "")</f>
        <v>0</v>
      </c>
      <c r="I925" s="30">
        <f>IFERROR(Table1[[#This Row],[Actual Production (Kg)]]-Table1[[#This Row],[Re-process (Kg)]], "")</f>
        <v>12231</v>
      </c>
      <c r="J925" s="30">
        <v>33</v>
      </c>
      <c r="K925" s="71"/>
      <c r="L925" s="30">
        <f>IF(Table1[[#This Row],[Target Time (Hours)]]="","",Table1[[#This Row],[Target Time (Hours)]]-Table1[[#This Row],[Downtime (Hours)]])</f>
        <v>33</v>
      </c>
      <c r="M925" s="30">
        <f>IFERROR(Table1[[#This Row],[Capacity (Kg)]]/Table1[[#This Row],[Target Time (Hours)]] * Table1[[#This Row],[Downtime (Hours)]], "")</f>
        <v>0</v>
      </c>
      <c r="N925" s="31">
        <f>IFERROR(Table1[[#This Row],[Running Time (hr)]]/Table1[Target Time (Hours)], "")</f>
        <v>1</v>
      </c>
      <c r="O925" s="31">
        <f>IFERROR(Table1[[#This Row],[Actual Production (Kg)]]/Table1[Capacity (Kg)], "")</f>
        <v>0.90600000000000003</v>
      </c>
      <c r="P925" s="31">
        <f>IFERROR(Table1[[#This Row],[Quality Pass Production]]/Table1[[#This Row],[Actual Production (Kg)]], "")</f>
        <v>1</v>
      </c>
      <c r="Q925" s="31">
        <f>IFERROR(Table1[[#This Row],[Utilization %]]*Table1[[#This Row],[Efficiency %]]*Table1[[#This Row],[Quality %]], "")</f>
        <v>0.90600000000000003</v>
      </c>
      <c r="R925" s="29"/>
    </row>
    <row r="926" spans="1:18" ht="30" customHeight="1" x14ac:dyDescent="0.25">
      <c r="A926" s="32">
        <v>46200</v>
      </c>
      <c r="B926" s="33" t="s">
        <v>33</v>
      </c>
      <c r="C926" s="33" t="s">
        <v>36</v>
      </c>
      <c r="D926" s="33" t="s">
        <v>37</v>
      </c>
      <c r="E926" s="34">
        <v>12000</v>
      </c>
      <c r="F926" s="74">
        <f>4189+7345</f>
        <v>11534</v>
      </c>
      <c r="G926" s="34">
        <v>0</v>
      </c>
      <c r="H926" s="35">
        <f>IFERROR(Table1[Re-process (Kg)]/Table1[Actual Production (Kg)], "")</f>
        <v>0</v>
      </c>
      <c r="I926" s="34">
        <f>IFERROR(Table1[[#This Row],[Actual Production (Kg)]]-Table1[[#This Row],[Re-process (Kg)]], "")</f>
        <v>11534</v>
      </c>
      <c r="J926" s="34">
        <v>33</v>
      </c>
      <c r="K926" s="70">
        <f>0.4+2</f>
        <v>2.4</v>
      </c>
      <c r="L926" s="34">
        <f>IF(Table1[[#This Row],[Target Time (Hours)]]="","",Table1[[#This Row],[Target Time (Hours)]]-Table1[[#This Row],[Downtime (Hours)]])</f>
        <v>30.6</v>
      </c>
      <c r="M926" s="34">
        <f>IFERROR(Table1[[#This Row],[Capacity (Kg)]]/Table1[[#This Row],[Target Time (Hours)]] * Table1[[#This Row],[Downtime (Hours)]], "")</f>
        <v>872.72727272727263</v>
      </c>
      <c r="N926" s="35">
        <f>IFERROR(Table1[[#This Row],[Running Time (hr)]]/Table1[Target Time (Hours)], "")</f>
        <v>0.92727272727272736</v>
      </c>
      <c r="O926" s="35">
        <f>IFERROR(Table1[[#This Row],[Actual Production (Kg)]]/Table1[Capacity (Kg)], "")</f>
        <v>0.96116666666666661</v>
      </c>
      <c r="P926" s="35">
        <f>IFERROR(Table1[[#This Row],[Quality Pass Production]]/Table1[[#This Row],[Actual Production (Kg)]], "")</f>
        <v>1</v>
      </c>
      <c r="Q926" s="35">
        <f>IFERROR(Table1[[#This Row],[Utilization %]]*Table1[[#This Row],[Efficiency %]]*Table1[[#This Row],[Quality %]], "")</f>
        <v>0.89126363636363637</v>
      </c>
      <c r="R926" s="33" t="s">
        <v>256</v>
      </c>
    </row>
    <row r="927" spans="1:18" ht="30" customHeight="1" x14ac:dyDescent="0.25">
      <c r="A927" s="32">
        <v>46200</v>
      </c>
      <c r="B927" s="29" t="s">
        <v>33</v>
      </c>
      <c r="C927" s="29" t="s">
        <v>39</v>
      </c>
      <c r="D927" s="29" t="s">
        <v>31</v>
      </c>
      <c r="E927" s="30">
        <v>9000</v>
      </c>
      <c r="F927" s="75">
        <v>3088</v>
      </c>
      <c r="G927" s="30">
        <v>0</v>
      </c>
      <c r="H927" s="31">
        <f>IFERROR(Table1[Re-process (Kg)]/Table1[Actual Production (Kg)], "")</f>
        <v>0</v>
      </c>
      <c r="I927" s="30">
        <f>IFERROR(Table1[[#This Row],[Actual Production (Kg)]]-Table1[[#This Row],[Re-process (Kg)]], "")</f>
        <v>3088</v>
      </c>
      <c r="J927" s="30">
        <v>33</v>
      </c>
      <c r="K927" s="71"/>
      <c r="L927" s="30">
        <f>IF(Table1[[#This Row],[Target Time (Hours)]]="","",Table1[[#This Row],[Target Time (Hours)]]-Table1[[#This Row],[Downtime (Hours)]])</f>
        <v>33</v>
      </c>
      <c r="M927" s="30">
        <f>IFERROR(Table1[[#This Row],[Capacity (Kg)]]/Table1[[#This Row],[Target Time (Hours)]] * Table1[[#This Row],[Downtime (Hours)]], "")</f>
        <v>0</v>
      </c>
      <c r="N927" s="31">
        <f>IFERROR(Table1[[#This Row],[Running Time (hr)]]/Table1[Target Time (Hours)], "")</f>
        <v>1</v>
      </c>
      <c r="O927" s="31">
        <f>IFERROR(Table1[[#This Row],[Actual Production (Kg)]]/Table1[Capacity (Kg)], "")</f>
        <v>0.34311111111111109</v>
      </c>
      <c r="P927" s="31">
        <f>IFERROR(Table1[[#This Row],[Quality Pass Production]]/Table1[[#This Row],[Actual Production (Kg)]], "")</f>
        <v>1</v>
      </c>
      <c r="Q927" s="31">
        <f>IFERROR(Table1[[#This Row],[Utilization %]]*Table1[[#This Row],[Efficiency %]]*Table1[[#This Row],[Quality %]], "")</f>
        <v>0.34311111111111109</v>
      </c>
      <c r="R927" s="29"/>
    </row>
    <row r="928" spans="1:18" ht="45" customHeight="1" x14ac:dyDescent="0.25">
      <c r="A928" s="46">
        <v>46200</v>
      </c>
      <c r="B928" s="42" t="s">
        <v>33</v>
      </c>
      <c r="C928" s="42" t="s">
        <v>40</v>
      </c>
      <c r="D928" s="42" t="s">
        <v>31</v>
      </c>
      <c r="E928" s="43">
        <v>7500</v>
      </c>
      <c r="F928" s="43">
        <f>1601+4859</f>
        <v>6460</v>
      </c>
      <c r="G928" s="43">
        <v>0</v>
      </c>
      <c r="H928" s="44">
        <f>IFERROR(Table1[Re-process (Kg)]/Table1[Actual Production (Kg)], "")</f>
        <v>0</v>
      </c>
      <c r="I928" s="43">
        <f>IFERROR(Table1[[#This Row],[Actual Production (Kg)]]-Table1[[#This Row],[Re-process (Kg)]], "")</f>
        <v>6460</v>
      </c>
      <c r="J928" s="43">
        <v>33</v>
      </c>
      <c r="K928" s="42"/>
      <c r="L928" s="43">
        <f>IF(Table1[[#This Row],[Target Time (Hours)]]="","",Table1[[#This Row],[Target Time (Hours)]]-Table1[[#This Row],[Downtime (Hours)]])</f>
        <v>33</v>
      </c>
      <c r="M928" s="43">
        <f>IFERROR(Table1[[#This Row],[Capacity (Kg)]]/Table1[[#This Row],[Target Time (Hours)]] * Table1[[#This Row],[Downtime (Hours)]], "")</f>
        <v>0</v>
      </c>
      <c r="N928" s="44">
        <f>IFERROR(Table1[[#This Row],[Running Time (hr)]]/Table1[Target Time (Hours)], "")</f>
        <v>1</v>
      </c>
      <c r="O928" s="44">
        <f>IFERROR(Table1[[#This Row],[Actual Production (Kg)]]/Table1[Capacity (Kg)], "")</f>
        <v>0.86133333333333328</v>
      </c>
      <c r="P928" s="44">
        <f>IFERROR(Table1[[#This Row],[Quality Pass Production]]/Table1[[#This Row],[Actual Production (Kg)]], "")</f>
        <v>1</v>
      </c>
      <c r="Q928" s="44">
        <f>IFERROR(Table1[[#This Row],[Utilization %]]*Table1[[#This Row],[Efficiency %]]*Table1[[#This Row],[Quality %]], "")</f>
        <v>0.86133333333333328</v>
      </c>
      <c r="R928" s="42"/>
    </row>
    <row r="929" spans="1:18" ht="30" customHeight="1" x14ac:dyDescent="0.25">
      <c r="A929" s="47">
        <v>46201</v>
      </c>
      <c r="B929" s="48" t="s">
        <v>18</v>
      </c>
      <c r="C929" s="48" t="s">
        <v>19</v>
      </c>
      <c r="D929" s="48" t="s">
        <v>20</v>
      </c>
      <c r="E929" s="49">
        <v>10000</v>
      </c>
      <c r="F929" s="76">
        <v>8625</v>
      </c>
      <c r="G929" s="34">
        <v>0</v>
      </c>
      <c r="H929" s="50">
        <f>IFERROR(Table1[Re-process (Kg)]/Table1[Actual Production (Kg)], "")</f>
        <v>0</v>
      </c>
      <c r="I929" s="49">
        <f>IFERROR(Table1[[#This Row],[Actual Production (Kg)]]-Table1[[#This Row],[Re-process (Kg)]], "")</f>
        <v>8625</v>
      </c>
      <c r="J929" s="49">
        <v>22</v>
      </c>
      <c r="K929" s="72"/>
      <c r="L929" s="49">
        <f>IF(Table1[[#This Row],[Target Time (Hours)]]="","",Table1[[#This Row],[Target Time (Hours)]]-Table1[[#This Row],[Downtime (Hours)]])</f>
        <v>22</v>
      </c>
      <c r="M929" s="49">
        <f>IFERROR(Table1[[#This Row],[Capacity (Kg)]]/Table1[[#This Row],[Target Time (Hours)]] * Table1[[#This Row],[Downtime (Hours)]], "")</f>
        <v>0</v>
      </c>
      <c r="N929" s="50">
        <f>IFERROR(Table1[[#This Row],[Running Time (hr)]]/Table1[Target Time (Hours)], "")</f>
        <v>1</v>
      </c>
      <c r="O929" s="50">
        <f>IFERROR(Table1[[#This Row],[Actual Production (Kg)]]/Table1[Capacity (Kg)], "")</f>
        <v>0.86250000000000004</v>
      </c>
      <c r="P929" s="50">
        <f>IFERROR(Table1[[#This Row],[Quality Pass Production]]/Table1[[#This Row],[Actual Production (Kg)]], "")</f>
        <v>1</v>
      </c>
      <c r="Q929" s="50">
        <f>IFERROR(Table1[[#This Row],[Utilization %]]*Table1[[#This Row],[Efficiency %]]*Table1[[#This Row],[Quality %]], "")</f>
        <v>0.86250000000000004</v>
      </c>
    </row>
    <row r="930" spans="1:18" x14ac:dyDescent="0.25">
      <c r="A930" s="51">
        <v>46201</v>
      </c>
      <c r="B930" s="52" t="s">
        <v>18</v>
      </c>
      <c r="C930" s="52" t="s">
        <v>238</v>
      </c>
      <c r="D930" s="52" t="s">
        <v>20</v>
      </c>
      <c r="E930" s="79">
        <f>Table1[[#This Row],[Actual Production (Kg)]]</f>
        <v>9011</v>
      </c>
      <c r="F930" s="53">
        <v>9011</v>
      </c>
      <c r="G930" s="38">
        <v>0</v>
      </c>
      <c r="H930" s="57">
        <f>IFERROR(Table1[Re-process (Kg)]/Table1[Actual Production (Kg)], "")</f>
        <v>0</v>
      </c>
      <c r="I930" s="53">
        <f>IFERROR(Table1[[#This Row],[Actual Production (Kg)]]-Table1[[#This Row],[Re-process (Kg)]], "")</f>
        <v>9011</v>
      </c>
      <c r="J930" s="53"/>
      <c r="K930" s="52"/>
      <c r="L930" s="53" t="str">
        <f>IF(Table1[[#This Row],[Target Time (Hours)]]="","",Table1[[#This Row],[Target Time (Hours)]]-Table1[[#This Row],[Downtime (Hours)]])</f>
        <v/>
      </c>
      <c r="M930" s="53" t="str">
        <f>IFERROR(Table1[[#This Row],[Capacity (Kg)]]/Table1[[#This Row],[Target Time (Hours)]] * Table1[[#This Row],[Downtime (Hours)]], "")</f>
        <v/>
      </c>
      <c r="N930" s="57" t="str">
        <f>IFERROR(Table1[[#This Row],[Running Time (hr)]]/Table1[Target Time (Hours)], "")</f>
        <v/>
      </c>
      <c r="O930" s="57">
        <f>IFERROR(Table1[[#This Row],[Actual Production (Kg)]]/Table1[Capacity (Kg)], "")</f>
        <v>1</v>
      </c>
      <c r="P930" s="57">
        <f>IFERROR(Table1[[#This Row],[Quality Pass Production]]/Table1[[#This Row],[Actual Production (Kg)]], "")</f>
        <v>1</v>
      </c>
      <c r="Q930" s="57" t="str">
        <f>IFERROR(Table1[[#This Row],[Utilization %]]*Table1[[#This Row],[Efficiency %]]*Table1[[#This Row],[Quality %]], "")</f>
        <v/>
      </c>
      <c r="R930" s="52"/>
    </row>
    <row r="931" spans="1:18" ht="30" customHeight="1" x14ac:dyDescent="0.25">
      <c r="A931" s="47">
        <v>46201</v>
      </c>
      <c r="B931" s="48" t="s">
        <v>18</v>
      </c>
      <c r="C931" s="48" t="s">
        <v>22</v>
      </c>
      <c r="D931" s="48" t="s">
        <v>23</v>
      </c>
      <c r="E931" s="49">
        <v>5000</v>
      </c>
      <c r="F931" s="76">
        <v>5821</v>
      </c>
      <c r="G931" s="34">
        <v>0</v>
      </c>
      <c r="H931" s="50">
        <f>IFERROR(Table1[Re-process (Kg)]/Table1[Actual Production (Kg)], "")</f>
        <v>0</v>
      </c>
      <c r="I931" s="49">
        <f>IFERROR(Table1[[#This Row],[Actual Production (Kg)]]-Table1[[#This Row],[Re-process (Kg)]], "")</f>
        <v>5821</v>
      </c>
      <c r="J931" s="49">
        <v>22</v>
      </c>
      <c r="K931" s="72"/>
      <c r="L931" s="49">
        <f>IF(Table1[[#This Row],[Target Time (Hours)]]="","",Table1[[#This Row],[Target Time (Hours)]]-Table1[[#This Row],[Downtime (Hours)]])</f>
        <v>22</v>
      </c>
      <c r="M931" s="49">
        <f>IFERROR(Table1[[#This Row],[Capacity (Kg)]]/Table1[[#This Row],[Target Time (Hours)]] * Table1[[#This Row],[Downtime (Hours)]], "")</f>
        <v>0</v>
      </c>
      <c r="N931" s="50">
        <f>IFERROR(Table1[[#This Row],[Running Time (hr)]]/Table1[Target Time (Hours)], "")</f>
        <v>1</v>
      </c>
      <c r="O931" s="50">
        <f>IFERROR(Table1[[#This Row],[Actual Production (Kg)]]/Table1[Capacity (Kg)], "")</f>
        <v>1.1641999999999999</v>
      </c>
      <c r="P931" s="50">
        <f>IFERROR(Table1[[#This Row],[Quality Pass Production]]/Table1[[#This Row],[Actual Production (Kg)]], "")</f>
        <v>1</v>
      </c>
      <c r="Q931" s="50">
        <f>IFERROR(Table1[[#This Row],[Utilization %]]*Table1[[#This Row],[Efficiency %]]*Table1[[#This Row],[Quality %]], "")</f>
        <v>1.1641999999999999</v>
      </c>
      <c r="R931" s="48" t="s">
        <v>257</v>
      </c>
    </row>
    <row r="932" spans="1:18" x14ac:dyDescent="0.25">
      <c r="A932" s="47">
        <v>46201</v>
      </c>
      <c r="B932" s="48" t="s">
        <v>18</v>
      </c>
      <c r="C932" s="48" t="s">
        <v>22</v>
      </c>
      <c r="D932" s="48" t="s">
        <v>25</v>
      </c>
      <c r="E932" s="49">
        <v>4000</v>
      </c>
      <c r="F932" s="76">
        <v>3358</v>
      </c>
      <c r="G932" s="30">
        <v>0</v>
      </c>
      <c r="H932" s="50">
        <f>IFERROR(Table1[Re-process (Kg)]/Table1[Actual Production (Kg)], "")</f>
        <v>0</v>
      </c>
      <c r="I932" s="49">
        <f>IFERROR(Table1[[#This Row],[Actual Production (Kg)]]-Table1[[#This Row],[Re-process (Kg)]], "")</f>
        <v>3358</v>
      </c>
      <c r="J932" s="49"/>
      <c r="K932" s="72"/>
      <c r="L932" s="49" t="str">
        <f>IF(Table1[[#This Row],[Target Time (Hours)]]="","",Table1[[#This Row],[Target Time (Hours)]]-Table1[[#This Row],[Downtime (Hours)]])</f>
        <v/>
      </c>
      <c r="M932" s="49" t="str">
        <f>IFERROR(Table1[[#This Row],[Capacity (Kg)]]/Table1[[#This Row],[Target Time (Hours)]] * Table1[[#This Row],[Downtime (Hours)]], "")</f>
        <v/>
      </c>
      <c r="N932" s="50" t="str">
        <f>IFERROR(Table1[[#This Row],[Running Time (hr)]]/Table1[Target Time (Hours)], "")</f>
        <v/>
      </c>
      <c r="O932" s="50">
        <f>IFERROR(Table1[[#This Row],[Actual Production (Kg)]]/Table1[Capacity (Kg)], "")</f>
        <v>0.83950000000000002</v>
      </c>
      <c r="P932" s="50">
        <f>IFERROR(Table1[[#This Row],[Quality Pass Production]]/Table1[[#This Row],[Actual Production (Kg)]], "")</f>
        <v>1</v>
      </c>
      <c r="Q932" s="50" t="str">
        <f>IFERROR(Table1[[#This Row],[Utilization %]]*Table1[[#This Row],[Efficiency %]]*Table1[[#This Row],[Quality %]], "")</f>
        <v/>
      </c>
    </row>
    <row r="933" spans="1:18" x14ac:dyDescent="0.25">
      <c r="A933" s="47">
        <v>46201</v>
      </c>
      <c r="B933" s="48" t="s">
        <v>18</v>
      </c>
      <c r="C933" s="48" t="s">
        <v>26</v>
      </c>
      <c r="D933" s="48" t="s">
        <v>25</v>
      </c>
      <c r="E933" s="49">
        <v>7000</v>
      </c>
      <c r="F933" s="76">
        <v>8103</v>
      </c>
      <c r="G933" s="34">
        <v>0</v>
      </c>
      <c r="H933" s="50">
        <f>IFERROR(Table1[Re-process (Kg)]/Table1[Actual Production (Kg)], "")</f>
        <v>0</v>
      </c>
      <c r="I933" s="49">
        <f>IFERROR(Table1[[#This Row],[Actual Production (Kg)]]-Table1[[#This Row],[Re-process (Kg)]], "")</f>
        <v>8103</v>
      </c>
      <c r="J933" s="49">
        <v>22</v>
      </c>
      <c r="K933" s="72"/>
      <c r="L933" s="49">
        <f>IF(Table1[[#This Row],[Target Time (Hours)]]="","",Table1[[#This Row],[Target Time (Hours)]]-Table1[[#This Row],[Downtime (Hours)]])</f>
        <v>22</v>
      </c>
      <c r="M933" s="49">
        <f>IFERROR(Table1[[#This Row],[Capacity (Kg)]]/Table1[[#This Row],[Target Time (Hours)]] * Table1[[#This Row],[Downtime (Hours)]], "")</f>
        <v>0</v>
      </c>
      <c r="N933" s="50">
        <f>IFERROR(Table1[[#This Row],[Running Time (hr)]]/Table1[Target Time (Hours)], "")</f>
        <v>1</v>
      </c>
      <c r="O933" s="50">
        <f>IFERROR(Table1[[#This Row],[Actual Production (Kg)]]/Table1[Capacity (Kg)], "")</f>
        <v>1.1575714285714285</v>
      </c>
      <c r="P933" s="50">
        <f>IFERROR(Table1[[#This Row],[Quality Pass Production]]/Table1[[#This Row],[Actual Production (Kg)]], "")</f>
        <v>1</v>
      </c>
      <c r="Q933" s="50">
        <f>IFERROR(Table1[[#This Row],[Utilization %]]*Table1[[#This Row],[Efficiency %]]*Table1[[#This Row],[Quality %]], "")</f>
        <v>1.1575714285714285</v>
      </c>
    </row>
    <row r="934" spans="1:18" ht="30" customHeight="1" x14ac:dyDescent="0.25">
      <c r="A934" s="47">
        <v>46201</v>
      </c>
      <c r="B934" s="48" t="s">
        <v>18</v>
      </c>
      <c r="C934" s="48" t="s">
        <v>28</v>
      </c>
      <c r="D934" s="48" t="s">
        <v>29</v>
      </c>
      <c r="E934" s="49">
        <v>7800</v>
      </c>
      <c r="F934" s="76">
        <v>4399</v>
      </c>
      <c r="G934" s="30">
        <v>0</v>
      </c>
      <c r="H934" s="50">
        <f>IFERROR(Table1[Re-process (Kg)]/Table1[Actual Production (Kg)], "")</f>
        <v>0</v>
      </c>
      <c r="I934" s="49">
        <f>IFERROR(Table1[[#This Row],[Actual Production (Kg)]]-Table1[[#This Row],[Re-process (Kg)]], "")</f>
        <v>4399</v>
      </c>
      <c r="J934" s="49">
        <v>22</v>
      </c>
      <c r="K934" s="72">
        <v>5</v>
      </c>
      <c r="L934" s="49">
        <f>IF(Table1[[#This Row],[Target Time (Hours)]]="","",Table1[[#This Row],[Target Time (Hours)]]-Table1[[#This Row],[Downtime (Hours)]])</f>
        <v>17</v>
      </c>
      <c r="M934" s="49">
        <f>IFERROR(Table1[[#This Row],[Capacity (Kg)]]/Table1[[#This Row],[Target Time (Hours)]] * Table1[[#This Row],[Downtime (Hours)]], "")</f>
        <v>1772.7272727272727</v>
      </c>
      <c r="N934" s="50">
        <f>IFERROR(Table1[[#This Row],[Running Time (hr)]]/Table1[Target Time (Hours)], "")</f>
        <v>0.77272727272727271</v>
      </c>
      <c r="O934" s="50">
        <f>IFERROR(Table1[[#This Row],[Actual Production (Kg)]]/Table1[Capacity (Kg)], "")</f>
        <v>0.56397435897435899</v>
      </c>
      <c r="P934" s="50">
        <f>IFERROR(Table1[[#This Row],[Quality Pass Production]]/Table1[[#This Row],[Actual Production (Kg)]], "")</f>
        <v>1</v>
      </c>
      <c r="Q934" s="50">
        <f>IFERROR(Table1[[#This Row],[Utilization %]]*Table1[[#This Row],[Efficiency %]]*Table1[[#This Row],[Quality %]], "")</f>
        <v>0.43579836829836832</v>
      </c>
      <c r="R934" s="48" t="s">
        <v>258</v>
      </c>
    </row>
    <row r="935" spans="1:18" ht="30" customHeight="1" x14ac:dyDescent="0.25">
      <c r="A935" s="51">
        <v>46201</v>
      </c>
      <c r="B935" s="52" t="s">
        <v>18</v>
      </c>
      <c r="C935" s="52" t="s">
        <v>135</v>
      </c>
      <c r="D935" s="52" t="s">
        <v>29</v>
      </c>
      <c r="E935" s="53"/>
      <c r="F935" s="53"/>
      <c r="G935" s="38"/>
      <c r="H935" s="57" t="str">
        <f>IFERROR(Table1[Re-process (Kg)]/Table1[Actual Production (Kg)], "")</f>
        <v/>
      </c>
      <c r="I935" s="53">
        <f>IFERROR(Table1[[#This Row],[Actual Production (Kg)]]-Table1[[#This Row],[Re-process (Kg)]], "")</f>
        <v>0</v>
      </c>
      <c r="J935" s="53"/>
      <c r="K935" s="52"/>
      <c r="L935" s="53" t="str">
        <f>IF(Table1[[#This Row],[Target Time (Hours)]]="","",Table1[[#This Row],[Target Time (Hours)]]-Table1[[#This Row],[Downtime (Hours)]])</f>
        <v/>
      </c>
      <c r="M935" s="53" t="str">
        <f>IFERROR(Table1[[#This Row],[Capacity (Kg)]]/Table1[[#This Row],[Target Time (Hours)]] * Table1[[#This Row],[Downtime (Hours)]], "")</f>
        <v/>
      </c>
      <c r="N935" s="57" t="str">
        <f>IFERROR(Table1[[#This Row],[Running Time (hr)]]/Table1[Target Time (Hours)], "")</f>
        <v/>
      </c>
      <c r="O935" s="57" t="str">
        <f>IFERROR(Table1[[#This Row],[Actual Production (Kg)]]/Table1[Capacity (Kg)], "")</f>
        <v/>
      </c>
      <c r="P935" s="57" t="str">
        <f>IFERROR(Table1[[#This Row],[Quality Pass Production]]/Table1[[#This Row],[Actual Production (Kg)]], "")</f>
        <v/>
      </c>
      <c r="Q935" s="57" t="str">
        <f>IFERROR(Table1[[#This Row],[Utilization %]]*Table1[[#This Row],[Efficiency %]]*Table1[[#This Row],[Quality %]], "")</f>
        <v/>
      </c>
      <c r="R935" s="52"/>
    </row>
    <row r="936" spans="1:18" ht="30" customHeight="1" x14ac:dyDescent="0.25">
      <c r="A936" s="47">
        <v>46201</v>
      </c>
      <c r="B936" s="48" t="s">
        <v>18</v>
      </c>
      <c r="C936" s="48" t="s">
        <v>30</v>
      </c>
      <c r="D936" s="48" t="s">
        <v>31</v>
      </c>
      <c r="E936" s="49">
        <v>9000</v>
      </c>
      <c r="F936" s="76">
        <v>7281</v>
      </c>
      <c r="G936" s="30">
        <v>0</v>
      </c>
      <c r="H936" s="50">
        <f>IFERROR(Table1[Re-process (Kg)]/Table1[Actual Production (Kg)], "")</f>
        <v>0</v>
      </c>
      <c r="I936" s="49">
        <f>IFERROR(Table1[[#This Row],[Actual Production (Kg)]]-Table1[[#This Row],[Re-process (Kg)]], "")</f>
        <v>7281</v>
      </c>
      <c r="J936" s="49">
        <v>22</v>
      </c>
      <c r="K936" s="72"/>
      <c r="L936" s="49">
        <f>IF(Table1[[#This Row],[Target Time (Hours)]]="","",Table1[[#This Row],[Target Time (Hours)]]-Table1[[#This Row],[Downtime (Hours)]])</f>
        <v>22</v>
      </c>
      <c r="M936" s="49">
        <f>IFERROR(Table1[[#This Row],[Capacity (Kg)]]/Table1[[#This Row],[Target Time (Hours)]] * Table1[[#This Row],[Downtime (Hours)]], "")</f>
        <v>0</v>
      </c>
      <c r="N936" s="50">
        <f>IFERROR(Table1[[#This Row],[Running Time (hr)]]/Table1[Target Time (Hours)], "")</f>
        <v>1</v>
      </c>
      <c r="O936" s="50">
        <f>IFERROR(Table1[[#This Row],[Actual Production (Kg)]]/Table1[Capacity (Kg)], "")</f>
        <v>0.80900000000000005</v>
      </c>
      <c r="P936" s="50">
        <f>IFERROR(Table1[[#This Row],[Quality Pass Production]]/Table1[[#This Row],[Actual Production (Kg)]], "")</f>
        <v>1</v>
      </c>
      <c r="Q936" s="50">
        <f>IFERROR(Table1[[#This Row],[Utilization %]]*Table1[[#This Row],[Efficiency %]]*Table1[[#This Row],[Quality %]], "")</f>
        <v>0.80900000000000005</v>
      </c>
    </row>
    <row r="937" spans="1:18" ht="30" customHeight="1" x14ac:dyDescent="0.25">
      <c r="A937" s="51">
        <v>46201</v>
      </c>
      <c r="B937" s="52" t="s">
        <v>18</v>
      </c>
      <c r="C937" s="52" t="s">
        <v>32</v>
      </c>
      <c r="D937" s="52" t="s">
        <v>31</v>
      </c>
      <c r="E937" s="79">
        <f>Table1[[#This Row],[Actual Production (Kg)]]</f>
        <v>0</v>
      </c>
      <c r="F937" s="53"/>
      <c r="G937" s="38"/>
      <c r="H937" s="57" t="str">
        <f>IFERROR(Table1[Re-process (Kg)]/Table1[Actual Production (Kg)], "")</f>
        <v/>
      </c>
      <c r="I937" s="53">
        <f>IFERROR(Table1[[#This Row],[Actual Production (Kg)]]-Table1[[#This Row],[Re-process (Kg)]], "")</f>
        <v>0</v>
      </c>
      <c r="J937" s="53"/>
      <c r="K937" s="52"/>
      <c r="L937" s="53" t="str">
        <f>IF(Table1[[#This Row],[Target Time (Hours)]]="","",Table1[[#This Row],[Target Time (Hours)]]-Table1[[#This Row],[Downtime (Hours)]])</f>
        <v/>
      </c>
      <c r="M937" s="53" t="str">
        <f>IFERROR(Table1[[#This Row],[Capacity (Kg)]]/Table1[[#This Row],[Target Time (Hours)]] * Table1[[#This Row],[Downtime (Hours)]], "")</f>
        <v/>
      </c>
      <c r="N937" s="57" t="str">
        <f>IFERROR(Table1[[#This Row],[Running Time (hr)]]/Table1[Target Time (Hours)], "")</f>
        <v/>
      </c>
      <c r="O937" s="57" t="str">
        <f>IFERROR(Table1[[#This Row],[Actual Production (Kg)]]/Table1[Capacity (Kg)], "")</f>
        <v/>
      </c>
      <c r="P937" s="57" t="str">
        <f>IFERROR(Table1[[#This Row],[Quality Pass Production]]/Table1[[#This Row],[Actual Production (Kg)]], "")</f>
        <v/>
      </c>
      <c r="Q937" s="57" t="str">
        <f>IFERROR(Table1[[#This Row],[Utilization %]]*Table1[[#This Row],[Efficiency %]]*Table1[[#This Row],[Quality %]], "")</f>
        <v/>
      </c>
      <c r="R937" s="52"/>
    </row>
    <row r="938" spans="1:18" ht="30" customHeight="1" x14ac:dyDescent="0.25">
      <c r="A938" s="47">
        <v>46201</v>
      </c>
      <c r="B938" s="48" t="s">
        <v>33</v>
      </c>
      <c r="C938" s="48" t="s">
        <v>34</v>
      </c>
      <c r="D938" s="48" t="s">
        <v>35</v>
      </c>
      <c r="E938" s="49">
        <v>9000</v>
      </c>
      <c r="F938" s="76">
        <v>8343</v>
      </c>
      <c r="G938" s="30">
        <v>0</v>
      </c>
      <c r="H938" s="50">
        <f>IFERROR(Table1[Re-process (Kg)]/Table1[Actual Production (Kg)], "")</f>
        <v>0</v>
      </c>
      <c r="I938" s="49">
        <f>IFERROR(Table1[[#This Row],[Actual Production (Kg)]]-Table1[[#This Row],[Re-process (Kg)]], "")</f>
        <v>8343</v>
      </c>
      <c r="J938" s="49">
        <v>22</v>
      </c>
      <c r="K938" s="72"/>
      <c r="L938" s="49">
        <f>IF(Table1[[#This Row],[Target Time (Hours)]]="","",Table1[[#This Row],[Target Time (Hours)]]-Table1[[#This Row],[Downtime (Hours)]])</f>
        <v>22</v>
      </c>
      <c r="M938" s="49">
        <f>IFERROR(Table1[[#This Row],[Capacity (Kg)]]/Table1[[#This Row],[Target Time (Hours)]] * Table1[[#This Row],[Downtime (Hours)]], "")</f>
        <v>0</v>
      </c>
      <c r="N938" s="50">
        <f>IFERROR(Table1[[#This Row],[Running Time (hr)]]/Table1[Target Time (Hours)], "")</f>
        <v>1</v>
      </c>
      <c r="O938" s="50">
        <f>IFERROR(Table1[[#This Row],[Actual Production (Kg)]]/Table1[Capacity (Kg)], "")</f>
        <v>0.92700000000000005</v>
      </c>
      <c r="P938" s="50">
        <f>IFERROR(Table1[[#This Row],[Quality Pass Production]]/Table1[[#This Row],[Actual Production (Kg)]], "")</f>
        <v>1</v>
      </c>
      <c r="Q938" s="50">
        <f>IFERROR(Table1[[#This Row],[Utilization %]]*Table1[[#This Row],[Efficiency %]]*Table1[[#This Row],[Quality %]], "")</f>
        <v>0.92700000000000005</v>
      </c>
    </row>
    <row r="939" spans="1:18" ht="30" customHeight="1" x14ac:dyDescent="0.25">
      <c r="A939" s="47">
        <v>46201</v>
      </c>
      <c r="B939" s="48" t="s">
        <v>33</v>
      </c>
      <c r="C939" s="48" t="s">
        <v>36</v>
      </c>
      <c r="D939" s="48" t="s">
        <v>37</v>
      </c>
      <c r="E939" s="49">
        <v>8000</v>
      </c>
      <c r="F939" s="76">
        <v>7991</v>
      </c>
      <c r="G939" s="34">
        <v>0</v>
      </c>
      <c r="H939" s="50">
        <f>IFERROR(Table1[Re-process (Kg)]/Table1[Actual Production (Kg)], "")</f>
        <v>0</v>
      </c>
      <c r="I939" s="49">
        <f>IFERROR(Table1[[#This Row],[Actual Production (Kg)]]-Table1[[#This Row],[Re-process (Kg)]], "")</f>
        <v>7991</v>
      </c>
      <c r="J939" s="49">
        <v>22</v>
      </c>
      <c r="K939" s="72">
        <v>2.2999999999999998</v>
      </c>
      <c r="L939" s="49">
        <f>IF(Table1[[#This Row],[Target Time (Hours)]]="","",Table1[[#This Row],[Target Time (Hours)]]-Table1[[#This Row],[Downtime (Hours)]])</f>
        <v>19.7</v>
      </c>
      <c r="M939" s="49">
        <f>IFERROR(Table1[[#This Row],[Capacity (Kg)]]/Table1[[#This Row],[Target Time (Hours)]] * Table1[[#This Row],[Downtime (Hours)]], "")</f>
        <v>836.36363636363626</v>
      </c>
      <c r="N939" s="50">
        <f>IFERROR(Table1[[#This Row],[Running Time (hr)]]/Table1[Target Time (Hours)], "")</f>
        <v>0.89545454545454539</v>
      </c>
      <c r="O939" s="50">
        <f>IFERROR(Table1[[#This Row],[Actual Production (Kg)]]/Table1[Capacity (Kg)], "")</f>
        <v>0.99887499999999996</v>
      </c>
      <c r="P939" s="50">
        <f>IFERROR(Table1[[#This Row],[Quality Pass Production]]/Table1[[#This Row],[Actual Production (Kg)]], "")</f>
        <v>1</v>
      </c>
      <c r="Q939" s="50">
        <f>IFERROR(Table1[[#This Row],[Utilization %]]*Table1[[#This Row],[Efficiency %]]*Table1[[#This Row],[Quality %]], "")</f>
        <v>0.89444715909090899</v>
      </c>
      <c r="R939" s="48" t="s">
        <v>259</v>
      </c>
    </row>
    <row r="940" spans="1:18" ht="30" customHeight="1" x14ac:dyDescent="0.25">
      <c r="A940" s="47">
        <v>46201</v>
      </c>
      <c r="B940" s="48" t="s">
        <v>33</v>
      </c>
      <c r="C940" s="48" t="s">
        <v>39</v>
      </c>
      <c r="D940" s="48" t="s">
        <v>31</v>
      </c>
      <c r="E940" s="49">
        <v>6000</v>
      </c>
      <c r="F940" s="76">
        <v>3060</v>
      </c>
      <c r="G940" s="30">
        <v>0</v>
      </c>
      <c r="H940" s="50">
        <f>IFERROR(Table1[Re-process (Kg)]/Table1[Actual Production (Kg)], "")</f>
        <v>0</v>
      </c>
      <c r="I940" s="49">
        <f>IFERROR(Table1[[#This Row],[Actual Production (Kg)]]-Table1[[#This Row],[Re-process (Kg)]], "")</f>
        <v>3060</v>
      </c>
      <c r="J940" s="49">
        <v>22</v>
      </c>
      <c r="K940" s="72"/>
      <c r="L940" s="49">
        <f>IF(Table1[[#This Row],[Target Time (Hours)]]="","",Table1[[#This Row],[Target Time (Hours)]]-Table1[[#This Row],[Downtime (Hours)]])</f>
        <v>22</v>
      </c>
      <c r="M940" s="49">
        <f>IFERROR(Table1[[#This Row],[Capacity (Kg)]]/Table1[[#This Row],[Target Time (Hours)]] * Table1[[#This Row],[Downtime (Hours)]], "")</f>
        <v>0</v>
      </c>
      <c r="N940" s="50">
        <f>IFERROR(Table1[[#This Row],[Running Time (hr)]]/Table1[Target Time (Hours)], "")</f>
        <v>1</v>
      </c>
      <c r="O940" s="50">
        <f>IFERROR(Table1[[#This Row],[Actual Production (Kg)]]/Table1[Capacity (Kg)], "")</f>
        <v>0.51</v>
      </c>
      <c r="P940" s="50">
        <f>IFERROR(Table1[[#This Row],[Quality Pass Production]]/Table1[[#This Row],[Actual Production (Kg)]], "")</f>
        <v>1</v>
      </c>
      <c r="Q940" s="50">
        <f>IFERROR(Table1[[#This Row],[Utilization %]]*Table1[[#This Row],[Efficiency %]]*Table1[[#This Row],[Quality %]], "")</f>
        <v>0.51</v>
      </c>
    </row>
    <row r="941" spans="1:18" ht="45" customHeight="1" x14ac:dyDescent="0.25">
      <c r="A941" s="54">
        <v>46201</v>
      </c>
      <c r="B941" s="55" t="s">
        <v>33</v>
      </c>
      <c r="C941" s="55" t="s">
        <v>40</v>
      </c>
      <c r="D941" s="55" t="s">
        <v>31</v>
      </c>
      <c r="E941" s="56">
        <v>5000</v>
      </c>
      <c r="F941" s="56">
        <v>4597</v>
      </c>
      <c r="G941" s="43">
        <v>0</v>
      </c>
      <c r="H941" s="58">
        <f>IFERROR(Table1[Re-process (Kg)]/Table1[Actual Production (Kg)], "")</f>
        <v>0</v>
      </c>
      <c r="I941" s="56">
        <f>IFERROR(Table1[[#This Row],[Actual Production (Kg)]]-Table1[[#This Row],[Re-process (Kg)]], "")</f>
        <v>4597</v>
      </c>
      <c r="J941" s="56">
        <v>22</v>
      </c>
      <c r="K941" s="55"/>
      <c r="L941" s="56">
        <f>IF(Table1[[#This Row],[Target Time (Hours)]]="","",Table1[[#This Row],[Target Time (Hours)]]-Table1[[#This Row],[Downtime (Hours)]])</f>
        <v>22</v>
      </c>
      <c r="M941" s="56">
        <f>IFERROR(Table1[[#This Row],[Capacity (Kg)]]/Table1[[#This Row],[Target Time (Hours)]] * Table1[[#This Row],[Downtime (Hours)]], "")</f>
        <v>0</v>
      </c>
      <c r="N941" s="58">
        <f>IFERROR(Table1[[#This Row],[Running Time (hr)]]/Table1[Target Time (Hours)], "")</f>
        <v>1</v>
      </c>
      <c r="O941" s="58">
        <f>IFERROR(Table1[[#This Row],[Actual Production (Kg)]]/Table1[Capacity (Kg)], "")</f>
        <v>0.9194</v>
      </c>
      <c r="P941" s="58">
        <f>IFERROR(Table1[[#This Row],[Quality Pass Production]]/Table1[[#This Row],[Actual Production (Kg)]], "")</f>
        <v>1</v>
      </c>
      <c r="Q941" s="58">
        <f>IFERROR(Table1[[#This Row],[Utilization %]]*Table1[[#This Row],[Efficiency %]]*Table1[[#This Row],[Quality %]], "")</f>
        <v>0.9194</v>
      </c>
      <c r="R941" s="55"/>
    </row>
    <row r="942" spans="1:18" ht="30" customHeight="1" x14ac:dyDescent="0.25">
      <c r="A942" s="47">
        <v>46202</v>
      </c>
      <c r="B942" s="48" t="s">
        <v>18</v>
      </c>
      <c r="C942" s="48" t="s">
        <v>19</v>
      </c>
      <c r="D942" s="48" t="s">
        <v>20</v>
      </c>
      <c r="E942" s="49">
        <v>10000</v>
      </c>
      <c r="F942" s="76">
        <v>9242</v>
      </c>
      <c r="G942" s="34">
        <v>0</v>
      </c>
      <c r="H942" s="50">
        <f>IFERROR(Table1[Re-process (Kg)]/Table1[Actual Production (Kg)], "")</f>
        <v>0</v>
      </c>
      <c r="I942" s="49">
        <f>IFERROR(Table1[[#This Row],[Actual Production (Kg)]]-Table1[[#This Row],[Re-process (Kg)]], "")</f>
        <v>9242</v>
      </c>
      <c r="J942" s="49">
        <v>22</v>
      </c>
      <c r="K942" s="72"/>
      <c r="L942" s="49">
        <f>IF(Table1[[#This Row],[Target Time (Hours)]]="","",Table1[[#This Row],[Target Time (Hours)]]-Table1[[#This Row],[Downtime (Hours)]])</f>
        <v>22</v>
      </c>
      <c r="M942" s="49">
        <f>IFERROR(Table1[[#This Row],[Capacity (Kg)]]/Table1[[#This Row],[Target Time (Hours)]] * Table1[[#This Row],[Downtime (Hours)]], "")</f>
        <v>0</v>
      </c>
      <c r="N942" s="50">
        <f>IFERROR(Table1[[#This Row],[Running Time (hr)]]/Table1[Target Time (Hours)], "")</f>
        <v>1</v>
      </c>
      <c r="O942" s="50">
        <f>IFERROR(Table1[[#This Row],[Actual Production (Kg)]]/Table1[Capacity (Kg)], "")</f>
        <v>0.92420000000000002</v>
      </c>
      <c r="P942" s="50">
        <f>IFERROR(Table1[[#This Row],[Quality Pass Production]]/Table1[[#This Row],[Actual Production (Kg)]], "")</f>
        <v>1</v>
      </c>
      <c r="Q942" s="50">
        <f>IFERROR(Table1[[#This Row],[Utilization %]]*Table1[[#This Row],[Efficiency %]]*Table1[[#This Row],[Quality %]], "")</f>
        <v>0.92420000000000002</v>
      </c>
    </row>
    <row r="943" spans="1:18" x14ac:dyDescent="0.25">
      <c r="A943" s="51">
        <v>46202</v>
      </c>
      <c r="B943" s="52" t="s">
        <v>18</v>
      </c>
      <c r="C943" s="52" t="s">
        <v>238</v>
      </c>
      <c r="D943" s="52" t="s">
        <v>20</v>
      </c>
      <c r="E943" s="79">
        <f>Table1[[#This Row],[Actual Production (Kg)]]</f>
        <v>8900</v>
      </c>
      <c r="F943" s="53">
        <v>8900</v>
      </c>
      <c r="G943" s="38">
        <v>0</v>
      </c>
      <c r="H943" s="57">
        <f>IFERROR(Table1[Re-process (Kg)]/Table1[Actual Production (Kg)], "")</f>
        <v>0</v>
      </c>
      <c r="I943" s="53">
        <f>IFERROR(Table1[[#This Row],[Actual Production (Kg)]]-Table1[[#This Row],[Re-process (Kg)]], "")</f>
        <v>8900</v>
      </c>
      <c r="J943" s="53"/>
      <c r="K943" s="52"/>
      <c r="L943" s="53" t="str">
        <f>IF(Table1[[#This Row],[Target Time (Hours)]]="","",Table1[[#This Row],[Target Time (Hours)]]-Table1[[#This Row],[Downtime (Hours)]])</f>
        <v/>
      </c>
      <c r="M943" s="53" t="str">
        <f>IFERROR(Table1[[#This Row],[Capacity (Kg)]]/Table1[[#This Row],[Target Time (Hours)]] * Table1[[#This Row],[Downtime (Hours)]], "")</f>
        <v/>
      </c>
      <c r="N943" s="57" t="str">
        <f>IFERROR(Table1[[#This Row],[Running Time (hr)]]/Table1[Target Time (Hours)], "")</f>
        <v/>
      </c>
      <c r="O943" s="57">
        <f>IFERROR(Table1[[#This Row],[Actual Production (Kg)]]/Table1[Capacity (Kg)], "")</f>
        <v>1</v>
      </c>
      <c r="P943" s="57">
        <f>IFERROR(Table1[[#This Row],[Quality Pass Production]]/Table1[[#This Row],[Actual Production (Kg)]], "")</f>
        <v>1</v>
      </c>
      <c r="Q943" s="57" t="str">
        <f>IFERROR(Table1[[#This Row],[Utilization %]]*Table1[[#This Row],[Efficiency %]]*Table1[[#This Row],[Quality %]], "")</f>
        <v/>
      </c>
      <c r="R943" s="52"/>
    </row>
    <row r="944" spans="1:18" x14ac:dyDescent="0.25">
      <c r="A944" s="47">
        <v>46202</v>
      </c>
      <c r="B944" s="48" t="s">
        <v>18</v>
      </c>
      <c r="C944" s="48" t="s">
        <v>22</v>
      </c>
      <c r="D944" s="48" t="s">
        <v>23</v>
      </c>
      <c r="E944" s="49">
        <v>5000</v>
      </c>
      <c r="F944" s="76">
        <v>6565</v>
      </c>
      <c r="G944" s="34">
        <v>0</v>
      </c>
      <c r="H944" s="50">
        <f>IFERROR(Table1[Re-process (Kg)]/Table1[Actual Production (Kg)], "")</f>
        <v>0</v>
      </c>
      <c r="I944" s="49">
        <f>IFERROR(Table1[[#This Row],[Actual Production (Kg)]]-Table1[[#This Row],[Re-process (Kg)]], "")</f>
        <v>6565</v>
      </c>
      <c r="J944" s="49">
        <v>22</v>
      </c>
      <c r="K944" s="72"/>
      <c r="L944" s="49">
        <f>IF(Table1[[#This Row],[Target Time (Hours)]]="","",Table1[[#This Row],[Target Time (Hours)]]-Table1[[#This Row],[Downtime (Hours)]])</f>
        <v>22</v>
      </c>
      <c r="M944" s="49">
        <f>IFERROR(Table1[[#This Row],[Capacity (Kg)]]/Table1[[#This Row],[Target Time (Hours)]] * Table1[[#This Row],[Downtime (Hours)]], "")</f>
        <v>0</v>
      </c>
      <c r="N944" s="50">
        <f>IFERROR(Table1[[#This Row],[Running Time (hr)]]/Table1[Target Time (Hours)], "")</f>
        <v>1</v>
      </c>
      <c r="O944" s="50">
        <f>IFERROR(Table1[[#This Row],[Actual Production (Kg)]]/Table1[Capacity (Kg)], "")</f>
        <v>1.3129999999999999</v>
      </c>
      <c r="P944" s="50">
        <f>IFERROR(Table1[[#This Row],[Quality Pass Production]]/Table1[[#This Row],[Actual Production (Kg)]], "")</f>
        <v>1</v>
      </c>
      <c r="Q944" s="50">
        <f>IFERROR(Table1[[#This Row],[Utilization %]]*Table1[[#This Row],[Efficiency %]]*Table1[[#This Row],[Quality %]], "")</f>
        <v>1.3129999999999999</v>
      </c>
    </row>
    <row r="945" spans="1:18" x14ac:dyDescent="0.25">
      <c r="A945" s="47">
        <v>46202</v>
      </c>
      <c r="B945" s="48" t="s">
        <v>18</v>
      </c>
      <c r="C945" s="48" t="s">
        <v>22</v>
      </c>
      <c r="D945" s="48" t="s">
        <v>25</v>
      </c>
      <c r="E945" s="49">
        <v>4000</v>
      </c>
      <c r="F945" s="76">
        <v>1757</v>
      </c>
      <c r="G945" s="30">
        <v>0</v>
      </c>
      <c r="H945" s="50">
        <f>IFERROR(Table1[Re-process (Kg)]/Table1[Actual Production (Kg)], "")</f>
        <v>0</v>
      </c>
      <c r="I945" s="49">
        <f>IFERROR(Table1[[#This Row],[Actual Production (Kg)]]-Table1[[#This Row],[Re-process (Kg)]], "")</f>
        <v>1757</v>
      </c>
      <c r="J945" s="49"/>
      <c r="K945" s="72"/>
      <c r="L945" s="49" t="str">
        <f>IF(Table1[[#This Row],[Target Time (Hours)]]="","",Table1[[#This Row],[Target Time (Hours)]]-Table1[[#This Row],[Downtime (Hours)]])</f>
        <v/>
      </c>
      <c r="M945" s="49" t="str">
        <f>IFERROR(Table1[[#This Row],[Capacity (Kg)]]/Table1[[#This Row],[Target Time (Hours)]] * Table1[[#This Row],[Downtime (Hours)]], "")</f>
        <v/>
      </c>
      <c r="N945" s="50" t="str">
        <f>IFERROR(Table1[[#This Row],[Running Time (hr)]]/Table1[Target Time (Hours)], "")</f>
        <v/>
      </c>
      <c r="O945" s="50">
        <f>IFERROR(Table1[[#This Row],[Actual Production (Kg)]]/Table1[Capacity (Kg)], "")</f>
        <v>0.43924999999999997</v>
      </c>
      <c r="P945" s="50">
        <f>IFERROR(Table1[[#This Row],[Quality Pass Production]]/Table1[[#This Row],[Actual Production (Kg)]], "")</f>
        <v>1</v>
      </c>
      <c r="Q945" s="50" t="str">
        <f>IFERROR(Table1[[#This Row],[Utilization %]]*Table1[[#This Row],[Efficiency %]]*Table1[[#This Row],[Quality %]], "")</f>
        <v/>
      </c>
    </row>
    <row r="946" spans="1:18" ht="30" customHeight="1" x14ac:dyDescent="0.25">
      <c r="A946" s="47">
        <v>46202</v>
      </c>
      <c r="B946" s="48" t="s">
        <v>18</v>
      </c>
      <c r="C946" s="48" t="s">
        <v>26</v>
      </c>
      <c r="D946" s="48" t="s">
        <v>25</v>
      </c>
      <c r="E946" s="49">
        <v>7000</v>
      </c>
      <c r="F946" s="76">
        <v>8454</v>
      </c>
      <c r="G946" s="34">
        <v>0</v>
      </c>
      <c r="H946" s="50">
        <f>IFERROR(Table1[Re-process (Kg)]/Table1[Actual Production (Kg)], "")</f>
        <v>0</v>
      </c>
      <c r="I946" s="49">
        <f>IFERROR(Table1[[#This Row],[Actual Production (Kg)]]-Table1[[#This Row],[Re-process (Kg)]], "")</f>
        <v>8454</v>
      </c>
      <c r="J946" s="49">
        <v>22</v>
      </c>
      <c r="K946" s="72"/>
      <c r="L946" s="49">
        <f>IF(Table1[[#This Row],[Target Time (Hours)]]="","",Table1[[#This Row],[Target Time (Hours)]]-Table1[[#This Row],[Downtime (Hours)]])</f>
        <v>22</v>
      </c>
      <c r="M946" s="49">
        <f>IFERROR(Table1[[#This Row],[Capacity (Kg)]]/Table1[[#This Row],[Target Time (Hours)]] * Table1[[#This Row],[Downtime (Hours)]], "")</f>
        <v>0</v>
      </c>
      <c r="N946" s="50">
        <f>IFERROR(Table1[[#This Row],[Running Time (hr)]]/Table1[Target Time (Hours)], "")</f>
        <v>1</v>
      </c>
      <c r="O946" s="50">
        <f>IFERROR(Table1[[#This Row],[Actual Production (Kg)]]/Table1[Capacity (Kg)], "")</f>
        <v>1.2077142857142857</v>
      </c>
      <c r="P946" s="50">
        <f>IFERROR(Table1[[#This Row],[Quality Pass Production]]/Table1[[#This Row],[Actual Production (Kg)]], "")</f>
        <v>1</v>
      </c>
      <c r="Q946" s="50">
        <f>IFERROR(Table1[[#This Row],[Utilization %]]*Table1[[#This Row],[Efficiency %]]*Table1[[#This Row],[Quality %]], "")</f>
        <v>1.2077142857142857</v>
      </c>
      <c r="R946" s="48" t="s">
        <v>257</v>
      </c>
    </row>
    <row r="947" spans="1:18" ht="30" customHeight="1" x14ac:dyDescent="0.25">
      <c r="A947" s="47">
        <v>46202</v>
      </c>
      <c r="B947" s="48" t="s">
        <v>18</v>
      </c>
      <c r="C947" s="48" t="s">
        <v>28</v>
      </c>
      <c r="D947" s="48" t="s">
        <v>29</v>
      </c>
      <c r="E947" s="49">
        <v>7800</v>
      </c>
      <c r="F947" s="76">
        <v>7241</v>
      </c>
      <c r="G947" s="30">
        <v>0</v>
      </c>
      <c r="H947" s="50">
        <f>IFERROR(Table1[Re-process (Kg)]/Table1[Actual Production (Kg)], "")</f>
        <v>0</v>
      </c>
      <c r="I947" s="49">
        <f>IFERROR(Table1[[#This Row],[Actual Production (Kg)]]-Table1[[#This Row],[Re-process (Kg)]], "")</f>
        <v>7241</v>
      </c>
      <c r="J947" s="49">
        <v>22</v>
      </c>
      <c r="K947" s="72">
        <v>3</v>
      </c>
      <c r="L947" s="49">
        <f>IF(Table1[[#This Row],[Target Time (Hours)]]="","",Table1[[#This Row],[Target Time (Hours)]]-Table1[[#This Row],[Downtime (Hours)]])</f>
        <v>19</v>
      </c>
      <c r="M947" s="49">
        <f>IFERROR(Table1[[#This Row],[Capacity (Kg)]]/Table1[[#This Row],[Target Time (Hours)]] * Table1[[#This Row],[Downtime (Hours)]], "")</f>
        <v>1063.6363636363637</v>
      </c>
      <c r="N947" s="50">
        <f>IFERROR(Table1[[#This Row],[Running Time (hr)]]/Table1[Target Time (Hours)], "")</f>
        <v>0.86363636363636365</v>
      </c>
      <c r="O947" s="50">
        <f>IFERROR(Table1[[#This Row],[Actual Production (Kg)]]/Table1[Capacity (Kg)], "")</f>
        <v>0.92833333333333334</v>
      </c>
      <c r="P947" s="50">
        <f>IFERROR(Table1[[#This Row],[Quality Pass Production]]/Table1[[#This Row],[Actual Production (Kg)]], "")</f>
        <v>1</v>
      </c>
      <c r="Q947" s="50">
        <f>IFERROR(Table1[[#This Row],[Utilization %]]*Table1[[#This Row],[Efficiency %]]*Table1[[#This Row],[Quality %]], "")</f>
        <v>0.80174242424242426</v>
      </c>
      <c r="R947" s="48" t="s">
        <v>260</v>
      </c>
    </row>
    <row r="948" spans="1:18" ht="30" customHeight="1" x14ac:dyDescent="0.25">
      <c r="A948" s="51">
        <v>46202</v>
      </c>
      <c r="B948" s="52" t="s">
        <v>18</v>
      </c>
      <c r="C948" s="52" t="s">
        <v>135</v>
      </c>
      <c r="D948" s="52" t="s">
        <v>29</v>
      </c>
      <c r="E948" s="53"/>
      <c r="F948" s="53"/>
      <c r="G948" s="38"/>
      <c r="H948" s="57" t="str">
        <f>IFERROR(Table1[Re-process (Kg)]/Table1[Actual Production (Kg)], "")</f>
        <v/>
      </c>
      <c r="I948" s="53">
        <f>IFERROR(Table1[[#This Row],[Actual Production (Kg)]]-Table1[[#This Row],[Re-process (Kg)]], "")</f>
        <v>0</v>
      </c>
      <c r="J948" s="53"/>
      <c r="K948" s="52"/>
      <c r="L948" s="53" t="str">
        <f>IF(Table1[[#This Row],[Target Time (Hours)]]="","",Table1[[#This Row],[Target Time (Hours)]]-Table1[[#This Row],[Downtime (Hours)]])</f>
        <v/>
      </c>
      <c r="M948" s="53" t="str">
        <f>IFERROR(Table1[[#This Row],[Capacity (Kg)]]/Table1[[#This Row],[Target Time (Hours)]] * Table1[[#This Row],[Downtime (Hours)]], "")</f>
        <v/>
      </c>
      <c r="N948" s="57" t="str">
        <f>IFERROR(Table1[[#This Row],[Running Time (hr)]]/Table1[Target Time (Hours)], "")</f>
        <v/>
      </c>
      <c r="O948" s="57" t="str">
        <f>IFERROR(Table1[[#This Row],[Actual Production (Kg)]]/Table1[Capacity (Kg)], "")</f>
        <v/>
      </c>
      <c r="P948" s="57" t="str">
        <f>IFERROR(Table1[[#This Row],[Quality Pass Production]]/Table1[[#This Row],[Actual Production (Kg)]], "")</f>
        <v/>
      </c>
      <c r="Q948" s="57" t="str">
        <f>IFERROR(Table1[[#This Row],[Utilization %]]*Table1[[#This Row],[Efficiency %]]*Table1[[#This Row],[Quality %]], "")</f>
        <v/>
      </c>
      <c r="R948" s="52"/>
    </row>
    <row r="949" spans="1:18" ht="30" customHeight="1" x14ac:dyDescent="0.25">
      <c r="A949" s="47">
        <v>46202</v>
      </c>
      <c r="B949" s="48" t="s">
        <v>18</v>
      </c>
      <c r="C949" s="48" t="s">
        <v>30</v>
      </c>
      <c r="D949" s="48" t="s">
        <v>31</v>
      </c>
      <c r="E949" s="49">
        <v>9000</v>
      </c>
      <c r="F949" s="76">
        <v>7820</v>
      </c>
      <c r="G949" s="30">
        <v>0</v>
      </c>
      <c r="H949" s="50">
        <f>IFERROR(Table1[Re-process (Kg)]/Table1[Actual Production (Kg)], "")</f>
        <v>0</v>
      </c>
      <c r="I949" s="49">
        <f>IFERROR(Table1[[#This Row],[Actual Production (Kg)]]-Table1[[#This Row],[Re-process (Kg)]], "")</f>
        <v>7820</v>
      </c>
      <c r="J949" s="49">
        <v>22</v>
      </c>
      <c r="K949" s="72"/>
      <c r="L949" s="49">
        <f>IF(Table1[[#This Row],[Target Time (Hours)]]="","",Table1[[#This Row],[Target Time (Hours)]]-Table1[[#This Row],[Downtime (Hours)]])</f>
        <v>22</v>
      </c>
      <c r="M949" s="49">
        <f>IFERROR(Table1[[#This Row],[Capacity (Kg)]]/Table1[[#This Row],[Target Time (Hours)]] * Table1[[#This Row],[Downtime (Hours)]], "")</f>
        <v>0</v>
      </c>
      <c r="N949" s="50">
        <f>IFERROR(Table1[[#This Row],[Running Time (hr)]]/Table1[Target Time (Hours)], "")</f>
        <v>1</v>
      </c>
      <c r="O949" s="50">
        <f>IFERROR(Table1[[#This Row],[Actual Production (Kg)]]/Table1[Capacity (Kg)], "")</f>
        <v>0.86888888888888893</v>
      </c>
      <c r="P949" s="50">
        <f>IFERROR(Table1[[#This Row],[Quality Pass Production]]/Table1[[#This Row],[Actual Production (Kg)]], "")</f>
        <v>1</v>
      </c>
      <c r="Q949" s="50">
        <f>IFERROR(Table1[[#This Row],[Utilization %]]*Table1[[#This Row],[Efficiency %]]*Table1[[#This Row],[Quality %]], "")</f>
        <v>0.86888888888888893</v>
      </c>
    </row>
    <row r="950" spans="1:18" ht="30" customHeight="1" x14ac:dyDescent="0.25">
      <c r="A950" s="51">
        <v>46202</v>
      </c>
      <c r="B950" s="52" t="s">
        <v>18</v>
      </c>
      <c r="C950" s="52" t="s">
        <v>32</v>
      </c>
      <c r="D950" s="52" t="s">
        <v>31</v>
      </c>
      <c r="E950" s="79">
        <f>Table1[[#This Row],[Actual Production (Kg)]]</f>
        <v>0</v>
      </c>
      <c r="F950" s="53"/>
      <c r="G950" s="38"/>
      <c r="H950" s="57" t="str">
        <f>IFERROR(Table1[Re-process (Kg)]/Table1[Actual Production (Kg)], "")</f>
        <v/>
      </c>
      <c r="I950" s="53">
        <f>IFERROR(Table1[[#This Row],[Actual Production (Kg)]]-Table1[[#This Row],[Re-process (Kg)]], "")</f>
        <v>0</v>
      </c>
      <c r="J950" s="53"/>
      <c r="K950" s="52"/>
      <c r="L950" s="53" t="str">
        <f>IF(Table1[[#This Row],[Target Time (Hours)]]="","",Table1[[#This Row],[Target Time (Hours)]]-Table1[[#This Row],[Downtime (Hours)]])</f>
        <v/>
      </c>
      <c r="M950" s="53" t="str">
        <f>IFERROR(Table1[[#This Row],[Capacity (Kg)]]/Table1[[#This Row],[Target Time (Hours)]] * Table1[[#This Row],[Downtime (Hours)]], "")</f>
        <v/>
      </c>
      <c r="N950" s="57" t="str">
        <f>IFERROR(Table1[[#This Row],[Running Time (hr)]]/Table1[Target Time (Hours)], "")</f>
        <v/>
      </c>
      <c r="O950" s="57" t="str">
        <f>IFERROR(Table1[[#This Row],[Actual Production (Kg)]]/Table1[Capacity (Kg)], "")</f>
        <v/>
      </c>
      <c r="P950" s="57" t="str">
        <f>IFERROR(Table1[[#This Row],[Quality Pass Production]]/Table1[[#This Row],[Actual Production (Kg)]], "")</f>
        <v/>
      </c>
      <c r="Q950" s="57" t="str">
        <f>IFERROR(Table1[[#This Row],[Utilization %]]*Table1[[#This Row],[Efficiency %]]*Table1[[#This Row],[Quality %]], "")</f>
        <v/>
      </c>
      <c r="R950" s="52"/>
    </row>
    <row r="951" spans="1:18" ht="30" customHeight="1" x14ac:dyDescent="0.25">
      <c r="A951" s="47">
        <v>46202</v>
      </c>
      <c r="B951" s="48" t="s">
        <v>33</v>
      </c>
      <c r="C951" s="48" t="s">
        <v>34</v>
      </c>
      <c r="D951" s="48" t="s">
        <v>35</v>
      </c>
      <c r="E951" s="49">
        <v>9000</v>
      </c>
      <c r="F951" s="76">
        <v>6633</v>
      </c>
      <c r="G951" s="30">
        <v>0</v>
      </c>
      <c r="H951" s="50">
        <f>IFERROR(Table1[Re-process (Kg)]/Table1[Actual Production (Kg)], "")</f>
        <v>0</v>
      </c>
      <c r="I951" s="49">
        <f>IFERROR(Table1[[#This Row],[Actual Production (Kg)]]-Table1[[#This Row],[Re-process (Kg)]], "")</f>
        <v>6633</v>
      </c>
      <c r="J951" s="49">
        <v>22</v>
      </c>
      <c r="K951" s="72"/>
      <c r="L951" s="49">
        <f>IF(Table1[[#This Row],[Target Time (Hours)]]="","",Table1[[#This Row],[Target Time (Hours)]]-Table1[[#This Row],[Downtime (Hours)]])</f>
        <v>22</v>
      </c>
      <c r="M951" s="49">
        <f>IFERROR(Table1[[#This Row],[Capacity (Kg)]]/Table1[[#This Row],[Target Time (Hours)]] * Table1[[#This Row],[Downtime (Hours)]], "")</f>
        <v>0</v>
      </c>
      <c r="N951" s="50">
        <f>IFERROR(Table1[[#This Row],[Running Time (hr)]]/Table1[Target Time (Hours)], "")</f>
        <v>1</v>
      </c>
      <c r="O951" s="50">
        <f>IFERROR(Table1[[#This Row],[Actual Production (Kg)]]/Table1[Capacity (Kg)], "")</f>
        <v>0.73699999999999999</v>
      </c>
      <c r="P951" s="50">
        <f>IFERROR(Table1[[#This Row],[Quality Pass Production]]/Table1[[#This Row],[Actual Production (Kg)]], "")</f>
        <v>1</v>
      </c>
      <c r="Q951" s="50">
        <f>IFERROR(Table1[[#This Row],[Utilization %]]*Table1[[#This Row],[Efficiency %]]*Table1[[#This Row],[Quality %]], "")</f>
        <v>0.73699999999999999</v>
      </c>
      <c r="R951" s="48" t="s">
        <v>261</v>
      </c>
    </row>
    <row r="952" spans="1:18" ht="45" customHeight="1" x14ac:dyDescent="0.25">
      <c r="A952" s="47">
        <v>46202</v>
      </c>
      <c r="B952" s="48" t="s">
        <v>33</v>
      </c>
      <c r="C952" s="48" t="s">
        <v>36</v>
      </c>
      <c r="D952" s="48" t="s">
        <v>37</v>
      </c>
      <c r="E952" s="49">
        <v>8000</v>
      </c>
      <c r="F952" s="76">
        <v>5419</v>
      </c>
      <c r="G952" s="34">
        <v>0</v>
      </c>
      <c r="H952" s="50">
        <f>IFERROR(Table1[Re-process (Kg)]/Table1[Actual Production (Kg)], "")</f>
        <v>0</v>
      </c>
      <c r="I952" s="49">
        <f>IFERROR(Table1[[#This Row],[Actual Production (Kg)]]-Table1[[#This Row],[Re-process (Kg)]], "")</f>
        <v>5419</v>
      </c>
      <c r="J952" s="49">
        <v>22</v>
      </c>
      <c r="K952" s="72">
        <v>10.5</v>
      </c>
      <c r="L952" s="49">
        <f>IF(Table1[[#This Row],[Target Time (Hours)]]="","",Table1[[#This Row],[Target Time (Hours)]]-Table1[[#This Row],[Downtime (Hours)]])</f>
        <v>11.5</v>
      </c>
      <c r="M952" s="49">
        <f>IFERROR(Table1[[#This Row],[Capacity (Kg)]]/Table1[[#This Row],[Target Time (Hours)]] * Table1[[#This Row],[Downtime (Hours)]], "")</f>
        <v>3818.181818181818</v>
      </c>
      <c r="N952" s="50">
        <f>IFERROR(Table1[[#This Row],[Running Time (hr)]]/Table1[Target Time (Hours)], "")</f>
        <v>0.52272727272727271</v>
      </c>
      <c r="O952" s="50">
        <f>IFERROR(Table1[[#This Row],[Actual Production (Kg)]]/Table1[Capacity (Kg)], "")</f>
        <v>0.67737499999999995</v>
      </c>
      <c r="P952" s="50">
        <f>IFERROR(Table1[[#This Row],[Quality Pass Production]]/Table1[[#This Row],[Actual Production (Kg)]], "")</f>
        <v>1</v>
      </c>
      <c r="Q952" s="50">
        <f>IFERROR(Table1[[#This Row],[Utilization %]]*Table1[[#This Row],[Efficiency %]]*Table1[[#This Row],[Quality %]], "")</f>
        <v>0.35408238636363631</v>
      </c>
      <c r="R952" s="48" t="s">
        <v>262</v>
      </c>
    </row>
    <row r="953" spans="1:18" ht="30" customHeight="1" x14ac:dyDescent="0.25">
      <c r="A953" s="47">
        <v>46202</v>
      </c>
      <c r="B953" s="48" t="s">
        <v>33</v>
      </c>
      <c r="C953" s="48" t="s">
        <v>39</v>
      </c>
      <c r="D953" s="48" t="s">
        <v>31</v>
      </c>
      <c r="E953" s="49">
        <v>6000</v>
      </c>
      <c r="F953" s="76">
        <v>2399</v>
      </c>
      <c r="G953" s="30">
        <v>0</v>
      </c>
      <c r="H953" s="50">
        <f>IFERROR(Table1[Re-process (Kg)]/Table1[Actual Production (Kg)], "")</f>
        <v>0</v>
      </c>
      <c r="I953" s="49">
        <f>IFERROR(Table1[[#This Row],[Actual Production (Kg)]]-Table1[[#This Row],[Re-process (Kg)]], "")</f>
        <v>2399</v>
      </c>
      <c r="J953" s="49">
        <v>22</v>
      </c>
      <c r="K953" s="72"/>
      <c r="L953" s="49">
        <f>IF(Table1[[#This Row],[Target Time (Hours)]]="","",Table1[[#This Row],[Target Time (Hours)]]-Table1[[#This Row],[Downtime (Hours)]])</f>
        <v>22</v>
      </c>
      <c r="M953" s="49">
        <f>IFERROR(Table1[[#This Row],[Capacity (Kg)]]/Table1[[#This Row],[Target Time (Hours)]] * Table1[[#This Row],[Downtime (Hours)]], "")</f>
        <v>0</v>
      </c>
      <c r="N953" s="50">
        <f>IFERROR(Table1[[#This Row],[Running Time (hr)]]/Table1[Target Time (Hours)], "")</f>
        <v>1</v>
      </c>
      <c r="O953" s="50">
        <f>IFERROR(Table1[[#This Row],[Actual Production (Kg)]]/Table1[Capacity (Kg)], "")</f>
        <v>0.39983333333333332</v>
      </c>
      <c r="P953" s="50">
        <f>IFERROR(Table1[[#This Row],[Quality Pass Production]]/Table1[[#This Row],[Actual Production (Kg)]], "")</f>
        <v>1</v>
      </c>
      <c r="Q953" s="50">
        <f>IFERROR(Table1[[#This Row],[Utilization %]]*Table1[[#This Row],[Efficiency %]]*Table1[[#This Row],[Quality %]], "")</f>
        <v>0.39983333333333332</v>
      </c>
      <c r="R953" s="48" t="s">
        <v>261</v>
      </c>
    </row>
    <row r="954" spans="1:18" ht="45" customHeight="1" x14ac:dyDescent="0.25">
      <c r="A954" s="54">
        <v>46202</v>
      </c>
      <c r="B954" s="55" t="s">
        <v>33</v>
      </c>
      <c r="C954" s="55" t="s">
        <v>40</v>
      </c>
      <c r="D954" s="55" t="s">
        <v>31</v>
      </c>
      <c r="E954" s="56">
        <v>5000</v>
      </c>
      <c r="F954" s="56">
        <v>3421</v>
      </c>
      <c r="G954" s="43">
        <v>0</v>
      </c>
      <c r="H954" s="58">
        <f>IFERROR(Table1[Re-process (Kg)]/Table1[Actual Production (Kg)], "")</f>
        <v>0</v>
      </c>
      <c r="I954" s="56">
        <f>IFERROR(Table1[[#This Row],[Actual Production (Kg)]]-Table1[[#This Row],[Re-process (Kg)]], "")</f>
        <v>3421</v>
      </c>
      <c r="J954" s="56">
        <v>22</v>
      </c>
      <c r="K954" s="55"/>
      <c r="L954" s="56">
        <f>IF(Table1[[#This Row],[Target Time (Hours)]]="","",Table1[[#This Row],[Target Time (Hours)]]-Table1[[#This Row],[Downtime (Hours)]])</f>
        <v>22</v>
      </c>
      <c r="M954" s="56">
        <f>IFERROR(Table1[[#This Row],[Capacity (Kg)]]/Table1[[#This Row],[Target Time (Hours)]] * Table1[[#This Row],[Downtime (Hours)]], "")</f>
        <v>0</v>
      </c>
      <c r="N954" s="58">
        <f>IFERROR(Table1[[#This Row],[Running Time (hr)]]/Table1[Target Time (Hours)], "")</f>
        <v>1</v>
      </c>
      <c r="O954" s="58">
        <f>IFERROR(Table1[[#This Row],[Actual Production (Kg)]]/Table1[Capacity (Kg)], "")</f>
        <v>0.68420000000000003</v>
      </c>
      <c r="P954" s="58">
        <f>IFERROR(Table1[[#This Row],[Quality Pass Production]]/Table1[[#This Row],[Actual Production (Kg)]], "")</f>
        <v>1</v>
      </c>
      <c r="Q954" s="58">
        <f>IFERROR(Table1[[#This Row],[Utilization %]]*Table1[[#This Row],[Efficiency %]]*Table1[[#This Row],[Quality %]], "")</f>
        <v>0.68420000000000003</v>
      </c>
      <c r="R954" s="55" t="s">
        <v>261</v>
      </c>
    </row>
    <row r="955" spans="1:18" ht="30" customHeight="1" x14ac:dyDescent="0.25">
      <c r="A955" s="47">
        <v>46203</v>
      </c>
      <c r="B955" s="48" t="s">
        <v>18</v>
      </c>
      <c r="C955" s="48" t="s">
        <v>19</v>
      </c>
      <c r="D955" s="48" t="s">
        <v>20</v>
      </c>
      <c r="E955" s="49">
        <v>10000</v>
      </c>
      <c r="F955" s="76">
        <v>8621</v>
      </c>
      <c r="G955" s="34">
        <v>0</v>
      </c>
      <c r="H955" s="50">
        <f>IFERROR(Table1[Re-process (Kg)]/Table1[Actual Production (Kg)], "")</f>
        <v>0</v>
      </c>
      <c r="I955" s="49">
        <f>IFERROR(Table1[[#This Row],[Actual Production (Kg)]]-Table1[[#This Row],[Re-process (Kg)]], "")</f>
        <v>8621</v>
      </c>
      <c r="J955" s="49">
        <v>22</v>
      </c>
      <c r="K955" s="72">
        <v>1.5</v>
      </c>
      <c r="L955" s="49">
        <f>IF(Table1[[#This Row],[Target Time (Hours)]]="","",Table1[[#This Row],[Target Time (Hours)]]-Table1[[#This Row],[Downtime (Hours)]])</f>
        <v>20.5</v>
      </c>
      <c r="M955" s="49">
        <f>IFERROR(Table1[[#This Row],[Capacity (Kg)]]/Table1[[#This Row],[Target Time (Hours)]] * Table1[[#This Row],[Downtime (Hours)]], "")</f>
        <v>681.81818181818187</v>
      </c>
      <c r="N955" s="50">
        <f>IFERROR(Table1[[#This Row],[Running Time (hr)]]/Table1[Target Time (Hours)], "")</f>
        <v>0.93181818181818177</v>
      </c>
      <c r="O955" s="50">
        <f>IFERROR(Table1[[#This Row],[Actual Production (Kg)]]/Table1[Capacity (Kg)], "")</f>
        <v>0.86209999999999998</v>
      </c>
      <c r="P955" s="50">
        <f>IFERROR(Table1[[#This Row],[Quality Pass Production]]/Table1[[#This Row],[Actual Production (Kg)]], "")</f>
        <v>1</v>
      </c>
      <c r="Q955" s="50">
        <f>IFERROR(Table1[[#This Row],[Utilization %]]*Table1[[#This Row],[Efficiency %]]*Table1[[#This Row],[Quality %]], "")</f>
        <v>0.80332045454545453</v>
      </c>
      <c r="R955" s="48" t="s">
        <v>263</v>
      </c>
    </row>
    <row r="956" spans="1:18" x14ac:dyDescent="0.25">
      <c r="A956" s="51">
        <v>46203</v>
      </c>
      <c r="B956" s="52" t="s">
        <v>18</v>
      </c>
      <c r="C956" s="52" t="s">
        <v>238</v>
      </c>
      <c r="D956" s="52" t="s">
        <v>20</v>
      </c>
      <c r="E956" s="79">
        <f>Table1[[#This Row],[Actual Production (Kg)]]</f>
        <v>10185</v>
      </c>
      <c r="F956" s="53">
        <v>10185</v>
      </c>
      <c r="G956" s="38">
        <v>0</v>
      </c>
      <c r="H956" s="57">
        <f>IFERROR(Table1[Re-process (Kg)]/Table1[Actual Production (Kg)], "")</f>
        <v>0</v>
      </c>
      <c r="I956" s="53">
        <f>IFERROR(Table1[[#This Row],[Actual Production (Kg)]]-Table1[[#This Row],[Re-process (Kg)]], "")</f>
        <v>10185</v>
      </c>
      <c r="J956" s="53"/>
      <c r="K956" s="52"/>
      <c r="L956" s="53" t="str">
        <f>IF(Table1[[#This Row],[Target Time (Hours)]]="","",Table1[[#This Row],[Target Time (Hours)]]-Table1[[#This Row],[Downtime (Hours)]])</f>
        <v/>
      </c>
      <c r="M956" s="53" t="str">
        <f>IFERROR(Table1[[#This Row],[Capacity (Kg)]]/Table1[[#This Row],[Target Time (Hours)]] * Table1[[#This Row],[Downtime (Hours)]], "")</f>
        <v/>
      </c>
      <c r="N956" s="57" t="str">
        <f>IFERROR(Table1[[#This Row],[Running Time (hr)]]/Table1[Target Time (Hours)], "")</f>
        <v/>
      </c>
      <c r="O956" s="57">
        <f>IFERROR(Table1[[#This Row],[Actual Production (Kg)]]/Table1[Capacity (Kg)], "")</f>
        <v>1</v>
      </c>
      <c r="P956" s="57">
        <f>IFERROR(Table1[[#This Row],[Quality Pass Production]]/Table1[[#This Row],[Actual Production (Kg)]], "")</f>
        <v>1</v>
      </c>
      <c r="Q956" s="57" t="str">
        <f>IFERROR(Table1[[#This Row],[Utilization %]]*Table1[[#This Row],[Efficiency %]]*Table1[[#This Row],[Quality %]], "")</f>
        <v/>
      </c>
      <c r="R956" s="52"/>
    </row>
    <row r="957" spans="1:18" x14ac:dyDescent="0.25">
      <c r="A957" s="47">
        <v>46203</v>
      </c>
      <c r="B957" s="48" t="s">
        <v>18</v>
      </c>
      <c r="C957" s="48" t="s">
        <v>22</v>
      </c>
      <c r="D957" s="48" t="s">
        <v>23</v>
      </c>
      <c r="E957" s="49">
        <v>5000</v>
      </c>
      <c r="F957" s="76">
        <v>5454</v>
      </c>
      <c r="G957" s="34">
        <v>0</v>
      </c>
      <c r="H957" s="50">
        <f>IFERROR(Table1[Re-process (Kg)]/Table1[Actual Production (Kg)], "")</f>
        <v>0</v>
      </c>
      <c r="I957" s="49">
        <f>IFERROR(Table1[[#This Row],[Actual Production (Kg)]]-Table1[[#This Row],[Re-process (Kg)]], "")</f>
        <v>5454</v>
      </c>
      <c r="J957" s="49">
        <v>22</v>
      </c>
      <c r="K957" s="72"/>
      <c r="L957" s="49">
        <f>IF(Table1[[#This Row],[Target Time (Hours)]]="","",Table1[[#This Row],[Target Time (Hours)]]-Table1[[#This Row],[Downtime (Hours)]])</f>
        <v>22</v>
      </c>
      <c r="M957" s="49">
        <f>IFERROR(Table1[[#This Row],[Capacity (Kg)]]/Table1[[#This Row],[Target Time (Hours)]] * Table1[[#This Row],[Downtime (Hours)]], "")</f>
        <v>0</v>
      </c>
      <c r="N957" s="50">
        <f>IFERROR(Table1[[#This Row],[Running Time (hr)]]/Table1[Target Time (Hours)], "")</f>
        <v>1</v>
      </c>
      <c r="O957" s="50">
        <f>IFERROR(Table1[[#This Row],[Actual Production (Kg)]]/Table1[Capacity (Kg)], "")</f>
        <v>1.0908</v>
      </c>
      <c r="P957" s="50">
        <f>IFERROR(Table1[[#This Row],[Quality Pass Production]]/Table1[[#This Row],[Actual Production (Kg)]], "")</f>
        <v>1</v>
      </c>
      <c r="Q957" s="50">
        <f>IFERROR(Table1[[#This Row],[Utilization %]]*Table1[[#This Row],[Efficiency %]]*Table1[[#This Row],[Quality %]], "")</f>
        <v>1.0908</v>
      </c>
    </row>
    <row r="958" spans="1:18" x14ac:dyDescent="0.25">
      <c r="A958" s="47">
        <v>46203</v>
      </c>
      <c r="B958" s="48" t="s">
        <v>18</v>
      </c>
      <c r="C958" s="48" t="s">
        <v>22</v>
      </c>
      <c r="D958" s="48" t="s">
        <v>25</v>
      </c>
      <c r="E958" s="49">
        <v>4000</v>
      </c>
      <c r="F958" s="76">
        <v>3422</v>
      </c>
      <c r="G958" s="30">
        <v>0</v>
      </c>
      <c r="H958" s="50">
        <f>IFERROR(Table1[Re-process (Kg)]/Table1[Actual Production (Kg)], "")</f>
        <v>0</v>
      </c>
      <c r="I958" s="49">
        <f>IFERROR(Table1[[#This Row],[Actual Production (Kg)]]-Table1[[#This Row],[Re-process (Kg)]], "")</f>
        <v>3422</v>
      </c>
      <c r="J958" s="49"/>
      <c r="K958" s="72"/>
      <c r="L958" s="49" t="str">
        <f>IF(Table1[[#This Row],[Target Time (Hours)]]="","",Table1[[#This Row],[Target Time (Hours)]]-Table1[[#This Row],[Downtime (Hours)]])</f>
        <v/>
      </c>
      <c r="M958" s="49" t="str">
        <f>IFERROR(Table1[[#This Row],[Capacity (Kg)]]/Table1[[#This Row],[Target Time (Hours)]] * Table1[[#This Row],[Downtime (Hours)]], "")</f>
        <v/>
      </c>
      <c r="N958" s="50" t="str">
        <f>IFERROR(Table1[[#This Row],[Running Time (hr)]]/Table1[Target Time (Hours)], "")</f>
        <v/>
      </c>
      <c r="O958" s="50">
        <f>IFERROR(Table1[[#This Row],[Actual Production (Kg)]]/Table1[Capacity (Kg)], "")</f>
        <v>0.85550000000000004</v>
      </c>
      <c r="P958" s="50">
        <f>IFERROR(Table1[[#This Row],[Quality Pass Production]]/Table1[[#This Row],[Actual Production (Kg)]], "")</f>
        <v>1</v>
      </c>
      <c r="Q958" s="50" t="str">
        <f>IFERROR(Table1[[#This Row],[Utilization %]]*Table1[[#This Row],[Efficiency %]]*Table1[[#This Row],[Quality %]], "")</f>
        <v/>
      </c>
    </row>
    <row r="959" spans="1:18" ht="30" customHeight="1" x14ac:dyDescent="0.25">
      <c r="A959" s="47">
        <v>46203</v>
      </c>
      <c r="B959" s="48" t="s">
        <v>18</v>
      </c>
      <c r="C959" s="48" t="s">
        <v>26</v>
      </c>
      <c r="D959" s="48" t="s">
        <v>25</v>
      </c>
      <c r="E959" s="49">
        <v>7000</v>
      </c>
      <c r="F959" s="76">
        <v>7860</v>
      </c>
      <c r="G959" s="34">
        <v>0</v>
      </c>
      <c r="H959" s="50">
        <f>IFERROR(Table1[Re-process (Kg)]/Table1[Actual Production (Kg)], "")</f>
        <v>0</v>
      </c>
      <c r="I959" s="49">
        <f>IFERROR(Table1[[#This Row],[Actual Production (Kg)]]-Table1[[#This Row],[Re-process (Kg)]], "")</f>
        <v>7860</v>
      </c>
      <c r="J959" s="49">
        <v>22</v>
      </c>
      <c r="K959" s="72"/>
      <c r="L959" s="49">
        <f>IF(Table1[[#This Row],[Target Time (Hours)]]="","",Table1[[#This Row],[Target Time (Hours)]]-Table1[[#This Row],[Downtime (Hours)]])</f>
        <v>22</v>
      </c>
      <c r="M959" s="49">
        <f>IFERROR(Table1[[#This Row],[Capacity (Kg)]]/Table1[[#This Row],[Target Time (Hours)]] * Table1[[#This Row],[Downtime (Hours)]], "")</f>
        <v>0</v>
      </c>
      <c r="N959" s="50">
        <f>IFERROR(Table1[[#This Row],[Running Time (hr)]]/Table1[Target Time (Hours)], "")</f>
        <v>1</v>
      </c>
      <c r="O959" s="50">
        <f>IFERROR(Table1[[#This Row],[Actual Production (Kg)]]/Table1[Capacity (Kg)], "")</f>
        <v>1.1228571428571428</v>
      </c>
      <c r="P959" s="50">
        <f>IFERROR(Table1[[#This Row],[Quality Pass Production]]/Table1[[#This Row],[Actual Production (Kg)]], "")</f>
        <v>1</v>
      </c>
      <c r="Q959" s="50">
        <f>IFERROR(Table1[[#This Row],[Utilization %]]*Table1[[#This Row],[Efficiency %]]*Table1[[#This Row],[Quality %]], "")</f>
        <v>1.1228571428571428</v>
      </c>
      <c r="R959" s="48" t="s">
        <v>257</v>
      </c>
    </row>
    <row r="960" spans="1:18" ht="30" customHeight="1" x14ac:dyDescent="0.25">
      <c r="A960" s="47">
        <v>46203</v>
      </c>
      <c r="B960" s="48" t="s">
        <v>18</v>
      </c>
      <c r="C960" s="48" t="s">
        <v>28</v>
      </c>
      <c r="D960" s="48" t="s">
        <v>29</v>
      </c>
      <c r="E960" s="49">
        <v>7800</v>
      </c>
      <c r="F960" s="76">
        <v>5044</v>
      </c>
      <c r="G960" s="30">
        <v>0</v>
      </c>
      <c r="H960" s="50">
        <f>IFERROR(Table1[Re-process (Kg)]/Table1[Actual Production (Kg)], "")</f>
        <v>0</v>
      </c>
      <c r="I960" s="49">
        <f>IFERROR(Table1[[#This Row],[Actual Production (Kg)]]-Table1[[#This Row],[Re-process (Kg)]], "")</f>
        <v>5044</v>
      </c>
      <c r="J960" s="49">
        <v>22</v>
      </c>
      <c r="K960" s="72">
        <v>4.5</v>
      </c>
      <c r="L960" s="49">
        <f>IF(Table1[[#This Row],[Target Time (Hours)]]="","",Table1[[#This Row],[Target Time (Hours)]]-Table1[[#This Row],[Downtime (Hours)]])</f>
        <v>17.5</v>
      </c>
      <c r="M960" s="49">
        <f>IFERROR(Table1[[#This Row],[Capacity (Kg)]]/Table1[[#This Row],[Target Time (Hours)]] * Table1[[#This Row],[Downtime (Hours)]], "")</f>
        <v>1595.4545454545455</v>
      </c>
      <c r="N960" s="50">
        <f>IFERROR(Table1[[#This Row],[Running Time (hr)]]/Table1[Target Time (Hours)], "")</f>
        <v>0.79545454545454541</v>
      </c>
      <c r="O960" s="50">
        <f>IFERROR(Table1[[#This Row],[Actual Production (Kg)]]/Table1[Capacity (Kg)], "")</f>
        <v>0.64666666666666661</v>
      </c>
      <c r="P960" s="50">
        <f>IFERROR(Table1[[#This Row],[Quality Pass Production]]/Table1[[#This Row],[Actual Production (Kg)]], "")</f>
        <v>1</v>
      </c>
      <c r="Q960" s="50">
        <f>IFERROR(Table1[[#This Row],[Utilization %]]*Table1[[#This Row],[Efficiency %]]*Table1[[#This Row],[Quality %]], "")</f>
        <v>0.51439393939393929</v>
      </c>
      <c r="R960" s="48" t="s">
        <v>264</v>
      </c>
    </row>
    <row r="961" spans="1:18" ht="30" customHeight="1" x14ac:dyDescent="0.25">
      <c r="A961" s="51">
        <v>46203</v>
      </c>
      <c r="B961" s="52" t="s">
        <v>18</v>
      </c>
      <c r="C961" s="52" t="s">
        <v>135</v>
      </c>
      <c r="D961" s="52" t="s">
        <v>29</v>
      </c>
      <c r="E961" s="53"/>
      <c r="F961" s="53"/>
      <c r="G961" s="38"/>
      <c r="H961" s="57" t="str">
        <f>IFERROR(Table1[Re-process (Kg)]/Table1[Actual Production (Kg)], "")</f>
        <v/>
      </c>
      <c r="I961" s="53">
        <f>IFERROR(Table1[[#This Row],[Actual Production (Kg)]]-Table1[[#This Row],[Re-process (Kg)]], "")</f>
        <v>0</v>
      </c>
      <c r="J961" s="53"/>
      <c r="K961" s="52"/>
      <c r="L961" s="53" t="str">
        <f>IF(Table1[[#This Row],[Target Time (Hours)]]="","",Table1[[#This Row],[Target Time (Hours)]]-Table1[[#This Row],[Downtime (Hours)]])</f>
        <v/>
      </c>
      <c r="M961" s="53" t="str">
        <f>IFERROR(Table1[[#This Row],[Capacity (Kg)]]/Table1[[#This Row],[Target Time (Hours)]] * Table1[[#This Row],[Downtime (Hours)]], "")</f>
        <v/>
      </c>
      <c r="N961" s="57" t="str">
        <f>IFERROR(Table1[[#This Row],[Running Time (hr)]]/Table1[Target Time (Hours)], "")</f>
        <v/>
      </c>
      <c r="O961" s="57" t="str">
        <f>IFERROR(Table1[[#This Row],[Actual Production (Kg)]]/Table1[Capacity (Kg)], "")</f>
        <v/>
      </c>
      <c r="P961" s="57" t="str">
        <f>IFERROR(Table1[[#This Row],[Quality Pass Production]]/Table1[[#This Row],[Actual Production (Kg)]], "")</f>
        <v/>
      </c>
      <c r="Q961" s="57" t="str">
        <f>IFERROR(Table1[[#This Row],[Utilization %]]*Table1[[#This Row],[Efficiency %]]*Table1[[#This Row],[Quality %]], "")</f>
        <v/>
      </c>
      <c r="R961" s="52"/>
    </row>
    <row r="962" spans="1:18" ht="30" customHeight="1" x14ac:dyDescent="0.25">
      <c r="A962" s="47">
        <v>46203</v>
      </c>
      <c r="B962" s="48" t="s">
        <v>18</v>
      </c>
      <c r="C962" s="48" t="s">
        <v>30</v>
      </c>
      <c r="D962" s="48" t="s">
        <v>31</v>
      </c>
      <c r="E962" s="49">
        <v>9000</v>
      </c>
      <c r="F962" s="76">
        <v>9143</v>
      </c>
      <c r="G962" s="30">
        <v>0</v>
      </c>
      <c r="H962" s="50">
        <f>IFERROR(Table1[Re-process (Kg)]/Table1[Actual Production (Kg)], "")</f>
        <v>0</v>
      </c>
      <c r="I962" s="49">
        <f>IFERROR(Table1[[#This Row],[Actual Production (Kg)]]-Table1[[#This Row],[Re-process (Kg)]], "")</f>
        <v>9143</v>
      </c>
      <c r="J962" s="49">
        <v>22</v>
      </c>
      <c r="K962" s="72"/>
      <c r="L962" s="49">
        <f>IF(Table1[[#This Row],[Target Time (Hours)]]="","",Table1[[#This Row],[Target Time (Hours)]]-Table1[[#This Row],[Downtime (Hours)]])</f>
        <v>22</v>
      </c>
      <c r="M962" s="49">
        <f>IFERROR(Table1[[#This Row],[Capacity (Kg)]]/Table1[[#This Row],[Target Time (Hours)]] * Table1[[#This Row],[Downtime (Hours)]], "")</f>
        <v>0</v>
      </c>
      <c r="N962" s="50">
        <f>IFERROR(Table1[[#This Row],[Running Time (hr)]]/Table1[Target Time (Hours)], "")</f>
        <v>1</v>
      </c>
      <c r="O962" s="50">
        <f>IFERROR(Table1[[#This Row],[Actual Production (Kg)]]/Table1[Capacity (Kg)], "")</f>
        <v>1.0158888888888888</v>
      </c>
      <c r="P962" s="50">
        <f>IFERROR(Table1[[#This Row],[Quality Pass Production]]/Table1[[#This Row],[Actual Production (Kg)]], "")</f>
        <v>1</v>
      </c>
      <c r="Q962" s="50">
        <f>IFERROR(Table1[[#This Row],[Utilization %]]*Table1[[#This Row],[Efficiency %]]*Table1[[#This Row],[Quality %]], "")</f>
        <v>1.0158888888888888</v>
      </c>
    </row>
    <row r="963" spans="1:18" ht="30" customHeight="1" x14ac:dyDescent="0.25">
      <c r="A963" s="51">
        <v>46203</v>
      </c>
      <c r="B963" s="52" t="s">
        <v>18</v>
      </c>
      <c r="C963" s="52" t="s">
        <v>32</v>
      </c>
      <c r="D963" s="52" t="s">
        <v>31</v>
      </c>
      <c r="E963" s="79">
        <f>Table1[[#This Row],[Actual Production (Kg)]]</f>
        <v>0</v>
      </c>
      <c r="F963" s="53"/>
      <c r="G963" s="38"/>
      <c r="H963" s="57" t="str">
        <f>IFERROR(Table1[Re-process (Kg)]/Table1[Actual Production (Kg)], "")</f>
        <v/>
      </c>
      <c r="I963" s="53">
        <f>IFERROR(Table1[[#This Row],[Actual Production (Kg)]]-Table1[[#This Row],[Re-process (Kg)]], "")</f>
        <v>0</v>
      </c>
      <c r="J963" s="53"/>
      <c r="K963" s="52"/>
      <c r="L963" s="53" t="str">
        <f>IF(Table1[[#This Row],[Target Time (Hours)]]="","",Table1[[#This Row],[Target Time (Hours)]]-Table1[[#This Row],[Downtime (Hours)]])</f>
        <v/>
      </c>
      <c r="M963" s="53" t="str">
        <f>IFERROR(Table1[[#This Row],[Capacity (Kg)]]/Table1[[#This Row],[Target Time (Hours)]] * Table1[[#This Row],[Downtime (Hours)]], "")</f>
        <v/>
      </c>
      <c r="N963" s="57" t="str">
        <f>IFERROR(Table1[[#This Row],[Running Time (hr)]]/Table1[Target Time (Hours)], "")</f>
        <v/>
      </c>
      <c r="O963" s="57" t="str">
        <f>IFERROR(Table1[[#This Row],[Actual Production (Kg)]]/Table1[Capacity (Kg)], "")</f>
        <v/>
      </c>
      <c r="P963" s="57" t="str">
        <f>IFERROR(Table1[[#This Row],[Quality Pass Production]]/Table1[[#This Row],[Actual Production (Kg)]], "")</f>
        <v/>
      </c>
      <c r="Q963" s="57" t="str">
        <f>IFERROR(Table1[[#This Row],[Utilization %]]*Table1[[#This Row],[Efficiency %]]*Table1[[#This Row],[Quality %]], "")</f>
        <v/>
      </c>
      <c r="R963" s="52"/>
    </row>
    <row r="964" spans="1:18" ht="30" customHeight="1" x14ac:dyDescent="0.25">
      <c r="A964" s="47">
        <v>46203</v>
      </c>
      <c r="B964" s="48" t="s">
        <v>33</v>
      </c>
      <c r="C964" s="48" t="s">
        <v>34</v>
      </c>
      <c r="D964" s="48" t="s">
        <v>35</v>
      </c>
      <c r="E964" s="49">
        <v>9000</v>
      </c>
      <c r="F964" s="76">
        <v>10006</v>
      </c>
      <c r="G964" s="30">
        <v>0</v>
      </c>
      <c r="H964" s="50">
        <f>IFERROR(Table1[Re-process (Kg)]/Table1[Actual Production (Kg)], "")</f>
        <v>0</v>
      </c>
      <c r="I964" s="49">
        <f>IFERROR(Table1[[#This Row],[Actual Production (Kg)]]-Table1[[#This Row],[Re-process (Kg)]], "")</f>
        <v>10006</v>
      </c>
      <c r="J964" s="49">
        <v>22</v>
      </c>
      <c r="K964" s="72"/>
      <c r="L964" s="49">
        <f>IF(Table1[[#This Row],[Target Time (Hours)]]="","",Table1[[#This Row],[Target Time (Hours)]]-Table1[[#This Row],[Downtime (Hours)]])</f>
        <v>22</v>
      </c>
      <c r="M964" s="49">
        <f>IFERROR(Table1[[#This Row],[Capacity (Kg)]]/Table1[[#This Row],[Target Time (Hours)]] * Table1[[#This Row],[Downtime (Hours)]], "")</f>
        <v>0</v>
      </c>
      <c r="N964" s="50">
        <f>IFERROR(Table1[[#This Row],[Running Time (hr)]]/Table1[Target Time (Hours)], "")</f>
        <v>1</v>
      </c>
      <c r="O964" s="50">
        <f>IFERROR(Table1[[#This Row],[Actual Production (Kg)]]/Table1[Capacity (Kg)], "")</f>
        <v>1.1117777777777778</v>
      </c>
      <c r="P964" s="50">
        <f>IFERROR(Table1[[#This Row],[Quality Pass Production]]/Table1[[#This Row],[Actual Production (Kg)]], "")</f>
        <v>1</v>
      </c>
      <c r="Q964" s="50">
        <f>IFERROR(Table1[[#This Row],[Utilization %]]*Table1[[#This Row],[Efficiency %]]*Table1[[#This Row],[Quality %]], "")</f>
        <v>1.1117777777777778</v>
      </c>
      <c r="R964" s="48" t="s">
        <v>265</v>
      </c>
    </row>
    <row r="965" spans="1:18" ht="45" customHeight="1" x14ac:dyDescent="0.25">
      <c r="A965" s="47">
        <v>46203</v>
      </c>
      <c r="B965" s="48" t="s">
        <v>33</v>
      </c>
      <c r="C965" s="48" t="s">
        <v>36</v>
      </c>
      <c r="D965" s="48" t="s">
        <v>37</v>
      </c>
      <c r="E965" s="49">
        <v>8000</v>
      </c>
      <c r="F965" s="76">
        <v>9461</v>
      </c>
      <c r="G965" s="34">
        <v>0</v>
      </c>
      <c r="H965" s="50">
        <f>IFERROR(Table1[Re-process (Kg)]/Table1[Actual Production (Kg)], "")</f>
        <v>0</v>
      </c>
      <c r="I965" s="49">
        <f>IFERROR(Table1[[#This Row],[Actual Production (Kg)]]-Table1[[#This Row],[Re-process (Kg)]], "")</f>
        <v>9461</v>
      </c>
      <c r="J965" s="49">
        <v>22</v>
      </c>
      <c r="K965" s="72">
        <v>1.5</v>
      </c>
      <c r="L965" s="49">
        <f>IF(Table1[[#This Row],[Target Time (Hours)]]="","",Table1[[#This Row],[Target Time (Hours)]]-Table1[[#This Row],[Downtime (Hours)]])</f>
        <v>20.5</v>
      </c>
      <c r="M965" s="49">
        <f>IFERROR(Table1[[#This Row],[Capacity (Kg)]]/Table1[[#This Row],[Target Time (Hours)]] * Table1[[#This Row],[Downtime (Hours)]], "")</f>
        <v>545.4545454545455</v>
      </c>
      <c r="N965" s="50">
        <f>IFERROR(Table1[[#This Row],[Running Time (hr)]]/Table1[Target Time (Hours)], "")</f>
        <v>0.93181818181818177</v>
      </c>
      <c r="O965" s="50">
        <f>IFERROR(Table1[[#This Row],[Actual Production (Kg)]]/Table1[Capacity (Kg)], "")</f>
        <v>1.182625</v>
      </c>
      <c r="P965" s="50">
        <f>IFERROR(Table1[[#This Row],[Quality Pass Production]]/Table1[[#This Row],[Actual Production (Kg)]], "")</f>
        <v>1</v>
      </c>
      <c r="Q965" s="50">
        <f>IFERROR(Table1[[#This Row],[Utilization %]]*Table1[[#This Row],[Efficiency %]]*Table1[[#This Row],[Quality %]], "")</f>
        <v>1.1019914772727273</v>
      </c>
      <c r="R965" s="48" t="s">
        <v>266</v>
      </c>
    </row>
    <row r="966" spans="1:18" ht="30" customHeight="1" x14ac:dyDescent="0.25">
      <c r="A966" s="47">
        <v>46203</v>
      </c>
      <c r="B966" s="48" t="s">
        <v>33</v>
      </c>
      <c r="C966" s="48" t="s">
        <v>39</v>
      </c>
      <c r="D966" s="48" t="s">
        <v>31</v>
      </c>
      <c r="E966" s="49">
        <v>6000</v>
      </c>
      <c r="F966" s="76">
        <v>3967</v>
      </c>
      <c r="G966" s="30">
        <v>0</v>
      </c>
      <c r="H966" s="50">
        <f>IFERROR(Table1[Re-process (Kg)]/Table1[Actual Production (Kg)], "")</f>
        <v>0</v>
      </c>
      <c r="I966" s="49">
        <f>IFERROR(Table1[[#This Row],[Actual Production (Kg)]]-Table1[[#This Row],[Re-process (Kg)]], "")</f>
        <v>3967</v>
      </c>
      <c r="J966" s="49">
        <v>22</v>
      </c>
      <c r="K966" s="72"/>
      <c r="L966" s="49">
        <f>IF(Table1[[#This Row],[Target Time (Hours)]]="","",Table1[[#This Row],[Target Time (Hours)]]-Table1[[#This Row],[Downtime (Hours)]])</f>
        <v>22</v>
      </c>
      <c r="M966" s="49">
        <f>IFERROR(Table1[[#This Row],[Capacity (Kg)]]/Table1[[#This Row],[Target Time (Hours)]] * Table1[[#This Row],[Downtime (Hours)]], "")</f>
        <v>0</v>
      </c>
      <c r="N966" s="50">
        <f>IFERROR(Table1[[#This Row],[Running Time (hr)]]/Table1[Target Time (Hours)], "")</f>
        <v>1</v>
      </c>
      <c r="O966" s="50">
        <f>IFERROR(Table1[[#This Row],[Actual Production (Kg)]]/Table1[Capacity (Kg)], "")</f>
        <v>0.66116666666666668</v>
      </c>
      <c r="P966" s="50">
        <f>IFERROR(Table1[[#This Row],[Quality Pass Production]]/Table1[[#This Row],[Actual Production (Kg)]], "")</f>
        <v>1</v>
      </c>
      <c r="Q966" s="50">
        <f>IFERROR(Table1[[#This Row],[Utilization %]]*Table1[[#This Row],[Efficiency %]]*Table1[[#This Row],[Quality %]], "")</f>
        <v>0.66116666666666668</v>
      </c>
    </row>
    <row r="967" spans="1:18" ht="45" customHeight="1" x14ac:dyDescent="0.25">
      <c r="A967" s="54">
        <v>46203</v>
      </c>
      <c r="B967" s="55" t="s">
        <v>33</v>
      </c>
      <c r="C967" s="55" t="s">
        <v>40</v>
      </c>
      <c r="D967" s="55" t="s">
        <v>31</v>
      </c>
      <c r="E967" s="56">
        <v>5000</v>
      </c>
      <c r="F967" s="56">
        <v>4513</v>
      </c>
      <c r="G967" s="43">
        <v>0</v>
      </c>
      <c r="H967" s="58">
        <f>IFERROR(Table1[Re-process (Kg)]/Table1[Actual Production (Kg)], "")</f>
        <v>0</v>
      </c>
      <c r="I967" s="56">
        <f>IFERROR(Table1[[#This Row],[Actual Production (Kg)]]-Table1[[#This Row],[Re-process (Kg)]], "")</f>
        <v>4513</v>
      </c>
      <c r="J967" s="56">
        <v>22</v>
      </c>
      <c r="K967" s="55"/>
      <c r="L967" s="56">
        <f>IF(Table1[[#This Row],[Target Time (Hours)]]="","",Table1[[#This Row],[Target Time (Hours)]]-Table1[[#This Row],[Downtime (Hours)]])</f>
        <v>22</v>
      </c>
      <c r="M967" s="56">
        <f>IFERROR(Table1[[#This Row],[Capacity (Kg)]]/Table1[[#This Row],[Target Time (Hours)]] * Table1[[#This Row],[Downtime (Hours)]], "")</f>
        <v>0</v>
      </c>
      <c r="N967" s="58">
        <f>IFERROR(Table1[[#This Row],[Running Time (hr)]]/Table1[Target Time (Hours)], "")</f>
        <v>1</v>
      </c>
      <c r="O967" s="58">
        <f>IFERROR(Table1[[#This Row],[Actual Production (Kg)]]/Table1[Capacity (Kg)], "")</f>
        <v>0.90259999999999996</v>
      </c>
      <c r="P967" s="58">
        <f>IFERROR(Table1[[#This Row],[Quality Pass Production]]/Table1[[#This Row],[Actual Production (Kg)]], "")</f>
        <v>1</v>
      </c>
      <c r="Q967" s="58">
        <f>IFERROR(Table1[[#This Row],[Utilization %]]*Table1[[#This Row],[Efficiency %]]*Table1[[#This Row],[Quality %]], "")</f>
        <v>0.90259999999999996</v>
      </c>
      <c r="R967" s="55"/>
    </row>
    <row r="968" spans="1:18" ht="30" customHeight="1" x14ac:dyDescent="0.25">
      <c r="A968" s="47">
        <v>46204</v>
      </c>
      <c r="B968" s="48" t="s">
        <v>18</v>
      </c>
      <c r="C968" s="48" t="s">
        <v>19</v>
      </c>
      <c r="D968" s="48" t="s">
        <v>20</v>
      </c>
      <c r="E968" s="49">
        <v>10000</v>
      </c>
      <c r="F968" s="76">
        <v>8238</v>
      </c>
      <c r="G968" s="34">
        <v>0</v>
      </c>
      <c r="H968" s="50">
        <f>IFERROR(Table1[Re-process (Kg)]/Table1[Actual Production (Kg)], "")</f>
        <v>0</v>
      </c>
      <c r="I968" s="49">
        <f>IFERROR(Table1[[#This Row],[Actual Production (Kg)]]-Table1[[#This Row],[Re-process (Kg)]], "")</f>
        <v>8238</v>
      </c>
      <c r="J968" s="49">
        <v>22</v>
      </c>
      <c r="K968" s="72">
        <v>1.6</v>
      </c>
      <c r="L968" s="49">
        <f>IF(Table1[[#This Row],[Target Time (Hours)]]="","",Table1[[#This Row],[Target Time (Hours)]]-Table1[[#This Row],[Downtime (Hours)]])</f>
        <v>20.399999999999999</v>
      </c>
      <c r="M968" s="49">
        <f>IFERROR(Table1[[#This Row],[Capacity (Kg)]]/Table1[[#This Row],[Target Time (Hours)]] * Table1[[#This Row],[Downtime (Hours)]], "")</f>
        <v>727.27272727272737</v>
      </c>
      <c r="N968" s="50">
        <f>IFERROR(Table1[[#This Row],[Running Time (hr)]]/Table1[Target Time (Hours)], "")</f>
        <v>0.92727272727272725</v>
      </c>
      <c r="O968" s="50">
        <f>IFERROR(Table1[[#This Row],[Actual Production (Kg)]]/Table1[Capacity (Kg)], "")</f>
        <v>0.82379999999999998</v>
      </c>
      <c r="P968" s="50">
        <f>IFERROR(Table1[[#This Row],[Quality Pass Production]]/Table1[[#This Row],[Actual Production (Kg)]], "")</f>
        <v>1</v>
      </c>
      <c r="Q968" s="50">
        <f>IFERROR(Table1[[#This Row],[Utilization %]]*Table1[[#This Row],[Efficiency %]]*Table1[[#This Row],[Quality %]], "")</f>
        <v>0.76388727272727264</v>
      </c>
      <c r="R968" s="48" t="s">
        <v>267</v>
      </c>
    </row>
    <row r="969" spans="1:18" x14ac:dyDescent="0.25">
      <c r="A969" s="51">
        <v>46204</v>
      </c>
      <c r="B969" s="52" t="s">
        <v>18</v>
      </c>
      <c r="C969" s="52" t="s">
        <v>238</v>
      </c>
      <c r="D969" s="52" t="s">
        <v>20</v>
      </c>
      <c r="E969" s="79">
        <f>Table1[[#This Row],[Actual Production (Kg)]]</f>
        <v>8620</v>
      </c>
      <c r="F969" s="53">
        <v>8620</v>
      </c>
      <c r="G969" s="38">
        <v>0</v>
      </c>
      <c r="H969" s="57">
        <f>IFERROR(Table1[Re-process (Kg)]/Table1[Actual Production (Kg)], "")</f>
        <v>0</v>
      </c>
      <c r="I969" s="53">
        <f>IFERROR(Table1[[#This Row],[Actual Production (Kg)]]-Table1[[#This Row],[Re-process (Kg)]], "")</f>
        <v>8620</v>
      </c>
      <c r="J969" s="53"/>
      <c r="K969" s="52"/>
      <c r="L969" s="53" t="str">
        <f>IF(Table1[[#This Row],[Target Time (Hours)]]="","",Table1[[#This Row],[Target Time (Hours)]]-Table1[[#This Row],[Downtime (Hours)]])</f>
        <v/>
      </c>
      <c r="M969" s="53" t="str">
        <f>IFERROR(Table1[[#This Row],[Capacity (Kg)]]/Table1[[#This Row],[Target Time (Hours)]] * Table1[[#This Row],[Downtime (Hours)]], "")</f>
        <v/>
      </c>
      <c r="N969" s="57" t="str">
        <f>IFERROR(Table1[[#This Row],[Running Time (hr)]]/Table1[Target Time (Hours)], "")</f>
        <v/>
      </c>
      <c r="O969" s="57">
        <f>IFERROR(Table1[[#This Row],[Actual Production (Kg)]]/Table1[Capacity (Kg)], "")</f>
        <v>1</v>
      </c>
      <c r="P969" s="57">
        <f>IFERROR(Table1[[#This Row],[Quality Pass Production]]/Table1[[#This Row],[Actual Production (Kg)]], "")</f>
        <v>1</v>
      </c>
      <c r="Q969" s="57" t="str">
        <f>IFERROR(Table1[[#This Row],[Utilization %]]*Table1[[#This Row],[Efficiency %]]*Table1[[#This Row],[Quality %]], "")</f>
        <v/>
      </c>
      <c r="R969" s="52"/>
    </row>
    <row r="970" spans="1:18" x14ac:dyDescent="0.25">
      <c r="A970" s="47">
        <v>46204</v>
      </c>
      <c r="B970" s="48" t="s">
        <v>18</v>
      </c>
      <c r="C970" s="48" t="s">
        <v>22</v>
      </c>
      <c r="D970" s="48" t="s">
        <v>23</v>
      </c>
      <c r="E970" s="49">
        <v>5000</v>
      </c>
      <c r="F970" s="76">
        <v>3045</v>
      </c>
      <c r="G970" s="34">
        <v>0</v>
      </c>
      <c r="H970" s="50">
        <f>IFERROR(Table1[Re-process (Kg)]/Table1[Actual Production (Kg)], "")</f>
        <v>0</v>
      </c>
      <c r="I970" s="49">
        <f>IFERROR(Table1[[#This Row],[Actual Production (Kg)]]-Table1[[#This Row],[Re-process (Kg)]], "")</f>
        <v>3045</v>
      </c>
      <c r="J970" s="49">
        <v>22</v>
      </c>
      <c r="K970" s="72"/>
      <c r="L970" s="49">
        <f>IF(Table1[[#This Row],[Target Time (Hours)]]="","",Table1[[#This Row],[Target Time (Hours)]]-Table1[[#This Row],[Downtime (Hours)]])</f>
        <v>22</v>
      </c>
      <c r="M970" s="49">
        <f>IFERROR(Table1[[#This Row],[Capacity (Kg)]]/Table1[[#This Row],[Target Time (Hours)]] * Table1[[#This Row],[Downtime (Hours)]], "")</f>
        <v>0</v>
      </c>
      <c r="N970" s="50">
        <f>IFERROR(Table1[[#This Row],[Running Time (hr)]]/Table1[Target Time (Hours)], "")</f>
        <v>1</v>
      </c>
      <c r="O970" s="50">
        <f>IFERROR(Table1[[#This Row],[Actual Production (Kg)]]/Table1[Capacity (Kg)], "")</f>
        <v>0.60899999999999999</v>
      </c>
      <c r="P970" s="50">
        <f>IFERROR(Table1[[#This Row],[Quality Pass Production]]/Table1[[#This Row],[Actual Production (Kg)]], "")</f>
        <v>1</v>
      </c>
      <c r="Q970" s="50">
        <f>IFERROR(Table1[[#This Row],[Utilization %]]*Table1[[#This Row],[Efficiency %]]*Table1[[#This Row],[Quality %]], "")</f>
        <v>0.60899999999999999</v>
      </c>
    </row>
    <row r="971" spans="1:18" x14ac:dyDescent="0.25">
      <c r="A971" s="47">
        <v>46204</v>
      </c>
      <c r="B971" s="48" t="s">
        <v>18</v>
      </c>
      <c r="C971" s="48" t="s">
        <v>22</v>
      </c>
      <c r="D971" s="48" t="s">
        <v>25</v>
      </c>
      <c r="E971" s="49">
        <v>4000</v>
      </c>
      <c r="F971" s="76">
        <v>6312</v>
      </c>
      <c r="G971" s="30">
        <v>0</v>
      </c>
      <c r="H971" s="50">
        <f>IFERROR(Table1[Re-process (Kg)]/Table1[Actual Production (Kg)], "")</f>
        <v>0</v>
      </c>
      <c r="I971" s="49">
        <f>IFERROR(Table1[[#This Row],[Actual Production (Kg)]]-Table1[[#This Row],[Re-process (Kg)]], "")</f>
        <v>6312</v>
      </c>
      <c r="J971" s="49"/>
      <c r="K971" s="72"/>
      <c r="L971" s="49" t="str">
        <f>IF(Table1[[#This Row],[Target Time (Hours)]]="","",Table1[[#This Row],[Target Time (Hours)]]-Table1[[#This Row],[Downtime (Hours)]])</f>
        <v/>
      </c>
      <c r="M971" s="49" t="str">
        <f>IFERROR(Table1[[#This Row],[Capacity (Kg)]]/Table1[[#This Row],[Target Time (Hours)]] * Table1[[#This Row],[Downtime (Hours)]], "")</f>
        <v/>
      </c>
      <c r="N971" s="50" t="str">
        <f>IFERROR(Table1[[#This Row],[Running Time (hr)]]/Table1[Target Time (Hours)], "")</f>
        <v/>
      </c>
      <c r="O971" s="50">
        <f>IFERROR(Table1[[#This Row],[Actual Production (Kg)]]/Table1[Capacity (Kg)], "")</f>
        <v>1.5780000000000001</v>
      </c>
      <c r="P971" s="50">
        <f>IFERROR(Table1[[#This Row],[Quality Pass Production]]/Table1[[#This Row],[Actual Production (Kg)]], "")</f>
        <v>1</v>
      </c>
      <c r="Q971" s="50" t="str">
        <f>IFERROR(Table1[[#This Row],[Utilization %]]*Table1[[#This Row],[Efficiency %]]*Table1[[#This Row],[Quality %]], "")</f>
        <v/>
      </c>
      <c r="R971" s="48" t="s">
        <v>199</v>
      </c>
    </row>
    <row r="972" spans="1:18" ht="30" customHeight="1" x14ac:dyDescent="0.25">
      <c r="A972" s="47">
        <v>46204</v>
      </c>
      <c r="B972" s="48" t="s">
        <v>18</v>
      </c>
      <c r="C972" s="48" t="s">
        <v>26</v>
      </c>
      <c r="D972" s="48" t="s">
        <v>25</v>
      </c>
      <c r="E972" s="49">
        <v>7000</v>
      </c>
      <c r="F972" s="76">
        <v>8168</v>
      </c>
      <c r="G972" s="34">
        <v>0</v>
      </c>
      <c r="H972" s="50">
        <f>IFERROR(Table1[Re-process (Kg)]/Table1[Actual Production (Kg)], "")</f>
        <v>0</v>
      </c>
      <c r="I972" s="49">
        <f>IFERROR(Table1[[#This Row],[Actual Production (Kg)]]-Table1[[#This Row],[Re-process (Kg)]], "")</f>
        <v>8168</v>
      </c>
      <c r="J972" s="49">
        <v>22</v>
      </c>
      <c r="K972" s="72"/>
      <c r="L972" s="49">
        <f>IF(Table1[[#This Row],[Target Time (Hours)]]="","",Table1[[#This Row],[Target Time (Hours)]]-Table1[[#This Row],[Downtime (Hours)]])</f>
        <v>22</v>
      </c>
      <c r="M972" s="49">
        <f>IFERROR(Table1[[#This Row],[Capacity (Kg)]]/Table1[[#This Row],[Target Time (Hours)]] * Table1[[#This Row],[Downtime (Hours)]], "")</f>
        <v>0</v>
      </c>
      <c r="N972" s="50">
        <f>IFERROR(Table1[[#This Row],[Running Time (hr)]]/Table1[Target Time (Hours)], "")</f>
        <v>1</v>
      </c>
      <c r="O972" s="50">
        <f>IFERROR(Table1[[#This Row],[Actual Production (Kg)]]/Table1[Capacity (Kg)], "")</f>
        <v>1.1668571428571428</v>
      </c>
      <c r="P972" s="50">
        <f>IFERROR(Table1[[#This Row],[Quality Pass Production]]/Table1[[#This Row],[Actual Production (Kg)]], "")</f>
        <v>1</v>
      </c>
      <c r="Q972" s="50">
        <f>IFERROR(Table1[[#This Row],[Utilization %]]*Table1[[#This Row],[Efficiency %]]*Table1[[#This Row],[Quality %]], "")</f>
        <v>1.1668571428571428</v>
      </c>
      <c r="R972" s="48" t="s">
        <v>257</v>
      </c>
    </row>
    <row r="973" spans="1:18" ht="30" customHeight="1" x14ac:dyDescent="0.25">
      <c r="A973" s="47">
        <v>46204</v>
      </c>
      <c r="B973" s="48" t="s">
        <v>18</v>
      </c>
      <c r="C973" s="48" t="s">
        <v>28</v>
      </c>
      <c r="D973" s="48" t="s">
        <v>29</v>
      </c>
      <c r="E973" s="49">
        <v>7800</v>
      </c>
      <c r="F973" s="76">
        <v>5158</v>
      </c>
      <c r="G973" s="30">
        <v>0</v>
      </c>
      <c r="H973" s="50">
        <f>IFERROR(Table1[Re-process (Kg)]/Table1[Actual Production (Kg)], "")</f>
        <v>0</v>
      </c>
      <c r="I973" s="49">
        <f>IFERROR(Table1[[#This Row],[Actual Production (Kg)]]-Table1[[#This Row],[Re-process (Kg)]], "")</f>
        <v>5158</v>
      </c>
      <c r="J973" s="49">
        <v>22</v>
      </c>
      <c r="K973" s="72">
        <v>4</v>
      </c>
      <c r="L973" s="49">
        <f>IF(Table1[[#This Row],[Target Time (Hours)]]="","",Table1[[#This Row],[Target Time (Hours)]]-Table1[[#This Row],[Downtime (Hours)]])</f>
        <v>18</v>
      </c>
      <c r="M973" s="49">
        <f>IFERROR(Table1[[#This Row],[Capacity (Kg)]]/Table1[[#This Row],[Target Time (Hours)]] * Table1[[#This Row],[Downtime (Hours)]], "")</f>
        <v>1418.1818181818182</v>
      </c>
      <c r="N973" s="50">
        <f>IFERROR(Table1[[#This Row],[Running Time (hr)]]/Table1[Target Time (Hours)], "")</f>
        <v>0.81818181818181823</v>
      </c>
      <c r="O973" s="50">
        <f>IFERROR(Table1[[#This Row],[Actual Production (Kg)]]/Table1[Capacity (Kg)], "")</f>
        <v>0.66128205128205131</v>
      </c>
      <c r="P973" s="50">
        <f>IFERROR(Table1[[#This Row],[Quality Pass Production]]/Table1[[#This Row],[Actual Production (Kg)]], "")</f>
        <v>1</v>
      </c>
      <c r="Q973" s="50">
        <f>IFERROR(Table1[[#This Row],[Utilization %]]*Table1[[#This Row],[Efficiency %]]*Table1[[#This Row],[Quality %]], "")</f>
        <v>0.54104895104895112</v>
      </c>
      <c r="R973" s="48" t="s">
        <v>268</v>
      </c>
    </row>
    <row r="974" spans="1:18" ht="30" customHeight="1" x14ac:dyDescent="0.25">
      <c r="A974" s="51">
        <v>46204</v>
      </c>
      <c r="B974" s="52" t="s">
        <v>18</v>
      </c>
      <c r="C974" s="52" t="s">
        <v>135</v>
      </c>
      <c r="D974" s="52" t="s">
        <v>29</v>
      </c>
      <c r="E974" s="53"/>
      <c r="F974" s="53"/>
      <c r="G974" s="38"/>
      <c r="H974" s="57" t="str">
        <f>IFERROR(Table1[Re-process (Kg)]/Table1[Actual Production (Kg)], "")</f>
        <v/>
      </c>
      <c r="I974" s="53">
        <f>IFERROR(Table1[[#This Row],[Actual Production (Kg)]]-Table1[[#This Row],[Re-process (Kg)]], "")</f>
        <v>0</v>
      </c>
      <c r="J974" s="53"/>
      <c r="K974" s="52"/>
      <c r="L974" s="53" t="str">
        <f>IF(Table1[[#This Row],[Target Time (Hours)]]="","",Table1[[#This Row],[Target Time (Hours)]]-Table1[[#This Row],[Downtime (Hours)]])</f>
        <v/>
      </c>
      <c r="M974" s="53" t="str">
        <f>IFERROR(Table1[[#This Row],[Capacity (Kg)]]/Table1[[#This Row],[Target Time (Hours)]] * Table1[[#This Row],[Downtime (Hours)]], "")</f>
        <v/>
      </c>
      <c r="N974" s="57" t="str">
        <f>IFERROR(Table1[[#This Row],[Running Time (hr)]]/Table1[Target Time (Hours)], "")</f>
        <v/>
      </c>
      <c r="O974" s="57" t="str">
        <f>IFERROR(Table1[[#This Row],[Actual Production (Kg)]]/Table1[Capacity (Kg)], "")</f>
        <v/>
      </c>
      <c r="P974" s="57" t="str">
        <f>IFERROR(Table1[[#This Row],[Quality Pass Production]]/Table1[[#This Row],[Actual Production (Kg)]], "")</f>
        <v/>
      </c>
      <c r="Q974" s="57" t="str">
        <f>IFERROR(Table1[[#This Row],[Utilization %]]*Table1[[#This Row],[Efficiency %]]*Table1[[#This Row],[Quality %]], "")</f>
        <v/>
      </c>
      <c r="R974" s="52"/>
    </row>
    <row r="975" spans="1:18" ht="30" customHeight="1" x14ac:dyDescent="0.25">
      <c r="A975" s="47">
        <v>46204</v>
      </c>
      <c r="B975" s="48" t="s">
        <v>18</v>
      </c>
      <c r="C975" s="48" t="s">
        <v>30</v>
      </c>
      <c r="D975" s="48" t="s">
        <v>31</v>
      </c>
      <c r="E975" s="49">
        <v>9000</v>
      </c>
      <c r="F975" s="76">
        <v>8905</v>
      </c>
      <c r="G975" s="30">
        <v>0</v>
      </c>
      <c r="H975" s="50">
        <f>IFERROR(Table1[Re-process (Kg)]/Table1[Actual Production (Kg)], "")</f>
        <v>0</v>
      </c>
      <c r="I975" s="49">
        <f>IFERROR(Table1[[#This Row],[Actual Production (Kg)]]-Table1[[#This Row],[Re-process (Kg)]], "")</f>
        <v>8905</v>
      </c>
      <c r="J975" s="49">
        <v>22</v>
      </c>
      <c r="K975" s="72"/>
      <c r="L975" s="49">
        <f>IF(Table1[[#This Row],[Target Time (Hours)]]="","",Table1[[#This Row],[Target Time (Hours)]]-Table1[[#This Row],[Downtime (Hours)]])</f>
        <v>22</v>
      </c>
      <c r="M975" s="49">
        <f>IFERROR(Table1[[#This Row],[Capacity (Kg)]]/Table1[[#This Row],[Target Time (Hours)]] * Table1[[#This Row],[Downtime (Hours)]], "")</f>
        <v>0</v>
      </c>
      <c r="N975" s="50">
        <f>IFERROR(Table1[[#This Row],[Running Time (hr)]]/Table1[Target Time (Hours)], "")</f>
        <v>1</v>
      </c>
      <c r="O975" s="50">
        <f>IFERROR(Table1[[#This Row],[Actual Production (Kg)]]/Table1[Capacity (Kg)], "")</f>
        <v>0.98944444444444446</v>
      </c>
      <c r="P975" s="50">
        <f>IFERROR(Table1[[#This Row],[Quality Pass Production]]/Table1[[#This Row],[Actual Production (Kg)]], "")</f>
        <v>1</v>
      </c>
      <c r="Q975" s="50">
        <f>IFERROR(Table1[[#This Row],[Utilization %]]*Table1[[#This Row],[Efficiency %]]*Table1[[#This Row],[Quality %]], "")</f>
        <v>0.98944444444444446</v>
      </c>
    </row>
    <row r="976" spans="1:18" ht="30" customHeight="1" x14ac:dyDescent="0.25">
      <c r="A976" s="51">
        <v>46204</v>
      </c>
      <c r="B976" s="52" t="s">
        <v>18</v>
      </c>
      <c r="C976" s="52" t="s">
        <v>32</v>
      </c>
      <c r="D976" s="52" t="s">
        <v>31</v>
      </c>
      <c r="E976" s="79">
        <f>Table1[[#This Row],[Actual Production (Kg)]]</f>
        <v>0</v>
      </c>
      <c r="F976" s="53"/>
      <c r="G976" s="38"/>
      <c r="H976" s="57" t="str">
        <f>IFERROR(Table1[Re-process (Kg)]/Table1[Actual Production (Kg)], "")</f>
        <v/>
      </c>
      <c r="I976" s="53">
        <f>IFERROR(Table1[[#This Row],[Actual Production (Kg)]]-Table1[[#This Row],[Re-process (Kg)]], "")</f>
        <v>0</v>
      </c>
      <c r="J976" s="53"/>
      <c r="K976" s="52"/>
      <c r="L976" s="53" t="str">
        <f>IF(Table1[[#This Row],[Target Time (Hours)]]="","",Table1[[#This Row],[Target Time (Hours)]]-Table1[[#This Row],[Downtime (Hours)]])</f>
        <v/>
      </c>
      <c r="M976" s="53" t="str">
        <f>IFERROR(Table1[[#This Row],[Capacity (Kg)]]/Table1[[#This Row],[Target Time (Hours)]] * Table1[[#This Row],[Downtime (Hours)]], "")</f>
        <v/>
      </c>
      <c r="N976" s="57" t="str">
        <f>IFERROR(Table1[[#This Row],[Running Time (hr)]]/Table1[Target Time (Hours)], "")</f>
        <v/>
      </c>
      <c r="O976" s="57" t="str">
        <f>IFERROR(Table1[[#This Row],[Actual Production (Kg)]]/Table1[Capacity (Kg)], "")</f>
        <v/>
      </c>
      <c r="P976" s="57" t="str">
        <f>IFERROR(Table1[[#This Row],[Quality Pass Production]]/Table1[[#This Row],[Actual Production (Kg)]], "")</f>
        <v/>
      </c>
      <c r="Q976" s="57" t="str">
        <f>IFERROR(Table1[[#This Row],[Utilization %]]*Table1[[#This Row],[Efficiency %]]*Table1[[#This Row],[Quality %]], "")</f>
        <v/>
      </c>
      <c r="R976" s="52"/>
    </row>
    <row r="977" spans="1:18" ht="30" customHeight="1" x14ac:dyDescent="0.25">
      <c r="A977" s="47">
        <v>46204</v>
      </c>
      <c r="B977" s="48" t="s">
        <v>33</v>
      </c>
      <c r="C977" s="48" t="s">
        <v>34</v>
      </c>
      <c r="D977" s="48" t="s">
        <v>35</v>
      </c>
      <c r="E977" s="49">
        <v>9000</v>
      </c>
      <c r="F977" s="76">
        <v>8655</v>
      </c>
      <c r="G977" s="30">
        <v>0</v>
      </c>
      <c r="H977" s="50">
        <f>IFERROR(Table1[Re-process (Kg)]/Table1[Actual Production (Kg)], "")</f>
        <v>0</v>
      </c>
      <c r="I977" s="49">
        <f>IFERROR(Table1[[#This Row],[Actual Production (Kg)]]-Table1[[#This Row],[Re-process (Kg)]], "")</f>
        <v>8655</v>
      </c>
      <c r="J977" s="49">
        <v>22</v>
      </c>
      <c r="K977" s="72"/>
      <c r="L977" s="49">
        <f>IF(Table1[[#This Row],[Target Time (Hours)]]="","",Table1[[#This Row],[Target Time (Hours)]]-Table1[[#This Row],[Downtime (Hours)]])</f>
        <v>22</v>
      </c>
      <c r="M977" s="49">
        <f>IFERROR(Table1[[#This Row],[Capacity (Kg)]]/Table1[[#This Row],[Target Time (Hours)]] * Table1[[#This Row],[Downtime (Hours)]], "")</f>
        <v>0</v>
      </c>
      <c r="N977" s="50">
        <f>IFERROR(Table1[[#This Row],[Running Time (hr)]]/Table1[Target Time (Hours)], "")</f>
        <v>1</v>
      </c>
      <c r="O977" s="50">
        <f>IFERROR(Table1[[#This Row],[Actual Production (Kg)]]/Table1[Capacity (Kg)], "")</f>
        <v>0.96166666666666667</v>
      </c>
      <c r="P977" s="50">
        <f>IFERROR(Table1[[#This Row],[Quality Pass Production]]/Table1[[#This Row],[Actual Production (Kg)]], "")</f>
        <v>1</v>
      </c>
      <c r="Q977" s="50">
        <f>IFERROR(Table1[[#This Row],[Utilization %]]*Table1[[#This Row],[Efficiency %]]*Table1[[#This Row],[Quality %]], "")</f>
        <v>0.96166666666666667</v>
      </c>
      <c r="R977" s="48" t="s">
        <v>269</v>
      </c>
    </row>
    <row r="978" spans="1:18" ht="45" customHeight="1" x14ac:dyDescent="0.25">
      <c r="A978" s="47">
        <v>46204</v>
      </c>
      <c r="B978" s="48" t="s">
        <v>33</v>
      </c>
      <c r="C978" s="48" t="s">
        <v>36</v>
      </c>
      <c r="D978" s="48" t="s">
        <v>37</v>
      </c>
      <c r="E978" s="49">
        <v>8000</v>
      </c>
      <c r="F978" s="76">
        <v>9547</v>
      </c>
      <c r="G978" s="34">
        <v>0</v>
      </c>
      <c r="H978" s="50">
        <f>IFERROR(Table1[Re-process (Kg)]/Table1[Actual Production (Kg)], "")</f>
        <v>0</v>
      </c>
      <c r="I978" s="49">
        <f>IFERROR(Table1[[#This Row],[Actual Production (Kg)]]-Table1[[#This Row],[Re-process (Kg)]], "")</f>
        <v>9547</v>
      </c>
      <c r="J978" s="49">
        <v>22</v>
      </c>
      <c r="K978" s="72">
        <v>1.5</v>
      </c>
      <c r="L978" s="49">
        <f>IF(Table1[[#This Row],[Target Time (Hours)]]="","",Table1[[#This Row],[Target Time (Hours)]]-Table1[[#This Row],[Downtime (Hours)]])</f>
        <v>20.5</v>
      </c>
      <c r="M978" s="49">
        <f>IFERROR(Table1[[#This Row],[Capacity (Kg)]]/Table1[[#This Row],[Target Time (Hours)]] * Table1[[#This Row],[Downtime (Hours)]], "")</f>
        <v>545.4545454545455</v>
      </c>
      <c r="N978" s="50">
        <f>IFERROR(Table1[[#This Row],[Running Time (hr)]]/Table1[Target Time (Hours)], "")</f>
        <v>0.93181818181818177</v>
      </c>
      <c r="O978" s="50">
        <f>IFERROR(Table1[[#This Row],[Actual Production (Kg)]]/Table1[Capacity (Kg)], "")</f>
        <v>1.1933750000000001</v>
      </c>
      <c r="P978" s="50">
        <f>IFERROR(Table1[[#This Row],[Quality Pass Production]]/Table1[[#This Row],[Actual Production (Kg)]], "")</f>
        <v>1</v>
      </c>
      <c r="Q978" s="50">
        <f>IFERROR(Table1[[#This Row],[Utilization %]]*Table1[[#This Row],[Efficiency %]]*Table1[[#This Row],[Quality %]], "")</f>
        <v>1.1120085227272727</v>
      </c>
      <c r="R978" s="48" t="s">
        <v>270</v>
      </c>
    </row>
    <row r="979" spans="1:18" ht="30" customHeight="1" x14ac:dyDescent="0.25">
      <c r="A979" s="47">
        <v>46204</v>
      </c>
      <c r="B979" s="48" t="s">
        <v>33</v>
      </c>
      <c r="C979" s="48" t="s">
        <v>39</v>
      </c>
      <c r="D979" s="48" t="s">
        <v>31</v>
      </c>
      <c r="E979" s="49">
        <v>6000</v>
      </c>
      <c r="F979" s="76">
        <v>4095</v>
      </c>
      <c r="G979" s="30">
        <v>0</v>
      </c>
      <c r="H979" s="50">
        <f>IFERROR(Table1[Re-process (Kg)]/Table1[Actual Production (Kg)], "")</f>
        <v>0</v>
      </c>
      <c r="I979" s="49">
        <f>IFERROR(Table1[[#This Row],[Actual Production (Kg)]]-Table1[[#This Row],[Re-process (Kg)]], "")</f>
        <v>4095</v>
      </c>
      <c r="J979" s="49">
        <v>22</v>
      </c>
      <c r="K979" s="72"/>
      <c r="L979" s="49">
        <f>IF(Table1[[#This Row],[Target Time (Hours)]]="","",Table1[[#This Row],[Target Time (Hours)]]-Table1[[#This Row],[Downtime (Hours)]])</f>
        <v>22</v>
      </c>
      <c r="M979" s="49">
        <f>IFERROR(Table1[[#This Row],[Capacity (Kg)]]/Table1[[#This Row],[Target Time (Hours)]] * Table1[[#This Row],[Downtime (Hours)]], "")</f>
        <v>0</v>
      </c>
      <c r="N979" s="50">
        <f>IFERROR(Table1[[#This Row],[Running Time (hr)]]/Table1[Target Time (Hours)], "")</f>
        <v>1</v>
      </c>
      <c r="O979" s="50">
        <f>IFERROR(Table1[[#This Row],[Actual Production (Kg)]]/Table1[Capacity (Kg)], "")</f>
        <v>0.6825</v>
      </c>
      <c r="P979" s="50">
        <f>IFERROR(Table1[[#This Row],[Quality Pass Production]]/Table1[[#This Row],[Actual Production (Kg)]], "")</f>
        <v>1</v>
      </c>
      <c r="Q979" s="50">
        <f>IFERROR(Table1[[#This Row],[Utilization %]]*Table1[[#This Row],[Efficiency %]]*Table1[[#This Row],[Quality %]], "")</f>
        <v>0.6825</v>
      </c>
    </row>
    <row r="980" spans="1:18" ht="45" customHeight="1" x14ac:dyDescent="0.25">
      <c r="A980" s="54">
        <v>46204</v>
      </c>
      <c r="B980" s="55" t="s">
        <v>33</v>
      </c>
      <c r="C980" s="55" t="s">
        <v>40</v>
      </c>
      <c r="D980" s="55" t="s">
        <v>31</v>
      </c>
      <c r="E980" s="56">
        <v>5000</v>
      </c>
      <c r="F980" s="56">
        <v>5246</v>
      </c>
      <c r="G980" s="43">
        <v>0</v>
      </c>
      <c r="H980" s="58">
        <f>IFERROR(Table1[Re-process (Kg)]/Table1[Actual Production (Kg)], "")</f>
        <v>0</v>
      </c>
      <c r="I980" s="56">
        <f>IFERROR(Table1[[#This Row],[Actual Production (Kg)]]-Table1[[#This Row],[Re-process (Kg)]], "")</f>
        <v>5246</v>
      </c>
      <c r="J980" s="56">
        <v>22</v>
      </c>
      <c r="K980" s="55"/>
      <c r="L980" s="56">
        <f>IF(Table1[[#This Row],[Target Time (Hours)]]="","",Table1[[#This Row],[Target Time (Hours)]]-Table1[[#This Row],[Downtime (Hours)]])</f>
        <v>22</v>
      </c>
      <c r="M980" s="56">
        <f>IFERROR(Table1[[#This Row],[Capacity (Kg)]]/Table1[[#This Row],[Target Time (Hours)]] * Table1[[#This Row],[Downtime (Hours)]], "")</f>
        <v>0</v>
      </c>
      <c r="N980" s="58">
        <f>IFERROR(Table1[[#This Row],[Running Time (hr)]]/Table1[Target Time (Hours)], "")</f>
        <v>1</v>
      </c>
      <c r="O980" s="58">
        <f>IFERROR(Table1[[#This Row],[Actual Production (Kg)]]/Table1[Capacity (Kg)], "")</f>
        <v>1.0491999999999999</v>
      </c>
      <c r="P980" s="58">
        <f>IFERROR(Table1[[#This Row],[Quality Pass Production]]/Table1[[#This Row],[Actual Production (Kg)]], "")</f>
        <v>1</v>
      </c>
      <c r="Q980" s="58">
        <f>IFERROR(Table1[[#This Row],[Utilization %]]*Table1[[#This Row],[Efficiency %]]*Table1[[#This Row],[Quality %]], "")</f>
        <v>1.0491999999999999</v>
      </c>
      <c r="R980" s="55"/>
    </row>
    <row r="981" spans="1:18" ht="30" customHeight="1" x14ac:dyDescent="0.25">
      <c r="A981" s="47">
        <v>46205</v>
      </c>
      <c r="B981" s="48" t="s">
        <v>18</v>
      </c>
      <c r="C981" s="48" t="s">
        <v>19</v>
      </c>
      <c r="D981" s="48" t="s">
        <v>20</v>
      </c>
      <c r="E981" s="34">
        <v>13000</v>
      </c>
      <c r="F981" s="76">
        <f>9398+3034</f>
        <v>12432</v>
      </c>
      <c r="G981" s="34">
        <v>0</v>
      </c>
      <c r="H981" s="50">
        <f>IFERROR(Table1[Re-process (Kg)]/Table1[Actual Production (Kg)], "")</f>
        <v>0</v>
      </c>
      <c r="I981" s="49">
        <f>IFERROR(Table1[[#This Row],[Actual Production (Kg)]]-Table1[[#This Row],[Re-process (Kg)]], "")</f>
        <v>12432</v>
      </c>
      <c r="J981" s="49">
        <v>33</v>
      </c>
      <c r="K981" s="72"/>
      <c r="L981" s="49">
        <f>IF(Table1[[#This Row],[Target Time (Hours)]]="","",Table1[[#This Row],[Target Time (Hours)]]-Table1[[#This Row],[Downtime (Hours)]])</f>
        <v>33</v>
      </c>
      <c r="M981" s="49">
        <f>IFERROR(Table1[[#This Row],[Capacity (Kg)]]/Table1[[#This Row],[Target Time (Hours)]] * Table1[[#This Row],[Downtime (Hours)]], "")</f>
        <v>0</v>
      </c>
      <c r="N981" s="50">
        <f>IFERROR(Table1[[#This Row],[Running Time (hr)]]/Table1[Target Time (Hours)], "")</f>
        <v>1</v>
      </c>
      <c r="O981" s="50">
        <f>IFERROR(Table1[[#This Row],[Actual Production (Kg)]]/Table1[Capacity (Kg)], "")</f>
        <v>0.9563076923076923</v>
      </c>
      <c r="P981" s="50">
        <f>IFERROR(Table1[[#This Row],[Quality Pass Production]]/Table1[[#This Row],[Actual Production (Kg)]], "")</f>
        <v>1</v>
      </c>
      <c r="Q981" s="50">
        <f>IFERROR(Table1[[#This Row],[Utilization %]]*Table1[[#This Row],[Efficiency %]]*Table1[[#This Row],[Quality %]], "")</f>
        <v>0.9563076923076923</v>
      </c>
    </row>
    <row r="982" spans="1:18" x14ac:dyDescent="0.25">
      <c r="A982" s="51">
        <v>46205</v>
      </c>
      <c r="B982" s="52" t="s">
        <v>18</v>
      </c>
      <c r="C982" s="52" t="s">
        <v>238</v>
      </c>
      <c r="D982" s="52" t="s">
        <v>20</v>
      </c>
      <c r="E982" s="79">
        <f>Table1[[#This Row],[Actual Production (Kg)]]</f>
        <v>15006</v>
      </c>
      <c r="F982" s="53">
        <f>9581+5425</f>
        <v>15006</v>
      </c>
      <c r="G982" s="38">
        <v>0</v>
      </c>
      <c r="H982" s="57">
        <f>IFERROR(Table1[Re-process (Kg)]/Table1[Actual Production (Kg)], "")</f>
        <v>0</v>
      </c>
      <c r="I982" s="53">
        <f>IFERROR(Table1[[#This Row],[Actual Production (Kg)]]-Table1[[#This Row],[Re-process (Kg)]], "")</f>
        <v>15006</v>
      </c>
      <c r="J982" s="53"/>
      <c r="K982" s="52"/>
      <c r="L982" s="53" t="str">
        <f>IF(Table1[[#This Row],[Target Time (Hours)]]="","",Table1[[#This Row],[Target Time (Hours)]]-Table1[[#This Row],[Downtime (Hours)]])</f>
        <v/>
      </c>
      <c r="M982" s="53" t="str">
        <f>IFERROR(Table1[[#This Row],[Capacity (Kg)]]/Table1[[#This Row],[Target Time (Hours)]] * Table1[[#This Row],[Downtime (Hours)]], "")</f>
        <v/>
      </c>
      <c r="N982" s="57" t="str">
        <f>IFERROR(Table1[[#This Row],[Running Time (hr)]]/Table1[Target Time (Hours)], "")</f>
        <v/>
      </c>
      <c r="O982" s="57">
        <f>IFERROR(Table1[[#This Row],[Actual Production (Kg)]]/Table1[Capacity (Kg)], "")</f>
        <v>1</v>
      </c>
      <c r="P982" s="57">
        <f>IFERROR(Table1[[#This Row],[Quality Pass Production]]/Table1[[#This Row],[Actual Production (Kg)]], "")</f>
        <v>1</v>
      </c>
      <c r="Q982" s="57" t="str">
        <f>IFERROR(Table1[[#This Row],[Utilization %]]*Table1[[#This Row],[Efficiency %]]*Table1[[#This Row],[Quality %]], "")</f>
        <v/>
      </c>
      <c r="R982" s="52"/>
    </row>
    <row r="983" spans="1:18" x14ac:dyDescent="0.25">
      <c r="A983" s="47">
        <v>46205</v>
      </c>
      <c r="B983" s="48" t="s">
        <v>18</v>
      </c>
      <c r="C983" s="48" t="s">
        <v>22</v>
      </c>
      <c r="D983" s="48" t="s">
        <v>23</v>
      </c>
      <c r="E983" s="34">
        <v>6500</v>
      </c>
      <c r="F983" s="76">
        <f>4591+1993</f>
        <v>6584</v>
      </c>
      <c r="G983" s="34">
        <v>0</v>
      </c>
      <c r="H983" s="50">
        <f>IFERROR(Table1[Re-process (Kg)]/Table1[Actual Production (Kg)], "")</f>
        <v>0</v>
      </c>
      <c r="I983" s="49">
        <f>IFERROR(Table1[[#This Row],[Actual Production (Kg)]]-Table1[[#This Row],[Re-process (Kg)]], "")</f>
        <v>6584</v>
      </c>
      <c r="J983" s="49">
        <v>33</v>
      </c>
      <c r="K983" s="72"/>
      <c r="L983" s="49">
        <f>IF(Table1[[#This Row],[Target Time (Hours)]]="","",Table1[[#This Row],[Target Time (Hours)]]-Table1[[#This Row],[Downtime (Hours)]])</f>
        <v>33</v>
      </c>
      <c r="M983" s="49">
        <f>IFERROR(Table1[[#This Row],[Capacity (Kg)]]/Table1[[#This Row],[Target Time (Hours)]] * Table1[[#This Row],[Downtime (Hours)]], "")</f>
        <v>0</v>
      </c>
      <c r="N983" s="50">
        <f>IFERROR(Table1[[#This Row],[Running Time (hr)]]/Table1[Target Time (Hours)], "")</f>
        <v>1</v>
      </c>
      <c r="O983" s="50">
        <f>IFERROR(Table1[[#This Row],[Actual Production (Kg)]]/Table1[Capacity (Kg)], "")</f>
        <v>1.0129230769230768</v>
      </c>
      <c r="P983" s="50">
        <f>IFERROR(Table1[[#This Row],[Quality Pass Production]]/Table1[[#This Row],[Actual Production (Kg)]], "")</f>
        <v>1</v>
      </c>
      <c r="Q983" s="50">
        <f>IFERROR(Table1[[#This Row],[Utilization %]]*Table1[[#This Row],[Efficiency %]]*Table1[[#This Row],[Quality %]], "")</f>
        <v>1.0129230769230768</v>
      </c>
    </row>
    <row r="984" spans="1:18" x14ac:dyDescent="0.25">
      <c r="A984" s="47">
        <v>46205</v>
      </c>
      <c r="B984" s="48" t="s">
        <v>18</v>
      </c>
      <c r="C984" s="48" t="s">
        <v>22</v>
      </c>
      <c r="D984" s="48" t="s">
        <v>25</v>
      </c>
      <c r="E984" s="30">
        <v>6500</v>
      </c>
      <c r="F984" s="76">
        <f>4897+1639</f>
        <v>6536</v>
      </c>
      <c r="G984" s="30">
        <v>0</v>
      </c>
      <c r="H984" s="50">
        <f>IFERROR(Table1[Re-process (Kg)]/Table1[Actual Production (Kg)], "")</f>
        <v>0</v>
      </c>
      <c r="I984" s="49">
        <f>IFERROR(Table1[[#This Row],[Actual Production (Kg)]]-Table1[[#This Row],[Re-process (Kg)]], "")</f>
        <v>6536</v>
      </c>
      <c r="J984" s="49"/>
      <c r="K984" s="72"/>
      <c r="L984" s="49" t="str">
        <f>IF(Table1[[#This Row],[Target Time (Hours)]]="","",Table1[[#This Row],[Target Time (Hours)]]-Table1[[#This Row],[Downtime (Hours)]])</f>
        <v/>
      </c>
      <c r="M984" s="49" t="str">
        <f>IFERROR(Table1[[#This Row],[Capacity (Kg)]]/Table1[[#This Row],[Target Time (Hours)]] * Table1[[#This Row],[Downtime (Hours)]], "")</f>
        <v/>
      </c>
      <c r="N984" s="50" t="str">
        <f>IFERROR(Table1[[#This Row],[Running Time (hr)]]/Table1[Target Time (Hours)], "")</f>
        <v/>
      </c>
      <c r="O984" s="50">
        <f>IFERROR(Table1[[#This Row],[Actual Production (Kg)]]/Table1[Capacity (Kg)], "")</f>
        <v>1.0055384615384615</v>
      </c>
      <c r="P984" s="50">
        <f>IFERROR(Table1[[#This Row],[Quality Pass Production]]/Table1[[#This Row],[Actual Production (Kg)]], "")</f>
        <v>1</v>
      </c>
      <c r="Q984" s="50" t="str">
        <f>IFERROR(Table1[[#This Row],[Utilization %]]*Table1[[#This Row],[Efficiency %]]*Table1[[#This Row],[Quality %]], "")</f>
        <v/>
      </c>
    </row>
    <row r="985" spans="1:18" x14ac:dyDescent="0.25">
      <c r="A985" s="47">
        <v>46205</v>
      </c>
      <c r="B985" s="48" t="s">
        <v>18</v>
      </c>
      <c r="C985" s="48" t="s">
        <v>26</v>
      </c>
      <c r="D985" s="48" t="s">
        <v>25</v>
      </c>
      <c r="E985" s="34">
        <v>9500</v>
      </c>
      <c r="F985" s="76">
        <f>7964+2975</f>
        <v>10939</v>
      </c>
      <c r="G985" s="34">
        <v>0</v>
      </c>
      <c r="H985" s="50">
        <f>IFERROR(Table1[Re-process (Kg)]/Table1[Actual Production (Kg)], "")</f>
        <v>0</v>
      </c>
      <c r="I985" s="49">
        <f>IFERROR(Table1[[#This Row],[Actual Production (Kg)]]-Table1[[#This Row],[Re-process (Kg)]], "")</f>
        <v>10939</v>
      </c>
      <c r="J985" s="49">
        <v>33</v>
      </c>
      <c r="K985" s="72"/>
      <c r="L985" s="49">
        <f>IF(Table1[[#This Row],[Target Time (Hours)]]="","",Table1[[#This Row],[Target Time (Hours)]]-Table1[[#This Row],[Downtime (Hours)]])</f>
        <v>33</v>
      </c>
      <c r="M985" s="49">
        <f>IFERROR(Table1[[#This Row],[Capacity (Kg)]]/Table1[[#This Row],[Target Time (Hours)]] * Table1[[#This Row],[Downtime (Hours)]], "")</f>
        <v>0</v>
      </c>
      <c r="N985" s="50">
        <f>IFERROR(Table1[[#This Row],[Running Time (hr)]]/Table1[Target Time (Hours)], "")</f>
        <v>1</v>
      </c>
      <c r="O985" s="50">
        <f>IFERROR(Table1[[#This Row],[Actual Production (Kg)]]/Table1[Capacity (Kg)], "")</f>
        <v>1.1514736842105262</v>
      </c>
      <c r="P985" s="50">
        <f>IFERROR(Table1[[#This Row],[Quality Pass Production]]/Table1[[#This Row],[Actual Production (Kg)]], "")</f>
        <v>1</v>
      </c>
      <c r="Q985" s="50">
        <f>IFERROR(Table1[[#This Row],[Utilization %]]*Table1[[#This Row],[Efficiency %]]*Table1[[#This Row],[Quality %]], "")</f>
        <v>1.1514736842105262</v>
      </c>
    </row>
    <row r="986" spans="1:18" ht="30" customHeight="1" x14ac:dyDescent="0.25">
      <c r="A986" s="47">
        <v>46205</v>
      </c>
      <c r="B986" s="48" t="s">
        <v>18</v>
      </c>
      <c r="C986" s="48" t="s">
        <v>28</v>
      </c>
      <c r="D986" s="48" t="s">
        <v>29</v>
      </c>
      <c r="E986" s="30">
        <v>7800</v>
      </c>
      <c r="F986" s="76">
        <f>7203+383</f>
        <v>7586</v>
      </c>
      <c r="G986" s="30">
        <v>0</v>
      </c>
      <c r="H986" s="50">
        <f>IFERROR(Table1[Re-process (Kg)]/Table1[Actual Production (Kg)], "")</f>
        <v>0</v>
      </c>
      <c r="I986" s="49">
        <f>IFERROR(Table1[[#This Row],[Actual Production (Kg)]]-Table1[[#This Row],[Re-process (Kg)]], "")</f>
        <v>7586</v>
      </c>
      <c r="J986" s="49">
        <v>33</v>
      </c>
      <c r="K986" s="72">
        <v>7</v>
      </c>
      <c r="L986" s="49">
        <f>IF(Table1[[#This Row],[Target Time (Hours)]]="","",Table1[[#This Row],[Target Time (Hours)]]-Table1[[#This Row],[Downtime (Hours)]])</f>
        <v>26</v>
      </c>
      <c r="M986" s="49">
        <f>IFERROR(Table1[[#This Row],[Capacity (Kg)]]/Table1[[#This Row],[Target Time (Hours)]] * Table1[[#This Row],[Downtime (Hours)]], "")</f>
        <v>1654.5454545454545</v>
      </c>
      <c r="N986" s="50">
        <f>IFERROR(Table1[[#This Row],[Running Time (hr)]]/Table1[Target Time (Hours)], "")</f>
        <v>0.78787878787878785</v>
      </c>
      <c r="O986" s="50">
        <f>IFERROR(Table1[[#This Row],[Actual Production (Kg)]]/Table1[Capacity (Kg)], "")</f>
        <v>0.97256410256410253</v>
      </c>
      <c r="P986" s="50">
        <f>IFERROR(Table1[[#This Row],[Quality Pass Production]]/Table1[[#This Row],[Actual Production (Kg)]], "")</f>
        <v>1</v>
      </c>
      <c r="Q986" s="50">
        <f>IFERROR(Table1[[#This Row],[Utilization %]]*Table1[[#This Row],[Efficiency %]]*Table1[[#This Row],[Quality %]], "")</f>
        <v>0.7662626262626262</v>
      </c>
      <c r="R986" s="48" t="s">
        <v>271</v>
      </c>
    </row>
    <row r="987" spans="1:18" ht="30" customHeight="1" x14ac:dyDescent="0.25">
      <c r="A987" s="51">
        <v>46205</v>
      </c>
      <c r="B987" s="52" t="s">
        <v>18</v>
      </c>
      <c r="C987" s="52" t="s">
        <v>135</v>
      </c>
      <c r="D987" s="52" t="s">
        <v>29</v>
      </c>
      <c r="E987" s="38"/>
      <c r="F987" s="53"/>
      <c r="G987" s="38"/>
      <c r="H987" s="57" t="str">
        <f>IFERROR(Table1[Re-process (Kg)]/Table1[Actual Production (Kg)], "")</f>
        <v/>
      </c>
      <c r="I987" s="53">
        <f>IFERROR(Table1[[#This Row],[Actual Production (Kg)]]-Table1[[#This Row],[Re-process (Kg)]], "")</f>
        <v>0</v>
      </c>
      <c r="J987" s="53"/>
      <c r="K987" s="52"/>
      <c r="L987" s="53" t="str">
        <f>IF(Table1[[#This Row],[Target Time (Hours)]]="","",Table1[[#This Row],[Target Time (Hours)]]-Table1[[#This Row],[Downtime (Hours)]])</f>
        <v/>
      </c>
      <c r="M987" s="53" t="str">
        <f>IFERROR(Table1[[#This Row],[Capacity (Kg)]]/Table1[[#This Row],[Target Time (Hours)]] * Table1[[#This Row],[Downtime (Hours)]], "")</f>
        <v/>
      </c>
      <c r="N987" s="57" t="str">
        <f>IFERROR(Table1[[#This Row],[Running Time (hr)]]/Table1[Target Time (Hours)], "")</f>
        <v/>
      </c>
      <c r="O987" s="57" t="str">
        <f>IFERROR(Table1[[#This Row],[Actual Production (Kg)]]/Table1[Capacity (Kg)], "")</f>
        <v/>
      </c>
      <c r="P987" s="57" t="str">
        <f>IFERROR(Table1[[#This Row],[Quality Pass Production]]/Table1[[#This Row],[Actual Production (Kg)]], "")</f>
        <v/>
      </c>
      <c r="Q987" s="57" t="str">
        <f>IFERROR(Table1[[#This Row],[Utilization %]]*Table1[[#This Row],[Efficiency %]]*Table1[[#This Row],[Quality %]], "")</f>
        <v/>
      </c>
      <c r="R987" s="52"/>
    </row>
    <row r="988" spans="1:18" ht="30" customHeight="1" x14ac:dyDescent="0.25">
      <c r="A988" s="47">
        <v>46205</v>
      </c>
      <c r="B988" s="48" t="s">
        <v>18</v>
      </c>
      <c r="C988" s="48" t="s">
        <v>30</v>
      </c>
      <c r="D988" s="48" t="s">
        <v>31</v>
      </c>
      <c r="E988" s="30">
        <v>11000</v>
      </c>
      <c r="F988" s="76">
        <f>6331+3917</f>
        <v>10248</v>
      </c>
      <c r="G988" s="30">
        <v>0</v>
      </c>
      <c r="H988" s="50">
        <f>IFERROR(Table1[Re-process (Kg)]/Table1[Actual Production (Kg)], "")</f>
        <v>0</v>
      </c>
      <c r="I988" s="49">
        <f>IFERROR(Table1[[#This Row],[Actual Production (Kg)]]-Table1[[#This Row],[Re-process (Kg)]], "")</f>
        <v>10248</v>
      </c>
      <c r="J988" s="49">
        <v>33</v>
      </c>
      <c r="K988" s="72"/>
      <c r="L988" s="49">
        <f>IF(Table1[[#This Row],[Target Time (Hours)]]="","",Table1[[#This Row],[Target Time (Hours)]]-Table1[[#This Row],[Downtime (Hours)]])</f>
        <v>33</v>
      </c>
      <c r="M988" s="49">
        <f>IFERROR(Table1[[#This Row],[Capacity (Kg)]]/Table1[[#This Row],[Target Time (Hours)]] * Table1[[#This Row],[Downtime (Hours)]], "")</f>
        <v>0</v>
      </c>
      <c r="N988" s="50">
        <f>IFERROR(Table1[[#This Row],[Running Time (hr)]]/Table1[Target Time (Hours)], "")</f>
        <v>1</v>
      </c>
      <c r="O988" s="50">
        <f>IFERROR(Table1[[#This Row],[Actual Production (Kg)]]/Table1[Capacity (Kg)], "")</f>
        <v>0.9316363636363636</v>
      </c>
      <c r="P988" s="50">
        <f>IFERROR(Table1[[#This Row],[Quality Pass Production]]/Table1[[#This Row],[Actual Production (Kg)]], "")</f>
        <v>1</v>
      </c>
      <c r="Q988" s="50">
        <f>IFERROR(Table1[[#This Row],[Utilization %]]*Table1[[#This Row],[Efficiency %]]*Table1[[#This Row],[Quality %]], "")</f>
        <v>0.9316363636363636</v>
      </c>
    </row>
    <row r="989" spans="1:18" ht="30" customHeight="1" x14ac:dyDescent="0.25">
      <c r="A989" s="51">
        <v>46205</v>
      </c>
      <c r="B989" s="52" t="s">
        <v>18</v>
      </c>
      <c r="C989" s="52" t="s">
        <v>32</v>
      </c>
      <c r="D989" s="52" t="s">
        <v>31</v>
      </c>
      <c r="E989" s="79">
        <f>Table1[[#This Row],[Actual Production (Kg)]]</f>
        <v>1128</v>
      </c>
      <c r="F989" s="53">
        <v>1128</v>
      </c>
      <c r="G989" s="38"/>
      <c r="H989" s="57">
        <f>IFERROR(Table1[Re-process (Kg)]/Table1[Actual Production (Kg)], "")</f>
        <v>0</v>
      </c>
      <c r="I989" s="53">
        <f>IFERROR(Table1[[#This Row],[Actual Production (Kg)]]-Table1[[#This Row],[Re-process (Kg)]], "")</f>
        <v>1128</v>
      </c>
      <c r="J989" s="53"/>
      <c r="K989" s="52"/>
      <c r="L989" s="53" t="str">
        <f>IF(Table1[[#This Row],[Target Time (Hours)]]="","",Table1[[#This Row],[Target Time (Hours)]]-Table1[[#This Row],[Downtime (Hours)]])</f>
        <v/>
      </c>
      <c r="M989" s="53" t="str">
        <f>IFERROR(Table1[[#This Row],[Capacity (Kg)]]/Table1[[#This Row],[Target Time (Hours)]] * Table1[[#This Row],[Downtime (Hours)]], "")</f>
        <v/>
      </c>
      <c r="N989" s="57" t="str">
        <f>IFERROR(Table1[[#This Row],[Running Time (hr)]]/Table1[Target Time (Hours)], "")</f>
        <v/>
      </c>
      <c r="O989" s="57">
        <f>IFERROR(Table1[[#This Row],[Actual Production (Kg)]]/Table1[Capacity (Kg)], "")</f>
        <v>1</v>
      </c>
      <c r="P989" s="57">
        <f>IFERROR(Table1[[#This Row],[Quality Pass Production]]/Table1[[#This Row],[Actual Production (Kg)]], "")</f>
        <v>1</v>
      </c>
      <c r="Q989" s="57" t="str">
        <f>IFERROR(Table1[[#This Row],[Utilization %]]*Table1[[#This Row],[Efficiency %]]*Table1[[#This Row],[Quality %]], "")</f>
        <v/>
      </c>
      <c r="R989" s="52" t="s">
        <v>272</v>
      </c>
    </row>
    <row r="990" spans="1:18" ht="30" customHeight="1" x14ac:dyDescent="0.25">
      <c r="A990" s="47">
        <v>46205</v>
      </c>
      <c r="B990" s="48" t="s">
        <v>33</v>
      </c>
      <c r="C990" s="48" t="s">
        <v>34</v>
      </c>
      <c r="D990" s="48" t="s">
        <v>35</v>
      </c>
      <c r="E990" s="30">
        <v>9000</v>
      </c>
      <c r="F990" s="76">
        <v>4977</v>
      </c>
      <c r="G990" s="30">
        <v>0</v>
      </c>
      <c r="H990" s="50">
        <f>IFERROR(Table1[Re-process (Kg)]/Table1[Actual Production (Kg)], "")</f>
        <v>0</v>
      </c>
      <c r="I990" s="49">
        <f>IFERROR(Table1[[#This Row],[Actual Production (Kg)]]-Table1[[#This Row],[Re-process (Kg)]], "")</f>
        <v>4977</v>
      </c>
      <c r="J990" s="49">
        <v>22</v>
      </c>
      <c r="K990" s="72"/>
      <c r="L990" s="49">
        <f>IF(Table1[[#This Row],[Target Time (Hours)]]="","",Table1[[#This Row],[Target Time (Hours)]]-Table1[[#This Row],[Downtime (Hours)]])</f>
        <v>22</v>
      </c>
      <c r="M990" s="49">
        <f>IFERROR(Table1[[#This Row],[Capacity (Kg)]]/Table1[[#This Row],[Target Time (Hours)]] * Table1[[#This Row],[Downtime (Hours)]], "")</f>
        <v>0</v>
      </c>
      <c r="N990" s="50">
        <f>IFERROR(Table1[[#This Row],[Running Time (hr)]]/Table1[Target Time (Hours)], "")</f>
        <v>1</v>
      </c>
      <c r="O990" s="50">
        <f>IFERROR(Table1[[#This Row],[Actual Production (Kg)]]/Table1[Capacity (Kg)], "")</f>
        <v>0.55300000000000005</v>
      </c>
      <c r="P990" s="50">
        <f>IFERROR(Table1[[#This Row],[Quality Pass Production]]/Table1[[#This Row],[Actual Production (Kg)]], "")</f>
        <v>1</v>
      </c>
      <c r="Q990" s="50">
        <f>IFERROR(Table1[[#This Row],[Utilization %]]*Table1[[#This Row],[Efficiency %]]*Table1[[#This Row],[Quality %]], "")</f>
        <v>0.55300000000000005</v>
      </c>
    </row>
    <row r="991" spans="1:18" x14ac:dyDescent="0.25">
      <c r="A991" s="47">
        <v>46205</v>
      </c>
      <c r="B991" s="48" t="s">
        <v>33</v>
      </c>
      <c r="C991" s="48" t="s">
        <v>36</v>
      </c>
      <c r="D991" s="48" t="s">
        <v>37</v>
      </c>
      <c r="E991" s="34">
        <v>8000</v>
      </c>
      <c r="F991" s="76">
        <v>7671</v>
      </c>
      <c r="G991" s="34">
        <v>0</v>
      </c>
      <c r="H991" s="50">
        <f>IFERROR(Table1[Re-process (Kg)]/Table1[Actual Production (Kg)], "")</f>
        <v>0</v>
      </c>
      <c r="I991" s="49">
        <f>IFERROR(Table1[[#This Row],[Actual Production (Kg)]]-Table1[[#This Row],[Re-process (Kg)]], "")</f>
        <v>7671</v>
      </c>
      <c r="J991" s="49">
        <v>22</v>
      </c>
      <c r="K991" s="72">
        <v>1.5</v>
      </c>
      <c r="L991" s="49">
        <f>IF(Table1[[#This Row],[Target Time (Hours)]]="","",Table1[[#This Row],[Target Time (Hours)]]-Table1[[#This Row],[Downtime (Hours)]])</f>
        <v>20.5</v>
      </c>
      <c r="M991" s="49">
        <f>IFERROR(Table1[[#This Row],[Capacity (Kg)]]/Table1[[#This Row],[Target Time (Hours)]] * Table1[[#This Row],[Downtime (Hours)]], "")</f>
        <v>545.4545454545455</v>
      </c>
      <c r="N991" s="50">
        <f>IFERROR(Table1[[#This Row],[Running Time (hr)]]/Table1[Target Time (Hours)], "")</f>
        <v>0.93181818181818177</v>
      </c>
      <c r="O991" s="50">
        <f>IFERROR(Table1[[#This Row],[Actual Production (Kg)]]/Table1[Capacity (Kg)], "")</f>
        <v>0.95887500000000003</v>
      </c>
      <c r="P991" s="50">
        <f>IFERROR(Table1[[#This Row],[Quality Pass Production]]/Table1[[#This Row],[Actual Production (Kg)]], "")</f>
        <v>1</v>
      </c>
      <c r="Q991" s="50">
        <f>IFERROR(Table1[[#This Row],[Utilization %]]*Table1[[#This Row],[Efficiency %]]*Table1[[#This Row],[Quality %]], "")</f>
        <v>0.8934971590909091</v>
      </c>
      <c r="R991" s="48" t="s">
        <v>273</v>
      </c>
    </row>
    <row r="992" spans="1:18" ht="30" customHeight="1" x14ac:dyDescent="0.25">
      <c r="A992" s="47">
        <v>46205</v>
      </c>
      <c r="B992" s="48" t="s">
        <v>33</v>
      </c>
      <c r="C992" s="48" t="s">
        <v>39</v>
      </c>
      <c r="D992" s="48" t="s">
        <v>31</v>
      </c>
      <c r="E992" s="30">
        <v>6000</v>
      </c>
      <c r="F992" s="76">
        <v>3222</v>
      </c>
      <c r="G992" s="30">
        <v>0</v>
      </c>
      <c r="H992" s="50">
        <f>IFERROR(Table1[Re-process (Kg)]/Table1[Actual Production (Kg)], "")</f>
        <v>0</v>
      </c>
      <c r="I992" s="49">
        <f>IFERROR(Table1[[#This Row],[Actual Production (Kg)]]-Table1[[#This Row],[Re-process (Kg)]], "")</f>
        <v>3222</v>
      </c>
      <c r="J992" s="49">
        <v>22</v>
      </c>
      <c r="K992" s="72"/>
      <c r="L992" s="49">
        <f>IF(Table1[[#This Row],[Target Time (Hours)]]="","",Table1[[#This Row],[Target Time (Hours)]]-Table1[[#This Row],[Downtime (Hours)]])</f>
        <v>22</v>
      </c>
      <c r="M992" s="49">
        <f>IFERROR(Table1[[#This Row],[Capacity (Kg)]]/Table1[[#This Row],[Target Time (Hours)]] * Table1[[#This Row],[Downtime (Hours)]], "")</f>
        <v>0</v>
      </c>
      <c r="N992" s="50">
        <f>IFERROR(Table1[[#This Row],[Running Time (hr)]]/Table1[Target Time (Hours)], "")</f>
        <v>1</v>
      </c>
      <c r="O992" s="50">
        <f>IFERROR(Table1[[#This Row],[Actual Production (Kg)]]/Table1[Capacity (Kg)], "")</f>
        <v>0.53700000000000003</v>
      </c>
      <c r="P992" s="50">
        <f>IFERROR(Table1[[#This Row],[Quality Pass Production]]/Table1[[#This Row],[Actual Production (Kg)]], "")</f>
        <v>1</v>
      </c>
      <c r="Q992" s="50">
        <f>IFERROR(Table1[[#This Row],[Utilization %]]*Table1[[#This Row],[Efficiency %]]*Table1[[#This Row],[Quality %]], "")</f>
        <v>0.53700000000000003</v>
      </c>
    </row>
    <row r="993" spans="1:18" ht="45" customHeight="1" x14ac:dyDescent="0.25">
      <c r="A993" s="54">
        <v>46205</v>
      </c>
      <c r="B993" s="55" t="s">
        <v>33</v>
      </c>
      <c r="C993" s="55" t="s">
        <v>40</v>
      </c>
      <c r="D993" s="55" t="s">
        <v>31</v>
      </c>
      <c r="E993" s="43">
        <v>7500</v>
      </c>
      <c r="F993" s="56">
        <f>3870+1243</f>
        <v>5113</v>
      </c>
      <c r="G993" s="43">
        <v>0</v>
      </c>
      <c r="H993" s="58">
        <f>IFERROR(Table1[Re-process (Kg)]/Table1[Actual Production (Kg)], "")</f>
        <v>0</v>
      </c>
      <c r="I993" s="56">
        <f>IFERROR(Table1[[#This Row],[Actual Production (Kg)]]-Table1[[#This Row],[Re-process (Kg)]], "")</f>
        <v>5113</v>
      </c>
      <c r="J993" s="56">
        <v>33</v>
      </c>
      <c r="K993" s="55"/>
      <c r="L993" s="56">
        <f>IF(Table1[[#This Row],[Target Time (Hours)]]="","",Table1[[#This Row],[Target Time (Hours)]]-Table1[[#This Row],[Downtime (Hours)]])</f>
        <v>33</v>
      </c>
      <c r="M993" s="56">
        <f>IFERROR(Table1[[#This Row],[Capacity (Kg)]]/Table1[[#This Row],[Target Time (Hours)]] * Table1[[#This Row],[Downtime (Hours)]], "")</f>
        <v>0</v>
      </c>
      <c r="N993" s="58">
        <f>IFERROR(Table1[[#This Row],[Running Time (hr)]]/Table1[Target Time (Hours)], "")</f>
        <v>1</v>
      </c>
      <c r="O993" s="58">
        <f>IFERROR(Table1[[#This Row],[Actual Production (Kg)]]/Table1[Capacity (Kg)], "")</f>
        <v>0.6817333333333333</v>
      </c>
      <c r="P993" s="58">
        <f>IFERROR(Table1[[#This Row],[Quality Pass Production]]/Table1[[#This Row],[Actual Production (Kg)]], "")</f>
        <v>1</v>
      </c>
      <c r="Q993" s="58">
        <f>IFERROR(Table1[[#This Row],[Utilization %]]*Table1[[#This Row],[Efficiency %]]*Table1[[#This Row],[Quality %]], "")</f>
        <v>0.6817333333333333</v>
      </c>
      <c r="R993" s="55"/>
    </row>
    <row r="994" spans="1:18" ht="30" customHeight="1" x14ac:dyDescent="0.25">
      <c r="A994" s="47">
        <v>46207</v>
      </c>
      <c r="B994" s="48" t="s">
        <v>18</v>
      </c>
      <c r="C994" s="48" t="s">
        <v>19</v>
      </c>
      <c r="D994" s="48" t="s">
        <v>20</v>
      </c>
      <c r="E994" s="49">
        <v>12000</v>
      </c>
      <c r="F994" s="76">
        <v>10601</v>
      </c>
      <c r="G994" s="34">
        <v>0</v>
      </c>
      <c r="H994" s="50">
        <f>IFERROR(Table1[Re-process (Kg)]/Table1[Actual Production (Kg)], "")</f>
        <v>0</v>
      </c>
      <c r="I994" s="49">
        <f>IFERROR(Table1[[#This Row],[Actual Production (Kg)]]-Table1[[#This Row],[Re-process (Kg)]], "")</f>
        <v>10601</v>
      </c>
      <c r="J994" s="49">
        <v>22</v>
      </c>
      <c r="K994" s="72"/>
      <c r="L994" s="49">
        <f>IF(Table1[[#This Row],[Target Time (Hours)]]="","",Table1[[#This Row],[Target Time (Hours)]]-Table1[[#This Row],[Downtime (Hours)]])</f>
        <v>22</v>
      </c>
      <c r="M994" s="49">
        <f>IFERROR(Table1[[#This Row],[Capacity (Kg)]]/Table1[[#This Row],[Target Time (Hours)]] * Table1[[#This Row],[Downtime (Hours)]], "")</f>
        <v>0</v>
      </c>
      <c r="N994" s="50">
        <f>IFERROR(Table1[[#This Row],[Running Time (hr)]]/Table1[Target Time (Hours)], "")</f>
        <v>1</v>
      </c>
      <c r="O994" s="50">
        <f>IFERROR(Table1[[#This Row],[Actual Production (Kg)]]/Table1[Capacity (Kg)], "")</f>
        <v>0.88341666666666663</v>
      </c>
      <c r="P994" s="50">
        <f>IFERROR(Table1[[#This Row],[Quality Pass Production]]/Table1[[#This Row],[Actual Production (Kg)]], "")</f>
        <v>1</v>
      </c>
      <c r="Q994" s="50">
        <f>IFERROR(Table1[[#This Row],[Utilization %]]*Table1[[#This Row],[Efficiency %]]*Table1[[#This Row],[Quality %]], "")</f>
        <v>0.88341666666666663</v>
      </c>
    </row>
    <row r="995" spans="1:18" x14ac:dyDescent="0.25">
      <c r="A995" s="51">
        <v>46207</v>
      </c>
      <c r="B995" s="52" t="s">
        <v>18</v>
      </c>
      <c r="C995" s="52" t="s">
        <v>238</v>
      </c>
      <c r="D995" s="52" t="s">
        <v>20</v>
      </c>
      <c r="E995" s="79">
        <f>Table1[[#This Row],[Actual Production (Kg)]]</f>
        <v>12175</v>
      </c>
      <c r="F995" s="53">
        <v>12175</v>
      </c>
      <c r="G995" s="38">
        <v>0</v>
      </c>
      <c r="H995" s="57">
        <f>IFERROR(Table1[Re-process (Kg)]/Table1[Actual Production (Kg)], "")</f>
        <v>0</v>
      </c>
      <c r="I995" s="53">
        <f>IFERROR(Table1[[#This Row],[Actual Production (Kg)]]-Table1[[#This Row],[Re-process (Kg)]], "")</f>
        <v>12175</v>
      </c>
      <c r="J995" s="53"/>
      <c r="K995" s="52"/>
      <c r="L995" s="53" t="str">
        <f>IF(Table1[[#This Row],[Target Time (Hours)]]="","",Table1[[#This Row],[Target Time (Hours)]]-Table1[[#This Row],[Downtime (Hours)]])</f>
        <v/>
      </c>
      <c r="M995" s="53" t="str">
        <f>IFERROR(Table1[[#This Row],[Capacity (Kg)]]/Table1[[#This Row],[Target Time (Hours)]] * Table1[[#This Row],[Downtime (Hours)]], "")</f>
        <v/>
      </c>
      <c r="N995" s="57" t="str">
        <f>IFERROR(Table1[[#This Row],[Running Time (hr)]]/Table1[Target Time (Hours)], "")</f>
        <v/>
      </c>
      <c r="O995" s="57">
        <f>IFERROR(Table1[[#This Row],[Actual Production (Kg)]]/Table1[Capacity (Kg)], "")</f>
        <v>1</v>
      </c>
      <c r="P995" s="57">
        <f>IFERROR(Table1[[#This Row],[Quality Pass Production]]/Table1[[#This Row],[Actual Production (Kg)]], "")</f>
        <v>1</v>
      </c>
      <c r="Q995" s="57" t="str">
        <f>IFERROR(Table1[[#This Row],[Utilization %]]*Table1[[#This Row],[Efficiency %]]*Table1[[#This Row],[Quality %]], "")</f>
        <v/>
      </c>
      <c r="R995" s="52"/>
    </row>
    <row r="996" spans="1:18" x14ac:dyDescent="0.25">
      <c r="A996" s="47">
        <v>46207</v>
      </c>
      <c r="B996" s="48" t="s">
        <v>18</v>
      </c>
      <c r="C996" s="48" t="s">
        <v>22</v>
      </c>
      <c r="D996" s="48" t="s">
        <v>23</v>
      </c>
      <c r="E996" s="49">
        <v>6000</v>
      </c>
      <c r="F996" s="76">
        <v>5162</v>
      </c>
      <c r="G996" s="34">
        <v>0</v>
      </c>
      <c r="H996" s="50">
        <f>IFERROR(Table1[Re-process (Kg)]/Table1[Actual Production (Kg)], "")</f>
        <v>0</v>
      </c>
      <c r="I996" s="49">
        <f>IFERROR(Table1[[#This Row],[Actual Production (Kg)]]-Table1[[#This Row],[Re-process (Kg)]], "")</f>
        <v>5162</v>
      </c>
      <c r="J996" s="49">
        <v>22</v>
      </c>
      <c r="K996" s="72"/>
      <c r="L996" s="49">
        <f>IF(Table1[[#This Row],[Target Time (Hours)]]="","",Table1[[#This Row],[Target Time (Hours)]]-Table1[[#This Row],[Downtime (Hours)]])</f>
        <v>22</v>
      </c>
      <c r="M996" s="49">
        <f>IFERROR(Table1[[#This Row],[Capacity (Kg)]]/Table1[[#This Row],[Target Time (Hours)]] * Table1[[#This Row],[Downtime (Hours)]], "")</f>
        <v>0</v>
      </c>
      <c r="N996" s="50">
        <f>IFERROR(Table1[[#This Row],[Running Time (hr)]]/Table1[Target Time (Hours)], "")</f>
        <v>1</v>
      </c>
      <c r="O996" s="50">
        <f>IFERROR(Table1[[#This Row],[Actual Production (Kg)]]/Table1[Capacity (Kg)], "")</f>
        <v>0.86033333333333328</v>
      </c>
      <c r="P996" s="50">
        <f>IFERROR(Table1[[#This Row],[Quality Pass Production]]/Table1[[#This Row],[Actual Production (Kg)]], "")</f>
        <v>1</v>
      </c>
      <c r="Q996" s="50">
        <f>IFERROR(Table1[[#This Row],[Utilization %]]*Table1[[#This Row],[Efficiency %]]*Table1[[#This Row],[Quality %]], "")</f>
        <v>0.86033333333333328</v>
      </c>
    </row>
    <row r="997" spans="1:18" x14ac:dyDescent="0.25">
      <c r="A997" s="47">
        <v>46207</v>
      </c>
      <c r="B997" s="48" t="s">
        <v>18</v>
      </c>
      <c r="C997" s="48" t="s">
        <v>22</v>
      </c>
      <c r="D997" s="48" t="s">
        <v>25</v>
      </c>
      <c r="E997" s="49">
        <v>5000</v>
      </c>
      <c r="F997" s="76">
        <v>5649</v>
      </c>
      <c r="G997" s="30">
        <v>0</v>
      </c>
      <c r="H997" s="50">
        <f>IFERROR(Table1[Re-process (Kg)]/Table1[Actual Production (Kg)], "")</f>
        <v>0</v>
      </c>
      <c r="I997" s="49">
        <f>IFERROR(Table1[[#This Row],[Actual Production (Kg)]]-Table1[[#This Row],[Re-process (Kg)]], "")</f>
        <v>5649</v>
      </c>
      <c r="J997" s="49"/>
      <c r="K997" s="72"/>
      <c r="L997" s="49" t="str">
        <f>IF(Table1[[#This Row],[Target Time (Hours)]]="","",Table1[[#This Row],[Target Time (Hours)]]-Table1[[#This Row],[Downtime (Hours)]])</f>
        <v/>
      </c>
      <c r="M997" s="49" t="str">
        <f>IFERROR(Table1[[#This Row],[Capacity (Kg)]]/Table1[[#This Row],[Target Time (Hours)]] * Table1[[#This Row],[Downtime (Hours)]], "")</f>
        <v/>
      </c>
      <c r="N997" s="50" t="str">
        <f>IFERROR(Table1[[#This Row],[Running Time (hr)]]/Table1[Target Time (Hours)], "")</f>
        <v/>
      </c>
      <c r="O997" s="50">
        <f>IFERROR(Table1[[#This Row],[Actual Production (Kg)]]/Table1[Capacity (Kg)], "")</f>
        <v>1.1297999999999999</v>
      </c>
      <c r="P997" s="50">
        <f>IFERROR(Table1[[#This Row],[Quality Pass Production]]/Table1[[#This Row],[Actual Production (Kg)]], "")</f>
        <v>1</v>
      </c>
      <c r="Q997" s="50" t="str">
        <f>IFERROR(Table1[[#This Row],[Utilization %]]*Table1[[#This Row],[Efficiency %]]*Table1[[#This Row],[Quality %]], "")</f>
        <v/>
      </c>
    </row>
    <row r="998" spans="1:18" x14ac:dyDescent="0.25">
      <c r="A998" s="47">
        <v>46207</v>
      </c>
      <c r="B998" s="48" t="s">
        <v>18</v>
      </c>
      <c r="C998" s="48" t="s">
        <v>26</v>
      </c>
      <c r="D998" s="48" t="s">
        <v>25</v>
      </c>
      <c r="E998" s="49">
        <v>8000</v>
      </c>
      <c r="F998" s="76">
        <v>8923</v>
      </c>
      <c r="G998" s="34">
        <v>0</v>
      </c>
      <c r="H998" s="50">
        <f>IFERROR(Table1[Re-process (Kg)]/Table1[Actual Production (Kg)], "")</f>
        <v>0</v>
      </c>
      <c r="I998" s="49">
        <f>IFERROR(Table1[[#This Row],[Actual Production (Kg)]]-Table1[[#This Row],[Re-process (Kg)]], "")</f>
        <v>8923</v>
      </c>
      <c r="J998" s="49">
        <v>22</v>
      </c>
      <c r="K998" s="72"/>
      <c r="L998" s="49">
        <f>IF(Table1[[#This Row],[Target Time (Hours)]]="","",Table1[[#This Row],[Target Time (Hours)]]-Table1[[#This Row],[Downtime (Hours)]])</f>
        <v>22</v>
      </c>
      <c r="M998" s="49">
        <f>IFERROR(Table1[[#This Row],[Capacity (Kg)]]/Table1[[#This Row],[Target Time (Hours)]] * Table1[[#This Row],[Downtime (Hours)]], "")</f>
        <v>0</v>
      </c>
      <c r="N998" s="50">
        <f>IFERROR(Table1[[#This Row],[Running Time (hr)]]/Table1[Target Time (Hours)], "")</f>
        <v>1</v>
      </c>
      <c r="O998" s="50">
        <f>IFERROR(Table1[[#This Row],[Actual Production (Kg)]]/Table1[Capacity (Kg)], "")</f>
        <v>1.115375</v>
      </c>
      <c r="P998" s="50">
        <f>IFERROR(Table1[[#This Row],[Quality Pass Production]]/Table1[[#This Row],[Actual Production (Kg)]], "")</f>
        <v>1</v>
      </c>
      <c r="Q998" s="50">
        <f>IFERROR(Table1[[#This Row],[Utilization %]]*Table1[[#This Row],[Efficiency %]]*Table1[[#This Row],[Quality %]], "")</f>
        <v>1.115375</v>
      </c>
    </row>
    <row r="999" spans="1:18" ht="30" customHeight="1" x14ac:dyDescent="0.25">
      <c r="A999" s="47">
        <v>46207</v>
      </c>
      <c r="B999" s="48" t="s">
        <v>18</v>
      </c>
      <c r="C999" s="48" t="s">
        <v>28</v>
      </c>
      <c r="D999" s="48" t="s">
        <v>29</v>
      </c>
      <c r="E999" s="49">
        <v>7800</v>
      </c>
      <c r="F999" s="76">
        <v>6706</v>
      </c>
      <c r="G999" s="30">
        <v>0</v>
      </c>
      <c r="H999" s="50">
        <f>IFERROR(Table1[Re-process (Kg)]/Table1[Actual Production (Kg)], "")</f>
        <v>0</v>
      </c>
      <c r="I999" s="49">
        <f>IFERROR(Table1[[#This Row],[Actual Production (Kg)]]-Table1[[#This Row],[Re-process (Kg)]], "")</f>
        <v>6706</v>
      </c>
      <c r="J999" s="49">
        <v>22</v>
      </c>
      <c r="K999" s="72">
        <v>5</v>
      </c>
      <c r="L999" s="49">
        <f>IF(Table1[[#This Row],[Target Time (Hours)]]="","",Table1[[#This Row],[Target Time (Hours)]]-Table1[[#This Row],[Downtime (Hours)]])</f>
        <v>17</v>
      </c>
      <c r="M999" s="49">
        <f>IFERROR(Table1[[#This Row],[Capacity (Kg)]]/Table1[[#This Row],[Target Time (Hours)]] * Table1[[#This Row],[Downtime (Hours)]], "")</f>
        <v>1772.7272727272727</v>
      </c>
      <c r="N999" s="50">
        <f>IFERROR(Table1[[#This Row],[Running Time (hr)]]/Table1[Target Time (Hours)], "")</f>
        <v>0.77272727272727271</v>
      </c>
      <c r="O999" s="50">
        <f>IFERROR(Table1[[#This Row],[Actual Production (Kg)]]/Table1[Capacity (Kg)], "")</f>
        <v>0.85974358974358978</v>
      </c>
      <c r="P999" s="50">
        <f>IFERROR(Table1[[#This Row],[Quality Pass Production]]/Table1[[#This Row],[Actual Production (Kg)]], "")</f>
        <v>1</v>
      </c>
      <c r="Q999" s="50">
        <f>IFERROR(Table1[[#This Row],[Utilization %]]*Table1[[#This Row],[Efficiency %]]*Table1[[#This Row],[Quality %]], "")</f>
        <v>0.66434731934731939</v>
      </c>
      <c r="R999" s="48" t="s">
        <v>258</v>
      </c>
    </row>
    <row r="1000" spans="1:18" ht="30" customHeight="1" x14ac:dyDescent="0.25">
      <c r="A1000" s="51">
        <v>46207</v>
      </c>
      <c r="B1000" s="52" t="s">
        <v>18</v>
      </c>
      <c r="C1000" s="52" t="s">
        <v>135</v>
      </c>
      <c r="D1000" s="52" t="s">
        <v>29</v>
      </c>
      <c r="E1000" s="53"/>
      <c r="F1000" s="53"/>
      <c r="G1000" s="38"/>
      <c r="H1000" s="57" t="str">
        <f>IFERROR(Table1[Re-process (Kg)]/Table1[Actual Production (Kg)], "")</f>
        <v/>
      </c>
      <c r="I1000" s="53">
        <f>IFERROR(Table1[[#This Row],[Actual Production (Kg)]]-Table1[[#This Row],[Re-process (Kg)]], "")</f>
        <v>0</v>
      </c>
      <c r="J1000" s="53"/>
      <c r="K1000" s="52"/>
      <c r="L1000" s="53" t="str">
        <f>IF(Table1[[#This Row],[Target Time (Hours)]]="","",Table1[[#This Row],[Target Time (Hours)]]-Table1[[#This Row],[Downtime (Hours)]])</f>
        <v/>
      </c>
      <c r="M1000" s="53" t="str">
        <f>IFERROR(Table1[[#This Row],[Capacity (Kg)]]/Table1[[#This Row],[Target Time (Hours)]] * Table1[[#This Row],[Downtime (Hours)]], "")</f>
        <v/>
      </c>
      <c r="N1000" s="57" t="str">
        <f>IFERROR(Table1[[#This Row],[Running Time (hr)]]/Table1[Target Time (Hours)], "")</f>
        <v/>
      </c>
      <c r="O1000" s="57" t="str">
        <f>IFERROR(Table1[[#This Row],[Actual Production (Kg)]]/Table1[Capacity (Kg)], "")</f>
        <v/>
      </c>
      <c r="P1000" s="57" t="str">
        <f>IFERROR(Table1[[#This Row],[Quality Pass Production]]/Table1[[#This Row],[Actual Production (Kg)]], "")</f>
        <v/>
      </c>
      <c r="Q1000" s="57" t="str">
        <f>IFERROR(Table1[[#This Row],[Utilization %]]*Table1[[#This Row],[Efficiency %]]*Table1[[#This Row],[Quality %]], "")</f>
        <v/>
      </c>
      <c r="R1000" s="52"/>
    </row>
    <row r="1001" spans="1:18" ht="30" customHeight="1" x14ac:dyDescent="0.25">
      <c r="A1001" s="47">
        <v>46207</v>
      </c>
      <c r="B1001" s="48" t="s">
        <v>18</v>
      </c>
      <c r="C1001" s="48" t="s">
        <v>30</v>
      </c>
      <c r="D1001" s="48" t="s">
        <v>31</v>
      </c>
      <c r="E1001" s="49">
        <v>11000</v>
      </c>
      <c r="F1001" s="76">
        <v>10749</v>
      </c>
      <c r="G1001" s="30">
        <v>0</v>
      </c>
      <c r="H1001" s="50">
        <f>IFERROR(Table1[Re-process (Kg)]/Table1[Actual Production (Kg)], "")</f>
        <v>0</v>
      </c>
      <c r="I1001" s="49">
        <f>IFERROR(Table1[[#This Row],[Actual Production (Kg)]]-Table1[[#This Row],[Re-process (Kg)]], "")</f>
        <v>10749</v>
      </c>
      <c r="J1001" s="49">
        <v>22</v>
      </c>
      <c r="K1001" s="72"/>
      <c r="L1001" s="49">
        <f>IF(Table1[[#This Row],[Target Time (Hours)]]="","",Table1[[#This Row],[Target Time (Hours)]]-Table1[[#This Row],[Downtime (Hours)]])</f>
        <v>22</v>
      </c>
      <c r="M1001" s="49">
        <f>IFERROR(Table1[[#This Row],[Capacity (Kg)]]/Table1[[#This Row],[Target Time (Hours)]] * Table1[[#This Row],[Downtime (Hours)]], "")</f>
        <v>0</v>
      </c>
      <c r="N1001" s="50">
        <f>IFERROR(Table1[[#This Row],[Running Time (hr)]]/Table1[Target Time (Hours)], "")</f>
        <v>1</v>
      </c>
      <c r="O1001" s="50">
        <f>IFERROR(Table1[[#This Row],[Actual Production (Kg)]]/Table1[Capacity (Kg)], "")</f>
        <v>0.97718181818181815</v>
      </c>
      <c r="P1001" s="50">
        <f>IFERROR(Table1[[#This Row],[Quality Pass Production]]/Table1[[#This Row],[Actual Production (Kg)]], "")</f>
        <v>1</v>
      </c>
      <c r="Q1001" s="50">
        <f>IFERROR(Table1[[#This Row],[Utilization %]]*Table1[[#This Row],[Efficiency %]]*Table1[[#This Row],[Quality %]], "")</f>
        <v>0.97718181818181815</v>
      </c>
    </row>
    <row r="1002" spans="1:18" ht="30" customHeight="1" x14ac:dyDescent="0.25">
      <c r="A1002" s="51">
        <v>46207</v>
      </c>
      <c r="B1002" s="52" t="s">
        <v>18</v>
      </c>
      <c r="C1002" s="52" t="s">
        <v>32</v>
      </c>
      <c r="D1002" s="52" t="s">
        <v>31</v>
      </c>
      <c r="E1002" s="79">
        <f>Table1[[#This Row],[Actual Production (Kg)]]</f>
        <v>3394</v>
      </c>
      <c r="F1002" s="53">
        <v>3394</v>
      </c>
      <c r="G1002" s="38"/>
      <c r="H1002" s="57">
        <f>IFERROR(Table1[Re-process (Kg)]/Table1[Actual Production (Kg)], "")</f>
        <v>0</v>
      </c>
      <c r="I1002" s="53">
        <f>IFERROR(Table1[[#This Row],[Actual Production (Kg)]]-Table1[[#This Row],[Re-process (Kg)]], "")</f>
        <v>3394</v>
      </c>
      <c r="J1002" s="53"/>
      <c r="K1002" s="52"/>
      <c r="L1002" s="53" t="str">
        <f>IF(Table1[[#This Row],[Target Time (Hours)]]="","",Table1[[#This Row],[Target Time (Hours)]]-Table1[[#This Row],[Downtime (Hours)]])</f>
        <v/>
      </c>
      <c r="M1002" s="53" t="str">
        <f>IFERROR(Table1[[#This Row],[Capacity (Kg)]]/Table1[[#This Row],[Target Time (Hours)]] * Table1[[#This Row],[Downtime (Hours)]], "")</f>
        <v/>
      </c>
      <c r="N1002" s="57" t="str">
        <f>IFERROR(Table1[[#This Row],[Running Time (hr)]]/Table1[Target Time (Hours)], "")</f>
        <v/>
      </c>
      <c r="O1002" s="57">
        <f>IFERROR(Table1[[#This Row],[Actual Production (Kg)]]/Table1[Capacity (Kg)], "")</f>
        <v>1</v>
      </c>
      <c r="P1002" s="57">
        <f>IFERROR(Table1[[#This Row],[Quality Pass Production]]/Table1[[#This Row],[Actual Production (Kg)]], "")</f>
        <v>1</v>
      </c>
      <c r="Q1002" s="57" t="str">
        <f>IFERROR(Table1[[#This Row],[Utilization %]]*Table1[[#This Row],[Efficiency %]]*Table1[[#This Row],[Quality %]], "")</f>
        <v/>
      </c>
      <c r="R1002" s="52" t="s">
        <v>272</v>
      </c>
    </row>
    <row r="1003" spans="1:18" ht="30" customHeight="1" x14ac:dyDescent="0.25">
      <c r="A1003" s="47">
        <v>46207</v>
      </c>
      <c r="B1003" s="48" t="s">
        <v>33</v>
      </c>
      <c r="C1003" s="48" t="s">
        <v>34</v>
      </c>
      <c r="D1003" s="48" t="s">
        <v>35</v>
      </c>
      <c r="E1003" s="49">
        <v>9000</v>
      </c>
      <c r="F1003" s="76">
        <v>4387</v>
      </c>
      <c r="G1003" s="30">
        <v>0</v>
      </c>
      <c r="H1003" s="50">
        <f>IFERROR(Table1[Re-process (Kg)]/Table1[Actual Production (Kg)], "")</f>
        <v>0</v>
      </c>
      <c r="I1003" s="49">
        <f>IFERROR(Table1[[#This Row],[Actual Production (Kg)]]-Table1[[#This Row],[Re-process (Kg)]], "")</f>
        <v>4387</v>
      </c>
      <c r="J1003" s="49">
        <v>22</v>
      </c>
      <c r="K1003" s="72"/>
      <c r="L1003" s="49">
        <f>IF(Table1[[#This Row],[Target Time (Hours)]]="","",Table1[[#This Row],[Target Time (Hours)]]-Table1[[#This Row],[Downtime (Hours)]])</f>
        <v>22</v>
      </c>
      <c r="M1003" s="49">
        <f>IFERROR(Table1[[#This Row],[Capacity (Kg)]]/Table1[[#This Row],[Target Time (Hours)]] * Table1[[#This Row],[Downtime (Hours)]], "")</f>
        <v>0</v>
      </c>
      <c r="N1003" s="50">
        <f>IFERROR(Table1[[#This Row],[Running Time (hr)]]/Table1[Target Time (Hours)], "")</f>
        <v>1</v>
      </c>
      <c r="O1003" s="50">
        <f>IFERROR(Table1[[#This Row],[Actual Production (Kg)]]/Table1[Capacity (Kg)], "")</f>
        <v>0.48744444444444446</v>
      </c>
      <c r="P1003" s="50">
        <f>IFERROR(Table1[[#This Row],[Quality Pass Production]]/Table1[[#This Row],[Actual Production (Kg)]], "")</f>
        <v>1</v>
      </c>
      <c r="Q1003" s="50">
        <f>IFERROR(Table1[[#This Row],[Utilization %]]*Table1[[#This Row],[Efficiency %]]*Table1[[#This Row],[Quality %]], "")</f>
        <v>0.48744444444444446</v>
      </c>
      <c r="R1003" s="48" t="s">
        <v>274</v>
      </c>
    </row>
    <row r="1004" spans="1:18" ht="30" customHeight="1" x14ac:dyDescent="0.25">
      <c r="A1004" s="47">
        <v>46207</v>
      </c>
      <c r="B1004" s="48" t="s">
        <v>33</v>
      </c>
      <c r="C1004" s="48" t="s">
        <v>36</v>
      </c>
      <c r="D1004" s="48" t="s">
        <v>37</v>
      </c>
      <c r="E1004" s="49">
        <v>8000</v>
      </c>
      <c r="F1004" s="76">
        <v>2391</v>
      </c>
      <c r="G1004" s="34">
        <v>0</v>
      </c>
      <c r="H1004" s="50">
        <f>IFERROR(Table1[Re-process (Kg)]/Table1[Actual Production (Kg)], "")</f>
        <v>0</v>
      </c>
      <c r="I1004" s="49">
        <f>IFERROR(Table1[[#This Row],[Actual Production (Kg)]]-Table1[[#This Row],[Re-process (Kg)]], "")</f>
        <v>2391</v>
      </c>
      <c r="J1004" s="49">
        <v>22</v>
      </c>
      <c r="K1004" s="72">
        <v>13.1</v>
      </c>
      <c r="L1004" s="49">
        <f>IF(Table1[[#This Row],[Target Time (Hours)]]="","",Table1[[#This Row],[Target Time (Hours)]]-Table1[[#This Row],[Downtime (Hours)]])</f>
        <v>8.9</v>
      </c>
      <c r="M1004" s="49">
        <f>IFERROR(Table1[[#This Row],[Capacity (Kg)]]/Table1[[#This Row],[Target Time (Hours)]] * Table1[[#This Row],[Downtime (Hours)]], "")</f>
        <v>4763.6363636363631</v>
      </c>
      <c r="N1004" s="50">
        <f>IFERROR(Table1[[#This Row],[Running Time (hr)]]/Table1[Target Time (Hours)], "")</f>
        <v>0.40454545454545454</v>
      </c>
      <c r="O1004" s="50">
        <f>IFERROR(Table1[[#This Row],[Actual Production (Kg)]]/Table1[Capacity (Kg)], "")</f>
        <v>0.298875</v>
      </c>
      <c r="P1004" s="50">
        <f>IFERROR(Table1[[#This Row],[Quality Pass Production]]/Table1[[#This Row],[Actual Production (Kg)]], "")</f>
        <v>1</v>
      </c>
      <c r="Q1004" s="50">
        <f>IFERROR(Table1[[#This Row],[Utilization %]]*Table1[[#This Row],[Efficiency %]]*Table1[[#This Row],[Quality %]], "")</f>
        <v>0.12090852272727273</v>
      </c>
      <c r="R1004" s="48" t="s">
        <v>275</v>
      </c>
    </row>
    <row r="1005" spans="1:18" ht="30" customHeight="1" x14ac:dyDescent="0.25">
      <c r="A1005" s="47">
        <v>46207</v>
      </c>
      <c r="B1005" s="48" t="s">
        <v>33</v>
      </c>
      <c r="C1005" s="48" t="s">
        <v>39</v>
      </c>
      <c r="D1005" s="48" t="s">
        <v>31</v>
      </c>
      <c r="E1005" s="49">
        <v>6000</v>
      </c>
      <c r="F1005" s="76"/>
      <c r="G1005" s="30">
        <v>0</v>
      </c>
      <c r="H1005" s="50" t="str">
        <f>IFERROR(Table1[Re-process (Kg)]/Table1[Actual Production (Kg)], "")</f>
        <v/>
      </c>
      <c r="I1005" s="49">
        <f>IFERROR(Table1[[#This Row],[Actual Production (Kg)]]-Table1[[#This Row],[Re-process (Kg)]], "")</f>
        <v>0</v>
      </c>
      <c r="J1005" s="49">
        <v>22</v>
      </c>
      <c r="K1005" s="72">
        <v>22</v>
      </c>
      <c r="L1005" s="49">
        <f>IF(Table1[[#This Row],[Target Time (Hours)]]="","",Table1[[#This Row],[Target Time (Hours)]]-Table1[[#This Row],[Downtime (Hours)]])</f>
        <v>0</v>
      </c>
      <c r="M1005" s="49">
        <f>IFERROR(Table1[[#This Row],[Capacity (Kg)]]/Table1[[#This Row],[Target Time (Hours)]] * Table1[[#This Row],[Downtime (Hours)]], "")</f>
        <v>6000</v>
      </c>
      <c r="N1005" s="50">
        <f>IFERROR(Table1[[#This Row],[Running Time (hr)]]/Table1[Target Time (Hours)], "")</f>
        <v>0</v>
      </c>
      <c r="O1005" s="50">
        <f>IFERROR(Table1[[#This Row],[Actual Production (Kg)]]/Table1[Capacity (Kg)], "")</f>
        <v>0</v>
      </c>
      <c r="P1005" s="50" t="str">
        <f>IFERROR(Table1[[#This Row],[Quality Pass Production]]/Table1[[#This Row],[Actual Production (Kg)]], "")</f>
        <v/>
      </c>
      <c r="Q1005" s="50" t="str">
        <f>IFERROR(Table1[[#This Row],[Utilization %]]*Table1[[#This Row],[Efficiency %]]*Table1[[#This Row],[Quality %]], "")</f>
        <v/>
      </c>
      <c r="R1005" s="48" t="s">
        <v>276</v>
      </c>
    </row>
    <row r="1006" spans="1:18" ht="45" customHeight="1" x14ac:dyDescent="0.25">
      <c r="A1006" s="54">
        <v>46207</v>
      </c>
      <c r="B1006" s="55" t="s">
        <v>33</v>
      </c>
      <c r="C1006" s="55" t="s">
        <v>40</v>
      </c>
      <c r="D1006" s="55" t="s">
        <v>31</v>
      </c>
      <c r="E1006" s="56">
        <v>5000</v>
      </c>
      <c r="F1006" s="56">
        <v>1167</v>
      </c>
      <c r="G1006" s="43">
        <v>0</v>
      </c>
      <c r="H1006" s="58">
        <f>IFERROR(Table1[Re-process (Kg)]/Table1[Actual Production (Kg)], "")</f>
        <v>0</v>
      </c>
      <c r="I1006" s="56">
        <f>IFERROR(Table1[[#This Row],[Actual Production (Kg)]]-Table1[[#This Row],[Re-process (Kg)]], "")</f>
        <v>1167</v>
      </c>
      <c r="J1006" s="56">
        <v>22</v>
      </c>
      <c r="K1006" s="55"/>
      <c r="L1006" s="56">
        <f>IF(Table1[[#This Row],[Target Time (Hours)]]="","",Table1[[#This Row],[Target Time (Hours)]]-Table1[[#This Row],[Downtime (Hours)]])</f>
        <v>22</v>
      </c>
      <c r="M1006" s="56">
        <f>IFERROR(Table1[[#This Row],[Capacity (Kg)]]/Table1[[#This Row],[Target Time (Hours)]] * Table1[[#This Row],[Downtime (Hours)]], "")</f>
        <v>0</v>
      </c>
      <c r="N1006" s="58">
        <f>IFERROR(Table1[[#This Row],[Running Time (hr)]]/Table1[Target Time (Hours)], "")</f>
        <v>1</v>
      </c>
      <c r="O1006" s="58">
        <f>IFERROR(Table1[[#This Row],[Actual Production (Kg)]]/Table1[Capacity (Kg)], "")</f>
        <v>0.2334</v>
      </c>
      <c r="P1006" s="58">
        <f>IFERROR(Table1[[#This Row],[Quality Pass Production]]/Table1[[#This Row],[Actual Production (Kg)]], "")</f>
        <v>1</v>
      </c>
      <c r="Q1006" s="58">
        <f>IFERROR(Table1[[#This Row],[Utilization %]]*Table1[[#This Row],[Efficiency %]]*Table1[[#This Row],[Quality %]], "")</f>
        <v>0.2334</v>
      </c>
      <c r="R1006" s="55" t="s">
        <v>274</v>
      </c>
    </row>
    <row r="1007" spans="1:18" ht="30" customHeight="1" x14ac:dyDescent="0.25">
      <c r="A1007" s="47">
        <v>46208</v>
      </c>
      <c r="B1007" s="48" t="s">
        <v>18</v>
      </c>
      <c r="C1007" s="48" t="s">
        <v>19</v>
      </c>
      <c r="D1007" s="48" t="s">
        <v>20</v>
      </c>
      <c r="E1007" s="49">
        <v>10000</v>
      </c>
      <c r="F1007" s="76">
        <v>9140</v>
      </c>
      <c r="G1007" s="34">
        <v>0</v>
      </c>
      <c r="H1007" s="50">
        <f>IFERROR(Table1[Re-process (Kg)]/Table1[Actual Production (Kg)], "")</f>
        <v>0</v>
      </c>
      <c r="I1007" s="49">
        <f>IFERROR(Table1[[#This Row],[Actual Production (Kg)]]-Table1[[#This Row],[Re-process (Kg)]], "")</f>
        <v>9140</v>
      </c>
      <c r="J1007" s="49">
        <v>22</v>
      </c>
      <c r="K1007" s="72"/>
      <c r="L1007" s="49">
        <f>IF(Table1[[#This Row],[Target Time (Hours)]]="","",Table1[[#This Row],[Target Time (Hours)]]-Table1[[#This Row],[Downtime (Hours)]])</f>
        <v>22</v>
      </c>
      <c r="M1007" s="49">
        <f>IFERROR(Table1[[#This Row],[Capacity (Kg)]]/Table1[[#This Row],[Target Time (Hours)]] * Table1[[#This Row],[Downtime (Hours)]], "")</f>
        <v>0</v>
      </c>
      <c r="N1007" s="50">
        <f>IFERROR(Table1[[#This Row],[Running Time (hr)]]/Table1[Target Time (Hours)], "")</f>
        <v>1</v>
      </c>
      <c r="O1007" s="50">
        <f>IFERROR(Table1[[#This Row],[Actual Production (Kg)]]/Table1[Capacity (Kg)], "")</f>
        <v>0.91400000000000003</v>
      </c>
      <c r="P1007" s="50">
        <f>IFERROR(Table1[[#This Row],[Quality Pass Production]]/Table1[[#This Row],[Actual Production (Kg)]], "")</f>
        <v>1</v>
      </c>
      <c r="Q1007" s="50">
        <f>IFERROR(Table1[[#This Row],[Utilization %]]*Table1[[#This Row],[Efficiency %]]*Table1[[#This Row],[Quality %]], "")</f>
        <v>0.91400000000000003</v>
      </c>
    </row>
    <row r="1008" spans="1:18" x14ac:dyDescent="0.25">
      <c r="A1008" s="51">
        <v>46208</v>
      </c>
      <c r="B1008" s="52" t="s">
        <v>18</v>
      </c>
      <c r="C1008" s="52" t="s">
        <v>238</v>
      </c>
      <c r="D1008" s="52" t="s">
        <v>20</v>
      </c>
      <c r="E1008" s="79">
        <f>Table1[[#This Row],[Actual Production (Kg)]]</f>
        <v>10506</v>
      </c>
      <c r="F1008" s="53">
        <v>10506</v>
      </c>
      <c r="G1008" s="38">
        <v>0</v>
      </c>
      <c r="H1008" s="57">
        <f>IFERROR(Table1[Re-process (Kg)]/Table1[Actual Production (Kg)], "")</f>
        <v>0</v>
      </c>
      <c r="I1008" s="53">
        <f>IFERROR(Table1[[#This Row],[Actual Production (Kg)]]-Table1[[#This Row],[Re-process (Kg)]], "")</f>
        <v>10506</v>
      </c>
      <c r="J1008" s="53"/>
      <c r="K1008" s="52"/>
      <c r="L1008" s="53" t="str">
        <f>IF(Table1[[#This Row],[Target Time (Hours)]]="","",Table1[[#This Row],[Target Time (Hours)]]-Table1[[#This Row],[Downtime (Hours)]])</f>
        <v/>
      </c>
      <c r="M1008" s="53" t="str">
        <f>IFERROR(Table1[[#This Row],[Capacity (Kg)]]/Table1[[#This Row],[Target Time (Hours)]] * Table1[[#This Row],[Downtime (Hours)]], "")</f>
        <v/>
      </c>
      <c r="N1008" s="57" t="str">
        <f>IFERROR(Table1[[#This Row],[Running Time (hr)]]/Table1[Target Time (Hours)], "")</f>
        <v/>
      </c>
      <c r="O1008" s="57">
        <f>IFERROR(Table1[[#This Row],[Actual Production (Kg)]]/Table1[Capacity (Kg)], "")</f>
        <v>1</v>
      </c>
      <c r="P1008" s="57">
        <f>IFERROR(Table1[[#This Row],[Quality Pass Production]]/Table1[[#This Row],[Actual Production (Kg)]], "")</f>
        <v>1</v>
      </c>
      <c r="Q1008" s="57" t="str">
        <f>IFERROR(Table1[[#This Row],[Utilization %]]*Table1[[#This Row],[Efficiency %]]*Table1[[#This Row],[Quality %]], "")</f>
        <v/>
      </c>
      <c r="R1008" s="52"/>
    </row>
    <row r="1009" spans="1:18" x14ac:dyDescent="0.25">
      <c r="A1009" s="47">
        <v>46208</v>
      </c>
      <c r="B1009" s="48" t="s">
        <v>18</v>
      </c>
      <c r="C1009" s="48" t="s">
        <v>22</v>
      </c>
      <c r="D1009" s="48" t="s">
        <v>23</v>
      </c>
      <c r="E1009" s="49">
        <v>5000</v>
      </c>
      <c r="F1009" s="76">
        <v>5199</v>
      </c>
      <c r="G1009" s="34">
        <v>0</v>
      </c>
      <c r="H1009" s="50">
        <f>IFERROR(Table1[Re-process (Kg)]/Table1[Actual Production (Kg)], "")</f>
        <v>0</v>
      </c>
      <c r="I1009" s="49">
        <f>IFERROR(Table1[[#This Row],[Actual Production (Kg)]]-Table1[[#This Row],[Re-process (Kg)]], "")</f>
        <v>5199</v>
      </c>
      <c r="J1009" s="49">
        <v>22</v>
      </c>
      <c r="K1009" s="72"/>
      <c r="L1009" s="49">
        <f>IF(Table1[[#This Row],[Target Time (Hours)]]="","",Table1[[#This Row],[Target Time (Hours)]]-Table1[[#This Row],[Downtime (Hours)]])</f>
        <v>22</v>
      </c>
      <c r="M1009" s="49">
        <f>IFERROR(Table1[[#This Row],[Capacity (Kg)]]/Table1[[#This Row],[Target Time (Hours)]] * Table1[[#This Row],[Downtime (Hours)]], "")</f>
        <v>0</v>
      </c>
      <c r="N1009" s="50">
        <f>IFERROR(Table1[[#This Row],[Running Time (hr)]]/Table1[Target Time (Hours)], "")</f>
        <v>1</v>
      </c>
      <c r="O1009" s="50">
        <f>IFERROR(Table1[[#This Row],[Actual Production (Kg)]]/Table1[Capacity (Kg)], "")</f>
        <v>1.0398000000000001</v>
      </c>
      <c r="P1009" s="50">
        <f>IFERROR(Table1[[#This Row],[Quality Pass Production]]/Table1[[#This Row],[Actual Production (Kg)]], "")</f>
        <v>1</v>
      </c>
      <c r="Q1009" s="50">
        <f>IFERROR(Table1[[#This Row],[Utilization %]]*Table1[[#This Row],[Efficiency %]]*Table1[[#This Row],[Quality %]], "")</f>
        <v>1.0398000000000001</v>
      </c>
    </row>
    <row r="1010" spans="1:18" x14ac:dyDescent="0.25">
      <c r="A1010" s="47">
        <v>46208</v>
      </c>
      <c r="B1010" s="48" t="s">
        <v>18</v>
      </c>
      <c r="C1010" s="48" t="s">
        <v>22</v>
      </c>
      <c r="D1010" s="48" t="s">
        <v>25</v>
      </c>
      <c r="E1010" s="49">
        <v>4000</v>
      </c>
      <c r="F1010" s="76">
        <v>4460</v>
      </c>
      <c r="G1010" s="30">
        <v>0</v>
      </c>
      <c r="H1010" s="50">
        <f>IFERROR(Table1[Re-process (Kg)]/Table1[Actual Production (Kg)], "")</f>
        <v>0</v>
      </c>
      <c r="I1010" s="49">
        <f>IFERROR(Table1[[#This Row],[Actual Production (Kg)]]-Table1[[#This Row],[Re-process (Kg)]], "")</f>
        <v>4460</v>
      </c>
      <c r="J1010" s="49"/>
      <c r="K1010" s="72"/>
      <c r="L1010" s="49" t="str">
        <f>IF(Table1[[#This Row],[Target Time (Hours)]]="","",Table1[[#This Row],[Target Time (Hours)]]-Table1[[#This Row],[Downtime (Hours)]])</f>
        <v/>
      </c>
      <c r="M1010" s="49" t="str">
        <f>IFERROR(Table1[[#This Row],[Capacity (Kg)]]/Table1[[#This Row],[Target Time (Hours)]] * Table1[[#This Row],[Downtime (Hours)]], "")</f>
        <v/>
      </c>
      <c r="N1010" s="50" t="str">
        <f>IFERROR(Table1[[#This Row],[Running Time (hr)]]/Table1[Target Time (Hours)], "")</f>
        <v/>
      </c>
      <c r="O1010" s="50">
        <f>IFERROR(Table1[[#This Row],[Actual Production (Kg)]]/Table1[Capacity (Kg)], "")</f>
        <v>1.115</v>
      </c>
      <c r="P1010" s="50">
        <f>IFERROR(Table1[[#This Row],[Quality Pass Production]]/Table1[[#This Row],[Actual Production (Kg)]], "")</f>
        <v>1</v>
      </c>
      <c r="Q1010" s="50" t="str">
        <f>IFERROR(Table1[[#This Row],[Utilization %]]*Table1[[#This Row],[Efficiency %]]*Table1[[#This Row],[Quality %]], "")</f>
        <v/>
      </c>
    </row>
    <row r="1011" spans="1:18" x14ac:dyDescent="0.25">
      <c r="A1011" s="47">
        <v>46208</v>
      </c>
      <c r="B1011" s="48" t="s">
        <v>18</v>
      </c>
      <c r="C1011" s="48" t="s">
        <v>26</v>
      </c>
      <c r="D1011" s="48" t="s">
        <v>25</v>
      </c>
      <c r="E1011" s="49">
        <v>7000</v>
      </c>
      <c r="F1011" s="76">
        <v>8450</v>
      </c>
      <c r="G1011" s="34">
        <v>0</v>
      </c>
      <c r="H1011" s="50">
        <f>IFERROR(Table1[Re-process (Kg)]/Table1[Actual Production (Kg)], "")</f>
        <v>0</v>
      </c>
      <c r="I1011" s="49">
        <f>IFERROR(Table1[[#This Row],[Actual Production (Kg)]]-Table1[[#This Row],[Re-process (Kg)]], "")</f>
        <v>8450</v>
      </c>
      <c r="J1011" s="49">
        <v>22</v>
      </c>
      <c r="K1011" s="72"/>
      <c r="L1011" s="49">
        <f>IF(Table1[[#This Row],[Target Time (Hours)]]="","",Table1[[#This Row],[Target Time (Hours)]]-Table1[[#This Row],[Downtime (Hours)]])</f>
        <v>22</v>
      </c>
      <c r="M1011" s="49">
        <f>IFERROR(Table1[[#This Row],[Capacity (Kg)]]/Table1[[#This Row],[Target Time (Hours)]] * Table1[[#This Row],[Downtime (Hours)]], "")</f>
        <v>0</v>
      </c>
      <c r="N1011" s="50">
        <f>IFERROR(Table1[[#This Row],[Running Time (hr)]]/Table1[Target Time (Hours)], "")</f>
        <v>1</v>
      </c>
      <c r="O1011" s="50">
        <f>IFERROR(Table1[[#This Row],[Actual Production (Kg)]]/Table1[Capacity (Kg)], "")</f>
        <v>1.2071428571428571</v>
      </c>
      <c r="P1011" s="50">
        <f>IFERROR(Table1[[#This Row],[Quality Pass Production]]/Table1[[#This Row],[Actual Production (Kg)]], "")</f>
        <v>1</v>
      </c>
      <c r="Q1011" s="50">
        <f>IFERROR(Table1[[#This Row],[Utilization %]]*Table1[[#This Row],[Efficiency %]]*Table1[[#This Row],[Quality %]], "")</f>
        <v>1.2071428571428571</v>
      </c>
    </row>
    <row r="1012" spans="1:18" ht="30" customHeight="1" x14ac:dyDescent="0.25">
      <c r="A1012" s="47">
        <v>46208</v>
      </c>
      <c r="B1012" s="48" t="s">
        <v>18</v>
      </c>
      <c r="C1012" s="48" t="s">
        <v>28</v>
      </c>
      <c r="D1012" s="48" t="s">
        <v>29</v>
      </c>
      <c r="E1012" s="49">
        <v>7800</v>
      </c>
      <c r="F1012" s="76">
        <v>7635</v>
      </c>
      <c r="G1012" s="30">
        <v>0</v>
      </c>
      <c r="H1012" s="50">
        <f>IFERROR(Table1[Re-process (Kg)]/Table1[Actual Production (Kg)], "")</f>
        <v>0</v>
      </c>
      <c r="I1012" s="49">
        <f>IFERROR(Table1[[#This Row],[Actual Production (Kg)]]-Table1[[#This Row],[Re-process (Kg)]], "")</f>
        <v>7635</v>
      </c>
      <c r="J1012" s="49">
        <v>22</v>
      </c>
      <c r="K1012" s="72"/>
      <c r="L1012" s="49">
        <f>IF(Table1[[#This Row],[Target Time (Hours)]]="","",Table1[[#This Row],[Target Time (Hours)]]-Table1[[#This Row],[Downtime (Hours)]])</f>
        <v>22</v>
      </c>
      <c r="M1012" s="49">
        <f>IFERROR(Table1[[#This Row],[Capacity (Kg)]]/Table1[[#This Row],[Target Time (Hours)]] * Table1[[#This Row],[Downtime (Hours)]], "")</f>
        <v>0</v>
      </c>
      <c r="N1012" s="50">
        <f>IFERROR(Table1[[#This Row],[Running Time (hr)]]/Table1[Target Time (Hours)], "")</f>
        <v>1</v>
      </c>
      <c r="O1012" s="50">
        <f>IFERROR(Table1[[#This Row],[Actual Production (Kg)]]/Table1[Capacity (Kg)], "")</f>
        <v>0.97884615384615381</v>
      </c>
      <c r="P1012" s="50">
        <f>IFERROR(Table1[[#This Row],[Quality Pass Production]]/Table1[[#This Row],[Actual Production (Kg)]], "")</f>
        <v>1</v>
      </c>
      <c r="Q1012" s="50">
        <f>IFERROR(Table1[[#This Row],[Utilization %]]*Table1[[#This Row],[Efficiency %]]*Table1[[#This Row],[Quality %]], "")</f>
        <v>0.97884615384615381</v>
      </c>
    </row>
    <row r="1013" spans="1:18" ht="30" customHeight="1" x14ac:dyDescent="0.25">
      <c r="A1013" s="51">
        <v>46208</v>
      </c>
      <c r="B1013" s="52" t="s">
        <v>18</v>
      </c>
      <c r="C1013" s="52" t="s">
        <v>135</v>
      </c>
      <c r="D1013" s="52" t="s">
        <v>29</v>
      </c>
      <c r="E1013" s="53"/>
      <c r="F1013" s="53"/>
      <c r="G1013" s="38"/>
      <c r="H1013" s="57" t="str">
        <f>IFERROR(Table1[Re-process (Kg)]/Table1[Actual Production (Kg)], "")</f>
        <v/>
      </c>
      <c r="I1013" s="53">
        <f>IFERROR(Table1[[#This Row],[Actual Production (Kg)]]-Table1[[#This Row],[Re-process (Kg)]], "")</f>
        <v>0</v>
      </c>
      <c r="J1013" s="53"/>
      <c r="K1013" s="52"/>
      <c r="L1013" s="53" t="str">
        <f>IF(Table1[[#This Row],[Target Time (Hours)]]="","",Table1[[#This Row],[Target Time (Hours)]]-Table1[[#This Row],[Downtime (Hours)]])</f>
        <v/>
      </c>
      <c r="M1013" s="53" t="str">
        <f>IFERROR(Table1[[#This Row],[Capacity (Kg)]]/Table1[[#This Row],[Target Time (Hours)]] * Table1[[#This Row],[Downtime (Hours)]], "")</f>
        <v/>
      </c>
      <c r="N1013" s="57" t="str">
        <f>IFERROR(Table1[[#This Row],[Running Time (hr)]]/Table1[Target Time (Hours)], "")</f>
        <v/>
      </c>
      <c r="O1013" s="57" t="str">
        <f>IFERROR(Table1[[#This Row],[Actual Production (Kg)]]/Table1[Capacity (Kg)], "")</f>
        <v/>
      </c>
      <c r="P1013" s="57" t="str">
        <f>IFERROR(Table1[[#This Row],[Quality Pass Production]]/Table1[[#This Row],[Actual Production (Kg)]], "")</f>
        <v/>
      </c>
      <c r="Q1013" s="57" t="str">
        <f>IFERROR(Table1[[#This Row],[Utilization %]]*Table1[[#This Row],[Efficiency %]]*Table1[[#This Row],[Quality %]], "")</f>
        <v/>
      </c>
      <c r="R1013" s="52"/>
    </row>
    <row r="1014" spans="1:18" ht="30" customHeight="1" x14ac:dyDescent="0.25">
      <c r="A1014" s="47">
        <v>46208</v>
      </c>
      <c r="B1014" s="48" t="s">
        <v>18</v>
      </c>
      <c r="C1014" s="48" t="s">
        <v>30</v>
      </c>
      <c r="D1014" s="48" t="s">
        <v>31</v>
      </c>
      <c r="E1014" s="49">
        <v>9000</v>
      </c>
      <c r="F1014" s="76">
        <v>7039</v>
      </c>
      <c r="G1014" s="30">
        <v>0</v>
      </c>
      <c r="H1014" s="50">
        <f>IFERROR(Table1[Re-process (Kg)]/Table1[Actual Production (Kg)], "")</f>
        <v>0</v>
      </c>
      <c r="I1014" s="49">
        <f>IFERROR(Table1[[#This Row],[Actual Production (Kg)]]-Table1[[#This Row],[Re-process (Kg)]], "")</f>
        <v>7039</v>
      </c>
      <c r="J1014" s="49">
        <v>22</v>
      </c>
      <c r="K1014" s="72"/>
      <c r="L1014" s="49">
        <f>IF(Table1[[#This Row],[Target Time (Hours)]]="","",Table1[[#This Row],[Target Time (Hours)]]-Table1[[#This Row],[Downtime (Hours)]])</f>
        <v>22</v>
      </c>
      <c r="M1014" s="49">
        <f>IFERROR(Table1[[#This Row],[Capacity (Kg)]]/Table1[[#This Row],[Target Time (Hours)]] * Table1[[#This Row],[Downtime (Hours)]], "")</f>
        <v>0</v>
      </c>
      <c r="N1014" s="50">
        <f>IFERROR(Table1[[#This Row],[Running Time (hr)]]/Table1[Target Time (Hours)], "")</f>
        <v>1</v>
      </c>
      <c r="O1014" s="50">
        <f>IFERROR(Table1[[#This Row],[Actual Production (Kg)]]/Table1[Capacity (Kg)], "")</f>
        <v>0.78211111111111109</v>
      </c>
      <c r="P1014" s="50">
        <f>IFERROR(Table1[[#This Row],[Quality Pass Production]]/Table1[[#This Row],[Actual Production (Kg)]], "")</f>
        <v>1</v>
      </c>
      <c r="Q1014" s="50">
        <f>IFERROR(Table1[[#This Row],[Utilization %]]*Table1[[#This Row],[Efficiency %]]*Table1[[#This Row],[Quality %]], "")</f>
        <v>0.78211111111111109</v>
      </c>
    </row>
    <row r="1015" spans="1:18" ht="30" customHeight="1" x14ac:dyDescent="0.25">
      <c r="A1015" s="51">
        <v>46208</v>
      </c>
      <c r="B1015" s="52" t="s">
        <v>18</v>
      </c>
      <c r="C1015" s="52" t="s">
        <v>32</v>
      </c>
      <c r="D1015" s="52" t="s">
        <v>31</v>
      </c>
      <c r="E1015" s="79">
        <f>Table1[[#This Row],[Actual Production (Kg)]]</f>
        <v>2947</v>
      </c>
      <c r="F1015" s="53">
        <v>2947</v>
      </c>
      <c r="G1015" s="38"/>
      <c r="H1015" s="57">
        <f>IFERROR(Table1[Re-process (Kg)]/Table1[Actual Production (Kg)], "")</f>
        <v>0</v>
      </c>
      <c r="I1015" s="53">
        <f>IFERROR(Table1[[#This Row],[Actual Production (Kg)]]-Table1[[#This Row],[Re-process (Kg)]], "")</f>
        <v>2947</v>
      </c>
      <c r="J1015" s="53"/>
      <c r="K1015" s="52"/>
      <c r="L1015" s="53" t="str">
        <f>IF(Table1[[#This Row],[Target Time (Hours)]]="","",Table1[[#This Row],[Target Time (Hours)]]-Table1[[#This Row],[Downtime (Hours)]])</f>
        <v/>
      </c>
      <c r="M1015" s="53" t="str">
        <f>IFERROR(Table1[[#This Row],[Capacity (Kg)]]/Table1[[#This Row],[Target Time (Hours)]] * Table1[[#This Row],[Downtime (Hours)]], "")</f>
        <v/>
      </c>
      <c r="N1015" s="57" t="str">
        <f>IFERROR(Table1[[#This Row],[Running Time (hr)]]/Table1[Target Time (Hours)], "")</f>
        <v/>
      </c>
      <c r="O1015" s="57">
        <f>IFERROR(Table1[[#This Row],[Actual Production (Kg)]]/Table1[Capacity (Kg)], "")</f>
        <v>1</v>
      </c>
      <c r="P1015" s="57">
        <f>IFERROR(Table1[[#This Row],[Quality Pass Production]]/Table1[[#This Row],[Actual Production (Kg)]], "")</f>
        <v>1</v>
      </c>
      <c r="Q1015" s="57" t="str">
        <f>IFERROR(Table1[[#This Row],[Utilization %]]*Table1[[#This Row],[Efficiency %]]*Table1[[#This Row],[Quality %]], "")</f>
        <v/>
      </c>
      <c r="R1015" s="52" t="s">
        <v>272</v>
      </c>
    </row>
    <row r="1016" spans="1:18" ht="30" customHeight="1" x14ac:dyDescent="0.25">
      <c r="A1016" s="47">
        <v>46208</v>
      </c>
      <c r="B1016" s="48" t="s">
        <v>33</v>
      </c>
      <c r="C1016" s="48" t="s">
        <v>34</v>
      </c>
      <c r="D1016" s="48" t="s">
        <v>35</v>
      </c>
      <c r="E1016" s="49">
        <v>9000</v>
      </c>
      <c r="F1016" s="76">
        <v>5844</v>
      </c>
      <c r="G1016" s="30">
        <v>0</v>
      </c>
      <c r="H1016" s="50">
        <f>IFERROR(Table1[Re-process (Kg)]/Table1[Actual Production (Kg)], "")</f>
        <v>0</v>
      </c>
      <c r="I1016" s="49">
        <f>IFERROR(Table1[[#This Row],[Actual Production (Kg)]]-Table1[[#This Row],[Re-process (Kg)]], "")</f>
        <v>5844</v>
      </c>
      <c r="J1016" s="49">
        <v>22</v>
      </c>
      <c r="K1016" s="72"/>
      <c r="L1016" s="49">
        <f>IF(Table1[[#This Row],[Target Time (Hours)]]="","",Table1[[#This Row],[Target Time (Hours)]]-Table1[[#This Row],[Downtime (Hours)]])</f>
        <v>22</v>
      </c>
      <c r="M1016" s="49">
        <f>IFERROR(Table1[[#This Row],[Capacity (Kg)]]/Table1[[#This Row],[Target Time (Hours)]] * Table1[[#This Row],[Downtime (Hours)]], "")</f>
        <v>0</v>
      </c>
      <c r="N1016" s="50">
        <f>IFERROR(Table1[[#This Row],[Running Time (hr)]]/Table1[Target Time (Hours)], "")</f>
        <v>1</v>
      </c>
      <c r="O1016" s="50">
        <f>IFERROR(Table1[[#This Row],[Actual Production (Kg)]]/Table1[Capacity (Kg)], "")</f>
        <v>0.64933333333333332</v>
      </c>
      <c r="P1016" s="50">
        <f>IFERROR(Table1[[#This Row],[Quality Pass Production]]/Table1[[#This Row],[Actual Production (Kg)]], "")</f>
        <v>1</v>
      </c>
      <c r="Q1016" s="50">
        <f>IFERROR(Table1[[#This Row],[Utilization %]]*Table1[[#This Row],[Efficiency %]]*Table1[[#This Row],[Quality %]], "")</f>
        <v>0.64933333333333332</v>
      </c>
    </row>
    <row r="1017" spans="1:18" ht="30" customHeight="1" x14ac:dyDescent="0.25">
      <c r="A1017" s="47">
        <v>46208</v>
      </c>
      <c r="B1017" s="48" t="s">
        <v>33</v>
      </c>
      <c r="C1017" s="48" t="s">
        <v>36</v>
      </c>
      <c r="D1017" s="48" t="s">
        <v>37</v>
      </c>
      <c r="E1017" s="49">
        <v>8000</v>
      </c>
      <c r="F1017" s="76">
        <v>5711</v>
      </c>
      <c r="G1017" s="34">
        <v>0</v>
      </c>
      <c r="H1017" s="50">
        <f>IFERROR(Table1[Re-process (Kg)]/Table1[Actual Production (Kg)], "")</f>
        <v>0</v>
      </c>
      <c r="I1017" s="49">
        <f>IFERROR(Table1[[#This Row],[Actual Production (Kg)]]-Table1[[#This Row],[Re-process (Kg)]], "")</f>
        <v>5711</v>
      </c>
      <c r="J1017" s="49">
        <v>22</v>
      </c>
      <c r="K1017" s="72">
        <v>3.1</v>
      </c>
      <c r="L1017" s="49">
        <f>IF(Table1[[#This Row],[Target Time (Hours)]]="","",Table1[[#This Row],[Target Time (Hours)]]-Table1[[#This Row],[Downtime (Hours)]])</f>
        <v>18.899999999999999</v>
      </c>
      <c r="M1017" s="49">
        <f>IFERROR(Table1[[#This Row],[Capacity (Kg)]]/Table1[[#This Row],[Target Time (Hours)]] * Table1[[#This Row],[Downtime (Hours)]], "")</f>
        <v>1127.2727272727273</v>
      </c>
      <c r="N1017" s="50">
        <f>IFERROR(Table1[[#This Row],[Running Time (hr)]]/Table1[Target Time (Hours)], "")</f>
        <v>0.85909090909090902</v>
      </c>
      <c r="O1017" s="50">
        <f>IFERROR(Table1[[#This Row],[Actual Production (Kg)]]/Table1[Capacity (Kg)], "")</f>
        <v>0.71387500000000004</v>
      </c>
      <c r="P1017" s="50">
        <f>IFERROR(Table1[[#This Row],[Quality Pass Production]]/Table1[[#This Row],[Actual Production (Kg)]], "")</f>
        <v>1</v>
      </c>
      <c r="Q1017" s="50">
        <f>IFERROR(Table1[[#This Row],[Utilization %]]*Table1[[#This Row],[Efficiency %]]*Table1[[#This Row],[Quality %]], "")</f>
        <v>0.61328352272727271</v>
      </c>
      <c r="R1017" s="48" t="s">
        <v>277</v>
      </c>
    </row>
    <row r="1018" spans="1:18" ht="30" customHeight="1" x14ac:dyDescent="0.25">
      <c r="A1018" s="47">
        <v>46208</v>
      </c>
      <c r="B1018" s="48" t="s">
        <v>33</v>
      </c>
      <c r="C1018" s="48" t="s">
        <v>39</v>
      </c>
      <c r="D1018" s="48" t="s">
        <v>31</v>
      </c>
      <c r="E1018" s="49">
        <v>6000</v>
      </c>
      <c r="F1018" s="76">
        <v>0</v>
      </c>
      <c r="G1018" s="30">
        <v>0</v>
      </c>
      <c r="H1018" s="50" t="str">
        <f>IFERROR(Table1[Re-process (Kg)]/Table1[Actual Production (Kg)], "")</f>
        <v/>
      </c>
      <c r="I1018" s="49">
        <f>IFERROR(Table1[[#This Row],[Actual Production (Kg)]]-Table1[[#This Row],[Re-process (Kg)]], "")</f>
        <v>0</v>
      </c>
      <c r="J1018" s="49">
        <v>22</v>
      </c>
      <c r="K1018" s="72">
        <v>22</v>
      </c>
      <c r="L1018" s="49">
        <f>IF(Table1[[#This Row],[Target Time (Hours)]]="","",Table1[[#This Row],[Target Time (Hours)]]-Table1[[#This Row],[Downtime (Hours)]])</f>
        <v>0</v>
      </c>
      <c r="M1018" s="49">
        <f>IFERROR(Table1[[#This Row],[Capacity (Kg)]]/Table1[[#This Row],[Target Time (Hours)]] * Table1[[#This Row],[Downtime (Hours)]], "")</f>
        <v>6000</v>
      </c>
      <c r="N1018" s="50">
        <f>IFERROR(Table1[[#This Row],[Running Time (hr)]]/Table1[Target Time (Hours)], "")</f>
        <v>0</v>
      </c>
      <c r="O1018" s="50">
        <f>IFERROR(Table1[[#This Row],[Actual Production (Kg)]]/Table1[Capacity (Kg)], "")</f>
        <v>0</v>
      </c>
      <c r="P1018" s="50" t="str">
        <f>IFERROR(Table1[[#This Row],[Quality Pass Production]]/Table1[[#This Row],[Actual Production (Kg)]], "")</f>
        <v/>
      </c>
      <c r="Q1018" s="50" t="str">
        <f>IFERROR(Table1[[#This Row],[Utilization %]]*Table1[[#This Row],[Efficiency %]]*Table1[[#This Row],[Quality %]], "")</f>
        <v/>
      </c>
      <c r="R1018" s="48" t="s">
        <v>276</v>
      </c>
    </row>
    <row r="1019" spans="1:18" ht="45" customHeight="1" x14ac:dyDescent="0.25">
      <c r="A1019" s="54">
        <v>46208</v>
      </c>
      <c r="B1019" s="55" t="s">
        <v>33</v>
      </c>
      <c r="C1019" s="55" t="s">
        <v>40</v>
      </c>
      <c r="D1019" s="55" t="s">
        <v>31</v>
      </c>
      <c r="E1019" s="56">
        <v>5000</v>
      </c>
      <c r="F1019" s="56">
        <v>4255</v>
      </c>
      <c r="G1019" s="43">
        <v>0</v>
      </c>
      <c r="H1019" s="58">
        <f>IFERROR(Table1[Re-process (Kg)]/Table1[Actual Production (Kg)], "")</f>
        <v>0</v>
      </c>
      <c r="I1019" s="56">
        <f>IFERROR(Table1[[#This Row],[Actual Production (Kg)]]-Table1[[#This Row],[Re-process (Kg)]], "")</f>
        <v>4255</v>
      </c>
      <c r="J1019" s="56">
        <v>22</v>
      </c>
      <c r="K1019" s="55"/>
      <c r="L1019" s="56">
        <f>IF(Table1[[#This Row],[Target Time (Hours)]]="","",Table1[[#This Row],[Target Time (Hours)]]-Table1[[#This Row],[Downtime (Hours)]])</f>
        <v>22</v>
      </c>
      <c r="M1019" s="56">
        <f>IFERROR(Table1[[#This Row],[Capacity (Kg)]]/Table1[[#This Row],[Target Time (Hours)]] * Table1[[#This Row],[Downtime (Hours)]], "")</f>
        <v>0</v>
      </c>
      <c r="N1019" s="58">
        <f>IFERROR(Table1[[#This Row],[Running Time (hr)]]/Table1[Target Time (Hours)], "")</f>
        <v>1</v>
      </c>
      <c r="O1019" s="58">
        <f>IFERROR(Table1[[#This Row],[Actual Production (Kg)]]/Table1[Capacity (Kg)], "")</f>
        <v>0.85099999999999998</v>
      </c>
      <c r="P1019" s="58">
        <f>IFERROR(Table1[[#This Row],[Quality Pass Production]]/Table1[[#This Row],[Actual Production (Kg)]], "")</f>
        <v>1</v>
      </c>
      <c r="Q1019" s="58">
        <f>IFERROR(Table1[[#This Row],[Utilization %]]*Table1[[#This Row],[Efficiency %]]*Table1[[#This Row],[Quality %]], "")</f>
        <v>0.85099999999999998</v>
      </c>
      <c r="R1019" s="55"/>
    </row>
    <row r="1020" spans="1:18" ht="30" customHeight="1" x14ac:dyDescent="0.25">
      <c r="A1020" s="47">
        <v>46209</v>
      </c>
      <c r="B1020" s="48" t="s">
        <v>18</v>
      </c>
      <c r="C1020" s="48" t="s">
        <v>19</v>
      </c>
      <c r="D1020" s="48" t="s">
        <v>20</v>
      </c>
      <c r="E1020" s="49">
        <v>10000</v>
      </c>
      <c r="F1020" s="76">
        <v>10922</v>
      </c>
      <c r="G1020" s="34">
        <v>0</v>
      </c>
      <c r="H1020" s="50">
        <f>IFERROR(Table1[Re-process (Kg)]/Table1[Actual Production (Kg)], "")</f>
        <v>0</v>
      </c>
      <c r="I1020" s="49">
        <f>IFERROR(Table1[[#This Row],[Actual Production (Kg)]]-Table1[[#This Row],[Re-process (Kg)]], "")</f>
        <v>10922</v>
      </c>
      <c r="J1020" s="49">
        <v>22</v>
      </c>
      <c r="K1020" s="72"/>
      <c r="L1020" s="49">
        <f>IF(Table1[[#This Row],[Target Time (Hours)]]="","",Table1[[#This Row],[Target Time (Hours)]]-Table1[[#This Row],[Downtime (Hours)]])</f>
        <v>22</v>
      </c>
      <c r="M1020" s="49">
        <f>IFERROR(Table1[[#This Row],[Capacity (Kg)]]/Table1[[#This Row],[Target Time (Hours)]] * Table1[[#This Row],[Downtime (Hours)]], "")</f>
        <v>0</v>
      </c>
      <c r="N1020" s="50">
        <f>IFERROR(Table1[[#This Row],[Running Time (hr)]]/Table1[Target Time (Hours)], "")</f>
        <v>1</v>
      </c>
      <c r="O1020" s="50">
        <f>IFERROR(Table1[[#This Row],[Actual Production (Kg)]]/Table1[Capacity (Kg)], "")</f>
        <v>1.0922000000000001</v>
      </c>
      <c r="P1020" s="50">
        <f>IFERROR(Table1[[#This Row],[Quality Pass Production]]/Table1[[#This Row],[Actual Production (Kg)]], "")</f>
        <v>1</v>
      </c>
      <c r="Q1020" s="50">
        <f>IFERROR(Table1[[#This Row],[Utilization %]]*Table1[[#This Row],[Efficiency %]]*Table1[[#This Row],[Quality %]], "")</f>
        <v>1.0922000000000001</v>
      </c>
    </row>
    <row r="1021" spans="1:18" x14ac:dyDescent="0.25">
      <c r="A1021" s="51">
        <v>46209</v>
      </c>
      <c r="B1021" s="52" t="s">
        <v>18</v>
      </c>
      <c r="C1021" s="52" t="s">
        <v>238</v>
      </c>
      <c r="D1021" s="52" t="s">
        <v>20</v>
      </c>
      <c r="E1021" s="79">
        <f>Table1[[#This Row],[Actual Production (Kg)]]</f>
        <v>8433</v>
      </c>
      <c r="F1021" s="53">
        <v>8433</v>
      </c>
      <c r="G1021" s="38">
        <v>0</v>
      </c>
      <c r="H1021" s="57">
        <f>IFERROR(Table1[Re-process (Kg)]/Table1[Actual Production (Kg)], "")</f>
        <v>0</v>
      </c>
      <c r="I1021" s="53">
        <f>IFERROR(Table1[[#This Row],[Actual Production (Kg)]]-Table1[[#This Row],[Re-process (Kg)]], "")</f>
        <v>8433</v>
      </c>
      <c r="J1021" s="53"/>
      <c r="K1021" s="52"/>
      <c r="L1021" s="53" t="str">
        <f>IF(Table1[[#This Row],[Target Time (Hours)]]="","",Table1[[#This Row],[Target Time (Hours)]]-Table1[[#This Row],[Downtime (Hours)]])</f>
        <v/>
      </c>
      <c r="M1021" s="53" t="str">
        <f>IFERROR(Table1[[#This Row],[Capacity (Kg)]]/Table1[[#This Row],[Target Time (Hours)]] * Table1[[#This Row],[Downtime (Hours)]], "")</f>
        <v/>
      </c>
      <c r="N1021" s="57" t="str">
        <f>IFERROR(Table1[[#This Row],[Running Time (hr)]]/Table1[Target Time (Hours)], "")</f>
        <v/>
      </c>
      <c r="O1021" s="57">
        <f>IFERROR(Table1[[#This Row],[Actual Production (Kg)]]/Table1[Capacity (Kg)], "")</f>
        <v>1</v>
      </c>
      <c r="P1021" s="57">
        <f>IFERROR(Table1[[#This Row],[Quality Pass Production]]/Table1[[#This Row],[Actual Production (Kg)]], "")</f>
        <v>1</v>
      </c>
      <c r="Q1021" s="57" t="str">
        <f>IFERROR(Table1[[#This Row],[Utilization %]]*Table1[[#This Row],[Efficiency %]]*Table1[[#This Row],[Quality %]], "")</f>
        <v/>
      </c>
      <c r="R1021" s="52"/>
    </row>
    <row r="1022" spans="1:18" x14ac:dyDescent="0.25">
      <c r="A1022" s="47">
        <v>46209</v>
      </c>
      <c r="B1022" s="48" t="s">
        <v>18</v>
      </c>
      <c r="C1022" s="48" t="s">
        <v>22</v>
      </c>
      <c r="D1022" s="48" t="s">
        <v>23</v>
      </c>
      <c r="E1022" s="49">
        <v>5000</v>
      </c>
      <c r="F1022" s="76">
        <v>2402</v>
      </c>
      <c r="G1022" s="34">
        <v>0</v>
      </c>
      <c r="H1022" s="50">
        <f>IFERROR(Table1[Re-process (Kg)]/Table1[Actual Production (Kg)], "")</f>
        <v>0</v>
      </c>
      <c r="I1022" s="49">
        <f>IFERROR(Table1[[#This Row],[Actual Production (Kg)]]-Table1[[#This Row],[Re-process (Kg)]], "")</f>
        <v>2402</v>
      </c>
      <c r="J1022" s="49">
        <v>22</v>
      </c>
      <c r="K1022" s="72"/>
      <c r="L1022" s="49">
        <f>IF(Table1[[#This Row],[Target Time (Hours)]]="","",Table1[[#This Row],[Target Time (Hours)]]-Table1[[#This Row],[Downtime (Hours)]])</f>
        <v>22</v>
      </c>
      <c r="M1022" s="49">
        <f>IFERROR(Table1[[#This Row],[Capacity (Kg)]]/Table1[[#This Row],[Target Time (Hours)]] * Table1[[#This Row],[Downtime (Hours)]], "")</f>
        <v>0</v>
      </c>
      <c r="N1022" s="50">
        <f>IFERROR(Table1[[#This Row],[Running Time (hr)]]/Table1[Target Time (Hours)], "")</f>
        <v>1</v>
      </c>
      <c r="O1022" s="50">
        <f>IFERROR(Table1[[#This Row],[Actual Production (Kg)]]/Table1[Capacity (Kg)], "")</f>
        <v>0.48039999999999999</v>
      </c>
      <c r="P1022" s="50">
        <f>IFERROR(Table1[[#This Row],[Quality Pass Production]]/Table1[[#This Row],[Actual Production (Kg)]], "")</f>
        <v>1</v>
      </c>
      <c r="Q1022" s="50">
        <f>IFERROR(Table1[[#This Row],[Utilization %]]*Table1[[#This Row],[Efficiency %]]*Table1[[#This Row],[Quality %]], "")</f>
        <v>0.48039999999999999</v>
      </c>
      <c r="R1022" s="48" t="s">
        <v>199</v>
      </c>
    </row>
    <row r="1023" spans="1:18" x14ac:dyDescent="0.25">
      <c r="A1023" s="47">
        <v>46209</v>
      </c>
      <c r="B1023" s="48" t="s">
        <v>18</v>
      </c>
      <c r="C1023" s="48" t="s">
        <v>22</v>
      </c>
      <c r="D1023" s="48" t="s">
        <v>25</v>
      </c>
      <c r="E1023" s="49">
        <v>4000</v>
      </c>
      <c r="F1023" s="76">
        <v>7639</v>
      </c>
      <c r="G1023" s="30">
        <v>0</v>
      </c>
      <c r="H1023" s="50">
        <f>IFERROR(Table1[Re-process (Kg)]/Table1[Actual Production (Kg)], "")</f>
        <v>0</v>
      </c>
      <c r="I1023" s="49">
        <f>IFERROR(Table1[[#This Row],[Actual Production (Kg)]]-Table1[[#This Row],[Re-process (Kg)]], "")</f>
        <v>7639</v>
      </c>
      <c r="J1023" s="49"/>
      <c r="K1023" s="72"/>
      <c r="L1023" s="49" t="str">
        <f>IF(Table1[[#This Row],[Target Time (Hours)]]="","",Table1[[#This Row],[Target Time (Hours)]]-Table1[[#This Row],[Downtime (Hours)]])</f>
        <v/>
      </c>
      <c r="M1023" s="49" t="str">
        <f>IFERROR(Table1[[#This Row],[Capacity (Kg)]]/Table1[[#This Row],[Target Time (Hours)]] * Table1[[#This Row],[Downtime (Hours)]], "")</f>
        <v/>
      </c>
      <c r="N1023" s="50" t="str">
        <f>IFERROR(Table1[[#This Row],[Running Time (hr)]]/Table1[Target Time (Hours)], "")</f>
        <v/>
      </c>
      <c r="O1023" s="50">
        <f>IFERROR(Table1[[#This Row],[Actual Production (Kg)]]/Table1[Capacity (Kg)], "")</f>
        <v>1.9097500000000001</v>
      </c>
      <c r="P1023" s="50">
        <f>IFERROR(Table1[[#This Row],[Quality Pass Production]]/Table1[[#This Row],[Actual Production (Kg)]], "")</f>
        <v>1</v>
      </c>
      <c r="Q1023" s="50" t="str">
        <f>IFERROR(Table1[[#This Row],[Utilization %]]*Table1[[#This Row],[Efficiency %]]*Table1[[#This Row],[Quality %]], "")</f>
        <v/>
      </c>
    </row>
    <row r="1024" spans="1:18" x14ac:dyDescent="0.25">
      <c r="A1024" s="47">
        <v>46209</v>
      </c>
      <c r="B1024" s="48" t="s">
        <v>18</v>
      </c>
      <c r="C1024" s="48" t="s">
        <v>26</v>
      </c>
      <c r="D1024" s="48" t="s">
        <v>25</v>
      </c>
      <c r="E1024" s="49">
        <v>7000</v>
      </c>
      <c r="F1024" s="76">
        <v>8253</v>
      </c>
      <c r="G1024" s="34">
        <v>0</v>
      </c>
      <c r="H1024" s="50">
        <f>IFERROR(Table1[Re-process (Kg)]/Table1[Actual Production (Kg)], "")</f>
        <v>0</v>
      </c>
      <c r="I1024" s="49">
        <f>IFERROR(Table1[[#This Row],[Actual Production (Kg)]]-Table1[[#This Row],[Re-process (Kg)]], "")</f>
        <v>8253</v>
      </c>
      <c r="J1024" s="49">
        <v>22</v>
      </c>
      <c r="K1024" s="72"/>
      <c r="L1024" s="49">
        <f>IF(Table1[[#This Row],[Target Time (Hours)]]="","",Table1[[#This Row],[Target Time (Hours)]]-Table1[[#This Row],[Downtime (Hours)]])</f>
        <v>22</v>
      </c>
      <c r="M1024" s="49">
        <f>IFERROR(Table1[[#This Row],[Capacity (Kg)]]/Table1[[#This Row],[Target Time (Hours)]] * Table1[[#This Row],[Downtime (Hours)]], "")</f>
        <v>0</v>
      </c>
      <c r="N1024" s="50">
        <f>IFERROR(Table1[[#This Row],[Running Time (hr)]]/Table1[Target Time (Hours)], "")</f>
        <v>1</v>
      </c>
      <c r="O1024" s="50">
        <f>IFERROR(Table1[[#This Row],[Actual Production (Kg)]]/Table1[Capacity (Kg)], "")</f>
        <v>1.179</v>
      </c>
      <c r="P1024" s="50">
        <f>IFERROR(Table1[[#This Row],[Quality Pass Production]]/Table1[[#This Row],[Actual Production (Kg)]], "")</f>
        <v>1</v>
      </c>
      <c r="Q1024" s="50">
        <f>IFERROR(Table1[[#This Row],[Utilization %]]*Table1[[#This Row],[Efficiency %]]*Table1[[#This Row],[Quality %]], "")</f>
        <v>1.179</v>
      </c>
    </row>
    <row r="1025" spans="1:18" ht="30" customHeight="1" x14ac:dyDescent="0.25">
      <c r="A1025" s="47">
        <v>46209</v>
      </c>
      <c r="B1025" s="48" t="s">
        <v>18</v>
      </c>
      <c r="C1025" s="48" t="s">
        <v>28</v>
      </c>
      <c r="D1025" s="48" t="s">
        <v>29</v>
      </c>
      <c r="E1025" s="49">
        <v>7800</v>
      </c>
      <c r="F1025" s="76">
        <v>3025</v>
      </c>
      <c r="G1025" s="30">
        <v>0</v>
      </c>
      <c r="H1025" s="50">
        <f>IFERROR(Table1[Re-process (Kg)]/Table1[Actual Production (Kg)], "")</f>
        <v>0</v>
      </c>
      <c r="I1025" s="49">
        <f>IFERROR(Table1[[#This Row],[Actual Production (Kg)]]-Table1[[#This Row],[Re-process (Kg)]], "")</f>
        <v>3025</v>
      </c>
      <c r="J1025" s="49">
        <v>22</v>
      </c>
      <c r="K1025" s="72">
        <v>13</v>
      </c>
      <c r="L1025" s="49">
        <f>IF(Table1[[#This Row],[Target Time (Hours)]]="","",Table1[[#This Row],[Target Time (Hours)]]-Table1[[#This Row],[Downtime (Hours)]])</f>
        <v>9</v>
      </c>
      <c r="M1025" s="49">
        <f>IFERROR(Table1[[#This Row],[Capacity (Kg)]]/Table1[[#This Row],[Target Time (Hours)]] * Table1[[#This Row],[Downtime (Hours)]], "")</f>
        <v>4609.090909090909</v>
      </c>
      <c r="N1025" s="50">
        <f>IFERROR(Table1[[#This Row],[Running Time (hr)]]/Table1[Target Time (Hours)], "")</f>
        <v>0.40909090909090912</v>
      </c>
      <c r="O1025" s="50">
        <f>IFERROR(Table1[[#This Row],[Actual Production (Kg)]]/Table1[Capacity (Kg)], "")</f>
        <v>0.38782051282051283</v>
      </c>
      <c r="P1025" s="50">
        <f>IFERROR(Table1[[#This Row],[Quality Pass Production]]/Table1[[#This Row],[Actual Production (Kg)]], "")</f>
        <v>1</v>
      </c>
      <c r="Q1025" s="50">
        <f>IFERROR(Table1[[#This Row],[Utilization %]]*Table1[[#This Row],[Efficiency %]]*Table1[[#This Row],[Quality %]], "")</f>
        <v>0.15865384615384617</v>
      </c>
      <c r="R1025" s="48" t="s">
        <v>278</v>
      </c>
    </row>
    <row r="1026" spans="1:18" ht="30" customHeight="1" x14ac:dyDescent="0.25">
      <c r="A1026" s="51">
        <v>46209</v>
      </c>
      <c r="B1026" s="52" t="s">
        <v>18</v>
      </c>
      <c r="C1026" s="52" t="s">
        <v>135</v>
      </c>
      <c r="D1026" s="52" t="s">
        <v>29</v>
      </c>
      <c r="E1026" s="53"/>
      <c r="F1026" s="53"/>
      <c r="G1026" s="38"/>
      <c r="H1026" s="57" t="str">
        <f>IFERROR(Table1[Re-process (Kg)]/Table1[Actual Production (Kg)], "")</f>
        <v/>
      </c>
      <c r="I1026" s="53">
        <f>IFERROR(Table1[[#This Row],[Actual Production (Kg)]]-Table1[[#This Row],[Re-process (Kg)]], "")</f>
        <v>0</v>
      </c>
      <c r="J1026" s="53"/>
      <c r="K1026" s="52"/>
      <c r="L1026" s="53" t="str">
        <f>IF(Table1[[#This Row],[Target Time (Hours)]]="","",Table1[[#This Row],[Target Time (Hours)]]-Table1[[#This Row],[Downtime (Hours)]])</f>
        <v/>
      </c>
      <c r="M1026" s="53" t="str">
        <f>IFERROR(Table1[[#This Row],[Capacity (Kg)]]/Table1[[#This Row],[Target Time (Hours)]] * Table1[[#This Row],[Downtime (Hours)]], "")</f>
        <v/>
      </c>
      <c r="N1026" s="57" t="str">
        <f>IFERROR(Table1[[#This Row],[Running Time (hr)]]/Table1[Target Time (Hours)], "")</f>
        <v/>
      </c>
      <c r="O1026" s="57" t="str">
        <f>IFERROR(Table1[[#This Row],[Actual Production (Kg)]]/Table1[Capacity (Kg)], "")</f>
        <v/>
      </c>
      <c r="P1026" s="57" t="str">
        <f>IFERROR(Table1[[#This Row],[Quality Pass Production]]/Table1[[#This Row],[Actual Production (Kg)]], "")</f>
        <v/>
      </c>
      <c r="Q1026" s="57" t="str">
        <f>IFERROR(Table1[[#This Row],[Utilization %]]*Table1[[#This Row],[Efficiency %]]*Table1[[#This Row],[Quality %]], "")</f>
        <v/>
      </c>
      <c r="R1026" s="52"/>
    </row>
    <row r="1027" spans="1:18" ht="30" customHeight="1" x14ac:dyDescent="0.25">
      <c r="A1027" s="47">
        <v>46209</v>
      </c>
      <c r="B1027" s="48" t="s">
        <v>18</v>
      </c>
      <c r="C1027" s="48" t="s">
        <v>30</v>
      </c>
      <c r="D1027" s="48" t="s">
        <v>31</v>
      </c>
      <c r="E1027" s="49">
        <v>9000</v>
      </c>
      <c r="F1027" s="76">
        <v>8206</v>
      </c>
      <c r="G1027" s="30">
        <v>0</v>
      </c>
      <c r="H1027" s="50">
        <f>IFERROR(Table1[Re-process (Kg)]/Table1[Actual Production (Kg)], "")</f>
        <v>0</v>
      </c>
      <c r="I1027" s="49">
        <f>IFERROR(Table1[[#This Row],[Actual Production (Kg)]]-Table1[[#This Row],[Re-process (Kg)]], "")</f>
        <v>8206</v>
      </c>
      <c r="J1027" s="49">
        <v>22</v>
      </c>
      <c r="K1027" s="72"/>
      <c r="L1027" s="49">
        <f>IF(Table1[[#This Row],[Target Time (Hours)]]="","",Table1[[#This Row],[Target Time (Hours)]]-Table1[[#This Row],[Downtime (Hours)]])</f>
        <v>22</v>
      </c>
      <c r="M1027" s="49">
        <f>IFERROR(Table1[[#This Row],[Capacity (Kg)]]/Table1[[#This Row],[Target Time (Hours)]] * Table1[[#This Row],[Downtime (Hours)]], "")</f>
        <v>0</v>
      </c>
      <c r="N1027" s="50">
        <f>IFERROR(Table1[[#This Row],[Running Time (hr)]]/Table1[Target Time (Hours)], "")</f>
        <v>1</v>
      </c>
      <c r="O1027" s="50">
        <f>IFERROR(Table1[[#This Row],[Actual Production (Kg)]]/Table1[Capacity (Kg)], "")</f>
        <v>0.9117777777777778</v>
      </c>
      <c r="P1027" s="50">
        <f>IFERROR(Table1[[#This Row],[Quality Pass Production]]/Table1[[#This Row],[Actual Production (Kg)]], "")</f>
        <v>1</v>
      </c>
      <c r="Q1027" s="50">
        <f>IFERROR(Table1[[#This Row],[Utilization %]]*Table1[[#This Row],[Efficiency %]]*Table1[[#This Row],[Quality %]], "")</f>
        <v>0.9117777777777778</v>
      </c>
    </row>
    <row r="1028" spans="1:18" ht="45" customHeight="1" x14ac:dyDescent="0.25">
      <c r="A1028" s="51">
        <v>46209</v>
      </c>
      <c r="B1028" s="52" t="s">
        <v>18</v>
      </c>
      <c r="C1028" s="52" t="s">
        <v>32</v>
      </c>
      <c r="D1028" s="52" t="s">
        <v>31</v>
      </c>
      <c r="E1028" s="79">
        <f>Table1[[#This Row],[Actual Production (Kg)]]</f>
        <v>2374</v>
      </c>
      <c r="F1028" s="53">
        <v>2374</v>
      </c>
      <c r="G1028" s="38"/>
      <c r="H1028" s="57">
        <f>IFERROR(Table1[Re-process (Kg)]/Table1[Actual Production (Kg)], "")</f>
        <v>0</v>
      </c>
      <c r="I1028" s="53">
        <f>IFERROR(Table1[[#This Row],[Actual Production (Kg)]]-Table1[[#This Row],[Re-process (Kg)]], "")</f>
        <v>2374</v>
      </c>
      <c r="J1028" s="53"/>
      <c r="K1028" s="52">
        <v>2</v>
      </c>
      <c r="L1028" s="53" t="str">
        <f>IF(Table1[[#This Row],[Target Time (Hours)]]="","",Table1[[#This Row],[Target Time (Hours)]]-Table1[[#This Row],[Downtime (Hours)]])</f>
        <v/>
      </c>
      <c r="M1028" s="53" t="str">
        <f>IFERROR(Table1[[#This Row],[Capacity (Kg)]]/Table1[[#This Row],[Target Time (Hours)]] * Table1[[#This Row],[Downtime (Hours)]], "")</f>
        <v/>
      </c>
      <c r="N1028" s="57" t="str">
        <f>IFERROR(Table1[[#This Row],[Running Time (hr)]]/Table1[Target Time (Hours)], "")</f>
        <v/>
      </c>
      <c r="O1028" s="57">
        <f>IFERROR(Table1[[#This Row],[Actual Production (Kg)]]/Table1[Capacity (Kg)], "")</f>
        <v>1</v>
      </c>
      <c r="P1028" s="57">
        <f>IFERROR(Table1[[#This Row],[Quality Pass Production]]/Table1[[#This Row],[Actual Production (Kg)]], "")</f>
        <v>1</v>
      </c>
      <c r="Q1028" s="57" t="str">
        <f>IFERROR(Table1[[#This Row],[Utilization %]]*Table1[[#This Row],[Efficiency %]]*Table1[[#This Row],[Quality %]], "")</f>
        <v/>
      </c>
      <c r="R1028" s="52" t="s">
        <v>279</v>
      </c>
    </row>
    <row r="1029" spans="1:18" ht="45" customHeight="1" x14ac:dyDescent="0.25">
      <c r="A1029" s="47">
        <v>46209</v>
      </c>
      <c r="B1029" s="48" t="s">
        <v>33</v>
      </c>
      <c r="C1029" s="48" t="s">
        <v>34</v>
      </c>
      <c r="D1029" s="48" t="s">
        <v>35</v>
      </c>
      <c r="E1029" s="49">
        <v>9000</v>
      </c>
      <c r="F1029" s="76">
        <v>4983</v>
      </c>
      <c r="G1029" s="30">
        <v>0</v>
      </c>
      <c r="H1029" s="50">
        <f>IFERROR(Table1[Re-process (Kg)]/Table1[Actual Production (Kg)], "")</f>
        <v>0</v>
      </c>
      <c r="I1029" s="49">
        <f>IFERROR(Table1[[#This Row],[Actual Production (Kg)]]-Table1[[#This Row],[Re-process (Kg)]], "")</f>
        <v>4983</v>
      </c>
      <c r="J1029" s="49">
        <v>22</v>
      </c>
      <c r="K1029" s="72"/>
      <c r="L1029" s="49">
        <f>IF(Table1[[#This Row],[Target Time (Hours)]]="","",Table1[[#This Row],[Target Time (Hours)]]-Table1[[#This Row],[Downtime (Hours)]])</f>
        <v>22</v>
      </c>
      <c r="M1029" s="49">
        <f>IFERROR(Table1[[#This Row],[Capacity (Kg)]]/Table1[[#This Row],[Target Time (Hours)]] * Table1[[#This Row],[Downtime (Hours)]], "")</f>
        <v>0</v>
      </c>
      <c r="N1029" s="50">
        <f>IFERROR(Table1[[#This Row],[Running Time (hr)]]/Table1[Target Time (Hours)], "")</f>
        <v>1</v>
      </c>
      <c r="O1029" s="50">
        <f>IFERROR(Table1[[#This Row],[Actual Production (Kg)]]/Table1[Capacity (Kg)], "")</f>
        <v>0.55366666666666664</v>
      </c>
      <c r="P1029" s="50">
        <f>IFERROR(Table1[[#This Row],[Quality Pass Production]]/Table1[[#This Row],[Actual Production (Kg)]], "")</f>
        <v>1</v>
      </c>
      <c r="Q1029" s="50">
        <f>IFERROR(Table1[[#This Row],[Utilization %]]*Table1[[#This Row],[Efficiency %]]*Table1[[#This Row],[Quality %]], "")</f>
        <v>0.55366666666666664</v>
      </c>
      <c r="R1029" s="48" t="s">
        <v>280</v>
      </c>
    </row>
    <row r="1030" spans="1:18" ht="30" customHeight="1" x14ac:dyDescent="0.25">
      <c r="A1030" s="47">
        <v>46209</v>
      </c>
      <c r="B1030" s="48" t="s">
        <v>33</v>
      </c>
      <c r="C1030" s="48" t="s">
        <v>36</v>
      </c>
      <c r="D1030" s="48" t="s">
        <v>37</v>
      </c>
      <c r="E1030" s="49">
        <v>8000</v>
      </c>
      <c r="F1030" s="76">
        <v>4453</v>
      </c>
      <c r="G1030" s="34">
        <v>0</v>
      </c>
      <c r="H1030" s="50">
        <f>IFERROR(Table1[Re-process (Kg)]/Table1[Actual Production (Kg)], "")</f>
        <v>0</v>
      </c>
      <c r="I1030" s="49">
        <f>IFERROR(Table1[[#This Row],[Actual Production (Kg)]]-Table1[[#This Row],[Re-process (Kg)]], "")</f>
        <v>4453</v>
      </c>
      <c r="J1030" s="49">
        <v>22</v>
      </c>
      <c r="K1030" s="72">
        <v>8.5</v>
      </c>
      <c r="L1030" s="49">
        <f>IF(Table1[[#This Row],[Target Time (Hours)]]="","",Table1[[#This Row],[Target Time (Hours)]]-Table1[[#This Row],[Downtime (Hours)]])</f>
        <v>13.5</v>
      </c>
      <c r="M1030" s="49">
        <f>IFERROR(Table1[[#This Row],[Capacity (Kg)]]/Table1[[#This Row],[Target Time (Hours)]] * Table1[[#This Row],[Downtime (Hours)]], "")</f>
        <v>3090.909090909091</v>
      </c>
      <c r="N1030" s="50">
        <f>IFERROR(Table1[[#This Row],[Running Time (hr)]]/Table1[Target Time (Hours)], "")</f>
        <v>0.61363636363636365</v>
      </c>
      <c r="O1030" s="50">
        <f>IFERROR(Table1[[#This Row],[Actual Production (Kg)]]/Table1[Capacity (Kg)], "")</f>
        <v>0.55662500000000004</v>
      </c>
      <c r="P1030" s="50">
        <f>IFERROR(Table1[[#This Row],[Quality Pass Production]]/Table1[[#This Row],[Actual Production (Kg)]], "")</f>
        <v>1</v>
      </c>
      <c r="Q1030" s="50">
        <f>IFERROR(Table1[[#This Row],[Utilization %]]*Table1[[#This Row],[Efficiency %]]*Table1[[#This Row],[Quality %]], "")</f>
        <v>0.34156534090909096</v>
      </c>
      <c r="R1030" s="48" t="s">
        <v>281</v>
      </c>
    </row>
    <row r="1031" spans="1:18" ht="45" customHeight="1" x14ac:dyDescent="0.25">
      <c r="A1031" s="47">
        <v>46209</v>
      </c>
      <c r="B1031" s="48" t="s">
        <v>33</v>
      </c>
      <c r="C1031" s="48" t="s">
        <v>39</v>
      </c>
      <c r="D1031" s="48" t="s">
        <v>31</v>
      </c>
      <c r="E1031" s="49">
        <v>6000</v>
      </c>
      <c r="F1031" s="76">
        <v>2201</v>
      </c>
      <c r="G1031" s="30">
        <v>0</v>
      </c>
      <c r="H1031" s="50">
        <f>IFERROR(Table1[Re-process (Kg)]/Table1[Actual Production (Kg)], "")</f>
        <v>0</v>
      </c>
      <c r="I1031" s="49">
        <f>IFERROR(Table1[[#This Row],[Actual Production (Kg)]]-Table1[[#This Row],[Re-process (Kg)]], "")</f>
        <v>2201</v>
      </c>
      <c r="J1031" s="49">
        <v>22</v>
      </c>
      <c r="K1031" s="72">
        <v>4</v>
      </c>
      <c r="L1031" s="49">
        <f>IF(Table1[[#This Row],[Target Time (Hours)]]="","",Table1[[#This Row],[Target Time (Hours)]]-Table1[[#This Row],[Downtime (Hours)]])</f>
        <v>18</v>
      </c>
      <c r="M1031" s="49">
        <f>IFERROR(Table1[[#This Row],[Capacity (Kg)]]/Table1[[#This Row],[Target Time (Hours)]] * Table1[[#This Row],[Downtime (Hours)]], "")</f>
        <v>1090.909090909091</v>
      </c>
      <c r="N1031" s="50">
        <f>IFERROR(Table1[[#This Row],[Running Time (hr)]]/Table1[Target Time (Hours)], "")</f>
        <v>0.81818181818181823</v>
      </c>
      <c r="O1031" s="50">
        <f>IFERROR(Table1[[#This Row],[Actual Production (Kg)]]/Table1[Capacity (Kg)], "")</f>
        <v>0.36683333333333334</v>
      </c>
      <c r="P1031" s="50">
        <f>IFERROR(Table1[[#This Row],[Quality Pass Production]]/Table1[[#This Row],[Actual Production (Kg)]], "")</f>
        <v>1</v>
      </c>
      <c r="Q1031" s="50">
        <f>IFERROR(Table1[[#This Row],[Utilization %]]*Table1[[#This Row],[Efficiency %]]*Table1[[#This Row],[Quality %]], "")</f>
        <v>0.30013636363636365</v>
      </c>
      <c r="R1031" s="48" t="s">
        <v>282</v>
      </c>
    </row>
    <row r="1032" spans="1:18" ht="45" customHeight="1" x14ac:dyDescent="0.25">
      <c r="A1032" s="54">
        <v>46209</v>
      </c>
      <c r="B1032" s="55" t="s">
        <v>33</v>
      </c>
      <c r="C1032" s="55" t="s">
        <v>40</v>
      </c>
      <c r="D1032" s="55" t="s">
        <v>31</v>
      </c>
      <c r="E1032" s="56">
        <v>5000</v>
      </c>
      <c r="F1032" s="56">
        <v>1926</v>
      </c>
      <c r="G1032" s="43">
        <v>0</v>
      </c>
      <c r="H1032" s="58">
        <f>IFERROR(Table1[Re-process (Kg)]/Table1[Actual Production (Kg)], "")</f>
        <v>0</v>
      </c>
      <c r="I1032" s="56">
        <f>IFERROR(Table1[[#This Row],[Actual Production (Kg)]]-Table1[[#This Row],[Re-process (Kg)]], "")</f>
        <v>1926</v>
      </c>
      <c r="J1032" s="56">
        <v>22</v>
      </c>
      <c r="K1032" s="55"/>
      <c r="L1032" s="56">
        <f>IF(Table1[[#This Row],[Target Time (Hours)]]="","",Table1[[#This Row],[Target Time (Hours)]]-Table1[[#This Row],[Downtime (Hours)]])</f>
        <v>22</v>
      </c>
      <c r="M1032" s="56">
        <f>IFERROR(Table1[[#This Row],[Capacity (Kg)]]/Table1[[#This Row],[Target Time (Hours)]] * Table1[[#This Row],[Downtime (Hours)]], "")</f>
        <v>0</v>
      </c>
      <c r="N1032" s="58">
        <f>IFERROR(Table1[[#This Row],[Running Time (hr)]]/Table1[Target Time (Hours)], "")</f>
        <v>1</v>
      </c>
      <c r="O1032" s="58">
        <f>IFERROR(Table1[[#This Row],[Actual Production (Kg)]]/Table1[Capacity (Kg)], "")</f>
        <v>0.38519999999999999</v>
      </c>
      <c r="P1032" s="58">
        <f>IFERROR(Table1[[#This Row],[Quality Pass Production]]/Table1[[#This Row],[Actual Production (Kg)]], "")</f>
        <v>1</v>
      </c>
      <c r="Q1032" s="58">
        <f>IFERROR(Table1[[#This Row],[Utilization %]]*Table1[[#This Row],[Efficiency %]]*Table1[[#This Row],[Quality %]], "")</f>
        <v>0.38519999999999999</v>
      </c>
      <c r="R1032" s="55" t="s">
        <v>274</v>
      </c>
    </row>
    <row r="1033" spans="1:18" ht="30" customHeight="1" x14ac:dyDescent="0.25">
      <c r="A1033" s="47">
        <v>46210</v>
      </c>
      <c r="B1033" s="48" t="s">
        <v>18</v>
      </c>
      <c r="C1033" s="48" t="s">
        <v>19</v>
      </c>
      <c r="D1033" s="48" t="s">
        <v>20</v>
      </c>
      <c r="E1033" s="49">
        <v>10000</v>
      </c>
      <c r="F1033" s="76">
        <v>8716</v>
      </c>
      <c r="G1033" s="34">
        <v>0</v>
      </c>
      <c r="H1033" s="50">
        <f>IFERROR(Table1[Re-process (Kg)]/Table1[Actual Production (Kg)], "")</f>
        <v>0</v>
      </c>
      <c r="I1033" s="49">
        <f>IFERROR(Table1[[#This Row],[Actual Production (Kg)]]-Table1[[#This Row],[Re-process (Kg)]], "")</f>
        <v>8716</v>
      </c>
      <c r="J1033" s="49">
        <v>22</v>
      </c>
      <c r="K1033" s="72"/>
      <c r="L1033" s="49">
        <f>IF(Table1[[#This Row],[Target Time (Hours)]]="","",Table1[[#This Row],[Target Time (Hours)]]-Table1[[#This Row],[Downtime (Hours)]])</f>
        <v>22</v>
      </c>
      <c r="M1033" s="49">
        <f>IFERROR(Table1[[#This Row],[Capacity (Kg)]]/Table1[[#This Row],[Target Time (Hours)]] * Table1[[#This Row],[Downtime (Hours)]], "")</f>
        <v>0</v>
      </c>
      <c r="N1033" s="50">
        <f>IFERROR(Table1[[#This Row],[Running Time (hr)]]/Table1[Target Time (Hours)], "")</f>
        <v>1</v>
      </c>
      <c r="O1033" s="50">
        <f>IFERROR(Table1[[#This Row],[Actual Production (Kg)]]/Table1[Capacity (Kg)], "")</f>
        <v>0.87160000000000004</v>
      </c>
      <c r="P1033" s="50">
        <f>IFERROR(Table1[[#This Row],[Quality Pass Production]]/Table1[[#This Row],[Actual Production (Kg)]], "")</f>
        <v>1</v>
      </c>
      <c r="Q1033" s="50">
        <f>IFERROR(Table1[[#This Row],[Utilization %]]*Table1[[#This Row],[Efficiency %]]*Table1[[#This Row],[Quality %]], "")</f>
        <v>0.87160000000000004</v>
      </c>
    </row>
    <row r="1034" spans="1:18" x14ac:dyDescent="0.25">
      <c r="A1034" s="51">
        <v>46210</v>
      </c>
      <c r="B1034" s="52" t="s">
        <v>18</v>
      </c>
      <c r="C1034" s="52" t="s">
        <v>238</v>
      </c>
      <c r="D1034" s="52" t="s">
        <v>20</v>
      </c>
      <c r="E1034" s="79">
        <f>Table1[[#This Row],[Actual Production (Kg)]]</f>
        <v>8714</v>
      </c>
      <c r="F1034" s="53">
        <v>8714</v>
      </c>
      <c r="G1034" s="38">
        <v>0</v>
      </c>
      <c r="H1034" s="57">
        <f>IFERROR(Table1[Re-process (Kg)]/Table1[Actual Production (Kg)], "")</f>
        <v>0</v>
      </c>
      <c r="I1034" s="53">
        <f>IFERROR(Table1[[#This Row],[Actual Production (Kg)]]-Table1[[#This Row],[Re-process (Kg)]], "")</f>
        <v>8714</v>
      </c>
      <c r="J1034" s="53"/>
      <c r="K1034" s="52"/>
      <c r="L1034" s="53" t="str">
        <f>IF(Table1[[#This Row],[Target Time (Hours)]]="","",Table1[[#This Row],[Target Time (Hours)]]-Table1[[#This Row],[Downtime (Hours)]])</f>
        <v/>
      </c>
      <c r="M1034" s="53" t="str">
        <f>IFERROR(Table1[[#This Row],[Capacity (Kg)]]/Table1[[#This Row],[Target Time (Hours)]] * Table1[[#This Row],[Downtime (Hours)]], "")</f>
        <v/>
      </c>
      <c r="N1034" s="57" t="str">
        <f>IFERROR(Table1[[#This Row],[Running Time (hr)]]/Table1[Target Time (Hours)], "")</f>
        <v/>
      </c>
      <c r="O1034" s="57">
        <f>IFERROR(Table1[[#This Row],[Actual Production (Kg)]]/Table1[Capacity (Kg)], "")</f>
        <v>1</v>
      </c>
      <c r="P1034" s="57">
        <f>IFERROR(Table1[[#This Row],[Quality Pass Production]]/Table1[[#This Row],[Actual Production (Kg)]], "")</f>
        <v>1</v>
      </c>
      <c r="Q1034" s="57" t="str">
        <f>IFERROR(Table1[[#This Row],[Utilization %]]*Table1[[#This Row],[Efficiency %]]*Table1[[#This Row],[Quality %]], "")</f>
        <v/>
      </c>
      <c r="R1034" s="52"/>
    </row>
    <row r="1035" spans="1:18" x14ac:dyDescent="0.25">
      <c r="A1035" s="47">
        <v>46210</v>
      </c>
      <c r="B1035" s="48" t="s">
        <v>18</v>
      </c>
      <c r="C1035" s="48" t="s">
        <v>22</v>
      </c>
      <c r="D1035" s="48" t="s">
        <v>23</v>
      </c>
      <c r="E1035" s="49">
        <v>5000</v>
      </c>
      <c r="F1035" s="76">
        <v>4893</v>
      </c>
      <c r="G1035" s="34">
        <v>0</v>
      </c>
      <c r="H1035" s="50">
        <f>IFERROR(Table1[Re-process (Kg)]/Table1[Actual Production (Kg)], "")</f>
        <v>0</v>
      </c>
      <c r="I1035" s="49">
        <f>IFERROR(Table1[[#This Row],[Actual Production (Kg)]]-Table1[[#This Row],[Re-process (Kg)]], "")</f>
        <v>4893</v>
      </c>
      <c r="J1035" s="49">
        <v>22</v>
      </c>
      <c r="K1035" s="72"/>
      <c r="L1035" s="49">
        <f>IF(Table1[[#This Row],[Target Time (Hours)]]="","",Table1[[#This Row],[Target Time (Hours)]]-Table1[[#This Row],[Downtime (Hours)]])</f>
        <v>22</v>
      </c>
      <c r="M1035" s="49">
        <f>IFERROR(Table1[[#This Row],[Capacity (Kg)]]/Table1[[#This Row],[Target Time (Hours)]] * Table1[[#This Row],[Downtime (Hours)]], "")</f>
        <v>0</v>
      </c>
      <c r="N1035" s="50">
        <f>IFERROR(Table1[[#This Row],[Running Time (hr)]]/Table1[Target Time (Hours)], "")</f>
        <v>1</v>
      </c>
      <c r="O1035" s="50">
        <f>IFERROR(Table1[[#This Row],[Actual Production (Kg)]]/Table1[Capacity (Kg)], "")</f>
        <v>0.97860000000000003</v>
      </c>
      <c r="P1035" s="50">
        <f>IFERROR(Table1[[#This Row],[Quality Pass Production]]/Table1[[#This Row],[Actual Production (Kg)]], "")</f>
        <v>1</v>
      </c>
      <c r="Q1035" s="50">
        <f>IFERROR(Table1[[#This Row],[Utilization %]]*Table1[[#This Row],[Efficiency %]]*Table1[[#This Row],[Quality %]], "")</f>
        <v>0.97860000000000003</v>
      </c>
    </row>
    <row r="1036" spans="1:18" x14ac:dyDescent="0.25">
      <c r="A1036" s="47">
        <v>46210</v>
      </c>
      <c r="B1036" s="48" t="s">
        <v>18</v>
      </c>
      <c r="C1036" s="48" t="s">
        <v>22</v>
      </c>
      <c r="D1036" s="48" t="s">
        <v>25</v>
      </c>
      <c r="E1036" s="49">
        <v>4000</v>
      </c>
      <c r="F1036" s="76">
        <v>4253</v>
      </c>
      <c r="G1036" s="30">
        <v>0</v>
      </c>
      <c r="H1036" s="50">
        <f>IFERROR(Table1[Re-process (Kg)]/Table1[Actual Production (Kg)], "")</f>
        <v>0</v>
      </c>
      <c r="I1036" s="49">
        <f>IFERROR(Table1[[#This Row],[Actual Production (Kg)]]-Table1[[#This Row],[Re-process (Kg)]], "")</f>
        <v>4253</v>
      </c>
      <c r="J1036" s="49"/>
      <c r="K1036" s="72"/>
      <c r="L1036" s="49" t="str">
        <f>IF(Table1[[#This Row],[Target Time (Hours)]]="","",Table1[[#This Row],[Target Time (Hours)]]-Table1[[#This Row],[Downtime (Hours)]])</f>
        <v/>
      </c>
      <c r="M1036" s="49" t="str">
        <f>IFERROR(Table1[[#This Row],[Capacity (Kg)]]/Table1[[#This Row],[Target Time (Hours)]] * Table1[[#This Row],[Downtime (Hours)]], "")</f>
        <v/>
      </c>
      <c r="N1036" s="50" t="str">
        <f>IFERROR(Table1[[#This Row],[Running Time (hr)]]/Table1[Target Time (Hours)], "")</f>
        <v/>
      </c>
      <c r="O1036" s="50">
        <f>IFERROR(Table1[[#This Row],[Actual Production (Kg)]]/Table1[Capacity (Kg)], "")</f>
        <v>1.06325</v>
      </c>
      <c r="P1036" s="50">
        <f>IFERROR(Table1[[#This Row],[Quality Pass Production]]/Table1[[#This Row],[Actual Production (Kg)]], "")</f>
        <v>1</v>
      </c>
      <c r="Q1036" s="50" t="str">
        <f>IFERROR(Table1[[#This Row],[Utilization %]]*Table1[[#This Row],[Efficiency %]]*Table1[[#This Row],[Quality %]], "")</f>
        <v/>
      </c>
    </row>
    <row r="1037" spans="1:18" ht="30" customHeight="1" x14ac:dyDescent="0.25">
      <c r="A1037" s="47">
        <v>46210</v>
      </c>
      <c r="B1037" s="48" t="s">
        <v>18</v>
      </c>
      <c r="C1037" s="48" t="s">
        <v>26</v>
      </c>
      <c r="D1037" s="48" t="s">
        <v>25</v>
      </c>
      <c r="E1037" s="49">
        <v>7000</v>
      </c>
      <c r="F1037" s="76">
        <v>6743</v>
      </c>
      <c r="G1037" s="34">
        <v>0</v>
      </c>
      <c r="H1037" s="50">
        <f>IFERROR(Table1[Re-process (Kg)]/Table1[Actual Production (Kg)], "")</f>
        <v>0</v>
      </c>
      <c r="I1037" s="49">
        <f>IFERROR(Table1[[#This Row],[Actual Production (Kg)]]-Table1[[#This Row],[Re-process (Kg)]], "")</f>
        <v>6743</v>
      </c>
      <c r="J1037" s="49">
        <v>22</v>
      </c>
      <c r="K1037" s="72">
        <v>0.4</v>
      </c>
      <c r="L1037" s="49">
        <f>IF(Table1[[#This Row],[Target Time (Hours)]]="","",Table1[[#This Row],[Target Time (Hours)]]-Table1[[#This Row],[Downtime (Hours)]])</f>
        <v>21.6</v>
      </c>
      <c r="M1037" s="49">
        <f>IFERROR(Table1[[#This Row],[Capacity (Kg)]]/Table1[[#This Row],[Target Time (Hours)]] * Table1[[#This Row],[Downtime (Hours)]], "")</f>
        <v>127.27272727272728</v>
      </c>
      <c r="N1037" s="50">
        <f>IFERROR(Table1[[#This Row],[Running Time (hr)]]/Table1[Target Time (Hours)], "")</f>
        <v>0.98181818181818192</v>
      </c>
      <c r="O1037" s="50">
        <f>IFERROR(Table1[[#This Row],[Actual Production (Kg)]]/Table1[Capacity (Kg)], "")</f>
        <v>0.9632857142857143</v>
      </c>
      <c r="P1037" s="50">
        <f>IFERROR(Table1[[#This Row],[Quality Pass Production]]/Table1[[#This Row],[Actual Production (Kg)]], "")</f>
        <v>1</v>
      </c>
      <c r="Q1037" s="50">
        <f>IFERROR(Table1[[#This Row],[Utilization %]]*Table1[[#This Row],[Efficiency %]]*Table1[[#This Row],[Quality %]], "")</f>
        <v>0.94577142857142871</v>
      </c>
      <c r="R1037" s="48" t="s">
        <v>283</v>
      </c>
    </row>
    <row r="1038" spans="1:18" ht="30" customHeight="1" x14ac:dyDescent="0.25">
      <c r="A1038" s="47">
        <v>46210</v>
      </c>
      <c r="B1038" s="48" t="s">
        <v>18</v>
      </c>
      <c r="C1038" s="48" t="s">
        <v>28</v>
      </c>
      <c r="D1038" s="48" t="s">
        <v>29</v>
      </c>
      <c r="E1038" s="49">
        <v>7800</v>
      </c>
      <c r="F1038" s="76">
        <v>5325</v>
      </c>
      <c r="G1038" s="30">
        <v>0</v>
      </c>
      <c r="H1038" s="50">
        <f>IFERROR(Table1[Re-process (Kg)]/Table1[Actual Production (Kg)], "")</f>
        <v>0</v>
      </c>
      <c r="I1038" s="49">
        <f>IFERROR(Table1[[#This Row],[Actual Production (Kg)]]-Table1[[#This Row],[Re-process (Kg)]], "")</f>
        <v>5325</v>
      </c>
      <c r="J1038" s="49">
        <v>22</v>
      </c>
      <c r="K1038" s="72">
        <v>4.3</v>
      </c>
      <c r="L1038" s="49">
        <f>IF(Table1[[#This Row],[Target Time (Hours)]]="","",Table1[[#This Row],[Target Time (Hours)]]-Table1[[#This Row],[Downtime (Hours)]])</f>
        <v>17.7</v>
      </c>
      <c r="M1038" s="49">
        <f>IFERROR(Table1[[#This Row],[Capacity (Kg)]]/Table1[[#This Row],[Target Time (Hours)]] * Table1[[#This Row],[Downtime (Hours)]], "")</f>
        <v>1524.5454545454545</v>
      </c>
      <c r="N1038" s="50">
        <f>IFERROR(Table1[[#This Row],[Running Time (hr)]]/Table1[Target Time (Hours)], "")</f>
        <v>0.80454545454545456</v>
      </c>
      <c r="O1038" s="50">
        <f>IFERROR(Table1[[#This Row],[Actual Production (Kg)]]/Table1[Capacity (Kg)], "")</f>
        <v>0.68269230769230771</v>
      </c>
      <c r="P1038" s="50">
        <f>IFERROR(Table1[[#This Row],[Quality Pass Production]]/Table1[[#This Row],[Actual Production (Kg)]], "")</f>
        <v>1</v>
      </c>
      <c r="Q1038" s="50">
        <f>IFERROR(Table1[[#This Row],[Utilization %]]*Table1[[#This Row],[Efficiency %]]*Table1[[#This Row],[Quality %]], "")</f>
        <v>0.54925699300699304</v>
      </c>
      <c r="R1038" s="48" t="s">
        <v>284</v>
      </c>
    </row>
    <row r="1039" spans="1:18" ht="30" customHeight="1" x14ac:dyDescent="0.25">
      <c r="A1039" s="51">
        <v>46210</v>
      </c>
      <c r="B1039" s="52" t="s">
        <v>18</v>
      </c>
      <c r="C1039" s="52" t="s">
        <v>135</v>
      </c>
      <c r="D1039" s="52" t="s">
        <v>29</v>
      </c>
      <c r="E1039" s="53"/>
      <c r="F1039" s="53"/>
      <c r="G1039" s="38"/>
      <c r="H1039" s="57" t="str">
        <f>IFERROR(Table1[Re-process (Kg)]/Table1[Actual Production (Kg)], "")</f>
        <v/>
      </c>
      <c r="I1039" s="53">
        <f>IFERROR(Table1[[#This Row],[Actual Production (Kg)]]-Table1[[#This Row],[Re-process (Kg)]], "")</f>
        <v>0</v>
      </c>
      <c r="J1039" s="53"/>
      <c r="K1039" s="52"/>
      <c r="L1039" s="53" t="str">
        <f>IF(Table1[[#This Row],[Target Time (Hours)]]="","",Table1[[#This Row],[Target Time (Hours)]]-Table1[[#This Row],[Downtime (Hours)]])</f>
        <v/>
      </c>
      <c r="M1039" s="53" t="str">
        <f>IFERROR(Table1[[#This Row],[Capacity (Kg)]]/Table1[[#This Row],[Target Time (Hours)]] * Table1[[#This Row],[Downtime (Hours)]], "")</f>
        <v/>
      </c>
      <c r="N1039" s="57" t="str">
        <f>IFERROR(Table1[[#This Row],[Running Time (hr)]]/Table1[Target Time (Hours)], "")</f>
        <v/>
      </c>
      <c r="O1039" s="57" t="str">
        <f>IFERROR(Table1[[#This Row],[Actual Production (Kg)]]/Table1[Capacity (Kg)], "")</f>
        <v/>
      </c>
      <c r="P1039" s="57" t="str">
        <f>IFERROR(Table1[[#This Row],[Quality Pass Production]]/Table1[[#This Row],[Actual Production (Kg)]], "")</f>
        <v/>
      </c>
      <c r="Q1039" s="57" t="str">
        <f>IFERROR(Table1[[#This Row],[Utilization %]]*Table1[[#This Row],[Efficiency %]]*Table1[[#This Row],[Quality %]], "")</f>
        <v/>
      </c>
      <c r="R1039" s="52"/>
    </row>
    <row r="1040" spans="1:18" ht="30" customHeight="1" x14ac:dyDescent="0.25">
      <c r="A1040" s="47">
        <v>46210</v>
      </c>
      <c r="B1040" s="48" t="s">
        <v>18</v>
      </c>
      <c r="C1040" s="48" t="s">
        <v>30</v>
      </c>
      <c r="D1040" s="48" t="s">
        <v>31</v>
      </c>
      <c r="E1040" s="49">
        <v>9000</v>
      </c>
      <c r="F1040" s="76">
        <v>8486</v>
      </c>
      <c r="G1040" s="30">
        <v>0</v>
      </c>
      <c r="H1040" s="50">
        <f>IFERROR(Table1[Re-process (Kg)]/Table1[Actual Production (Kg)], "")</f>
        <v>0</v>
      </c>
      <c r="I1040" s="49">
        <f>IFERROR(Table1[[#This Row],[Actual Production (Kg)]]-Table1[[#This Row],[Re-process (Kg)]], "")</f>
        <v>8486</v>
      </c>
      <c r="J1040" s="49">
        <v>22</v>
      </c>
      <c r="K1040" s="72"/>
      <c r="L1040" s="49">
        <f>IF(Table1[[#This Row],[Target Time (Hours)]]="","",Table1[[#This Row],[Target Time (Hours)]]-Table1[[#This Row],[Downtime (Hours)]])</f>
        <v>22</v>
      </c>
      <c r="M1040" s="49">
        <f>IFERROR(Table1[[#This Row],[Capacity (Kg)]]/Table1[[#This Row],[Target Time (Hours)]] * Table1[[#This Row],[Downtime (Hours)]], "")</f>
        <v>0</v>
      </c>
      <c r="N1040" s="50">
        <f>IFERROR(Table1[[#This Row],[Running Time (hr)]]/Table1[Target Time (Hours)], "")</f>
        <v>1</v>
      </c>
      <c r="O1040" s="50">
        <f>IFERROR(Table1[[#This Row],[Actual Production (Kg)]]/Table1[Capacity (Kg)], "")</f>
        <v>0.94288888888888889</v>
      </c>
      <c r="P1040" s="50">
        <f>IFERROR(Table1[[#This Row],[Quality Pass Production]]/Table1[[#This Row],[Actual Production (Kg)]], "")</f>
        <v>1</v>
      </c>
      <c r="Q1040" s="50">
        <f>IFERROR(Table1[[#This Row],[Utilization %]]*Table1[[#This Row],[Efficiency %]]*Table1[[#This Row],[Quality %]], "")</f>
        <v>0.94288888888888889</v>
      </c>
    </row>
    <row r="1041" spans="1:18" ht="30" customHeight="1" x14ac:dyDescent="0.25">
      <c r="A1041" s="51">
        <v>46210</v>
      </c>
      <c r="B1041" s="52" t="s">
        <v>18</v>
      </c>
      <c r="C1041" s="52" t="s">
        <v>32</v>
      </c>
      <c r="D1041" s="52" t="s">
        <v>31</v>
      </c>
      <c r="E1041" s="79">
        <f>Table1[[#This Row],[Actual Production (Kg)]]</f>
        <v>760</v>
      </c>
      <c r="F1041" s="53">
        <v>760</v>
      </c>
      <c r="G1041" s="38"/>
      <c r="H1041" s="57">
        <f>IFERROR(Table1[Re-process (Kg)]/Table1[Actual Production (Kg)], "")</f>
        <v>0</v>
      </c>
      <c r="I1041" s="53">
        <f>IFERROR(Table1[[#This Row],[Actual Production (Kg)]]-Table1[[#This Row],[Re-process (Kg)]], "")</f>
        <v>760</v>
      </c>
      <c r="J1041" s="53"/>
      <c r="K1041" s="52"/>
      <c r="L1041" s="53" t="str">
        <f>IF(Table1[[#This Row],[Target Time (Hours)]]="","",Table1[[#This Row],[Target Time (Hours)]]-Table1[[#This Row],[Downtime (Hours)]])</f>
        <v/>
      </c>
      <c r="M1041" s="53" t="str">
        <f>IFERROR(Table1[[#This Row],[Capacity (Kg)]]/Table1[[#This Row],[Target Time (Hours)]] * Table1[[#This Row],[Downtime (Hours)]], "")</f>
        <v/>
      </c>
      <c r="N1041" s="57" t="str">
        <f>IFERROR(Table1[[#This Row],[Running Time (hr)]]/Table1[Target Time (Hours)], "")</f>
        <v/>
      </c>
      <c r="O1041" s="57">
        <f>IFERROR(Table1[[#This Row],[Actual Production (Kg)]]/Table1[Capacity (Kg)], "")</f>
        <v>1</v>
      </c>
      <c r="P1041" s="57">
        <f>IFERROR(Table1[[#This Row],[Quality Pass Production]]/Table1[[#This Row],[Actual Production (Kg)]], "")</f>
        <v>1</v>
      </c>
      <c r="Q1041" s="57" t="str">
        <f>IFERROR(Table1[[#This Row],[Utilization %]]*Table1[[#This Row],[Efficiency %]]*Table1[[#This Row],[Quality %]], "")</f>
        <v/>
      </c>
      <c r="R1041" s="52" t="s">
        <v>285</v>
      </c>
    </row>
    <row r="1042" spans="1:18" ht="45" customHeight="1" x14ac:dyDescent="0.25">
      <c r="A1042" s="47">
        <v>46210</v>
      </c>
      <c r="B1042" s="48" t="s">
        <v>33</v>
      </c>
      <c r="C1042" s="48" t="s">
        <v>34</v>
      </c>
      <c r="D1042" s="48" t="s">
        <v>35</v>
      </c>
      <c r="E1042" s="49">
        <v>9000</v>
      </c>
      <c r="F1042" s="76">
        <v>7625</v>
      </c>
      <c r="G1042" s="30">
        <v>0</v>
      </c>
      <c r="H1042" s="50">
        <f>IFERROR(Table1[Re-process (Kg)]/Table1[Actual Production (Kg)], "")</f>
        <v>0</v>
      </c>
      <c r="I1042" s="49">
        <f>IFERROR(Table1[[#This Row],[Actual Production (Kg)]]-Table1[[#This Row],[Re-process (Kg)]], "")</f>
        <v>7625</v>
      </c>
      <c r="J1042" s="49">
        <v>22</v>
      </c>
      <c r="K1042" s="72"/>
      <c r="L1042" s="49">
        <f>IF(Table1[[#This Row],[Target Time (Hours)]]="","",Table1[[#This Row],[Target Time (Hours)]]-Table1[[#This Row],[Downtime (Hours)]])</f>
        <v>22</v>
      </c>
      <c r="M1042" s="49">
        <f>IFERROR(Table1[[#This Row],[Capacity (Kg)]]/Table1[[#This Row],[Target Time (Hours)]] * Table1[[#This Row],[Downtime (Hours)]], "")</f>
        <v>0</v>
      </c>
      <c r="N1042" s="50">
        <f>IFERROR(Table1[[#This Row],[Running Time (hr)]]/Table1[Target Time (Hours)], "")</f>
        <v>1</v>
      </c>
      <c r="O1042" s="50">
        <f>IFERROR(Table1[[#This Row],[Actual Production (Kg)]]/Table1[Capacity (Kg)], "")</f>
        <v>0.84722222222222221</v>
      </c>
      <c r="P1042" s="50">
        <f>IFERROR(Table1[[#This Row],[Quality Pass Production]]/Table1[[#This Row],[Actual Production (Kg)]], "")</f>
        <v>1</v>
      </c>
      <c r="Q1042" s="50">
        <f>IFERROR(Table1[[#This Row],[Utilization %]]*Table1[[#This Row],[Efficiency %]]*Table1[[#This Row],[Quality %]], "")</f>
        <v>0.84722222222222221</v>
      </c>
      <c r="R1042" s="48" t="s">
        <v>280</v>
      </c>
    </row>
    <row r="1043" spans="1:18" x14ac:dyDescent="0.25">
      <c r="A1043" s="47">
        <v>46210</v>
      </c>
      <c r="B1043" s="48" t="s">
        <v>33</v>
      </c>
      <c r="C1043" s="48" t="s">
        <v>36</v>
      </c>
      <c r="D1043" s="48" t="s">
        <v>37</v>
      </c>
      <c r="E1043" s="49">
        <v>8000</v>
      </c>
      <c r="F1043" s="76">
        <v>7850</v>
      </c>
      <c r="G1043" s="34">
        <v>0</v>
      </c>
      <c r="H1043" s="50">
        <f>IFERROR(Table1[Re-process (Kg)]/Table1[Actual Production (Kg)], "")</f>
        <v>0</v>
      </c>
      <c r="I1043" s="49">
        <f>IFERROR(Table1[[#This Row],[Actual Production (Kg)]]-Table1[[#This Row],[Re-process (Kg)]], "")</f>
        <v>7850</v>
      </c>
      <c r="J1043" s="49">
        <v>22</v>
      </c>
      <c r="K1043" s="72">
        <v>1.5</v>
      </c>
      <c r="L1043" s="49">
        <f>IF(Table1[[#This Row],[Target Time (Hours)]]="","",Table1[[#This Row],[Target Time (Hours)]]-Table1[[#This Row],[Downtime (Hours)]])</f>
        <v>20.5</v>
      </c>
      <c r="M1043" s="49">
        <f>IFERROR(Table1[[#This Row],[Capacity (Kg)]]/Table1[[#This Row],[Target Time (Hours)]] * Table1[[#This Row],[Downtime (Hours)]], "")</f>
        <v>545.4545454545455</v>
      </c>
      <c r="N1043" s="50">
        <f>IFERROR(Table1[[#This Row],[Running Time (hr)]]/Table1[Target Time (Hours)], "")</f>
        <v>0.93181818181818177</v>
      </c>
      <c r="O1043" s="50">
        <f>IFERROR(Table1[[#This Row],[Actual Production (Kg)]]/Table1[Capacity (Kg)], "")</f>
        <v>0.98124999999999996</v>
      </c>
      <c r="P1043" s="50">
        <f>IFERROR(Table1[[#This Row],[Quality Pass Production]]/Table1[[#This Row],[Actual Production (Kg)]], "")</f>
        <v>1</v>
      </c>
      <c r="Q1043" s="50">
        <f>IFERROR(Table1[[#This Row],[Utilization %]]*Table1[[#This Row],[Efficiency %]]*Table1[[#This Row],[Quality %]], "")</f>
        <v>0.91434659090909087</v>
      </c>
      <c r="R1043" s="48" t="s">
        <v>286</v>
      </c>
    </row>
    <row r="1044" spans="1:18" ht="30" customHeight="1" x14ac:dyDescent="0.25">
      <c r="A1044" s="47">
        <v>46210</v>
      </c>
      <c r="B1044" s="48" t="s">
        <v>33</v>
      </c>
      <c r="C1044" s="48" t="s">
        <v>39</v>
      </c>
      <c r="D1044" s="48" t="s">
        <v>31</v>
      </c>
      <c r="E1044" s="49">
        <v>6000</v>
      </c>
      <c r="F1044" s="76">
        <v>4491</v>
      </c>
      <c r="G1044" s="30">
        <v>0</v>
      </c>
      <c r="H1044" s="50">
        <f>IFERROR(Table1[Re-process (Kg)]/Table1[Actual Production (Kg)], "")</f>
        <v>0</v>
      </c>
      <c r="I1044" s="49">
        <f>IFERROR(Table1[[#This Row],[Actual Production (Kg)]]-Table1[[#This Row],[Re-process (Kg)]], "")</f>
        <v>4491</v>
      </c>
      <c r="J1044" s="49">
        <v>22</v>
      </c>
      <c r="K1044" s="72"/>
      <c r="L1044" s="49">
        <f>IF(Table1[[#This Row],[Target Time (Hours)]]="","",Table1[[#This Row],[Target Time (Hours)]]-Table1[[#This Row],[Downtime (Hours)]])</f>
        <v>22</v>
      </c>
      <c r="M1044" s="49">
        <f>IFERROR(Table1[[#This Row],[Capacity (Kg)]]/Table1[[#This Row],[Target Time (Hours)]] * Table1[[#This Row],[Downtime (Hours)]], "")</f>
        <v>0</v>
      </c>
      <c r="N1044" s="50">
        <f>IFERROR(Table1[[#This Row],[Running Time (hr)]]/Table1[Target Time (Hours)], "")</f>
        <v>1</v>
      </c>
      <c r="O1044" s="50">
        <f>IFERROR(Table1[[#This Row],[Actual Production (Kg)]]/Table1[Capacity (Kg)], "")</f>
        <v>0.74850000000000005</v>
      </c>
      <c r="P1044" s="50">
        <f>IFERROR(Table1[[#This Row],[Quality Pass Production]]/Table1[[#This Row],[Actual Production (Kg)]], "")</f>
        <v>1</v>
      </c>
      <c r="Q1044" s="50">
        <f>IFERROR(Table1[[#This Row],[Utilization %]]*Table1[[#This Row],[Efficiency %]]*Table1[[#This Row],[Quality %]], "")</f>
        <v>0.74850000000000005</v>
      </c>
    </row>
    <row r="1045" spans="1:18" ht="45" customHeight="1" x14ac:dyDescent="0.25">
      <c r="A1045" s="54">
        <v>46210</v>
      </c>
      <c r="B1045" s="55" t="s">
        <v>33</v>
      </c>
      <c r="C1045" s="55" t="s">
        <v>40</v>
      </c>
      <c r="D1045" s="55" t="s">
        <v>31</v>
      </c>
      <c r="E1045" s="56">
        <v>5000</v>
      </c>
      <c r="F1045" s="56">
        <v>2769</v>
      </c>
      <c r="G1045" s="43">
        <v>0</v>
      </c>
      <c r="H1045" s="58">
        <f>IFERROR(Table1[Re-process (Kg)]/Table1[Actual Production (Kg)], "")</f>
        <v>0</v>
      </c>
      <c r="I1045" s="56">
        <f>IFERROR(Table1[[#This Row],[Actual Production (Kg)]]-Table1[[#This Row],[Re-process (Kg)]], "")</f>
        <v>2769</v>
      </c>
      <c r="J1045" s="56">
        <v>22</v>
      </c>
      <c r="K1045" s="55"/>
      <c r="L1045" s="56">
        <f>IF(Table1[[#This Row],[Target Time (Hours)]]="","",Table1[[#This Row],[Target Time (Hours)]]-Table1[[#This Row],[Downtime (Hours)]])</f>
        <v>22</v>
      </c>
      <c r="M1045" s="56">
        <f>IFERROR(Table1[[#This Row],[Capacity (Kg)]]/Table1[[#This Row],[Target Time (Hours)]] * Table1[[#This Row],[Downtime (Hours)]], "")</f>
        <v>0</v>
      </c>
      <c r="N1045" s="58">
        <f>IFERROR(Table1[[#This Row],[Running Time (hr)]]/Table1[Target Time (Hours)], "")</f>
        <v>1</v>
      </c>
      <c r="O1045" s="58">
        <f>IFERROR(Table1[[#This Row],[Actual Production (Kg)]]/Table1[Capacity (Kg)], "")</f>
        <v>0.55379999999999996</v>
      </c>
      <c r="P1045" s="58">
        <f>IFERROR(Table1[[#This Row],[Quality Pass Production]]/Table1[[#This Row],[Actual Production (Kg)]], "")</f>
        <v>1</v>
      </c>
      <c r="Q1045" s="58">
        <f>IFERROR(Table1[[#This Row],[Utilization %]]*Table1[[#This Row],[Efficiency %]]*Table1[[#This Row],[Quality %]], "")</f>
        <v>0.55379999999999996</v>
      </c>
      <c r="R1045" s="55" t="s">
        <v>274</v>
      </c>
    </row>
    <row r="1046" spans="1:18" ht="30" customHeight="1" x14ac:dyDescent="0.25">
      <c r="A1046" s="47">
        <v>46211</v>
      </c>
      <c r="B1046" s="48" t="s">
        <v>18</v>
      </c>
      <c r="C1046" s="48" t="s">
        <v>19</v>
      </c>
      <c r="D1046" s="48" t="s">
        <v>20</v>
      </c>
      <c r="E1046" s="49">
        <v>10000</v>
      </c>
      <c r="F1046" s="76">
        <v>8047</v>
      </c>
      <c r="G1046" s="34">
        <v>0</v>
      </c>
      <c r="H1046" s="50">
        <f>IFERROR(Table1[Re-process (Kg)]/Table1[Actual Production (Kg)], "")</f>
        <v>0</v>
      </c>
      <c r="I1046" s="49">
        <f>IFERROR(Table1[[#This Row],[Actual Production (Kg)]]-Table1[[#This Row],[Re-process (Kg)]], "")</f>
        <v>8047</v>
      </c>
      <c r="J1046" s="49">
        <v>22</v>
      </c>
      <c r="K1046" s="72"/>
      <c r="L1046" s="49">
        <f>IF(Table1[[#This Row],[Target Time (Hours)]]="","",Table1[[#This Row],[Target Time (Hours)]]-Table1[[#This Row],[Downtime (Hours)]])</f>
        <v>22</v>
      </c>
      <c r="M1046" s="49">
        <f>IFERROR(Table1[[#This Row],[Capacity (Kg)]]/Table1[[#This Row],[Target Time (Hours)]] * Table1[[#This Row],[Downtime (Hours)]], "")</f>
        <v>0</v>
      </c>
      <c r="N1046" s="50">
        <f>IFERROR(Table1[[#This Row],[Running Time (hr)]]/Table1[Target Time (Hours)], "")</f>
        <v>1</v>
      </c>
      <c r="O1046" s="50">
        <f>IFERROR(Table1[[#This Row],[Actual Production (Kg)]]/Table1[Capacity (Kg)], "")</f>
        <v>0.80469999999999997</v>
      </c>
      <c r="P1046" s="50">
        <f>IFERROR(Table1[[#This Row],[Quality Pass Production]]/Table1[[#This Row],[Actual Production (Kg)]], "")</f>
        <v>1</v>
      </c>
      <c r="Q1046" s="50">
        <f>IFERROR(Table1[[#This Row],[Utilization %]]*Table1[[#This Row],[Efficiency %]]*Table1[[#This Row],[Quality %]], "")</f>
        <v>0.80469999999999997</v>
      </c>
    </row>
    <row r="1047" spans="1:18" x14ac:dyDescent="0.25">
      <c r="A1047" s="51">
        <v>46211</v>
      </c>
      <c r="B1047" s="52" t="s">
        <v>18</v>
      </c>
      <c r="C1047" s="52" t="s">
        <v>238</v>
      </c>
      <c r="D1047" s="52" t="s">
        <v>20</v>
      </c>
      <c r="E1047" s="79">
        <f>Table1[[#This Row],[Actual Production (Kg)]]</f>
        <v>9665</v>
      </c>
      <c r="F1047" s="53">
        <v>9665</v>
      </c>
      <c r="G1047" s="38">
        <v>0</v>
      </c>
      <c r="H1047" s="57">
        <f>IFERROR(Table1[Re-process (Kg)]/Table1[Actual Production (Kg)], "")</f>
        <v>0</v>
      </c>
      <c r="I1047" s="53">
        <f>IFERROR(Table1[[#This Row],[Actual Production (Kg)]]-Table1[[#This Row],[Re-process (Kg)]], "")</f>
        <v>9665</v>
      </c>
      <c r="J1047" s="53"/>
      <c r="K1047" s="52"/>
      <c r="L1047" s="53" t="str">
        <f>IF(Table1[[#This Row],[Target Time (Hours)]]="","",Table1[[#This Row],[Target Time (Hours)]]-Table1[[#This Row],[Downtime (Hours)]])</f>
        <v/>
      </c>
      <c r="M1047" s="53" t="str">
        <f>IFERROR(Table1[[#This Row],[Capacity (Kg)]]/Table1[[#This Row],[Target Time (Hours)]] * Table1[[#This Row],[Downtime (Hours)]], "")</f>
        <v/>
      </c>
      <c r="N1047" s="57" t="str">
        <f>IFERROR(Table1[[#This Row],[Running Time (hr)]]/Table1[Target Time (Hours)], "")</f>
        <v/>
      </c>
      <c r="O1047" s="57">
        <f>IFERROR(Table1[[#This Row],[Actual Production (Kg)]]/Table1[Capacity (Kg)], "")</f>
        <v>1</v>
      </c>
      <c r="P1047" s="57">
        <f>IFERROR(Table1[[#This Row],[Quality Pass Production]]/Table1[[#This Row],[Actual Production (Kg)]], "")</f>
        <v>1</v>
      </c>
      <c r="Q1047" s="57" t="str">
        <f>IFERROR(Table1[[#This Row],[Utilization %]]*Table1[[#This Row],[Efficiency %]]*Table1[[#This Row],[Quality %]], "")</f>
        <v/>
      </c>
      <c r="R1047" s="52"/>
    </row>
    <row r="1048" spans="1:18" x14ac:dyDescent="0.25">
      <c r="A1048" s="47">
        <v>46211</v>
      </c>
      <c r="B1048" s="48" t="s">
        <v>18</v>
      </c>
      <c r="C1048" s="48" t="s">
        <v>22</v>
      </c>
      <c r="D1048" s="48" t="s">
        <v>23</v>
      </c>
      <c r="E1048" s="49">
        <v>5000</v>
      </c>
      <c r="F1048" s="76">
        <v>6865</v>
      </c>
      <c r="G1048" s="34">
        <v>0</v>
      </c>
      <c r="H1048" s="50">
        <f>IFERROR(Table1[Re-process (Kg)]/Table1[Actual Production (Kg)], "")</f>
        <v>0</v>
      </c>
      <c r="I1048" s="49">
        <f>IFERROR(Table1[[#This Row],[Actual Production (Kg)]]-Table1[[#This Row],[Re-process (Kg)]], "")</f>
        <v>6865</v>
      </c>
      <c r="J1048" s="49">
        <v>22</v>
      </c>
      <c r="K1048" s="72"/>
      <c r="L1048" s="49">
        <f>IF(Table1[[#This Row],[Target Time (Hours)]]="","",Table1[[#This Row],[Target Time (Hours)]]-Table1[[#This Row],[Downtime (Hours)]])</f>
        <v>22</v>
      </c>
      <c r="M1048" s="49">
        <f>IFERROR(Table1[[#This Row],[Capacity (Kg)]]/Table1[[#This Row],[Target Time (Hours)]] * Table1[[#This Row],[Downtime (Hours)]], "")</f>
        <v>0</v>
      </c>
      <c r="N1048" s="50">
        <f>IFERROR(Table1[[#This Row],[Running Time (hr)]]/Table1[Target Time (Hours)], "")</f>
        <v>1</v>
      </c>
      <c r="O1048" s="50">
        <f>IFERROR(Table1[[#This Row],[Actual Production (Kg)]]/Table1[Capacity (Kg)], "")</f>
        <v>1.373</v>
      </c>
      <c r="P1048" s="50">
        <f>IFERROR(Table1[[#This Row],[Quality Pass Production]]/Table1[[#This Row],[Actual Production (Kg)]], "")</f>
        <v>1</v>
      </c>
      <c r="Q1048" s="50">
        <f>IFERROR(Table1[[#This Row],[Utilization %]]*Table1[[#This Row],[Efficiency %]]*Table1[[#This Row],[Quality %]], "")</f>
        <v>1.373</v>
      </c>
      <c r="R1048" s="48" t="s">
        <v>287</v>
      </c>
    </row>
    <row r="1049" spans="1:18" x14ac:dyDescent="0.25">
      <c r="A1049" s="47">
        <v>46211</v>
      </c>
      <c r="B1049" s="48" t="s">
        <v>18</v>
      </c>
      <c r="C1049" s="48" t="s">
        <v>22</v>
      </c>
      <c r="D1049" s="48" t="s">
        <v>25</v>
      </c>
      <c r="E1049" s="49">
        <v>4000</v>
      </c>
      <c r="F1049" s="76">
        <v>1547</v>
      </c>
      <c r="G1049" s="30">
        <v>0</v>
      </c>
      <c r="H1049" s="50">
        <f>IFERROR(Table1[Re-process (Kg)]/Table1[Actual Production (Kg)], "")</f>
        <v>0</v>
      </c>
      <c r="I1049" s="49">
        <f>IFERROR(Table1[[#This Row],[Actual Production (Kg)]]-Table1[[#This Row],[Re-process (Kg)]], "")</f>
        <v>1547</v>
      </c>
      <c r="J1049" s="49"/>
      <c r="K1049" s="72"/>
      <c r="L1049" s="49" t="str">
        <f>IF(Table1[[#This Row],[Target Time (Hours)]]="","",Table1[[#This Row],[Target Time (Hours)]]-Table1[[#This Row],[Downtime (Hours)]])</f>
        <v/>
      </c>
      <c r="M1049" s="49" t="str">
        <f>IFERROR(Table1[[#This Row],[Capacity (Kg)]]/Table1[[#This Row],[Target Time (Hours)]] * Table1[[#This Row],[Downtime (Hours)]], "")</f>
        <v/>
      </c>
      <c r="N1049" s="50" t="str">
        <f>IFERROR(Table1[[#This Row],[Running Time (hr)]]/Table1[Target Time (Hours)], "")</f>
        <v/>
      </c>
      <c r="O1049" s="50">
        <f>IFERROR(Table1[[#This Row],[Actual Production (Kg)]]/Table1[Capacity (Kg)], "")</f>
        <v>0.38674999999999998</v>
      </c>
      <c r="P1049" s="50">
        <f>IFERROR(Table1[[#This Row],[Quality Pass Production]]/Table1[[#This Row],[Actual Production (Kg)]], "")</f>
        <v>1</v>
      </c>
      <c r="Q1049" s="50" t="str">
        <f>IFERROR(Table1[[#This Row],[Utilization %]]*Table1[[#This Row],[Efficiency %]]*Table1[[#This Row],[Quality %]], "")</f>
        <v/>
      </c>
    </row>
    <row r="1050" spans="1:18" x14ac:dyDescent="0.25">
      <c r="A1050" s="47">
        <v>46211</v>
      </c>
      <c r="B1050" s="48" t="s">
        <v>18</v>
      </c>
      <c r="C1050" s="48" t="s">
        <v>26</v>
      </c>
      <c r="D1050" s="48" t="s">
        <v>25</v>
      </c>
      <c r="E1050" s="49">
        <v>7000</v>
      </c>
      <c r="F1050" s="76">
        <v>7328</v>
      </c>
      <c r="G1050" s="34">
        <v>0</v>
      </c>
      <c r="H1050" s="50">
        <f>IFERROR(Table1[Re-process (Kg)]/Table1[Actual Production (Kg)], "")</f>
        <v>0</v>
      </c>
      <c r="I1050" s="49">
        <f>IFERROR(Table1[[#This Row],[Actual Production (Kg)]]-Table1[[#This Row],[Re-process (Kg)]], "")</f>
        <v>7328</v>
      </c>
      <c r="J1050" s="49">
        <v>22</v>
      </c>
      <c r="K1050" s="72"/>
      <c r="L1050" s="49">
        <f>IF(Table1[[#This Row],[Target Time (Hours)]]="","",Table1[[#This Row],[Target Time (Hours)]]-Table1[[#This Row],[Downtime (Hours)]])</f>
        <v>22</v>
      </c>
      <c r="M1050" s="49">
        <f>IFERROR(Table1[[#This Row],[Capacity (Kg)]]/Table1[[#This Row],[Target Time (Hours)]] * Table1[[#This Row],[Downtime (Hours)]], "")</f>
        <v>0</v>
      </c>
      <c r="N1050" s="50">
        <f>IFERROR(Table1[[#This Row],[Running Time (hr)]]/Table1[Target Time (Hours)], "")</f>
        <v>1</v>
      </c>
      <c r="O1050" s="50">
        <f>IFERROR(Table1[[#This Row],[Actual Production (Kg)]]/Table1[Capacity (Kg)], "")</f>
        <v>1.0468571428571429</v>
      </c>
      <c r="P1050" s="50">
        <f>IFERROR(Table1[[#This Row],[Quality Pass Production]]/Table1[[#This Row],[Actual Production (Kg)]], "")</f>
        <v>1</v>
      </c>
      <c r="Q1050" s="50">
        <f>IFERROR(Table1[[#This Row],[Utilization %]]*Table1[[#This Row],[Efficiency %]]*Table1[[#This Row],[Quality %]], "")</f>
        <v>1.0468571428571429</v>
      </c>
    </row>
    <row r="1051" spans="1:18" ht="30" customHeight="1" x14ac:dyDescent="0.25">
      <c r="A1051" s="47">
        <v>46211</v>
      </c>
      <c r="B1051" s="48" t="s">
        <v>18</v>
      </c>
      <c r="C1051" s="48" t="s">
        <v>28</v>
      </c>
      <c r="D1051" s="48" t="s">
        <v>29</v>
      </c>
      <c r="E1051" s="49">
        <v>7800</v>
      </c>
      <c r="F1051" s="76">
        <v>6840</v>
      </c>
      <c r="G1051" s="30">
        <v>0</v>
      </c>
      <c r="H1051" s="50">
        <f>IFERROR(Table1[Re-process (Kg)]/Table1[Actual Production (Kg)], "")</f>
        <v>0</v>
      </c>
      <c r="I1051" s="49">
        <f>IFERROR(Table1[[#This Row],[Actual Production (Kg)]]-Table1[[#This Row],[Re-process (Kg)]], "")</f>
        <v>6840</v>
      </c>
      <c r="J1051" s="49">
        <v>22</v>
      </c>
      <c r="K1051" s="72">
        <v>2.2999999999999998</v>
      </c>
      <c r="L1051" s="49">
        <f>IF(Table1[[#This Row],[Target Time (Hours)]]="","",Table1[[#This Row],[Target Time (Hours)]]-Table1[[#This Row],[Downtime (Hours)]])</f>
        <v>19.7</v>
      </c>
      <c r="M1051" s="49">
        <f>IFERROR(Table1[[#This Row],[Capacity (Kg)]]/Table1[[#This Row],[Target Time (Hours)]] * Table1[[#This Row],[Downtime (Hours)]], "")</f>
        <v>815.45454545454538</v>
      </c>
      <c r="N1051" s="50">
        <f>IFERROR(Table1[[#This Row],[Running Time (hr)]]/Table1[Target Time (Hours)], "")</f>
        <v>0.89545454545454539</v>
      </c>
      <c r="O1051" s="50">
        <f>IFERROR(Table1[[#This Row],[Actual Production (Kg)]]/Table1[Capacity (Kg)], "")</f>
        <v>0.87692307692307692</v>
      </c>
      <c r="P1051" s="50">
        <f>IFERROR(Table1[[#This Row],[Quality Pass Production]]/Table1[[#This Row],[Actual Production (Kg)]], "")</f>
        <v>1</v>
      </c>
      <c r="Q1051" s="50">
        <f>IFERROR(Table1[[#This Row],[Utilization %]]*Table1[[#This Row],[Efficiency %]]*Table1[[#This Row],[Quality %]], "")</f>
        <v>0.78524475524475523</v>
      </c>
      <c r="R1051" s="48" t="s">
        <v>288</v>
      </c>
    </row>
    <row r="1052" spans="1:18" ht="30" customHeight="1" x14ac:dyDescent="0.25">
      <c r="A1052" s="51">
        <v>46211</v>
      </c>
      <c r="B1052" s="52" t="s">
        <v>18</v>
      </c>
      <c r="C1052" s="52" t="s">
        <v>135</v>
      </c>
      <c r="D1052" s="52" t="s">
        <v>29</v>
      </c>
      <c r="E1052" s="53"/>
      <c r="F1052" s="53"/>
      <c r="G1052" s="38"/>
      <c r="H1052" s="57" t="str">
        <f>IFERROR(Table1[Re-process (Kg)]/Table1[Actual Production (Kg)], "")</f>
        <v/>
      </c>
      <c r="I1052" s="53">
        <f>IFERROR(Table1[[#This Row],[Actual Production (Kg)]]-Table1[[#This Row],[Re-process (Kg)]], "")</f>
        <v>0</v>
      </c>
      <c r="J1052" s="53"/>
      <c r="K1052" s="52"/>
      <c r="L1052" s="53" t="str">
        <f>IF(Table1[[#This Row],[Target Time (Hours)]]="","",Table1[[#This Row],[Target Time (Hours)]]-Table1[[#This Row],[Downtime (Hours)]])</f>
        <v/>
      </c>
      <c r="M1052" s="53" t="str">
        <f>IFERROR(Table1[[#This Row],[Capacity (Kg)]]/Table1[[#This Row],[Target Time (Hours)]] * Table1[[#This Row],[Downtime (Hours)]], "")</f>
        <v/>
      </c>
      <c r="N1052" s="57" t="str">
        <f>IFERROR(Table1[[#This Row],[Running Time (hr)]]/Table1[Target Time (Hours)], "")</f>
        <v/>
      </c>
      <c r="O1052" s="57" t="str">
        <f>IFERROR(Table1[[#This Row],[Actual Production (Kg)]]/Table1[Capacity (Kg)], "")</f>
        <v/>
      </c>
      <c r="P1052" s="57" t="str">
        <f>IFERROR(Table1[[#This Row],[Quality Pass Production]]/Table1[[#This Row],[Actual Production (Kg)]], "")</f>
        <v/>
      </c>
      <c r="Q1052" s="57" t="str">
        <f>IFERROR(Table1[[#This Row],[Utilization %]]*Table1[[#This Row],[Efficiency %]]*Table1[[#This Row],[Quality %]], "")</f>
        <v/>
      </c>
      <c r="R1052" s="52"/>
    </row>
    <row r="1053" spans="1:18" ht="30" customHeight="1" x14ac:dyDescent="0.25">
      <c r="A1053" s="47">
        <v>46211</v>
      </c>
      <c r="B1053" s="48" t="s">
        <v>18</v>
      </c>
      <c r="C1053" s="48" t="s">
        <v>30</v>
      </c>
      <c r="D1053" s="48" t="s">
        <v>31</v>
      </c>
      <c r="E1053" s="49">
        <v>9000</v>
      </c>
      <c r="F1053" s="76">
        <v>7377</v>
      </c>
      <c r="G1053" s="30">
        <v>0</v>
      </c>
      <c r="H1053" s="50">
        <f>IFERROR(Table1[Re-process (Kg)]/Table1[Actual Production (Kg)], "")</f>
        <v>0</v>
      </c>
      <c r="I1053" s="49">
        <f>IFERROR(Table1[[#This Row],[Actual Production (Kg)]]-Table1[[#This Row],[Re-process (Kg)]], "")</f>
        <v>7377</v>
      </c>
      <c r="J1053" s="49">
        <v>22</v>
      </c>
      <c r="K1053" s="72"/>
      <c r="L1053" s="49">
        <f>IF(Table1[[#This Row],[Target Time (Hours)]]="","",Table1[[#This Row],[Target Time (Hours)]]-Table1[[#This Row],[Downtime (Hours)]])</f>
        <v>22</v>
      </c>
      <c r="M1053" s="49">
        <f>IFERROR(Table1[[#This Row],[Capacity (Kg)]]/Table1[[#This Row],[Target Time (Hours)]] * Table1[[#This Row],[Downtime (Hours)]], "")</f>
        <v>0</v>
      </c>
      <c r="N1053" s="50">
        <f>IFERROR(Table1[[#This Row],[Running Time (hr)]]/Table1[Target Time (Hours)], "")</f>
        <v>1</v>
      </c>
      <c r="O1053" s="50">
        <f>IFERROR(Table1[[#This Row],[Actual Production (Kg)]]/Table1[Capacity (Kg)], "")</f>
        <v>0.81966666666666665</v>
      </c>
      <c r="P1053" s="50">
        <f>IFERROR(Table1[[#This Row],[Quality Pass Production]]/Table1[[#This Row],[Actual Production (Kg)]], "")</f>
        <v>1</v>
      </c>
      <c r="Q1053" s="50">
        <f>IFERROR(Table1[[#This Row],[Utilization %]]*Table1[[#This Row],[Efficiency %]]*Table1[[#This Row],[Quality %]], "")</f>
        <v>0.81966666666666665</v>
      </c>
    </row>
    <row r="1054" spans="1:18" ht="30" customHeight="1" x14ac:dyDescent="0.25">
      <c r="A1054" s="51">
        <v>46211</v>
      </c>
      <c r="B1054" s="52" t="s">
        <v>18</v>
      </c>
      <c r="C1054" s="52" t="s">
        <v>32</v>
      </c>
      <c r="D1054" s="52" t="s">
        <v>31</v>
      </c>
      <c r="E1054" s="79">
        <f>Table1[[#This Row],[Actual Production (Kg)]]</f>
        <v>0</v>
      </c>
      <c r="F1054" s="53"/>
      <c r="G1054" s="38"/>
      <c r="H1054" s="57" t="str">
        <f>IFERROR(Table1[Re-process (Kg)]/Table1[Actual Production (Kg)], "")</f>
        <v/>
      </c>
      <c r="I1054" s="53">
        <f>IFERROR(Table1[[#This Row],[Actual Production (Kg)]]-Table1[[#This Row],[Re-process (Kg)]], "")</f>
        <v>0</v>
      </c>
      <c r="J1054" s="53"/>
      <c r="K1054" s="52"/>
      <c r="L1054" s="53" t="str">
        <f>IF(Table1[[#This Row],[Target Time (Hours)]]="","",Table1[[#This Row],[Target Time (Hours)]]-Table1[[#This Row],[Downtime (Hours)]])</f>
        <v/>
      </c>
      <c r="M1054" s="53" t="str">
        <f>IFERROR(Table1[[#This Row],[Capacity (Kg)]]/Table1[[#This Row],[Target Time (Hours)]] * Table1[[#This Row],[Downtime (Hours)]], "")</f>
        <v/>
      </c>
      <c r="N1054" s="57" t="str">
        <f>IFERROR(Table1[[#This Row],[Running Time (hr)]]/Table1[Target Time (Hours)], "")</f>
        <v/>
      </c>
      <c r="O1054" s="57" t="str">
        <f>IFERROR(Table1[[#This Row],[Actual Production (Kg)]]/Table1[Capacity (Kg)], "")</f>
        <v/>
      </c>
      <c r="P1054" s="57" t="str">
        <f>IFERROR(Table1[[#This Row],[Quality Pass Production]]/Table1[[#This Row],[Actual Production (Kg)]], "")</f>
        <v/>
      </c>
      <c r="Q1054" s="57" t="str">
        <f>IFERROR(Table1[[#This Row],[Utilization %]]*Table1[[#This Row],[Efficiency %]]*Table1[[#This Row],[Quality %]], "")</f>
        <v/>
      </c>
      <c r="R1054" s="52"/>
    </row>
    <row r="1055" spans="1:18" ht="30" customHeight="1" x14ac:dyDescent="0.25">
      <c r="A1055" s="47">
        <v>46211</v>
      </c>
      <c r="B1055" s="48" t="s">
        <v>33</v>
      </c>
      <c r="C1055" s="48" t="s">
        <v>34</v>
      </c>
      <c r="D1055" s="48" t="s">
        <v>35</v>
      </c>
      <c r="E1055" s="49">
        <v>9000</v>
      </c>
      <c r="F1055" s="76">
        <v>7224</v>
      </c>
      <c r="G1055" s="30">
        <v>0</v>
      </c>
      <c r="H1055" s="50">
        <f>IFERROR(Table1[Re-process (Kg)]/Table1[Actual Production (Kg)], "")</f>
        <v>0</v>
      </c>
      <c r="I1055" s="49">
        <f>IFERROR(Table1[[#This Row],[Actual Production (Kg)]]-Table1[[#This Row],[Re-process (Kg)]], "")</f>
        <v>7224</v>
      </c>
      <c r="J1055" s="49">
        <v>22</v>
      </c>
      <c r="K1055" s="72"/>
      <c r="L1055" s="49">
        <f>IF(Table1[[#This Row],[Target Time (Hours)]]="","",Table1[[#This Row],[Target Time (Hours)]]-Table1[[#This Row],[Downtime (Hours)]])</f>
        <v>22</v>
      </c>
      <c r="M1055" s="49">
        <f>IFERROR(Table1[[#This Row],[Capacity (Kg)]]/Table1[[#This Row],[Target Time (Hours)]] * Table1[[#This Row],[Downtime (Hours)]], "")</f>
        <v>0</v>
      </c>
      <c r="N1055" s="50">
        <f>IFERROR(Table1[[#This Row],[Running Time (hr)]]/Table1[Target Time (Hours)], "")</f>
        <v>1</v>
      </c>
      <c r="O1055" s="50">
        <f>IFERROR(Table1[[#This Row],[Actual Production (Kg)]]/Table1[Capacity (Kg)], "")</f>
        <v>0.80266666666666664</v>
      </c>
      <c r="P1055" s="50">
        <f>IFERROR(Table1[[#This Row],[Quality Pass Production]]/Table1[[#This Row],[Actual Production (Kg)]], "")</f>
        <v>1</v>
      </c>
      <c r="Q1055" s="50">
        <f>IFERROR(Table1[[#This Row],[Utilization %]]*Table1[[#This Row],[Efficiency %]]*Table1[[#This Row],[Quality %]], "")</f>
        <v>0.80266666666666664</v>
      </c>
    </row>
    <row r="1056" spans="1:18" x14ac:dyDescent="0.25">
      <c r="A1056" s="47">
        <v>46211</v>
      </c>
      <c r="B1056" s="48" t="s">
        <v>33</v>
      </c>
      <c r="C1056" s="48" t="s">
        <v>36</v>
      </c>
      <c r="D1056" s="48" t="s">
        <v>37</v>
      </c>
      <c r="E1056" s="49">
        <v>8000</v>
      </c>
      <c r="F1056" s="76">
        <v>7850</v>
      </c>
      <c r="G1056" s="34">
        <v>0</v>
      </c>
      <c r="H1056" s="50">
        <f>IFERROR(Table1[Re-process (Kg)]/Table1[Actual Production (Kg)], "")</f>
        <v>0</v>
      </c>
      <c r="I1056" s="49">
        <f>IFERROR(Table1[[#This Row],[Actual Production (Kg)]]-Table1[[#This Row],[Re-process (Kg)]], "")</f>
        <v>7850</v>
      </c>
      <c r="J1056" s="49">
        <v>22</v>
      </c>
      <c r="K1056" s="72">
        <v>1.5</v>
      </c>
      <c r="L1056" s="49">
        <f>IF(Table1[[#This Row],[Target Time (Hours)]]="","",Table1[[#This Row],[Target Time (Hours)]]-Table1[[#This Row],[Downtime (Hours)]])</f>
        <v>20.5</v>
      </c>
      <c r="M1056" s="49">
        <f>IFERROR(Table1[[#This Row],[Capacity (Kg)]]/Table1[[#This Row],[Target Time (Hours)]] * Table1[[#This Row],[Downtime (Hours)]], "")</f>
        <v>545.4545454545455</v>
      </c>
      <c r="N1056" s="50">
        <f>IFERROR(Table1[[#This Row],[Running Time (hr)]]/Table1[Target Time (Hours)], "")</f>
        <v>0.93181818181818177</v>
      </c>
      <c r="O1056" s="50">
        <f>IFERROR(Table1[[#This Row],[Actual Production (Kg)]]/Table1[Capacity (Kg)], "")</f>
        <v>0.98124999999999996</v>
      </c>
      <c r="P1056" s="50">
        <f>IFERROR(Table1[[#This Row],[Quality Pass Production]]/Table1[[#This Row],[Actual Production (Kg)]], "")</f>
        <v>1</v>
      </c>
      <c r="Q1056" s="50">
        <f>IFERROR(Table1[[#This Row],[Utilization %]]*Table1[[#This Row],[Efficiency %]]*Table1[[#This Row],[Quality %]], "")</f>
        <v>0.91434659090909087</v>
      </c>
      <c r="R1056" s="48" t="s">
        <v>286</v>
      </c>
    </row>
    <row r="1057" spans="1:18" ht="30" customHeight="1" x14ac:dyDescent="0.25">
      <c r="A1057" s="47">
        <v>46211</v>
      </c>
      <c r="B1057" s="48" t="s">
        <v>33</v>
      </c>
      <c r="C1057" s="48" t="s">
        <v>39</v>
      </c>
      <c r="D1057" s="48" t="s">
        <v>31</v>
      </c>
      <c r="E1057" s="49">
        <v>6000</v>
      </c>
      <c r="F1057" s="76">
        <v>3338</v>
      </c>
      <c r="G1057" s="30">
        <v>0</v>
      </c>
      <c r="H1057" s="50">
        <f>IFERROR(Table1[Re-process (Kg)]/Table1[Actual Production (Kg)], "")</f>
        <v>0</v>
      </c>
      <c r="I1057" s="49">
        <f>IFERROR(Table1[[#This Row],[Actual Production (Kg)]]-Table1[[#This Row],[Re-process (Kg)]], "")</f>
        <v>3338</v>
      </c>
      <c r="J1057" s="49">
        <v>22</v>
      </c>
      <c r="K1057" s="72"/>
      <c r="L1057" s="49">
        <f>IF(Table1[[#This Row],[Target Time (Hours)]]="","",Table1[[#This Row],[Target Time (Hours)]]-Table1[[#This Row],[Downtime (Hours)]])</f>
        <v>22</v>
      </c>
      <c r="M1057" s="49">
        <f>IFERROR(Table1[[#This Row],[Capacity (Kg)]]/Table1[[#This Row],[Target Time (Hours)]] * Table1[[#This Row],[Downtime (Hours)]], "")</f>
        <v>0</v>
      </c>
      <c r="N1057" s="50">
        <f>IFERROR(Table1[[#This Row],[Running Time (hr)]]/Table1[Target Time (Hours)], "")</f>
        <v>1</v>
      </c>
      <c r="O1057" s="50">
        <f>IFERROR(Table1[[#This Row],[Actual Production (Kg)]]/Table1[Capacity (Kg)], "")</f>
        <v>0.55633333333333335</v>
      </c>
      <c r="P1057" s="50">
        <f>IFERROR(Table1[[#This Row],[Quality Pass Production]]/Table1[[#This Row],[Actual Production (Kg)]], "")</f>
        <v>1</v>
      </c>
      <c r="Q1057" s="50">
        <f>IFERROR(Table1[[#This Row],[Utilization %]]*Table1[[#This Row],[Efficiency %]]*Table1[[#This Row],[Quality %]], "")</f>
        <v>0.55633333333333335</v>
      </c>
      <c r="R1057" s="48" t="s">
        <v>289</v>
      </c>
    </row>
    <row r="1058" spans="1:18" ht="45" customHeight="1" x14ac:dyDescent="0.25">
      <c r="A1058" s="54">
        <v>46211</v>
      </c>
      <c r="B1058" s="55" t="s">
        <v>33</v>
      </c>
      <c r="C1058" s="55" t="s">
        <v>40</v>
      </c>
      <c r="D1058" s="55" t="s">
        <v>31</v>
      </c>
      <c r="E1058" s="56">
        <v>5000</v>
      </c>
      <c r="F1058" s="56">
        <v>2760</v>
      </c>
      <c r="G1058" s="43">
        <v>0</v>
      </c>
      <c r="H1058" s="58">
        <f>IFERROR(Table1[Re-process (Kg)]/Table1[Actual Production (Kg)], "")</f>
        <v>0</v>
      </c>
      <c r="I1058" s="56">
        <f>IFERROR(Table1[[#This Row],[Actual Production (Kg)]]-Table1[[#This Row],[Re-process (Kg)]], "")</f>
        <v>2760</v>
      </c>
      <c r="J1058" s="56">
        <v>22</v>
      </c>
      <c r="K1058" s="55"/>
      <c r="L1058" s="56">
        <f>IF(Table1[[#This Row],[Target Time (Hours)]]="","",Table1[[#This Row],[Target Time (Hours)]]-Table1[[#This Row],[Downtime (Hours)]])</f>
        <v>22</v>
      </c>
      <c r="M1058" s="56">
        <f>IFERROR(Table1[[#This Row],[Capacity (Kg)]]/Table1[[#This Row],[Target Time (Hours)]] * Table1[[#This Row],[Downtime (Hours)]], "")</f>
        <v>0</v>
      </c>
      <c r="N1058" s="58">
        <f>IFERROR(Table1[[#This Row],[Running Time (hr)]]/Table1[Target Time (Hours)], "")</f>
        <v>1</v>
      </c>
      <c r="O1058" s="58">
        <f>IFERROR(Table1[[#This Row],[Actual Production (Kg)]]/Table1[Capacity (Kg)], "")</f>
        <v>0.55200000000000005</v>
      </c>
      <c r="P1058" s="58">
        <f>IFERROR(Table1[[#This Row],[Quality Pass Production]]/Table1[[#This Row],[Actual Production (Kg)]], "")</f>
        <v>1</v>
      </c>
      <c r="Q1058" s="58">
        <f>IFERROR(Table1[[#This Row],[Utilization %]]*Table1[[#This Row],[Efficiency %]]*Table1[[#This Row],[Quality %]], "")</f>
        <v>0.55200000000000005</v>
      </c>
      <c r="R1058" s="55" t="s">
        <v>274</v>
      </c>
    </row>
    <row r="1059" spans="1:18" ht="30" customHeight="1" x14ac:dyDescent="0.25">
      <c r="A1059" s="47">
        <v>46212</v>
      </c>
      <c r="B1059" s="48" t="s">
        <v>18</v>
      </c>
      <c r="C1059" s="48" t="s">
        <v>19</v>
      </c>
      <c r="D1059" s="48" t="s">
        <v>20</v>
      </c>
      <c r="E1059" s="49">
        <v>10000</v>
      </c>
      <c r="F1059" s="76">
        <v>7304</v>
      </c>
      <c r="G1059" s="34">
        <v>0</v>
      </c>
      <c r="H1059" s="50">
        <f>IFERROR(Table1[Re-process (Kg)]/Table1[Actual Production (Kg)], "")</f>
        <v>0</v>
      </c>
      <c r="I1059" s="49">
        <f>IFERROR(Table1[[#This Row],[Actual Production (Kg)]]-Table1[[#This Row],[Re-process (Kg)]], "")</f>
        <v>7304</v>
      </c>
      <c r="J1059" s="49">
        <v>22</v>
      </c>
      <c r="K1059" s="72"/>
      <c r="L1059" s="49">
        <f>IF(Table1[[#This Row],[Target Time (Hours)]]="","",Table1[[#This Row],[Target Time (Hours)]]-Table1[[#This Row],[Downtime (Hours)]])</f>
        <v>22</v>
      </c>
      <c r="M1059" s="49">
        <f>IFERROR(Table1[[#This Row],[Capacity (Kg)]]/Table1[[#This Row],[Target Time (Hours)]] * Table1[[#This Row],[Downtime (Hours)]], "")</f>
        <v>0</v>
      </c>
      <c r="N1059" s="50">
        <f>IFERROR(Table1[[#This Row],[Running Time (hr)]]/Table1[Target Time (Hours)], "")</f>
        <v>1</v>
      </c>
      <c r="O1059" s="50">
        <f>IFERROR(Table1[[#This Row],[Actual Production (Kg)]]/Table1[Capacity (Kg)], "")</f>
        <v>0.73040000000000005</v>
      </c>
      <c r="P1059" s="50">
        <f>IFERROR(Table1[[#This Row],[Quality Pass Production]]/Table1[[#This Row],[Actual Production (Kg)]], "")</f>
        <v>1</v>
      </c>
      <c r="Q1059" s="50">
        <f>IFERROR(Table1[[#This Row],[Utilization %]]*Table1[[#This Row],[Efficiency %]]*Table1[[#This Row],[Quality %]], "")</f>
        <v>0.73040000000000005</v>
      </c>
    </row>
    <row r="1060" spans="1:18" x14ac:dyDescent="0.25">
      <c r="A1060" s="51">
        <v>46212</v>
      </c>
      <c r="B1060" s="52" t="s">
        <v>18</v>
      </c>
      <c r="C1060" s="52" t="s">
        <v>238</v>
      </c>
      <c r="D1060" s="52" t="s">
        <v>20</v>
      </c>
      <c r="E1060" s="79">
        <f>Table1[[#This Row],[Actual Production (Kg)]]</f>
        <v>8951</v>
      </c>
      <c r="F1060" s="53">
        <v>8951</v>
      </c>
      <c r="G1060" s="38">
        <v>0</v>
      </c>
      <c r="H1060" s="57">
        <f>IFERROR(Table1[Re-process (Kg)]/Table1[Actual Production (Kg)], "")</f>
        <v>0</v>
      </c>
      <c r="I1060" s="53">
        <f>IFERROR(Table1[[#This Row],[Actual Production (Kg)]]-Table1[[#This Row],[Re-process (Kg)]], "")</f>
        <v>8951</v>
      </c>
      <c r="J1060" s="53"/>
      <c r="K1060" s="52"/>
      <c r="L1060" s="53" t="str">
        <f>IF(Table1[[#This Row],[Target Time (Hours)]]="","",Table1[[#This Row],[Target Time (Hours)]]-Table1[[#This Row],[Downtime (Hours)]])</f>
        <v/>
      </c>
      <c r="M1060" s="53" t="str">
        <f>IFERROR(Table1[[#This Row],[Capacity (Kg)]]/Table1[[#This Row],[Target Time (Hours)]] * Table1[[#This Row],[Downtime (Hours)]], "")</f>
        <v/>
      </c>
      <c r="N1060" s="57" t="str">
        <f>IFERROR(Table1[[#This Row],[Running Time (hr)]]/Table1[Target Time (Hours)], "")</f>
        <v/>
      </c>
      <c r="O1060" s="57">
        <f>IFERROR(Table1[[#This Row],[Actual Production (Kg)]]/Table1[Capacity (Kg)], "")</f>
        <v>1</v>
      </c>
      <c r="P1060" s="57">
        <f>IFERROR(Table1[[#This Row],[Quality Pass Production]]/Table1[[#This Row],[Actual Production (Kg)]], "")</f>
        <v>1</v>
      </c>
      <c r="Q1060" s="57" t="str">
        <f>IFERROR(Table1[[#This Row],[Utilization %]]*Table1[[#This Row],[Efficiency %]]*Table1[[#This Row],[Quality %]], "")</f>
        <v/>
      </c>
      <c r="R1060" s="52"/>
    </row>
    <row r="1061" spans="1:18" x14ac:dyDescent="0.25">
      <c r="A1061" s="47">
        <v>46212</v>
      </c>
      <c r="B1061" s="48" t="s">
        <v>18</v>
      </c>
      <c r="C1061" s="48" t="s">
        <v>22</v>
      </c>
      <c r="D1061" s="48" t="s">
        <v>23</v>
      </c>
      <c r="E1061" s="49">
        <v>5000</v>
      </c>
      <c r="F1061" s="76">
        <v>2720</v>
      </c>
      <c r="G1061" s="34">
        <v>0</v>
      </c>
      <c r="H1061" s="50">
        <f>IFERROR(Table1[Re-process (Kg)]/Table1[Actual Production (Kg)], "")</f>
        <v>0</v>
      </c>
      <c r="I1061" s="49">
        <f>IFERROR(Table1[[#This Row],[Actual Production (Kg)]]-Table1[[#This Row],[Re-process (Kg)]], "")</f>
        <v>2720</v>
      </c>
      <c r="J1061" s="49">
        <v>22</v>
      </c>
      <c r="K1061" s="72"/>
      <c r="L1061" s="49">
        <f>IF(Table1[[#This Row],[Target Time (Hours)]]="","",Table1[[#This Row],[Target Time (Hours)]]-Table1[[#This Row],[Downtime (Hours)]])</f>
        <v>22</v>
      </c>
      <c r="M1061" s="49">
        <f>IFERROR(Table1[[#This Row],[Capacity (Kg)]]/Table1[[#This Row],[Target Time (Hours)]] * Table1[[#This Row],[Downtime (Hours)]], "")</f>
        <v>0</v>
      </c>
      <c r="N1061" s="50">
        <f>IFERROR(Table1[[#This Row],[Running Time (hr)]]/Table1[Target Time (Hours)], "")</f>
        <v>1</v>
      </c>
      <c r="O1061" s="50">
        <f>IFERROR(Table1[[#This Row],[Actual Production (Kg)]]/Table1[Capacity (Kg)], "")</f>
        <v>0.54400000000000004</v>
      </c>
      <c r="P1061" s="50">
        <f>IFERROR(Table1[[#This Row],[Quality Pass Production]]/Table1[[#This Row],[Actual Production (Kg)]], "")</f>
        <v>1</v>
      </c>
      <c r="Q1061" s="50">
        <f>IFERROR(Table1[[#This Row],[Utilization %]]*Table1[[#This Row],[Efficiency %]]*Table1[[#This Row],[Quality %]], "")</f>
        <v>0.54400000000000004</v>
      </c>
    </row>
    <row r="1062" spans="1:18" x14ac:dyDescent="0.25">
      <c r="A1062" s="47">
        <v>46212</v>
      </c>
      <c r="B1062" s="48" t="s">
        <v>18</v>
      </c>
      <c r="C1062" s="48" t="s">
        <v>22</v>
      </c>
      <c r="D1062" s="48" t="s">
        <v>25</v>
      </c>
      <c r="E1062" s="49">
        <v>4000</v>
      </c>
      <c r="F1062" s="76">
        <v>7073</v>
      </c>
      <c r="G1062" s="30">
        <v>0</v>
      </c>
      <c r="H1062" s="50">
        <f>IFERROR(Table1[Re-process (Kg)]/Table1[Actual Production (Kg)], "")</f>
        <v>0</v>
      </c>
      <c r="I1062" s="49">
        <f>IFERROR(Table1[[#This Row],[Actual Production (Kg)]]-Table1[[#This Row],[Re-process (Kg)]], "")</f>
        <v>7073</v>
      </c>
      <c r="J1062" s="49"/>
      <c r="K1062" s="72"/>
      <c r="L1062" s="49" t="str">
        <f>IF(Table1[[#This Row],[Target Time (Hours)]]="","",Table1[[#This Row],[Target Time (Hours)]]-Table1[[#This Row],[Downtime (Hours)]])</f>
        <v/>
      </c>
      <c r="M1062" s="49" t="str">
        <f>IFERROR(Table1[[#This Row],[Capacity (Kg)]]/Table1[[#This Row],[Target Time (Hours)]] * Table1[[#This Row],[Downtime (Hours)]], "")</f>
        <v/>
      </c>
      <c r="N1062" s="50" t="str">
        <f>IFERROR(Table1[[#This Row],[Running Time (hr)]]/Table1[Target Time (Hours)], "")</f>
        <v/>
      </c>
      <c r="O1062" s="50">
        <f>IFERROR(Table1[[#This Row],[Actual Production (Kg)]]/Table1[Capacity (Kg)], "")</f>
        <v>1.7682500000000001</v>
      </c>
      <c r="P1062" s="50">
        <f>IFERROR(Table1[[#This Row],[Quality Pass Production]]/Table1[[#This Row],[Actual Production (Kg)]], "")</f>
        <v>1</v>
      </c>
      <c r="Q1062" s="50" t="str">
        <f>IFERROR(Table1[[#This Row],[Utilization %]]*Table1[[#This Row],[Efficiency %]]*Table1[[#This Row],[Quality %]], "")</f>
        <v/>
      </c>
    </row>
    <row r="1063" spans="1:18" x14ac:dyDescent="0.25">
      <c r="A1063" s="47">
        <v>46212</v>
      </c>
      <c r="B1063" s="48" t="s">
        <v>18</v>
      </c>
      <c r="C1063" s="48" t="s">
        <v>26</v>
      </c>
      <c r="D1063" s="48" t="s">
        <v>25</v>
      </c>
      <c r="E1063" s="49">
        <v>7000</v>
      </c>
      <c r="F1063" s="76">
        <v>7400</v>
      </c>
      <c r="G1063" s="34">
        <v>0</v>
      </c>
      <c r="H1063" s="50">
        <f>IFERROR(Table1[Re-process (Kg)]/Table1[Actual Production (Kg)], "")</f>
        <v>0</v>
      </c>
      <c r="I1063" s="49">
        <f>IFERROR(Table1[[#This Row],[Actual Production (Kg)]]-Table1[[#This Row],[Re-process (Kg)]], "")</f>
        <v>7400</v>
      </c>
      <c r="J1063" s="49">
        <v>22</v>
      </c>
      <c r="K1063" s="72"/>
      <c r="L1063" s="49">
        <f>IF(Table1[[#This Row],[Target Time (Hours)]]="","",Table1[[#This Row],[Target Time (Hours)]]-Table1[[#This Row],[Downtime (Hours)]])</f>
        <v>22</v>
      </c>
      <c r="M1063" s="49">
        <f>IFERROR(Table1[[#This Row],[Capacity (Kg)]]/Table1[[#This Row],[Target Time (Hours)]] * Table1[[#This Row],[Downtime (Hours)]], "")</f>
        <v>0</v>
      </c>
      <c r="N1063" s="50">
        <f>IFERROR(Table1[[#This Row],[Running Time (hr)]]/Table1[Target Time (Hours)], "")</f>
        <v>1</v>
      </c>
      <c r="O1063" s="50">
        <f>IFERROR(Table1[[#This Row],[Actual Production (Kg)]]/Table1[Capacity (Kg)], "")</f>
        <v>1.0571428571428572</v>
      </c>
      <c r="P1063" s="50">
        <f>IFERROR(Table1[[#This Row],[Quality Pass Production]]/Table1[[#This Row],[Actual Production (Kg)]], "")</f>
        <v>1</v>
      </c>
      <c r="Q1063" s="50">
        <f>IFERROR(Table1[[#This Row],[Utilization %]]*Table1[[#This Row],[Efficiency %]]*Table1[[#This Row],[Quality %]], "")</f>
        <v>1.0571428571428572</v>
      </c>
    </row>
    <row r="1064" spans="1:18" ht="30" customHeight="1" x14ac:dyDescent="0.25">
      <c r="A1064" s="47">
        <v>46212</v>
      </c>
      <c r="B1064" s="48" t="s">
        <v>18</v>
      </c>
      <c r="C1064" s="48" t="s">
        <v>28</v>
      </c>
      <c r="D1064" s="48" t="s">
        <v>29</v>
      </c>
      <c r="E1064" s="49">
        <v>7800</v>
      </c>
      <c r="F1064" s="76">
        <v>4293</v>
      </c>
      <c r="G1064" s="30">
        <v>0</v>
      </c>
      <c r="H1064" s="50">
        <f>IFERROR(Table1[Re-process (Kg)]/Table1[Actual Production (Kg)], "")</f>
        <v>0</v>
      </c>
      <c r="I1064" s="49">
        <f>IFERROR(Table1[[#This Row],[Actual Production (Kg)]]-Table1[[#This Row],[Re-process (Kg)]], "")</f>
        <v>4293</v>
      </c>
      <c r="J1064" s="49">
        <v>22</v>
      </c>
      <c r="K1064" s="72">
        <v>4.3</v>
      </c>
      <c r="L1064" s="49">
        <f>IF(Table1[[#This Row],[Target Time (Hours)]]="","",Table1[[#This Row],[Target Time (Hours)]]-Table1[[#This Row],[Downtime (Hours)]])</f>
        <v>17.7</v>
      </c>
      <c r="M1064" s="49">
        <f>IFERROR(Table1[[#This Row],[Capacity (Kg)]]/Table1[[#This Row],[Target Time (Hours)]] * Table1[[#This Row],[Downtime (Hours)]], "")</f>
        <v>1524.5454545454545</v>
      </c>
      <c r="N1064" s="50">
        <f>IFERROR(Table1[[#This Row],[Running Time (hr)]]/Table1[Target Time (Hours)], "")</f>
        <v>0.80454545454545456</v>
      </c>
      <c r="O1064" s="50">
        <f>IFERROR(Table1[[#This Row],[Actual Production (Kg)]]/Table1[Capacity (Kg)], "")</f>
        <v>0.55038461538461536</v>
      </c>
      <c r="P1064" s="50">
        <f>IFERROR(Table1[[#This Row],[Quality Pass Production]]/Table1[[#This Row],[Actual Production (Kg)]], "")</f>
        <v>1</v>
      </c>
      <c r="Q1064" s="50">
        <f>IFERROR(Table1[[#This Row],[Utilization %]]*Table1[[#This Row],[Efficiency %]]*Table1[[#This Row],[Quality %]], "")</f>
        <v>0.44280944055944055</v>
      </c>
      <c r="R1064" s="48" t="s">
        <v>290</v>
      </c>
    </row>
    <row r="1065" spans="1:18" ht="30" customHeight="1" x14ac:dyDescent="0.25">
      <c r="A1065" s="51">
        <v>46212</v>
      </c>
      <c r="B1065" s="52" t="s">
        <v>18</v>
      </c>
      <c r="C1065" s="52" t="s">
        <v>135</v>
      </c>
      <c r="D1065" s="52" t="s">
        <v>29</v>
      </c>
      <c r="E1065" s="53"/>
      <c r="F1065" s="53"/>
      <c r="G1065" s="38"/>
      <c r="H1065" s="57" t="str">
        <f>IFERROR(Table1[Re-process (Kg)]/Table1[Actual Production (Kg)], "")</f>
        <v/>
      </c>
      <c r="I1065" s="53">
        <f>IFERROR(Table1[[#This Row],[Actual Production (Kg)]]-Table1[[#This Row],[Re-process (Kg)]], "")</f>
        <v>0</v>
      </c>
      <c r="J1065" s="53"/>
      <c r="K1065" s="52"/>
      <c r="L1065" s="53" t="str">
        <f>IF(Table1[[#This Row],[Target Time (Hours)]]="","",Table1[[#This Row],[Target Time (Hours)]]-Table1[[#This Row],[Downtime (Hours)]])</f>
        <v/>
      </c>
      <c r="M1065" s="53" t="str">
        <f>IFERROR(Table1[[#This Row],[Capacity (Kg)]]/Table1[[#This Row],[Target Time (Hours)]] * Table1[[#This Row],[Downtime (Hours)]], "")</f>
        <v/>
      </c>
      <c r="N1065" s="57" t="str">
        <f>IFERROR(Table1[[#This Row],[Running Time (hr)]]/Table1[Target Time (Hours)], "")</f>
        <v/>
      </c>
      <c r="O1065" s="57" t="str">
        <f>IFERROR(Table1[[#This Row],[Actual Production (Kg)]]/Table1[Capacity (Kg)], "")</f>
        <v/>
      </c>
      <c r="P1065" s="57" t="str">
        <f>IFERROR(Table1[[#This Row],[Quality Pass Production]]/Table1[[#This Row],[Actual Production (Kg)]], "")</f>
        <v/>
      </c>
      <c r="Q1065" s="57" t="str">
        <f>IFERROR(Table1[[#This Row],[Utilization %]]*Table1[[#This Row],[Efficiency %]]*Table1[[#This Row],[Quality %]], "")</f>
        <v/>
      </c>
      <c r="R1065" s="52"/>
    </row>
    <row r="1066" spans="1:18" ht="30" customHeight="1" x14ac:dyDescent="0.25">
      <c r="A1066" s="47">
        <v>46212</v>
      </c>
      <c r="B1066" s="48" t="s">
        <v>18</v>
      </c>
      <c r="C1066" s="48" t="s">
        <v>30</v>
      </c>
      <c r="D1066" s="48" t="s">
        <v>31</v>
      </c>
      <c r="E1066" s="49">
        <v>9000</v>
      </c>
      <c r="F1066" s="76">
        <v>7946</v>
      </c>
      <c r="G1066" s="30">
        <v>0</v>
      </c>
      <c r="H1066" s="50">
        <f>IFERROR(Table1[Re-process (Kg)]/Table1[Actual Production (Kg)], "")</f>
        <v>0</v>
      </c>
      <c r="I1066" s="49">
        <f>IFERROR(Table1[[#This Row],[Actual Production (Kg)]]-Table1[[#This Row],[Re-process (Kg)]], "")</f>
        <v>7946</v>
      </c>
      <c r="J1066" s="49">
        <v>22</v>
      </c>
      <c r="K1066" s="72"/>
      <c r="L1066" s="49">
        <f>IF(Table1[[#This Row],[Target Time (Hours)]]="","",Table1[[#This Row],[Target Time (Hours)]]-Table1[[#This Row],[Downtime (Hours)]])</f>
        <v>22</v>
      </c>
      <c r="M1066" s="49">
        <f>IFERROR(Table1[[#This Row],[Capacity (Kg)]]/Table1[[#This Row],[Target Time (Hours)]] * Table1[[#This Row],[Downtime (Hours)]], "")</f>
        <v>0</v>
      </c>
      <c r="N1066" s="50">
        <f>IFERROR(Table1[[#This Row],[Running Time (hr)]]/Table1[Target Time (Hours)], "")</f>
        <v>1</v>
      </c>
      <c r="O1066" s="50">
        <f>IFERROR(Table1[[#This Row],[Actual Production (Kg)]]/Table1[Capacity (Kg)], "")</f>
        <v>0.88288888888888883</v>
      </c>
      <c r="P1066" s="50">
        <f>IFERROR(Table1[[#This Row],[Quality Pass Production]]/Table1[[#This Row],[Actual Production (Kg)]], "")</f>
        <v>1</v>
      </c>
      <c r="Q1066" s="50">
        <f>IFERROR(Table1[[#This Row],[Utilization %]]*Table1[[#This Row],[Efficiency %]]*Table1[[#This Row],[Quality %]], "")</f>
        <v>0.88288888888888883</v>
      </c>
    </row>
    <row r="1067" spans="1:18" ht="30" customHeight="1" x14ac:dyDescent="0.25">
      <c r="A1067" s="51">
        <v>46212</v>
      </c>
      <c r="B1067" s="52" t="s">
        <v>18</v>
      </c>
      <c r="C1067" s="52" t="s">
        <v>32</v>
      </c>
      <c r="D1067" s="52" t="s">
        <v>31</v>
      </c>
      <c r="E1067" s="79">
        <f>Table1[[#This Row],[Actual Production (Kg)]]</f>
        <v>0</v>
      </c>
      <c r="F1067" s="53"/>
      <c r="G1067" s="38"/>
      <c r="H1067" s="57" t="str">
        <f>IFERROR(Table1[Re-process (Kg)]/Table1[Actual Production (Kg)], "")</f>
        <v/>
      </c>
      <c r="I1067" s="53">
        <f>IFERROR(Table1[[#This Row],[Actual Production (Kg)]]-Table1[[#This Row],[Re-process (Kg)]], "")</f>
        <v>0</v>
      </c>
      <c r="J1067" s="53"/>
      <c r="K1067" s="52"/>
      <c r="L1067" s="53" t="str">
        <f>IF(Table1[[#This Row],[Target Time (Hours)]]="","",Table1[[#This Row],[Target Time (Hours)]]-Table1[[#This Row],[Downtime (Hours)]])</f>
        <v/>
      </c>
      <c r="M1067" s="53" t="str">
        <f>IFERROR(Table1[[#This Row],[Capacity (Kg)]]/Table1[[#This Row],[Target Time (Hours)]] * Table1[[#This Row],[Downtime (Hours)]], "")</f>
        <v/>
      </c>
      <c r="N1067" s="57" t="str">
        <f>IFERROR(Table1[[#This Row],[Running Time (hr)]]/Table1[Target Time (Hours)], "")</f>
        <v/>
      </c>
      <c r="O1067" s="57" t="str">
        <f>IFERROR(Table1[[#This Row],[Actual Production (Kg)]]/Table1[Capacity (Kg)], "")</f>
        <v/>
      </c>
      <c r="P1067" s="57" t="str">
        <f>IFERROR(Table1[[#This Row],[Quality Pass Production]]/Table1[[#This Row],[Actual Production (Kg)]], "")</f>
        <v/>
      </c>
      <c r="Q1067" s="57" t="str">
        <f>IFERROR(Table1[[#This Row],[Utilization %]]*Table1[[#This Row],[Efficiency %]]*Table1[[#This Row],[Quality %]], "")</f>
        <v/>
      </c>
      <c r="R1067" s="52"/>
    </row>
    <row r="1068" spans="1:18" ht="30" customHeight="1" x14ac:dyDescent="0.25">
      <c r="A1068" s="47">
        <v>46212</v>
      </c>
      <c r="B1068" s="48" t="s">
        <v>33</v>
      </c>
      <c r="C1068" s="48" t="s">
        <v>34</v>
      </c>
      <c r="D1068" s="48" t="s">
        <v>35</v>
      </c>
      <c r="E1068" s="49">
        <v>9000</v>
      </c>
      <c r="F1068" s="76">
        <v>5318</v>
      </c>
      <c r="G1068" s="30">
        <v>0</v>
      </c>
      <c r="H1068" s="50">
        <f>IFERROR(Table1[Re-process (Kg)]/Table1[Actual Production (Kg)], "")</f>
        <v>0</v>
      </c>
      <c r="I1068" s="49">
        <f>IFERROR(Table1[[#This Row],[Actual Production (Kg)]]-Table1[[#This Row],[Re-process (Kg)]], "")</f>
        <v>5318</v>
      </c>
      <c r="J1068" s="49">
        <v>22</v>
      </c>
      <c r="K1068" s="72"/>
      <c r="L1068" s="49">
        <f>IF(Table1[[#This Row],[Target Time (Hours)]]="","",Table1[[#This Row],[Target Time (Hours)]]-Table1[[#This Row],[Downtime (Hours)]])</f>
        <v>22</v>
      </c>
      <c r="M1068" s="49">
        <f>IFERROR(Table1[[#This Row],[Capacity (Kg)]]/Table1[[#This Row],[Target Time (Hours)]] * Table1[[#This Row],[Downtime (Hours)]], "")</f>
        <v>0</v>
      </c>
      <c r="N1068" s="50">
        <f>IFERROR(Table1[[#This Row],[Running Time (hr)]]/Table1[Target Time (Hours)], "")</f>
        <v>1</v>
      </c>
      <c r="O1068" s="50">
        <f>IFERROR(Table1[[#This Row],[Actual Production (Kg)]]/Table1[Capacity (Kg)], "")</f>
        <v>0.59088888888888891</v>
      </c>
      <c r="P1068" s="50">
        <f>IFERROR(Table1[[#This Row],[Quality Pass Production]]/Table1[[#This Row],[Actual Production (Kg)]], "")</f>
        <v>1</v>
      </c>
      <c r="Q1068" s="50">
        <f>IFERROR(Table1[[#This Row],[Utilization %]]*Table1[[#This Row],[Efficiency %]]*Table1[[#This Row],[Quality %]], "")</f>
        <v>0.59088888888888891</v>
      </c>
    </row>
    <row r="1069" spans="1:18" x14ac:dyDescent="0.25">
      <c r="A1069" s="47">
        <v>46212</v>
      </c>
      <c r="B1069" s="48" t="s">
        <v>33</v>
      </c>
      <c r="C1069" s="48" t="s">
        <v>36</v>
      </c>
      <c r="D1069" s="48" t="s">
        <v>37</v>
      </c>
      <c r="E1069" s="49">
        <v>8000</v>
      </c>
      <c r="F1069" s="76">
        <v>6664</v>
      </c>
      <c r="G1069" s="34">
        <v>0</v>
      </c>
      <c r="H1069" s="50">
        <f>IFERROR(Table1[Re-process (Kg)]/Table1[Actual Production (Kg)], "")</f>
        <v>0</v>
      </c>
      <c r="I1069" s="49">
        <f>IFERROR(Table1[[#This Row],[Actual Production (Kg)]]-Table1[[#This Row],[Re-process (Kg)]], "")</f>
        <v>6664</v>
      </c>
      <c r="J1069" s="49">
        <v>22</v>
      </c>
      <c r="K1069" s="72">
        <v>1.5</v>
      </c>
      <c r="L1069" s="49">
        <f>IF(Table1[[#This Row],[Target Time (Hours)]]="","",Table1[[#This Row],[Target Time (Hours)]]-Table1[[#This Row],[Downtime (Hours)]])</f>
        <v>20.5</v>
      </c>
      <c r="M1069" s="49">
        <f>IFERROR(Table1[[#This Row],[Capacity (Kg)]]/Table1[[#This Row],[Target Time (Hours)]] * Table1[[#This Row],[Downtime (Hours)]], "")</f>
        <v>545.4545454545455</v>
      </c>
      <c r="N1069" s="50">
        <f>IFERROR(Table1[[#This Row],[Running Time (hr)]]/Table1[Target Time (Hours)], "")</f>
        <v>0.93181818181818177</v>
      </c>
      <c r="O1069" s="50">
        <f>IFERROR(Table1[[#This Row],[Actual Production (Kg)]]/Table1[Capacity (Kg)], "")</f>
        <v>0.83299999999999996</v>
      </c>
      <c r="P1069" s="50">
        <f>IFERROR(Table1[[#This Row],[Quality Pass Production]]/Table1[[#This Row],[Actual Production (Kg)]], "")</f>
        <v>1</v>
      </c>
      <c r="Q1069" s="50">
        <f>IFERROR(Table1[[#This Row],[Utilization %]]*Table1[[#This Row],[Efficiency %]]*Table1[[#This Row],[Quality %]], "")</f>
        <v>0.77620454545454542</v>
      </c>
      <c r="R1069" s="48" t="s">
        <v>286</v>
      </c>
    </row>
    <row r="1070" spans="1:18" ht="30" customHeight="1" x14ac:dyDescent="0.25">
      <c r="A1070" s="47">
        <v>46212</v>
      </c>
      <c r="B1070" s="48" t="s">
        <v>33</v>
      </c>
      <c r="C1070" s="48" t="s">
        <v>39</v>
      </c>
      <c r="D1070" s="48" t="s">
        <v>31</v>
      </c>
      <c r="E1070" s="49">
        <v>6000</v>
      </c>
      <c r="F1070" s="76">
        <v>3460</v>
      </c>
      <c r="G1070" s="30">
        <v>0</v>
      </c>
      <c r="H1070" s="50">
        <f>IFERROR(Table1[Re-process (Kg)]/Table1[Actual Production (Kg)], "")</f>
        <v>0</v>
      </c>
      <c r="I1070" s="49">
        <f>IFERROR(Table1[[#This Row],[Actual Production (Kg)]]-Table1[[#This Row],[Re-process (Kg)]], "")</f>
        <v>3460</v>
      </c>
      <c r="J1070" s="49">
        <v>22</v>
      </c>
      <c r="K1070" s="72"/>
      <c r="L1070" s="49">
        <f>IF(Table1[[#This Row],[Target Time (Hours)]]="","",Table1[[#This Row],[Target Time (Hours)]]-Table1[[#This Row],[Downtime (Hours)]])</f>
        <v>22</v>
      </c>
      <c r="M1070" s="49">
        <f>IFERROR(Table1[[#This Row],[Capacity (Kg)]]/Table1[[#This Row],[Target Time (Hours)]] * Table1[[#This Row],[Downtime (Hours)]], "")</f>
        <v>0</v>
      </c>
      <c r="N1070" s="50">
        <f>IFERROR(Table1[[#This Row],[Running Time (hr)]]/Table1[Target Time (Hours)], "")</f>
        <v>1</v>
      </c>
      <c r="O1070" s="50">
        <f>IFERROR(Table1[[#This Row],[Actual Production (Kg)]]/Table1[Capacity (Kg)], "")</f>
        <v>0.57666666666666666</v>
      </c>
      <c r="P1070" s="50">
        <f>IFERROR(Table1[[#This Row],[Quality Pass Production]]/Table1[[#This Row],[Actual Production (Kg)]], "")</f>
        <v>1</v>
      </c>
      <c r="Q1070" s="50">
        <f>IFERROR(Table1[[#This Row],[Utilization %]]*Table1[[#This Row],[Efficiency %]]*Table1[[#This Row],[Quality %]], "")</f>
        <v>0.57666666666666666</v>
      </c>
      <c r="R1070" s="48" t="s">
        <v>274</v>
      </c>
    </row>
    <row r="1071" spans="1:18" ht="45" customHeight="1" x14ac:dyDescent="0.25">
      <c r="A1071" s="54">
        <v>46212</v>
      </c>
      <c r="B1071" s="55" t="s">
        <v>33</v>
      </c>
      <c r="C1071" s="55" t="s">
        <v>40</v>
      </c>
      <c r="D1071" s="55" t="s">
        <v>31</v>
      </c>
      <c r="E1071" s="56">
        <v>5000</v>
      </c>
      <c r="F1071" s="56">
        <v>3767</v>
      </c>
      <c r="G1071" s="43">
        <v>0</v>
      </c>
      <c r="H1071" s="58">
        <f>IFERROR(Table1[Re-process (Kg)]/Table1[Actual Production (Kg)], "")</f>
        <v>0</v>
      </c>
      <c r="I1071" s="56">
        <f>IFERROR(Table1[[#This Row],[Actual Production (Kg)]]-Table1[[#This Row],[Re-process (Kg)]], "")</f>
        <v>3767</v>
      </c>
      <c r="J1071" s="56">
        <v>22</v>
      </c>
      <c r="K1071" s="55"/>
      <c r="L1071" s="56">
        <f>IF(Table1[[#This Row],[Target Time (Hours)]]="","",Table1[[#This Row],[Target Time (Hours)]]-Table1[[#This Row],[Downtime (Hours)]])</f>
        <v>22</v>
      </c>
      <c r="M1071" s="56">
        <f>IFERROR(Table1[[#This Row],[Capacity (Kg)]]/Table1[[#This Row],[Target Time (Hours)]] * Table1[[#This Row],[Downtime (Hours)]], "")</f>
        <v>0</v>
      </c>
      <c r="N1071" s="58">
        <f>IFERROR(Table1[[#This Row],[Running Time (hr)]]/Table1[Target Time (Hours)], "")</f>
        <v>1</v>
      </c>
      <c r="O1071" s="58">
        <f>IFERROR(Table1[[#This Row],[Actual Production (Kg)]]/Table1[Capacity (Kg)], "")</f>
        <v>0.75339999999999996</v>
      </c>
      <c r="P1071" s="58">
        <f>IFERROR(Table1[[#This Row],[Quality Pass Production]]/Table1[[#This Row],[Actual Production (Kg)]], "")</f>
        <v>1</v>
      </c>
      <c r="Q1071" s="58">
        <f>IFERROR(Table1[[#This Row],[Utilization %]]*Table1[[#This Row],[Efficiency %]]*Table1[[#This Row],[Quality %]], "")</f>
        <v>0.75339999999999996</v>
      </c>
      <c r="R1071" s="55" t="s">
        <v>274</v>
      </c>
    </row>
    <row r="1072" spans="1:18" ht="45" customHeight="1" x14ac:dyDescent="0.25">
      <c r="A1072" s="47">
        <v>46214</v>
      </c>
      <c r="B1072" s="48" t="s">
        <v>18</v>
      </c>
      <c r="C1072" s="48" t="s">
        <v>19</v>
      </c>
      <c r="D1072" s="48" t="s">
        <v>20</v>
      </c>
      <c r="E1072" s="49">
        <v>10000</v>
      </c>
      <c r="F1072" s="76">
        <v>7557</v>
      </c>
      <c r="G1072" s="34">
        <v>0</v>
      </c>
      <c r="H1072" s="50">
        <f>IFERROR(Table1[Re-process (Kg)]/Table1[Actual Production (Kg)], "")</f>
        <v>0</v>
      </c>
      <c r="I1072" s="49">
        <f>IFERROR(Table1[[#This Row],[Actual Production (Kg)]]-Table1[[#This Row],[Re-process (Kg)]], "")</f>
        <v>7557</v>
      </c>
      <c r="J1072" s="49">
        <v>22</v>
      </c>
      <c r="K1072" s="72">
        <v>4.4000000000000004</v>
      </c>
      <c r="L1072" s="49">
        <f>IF(Table1[[#This Row],[Target Time (Hours)]]="","",Table1[[#This Row],[Target Time (Hours)]]-Table1[[#This Row],[Downtime (Hours)]])</f>
        <v>17.600000000000001</v>
      </c>
      <c r="M1072" s="49">
        <f>IFERROR(Table1[[#This Row],[Capacity (Kg)]]/Table1[[#This Row],[Target Time (Hours)]] * Table1[[#This Row],[Downtime (Hours)]], "")</f>
        <v>2000.0000000000002</v>
      </c>
      <c r="N1072" s="50">
        <f>IFERROR(Table1[[#This Row],[Running Time (hr)]]/Table1[Target Time (Hours)], "")</f>
        <v>0.8</v>
      </c>
      <c r="O1072" s="50">
        <f>IFERROR(Table1[[#This Row],[Actual Production (Kg)]]/Table1[Capacity (Kg)], "")</f>
        <v>0.75570000000000004</v>
      </c>
      <c r="P1072" s="50">
        <f>IFERROR(Table1[[#This Row],[Quality Pass Production]]/Table1[[#This Row],[Actual Production (Kg)]], "")</f>
        <v>1</v>
      </c>
      <c r="Q1072" s="50">
        <f>IFERROR(Table1[[#This Row],[Utilization %]]*Table1[[#This Row],[Efficiency %]]*Table1[[#This Row],[Quality %]], "")</f>
        <v>0.6045600000000001</v>
      </c>
      <c r="R1072" s="48" t="s">
        <v>291</v>
      </c>
    </row>
    <row r="1073" spans="1:18" x14ac:dyDescent="0.25">
      <c r="A1073" s="51">
        <v>46214</v>
      </c>
      <c r="B1073" s="52" t="s">
        <v>18</v>
      </c>
      <c r="C1073" s="52" t="s">
        <v>238</v>
      </c>
      <c r="D1073" s="52" t="s">
        <v>20</v>
      </c>
      <c r="E1073" s="79">
        <f>Table1[[#This Row],[Actual Production (Kg)]]</f>
        <v>9274</v>
      </c>
      <c r="F1073" s="53">
        <v>9274</v>
      </c>
      <c r="G1073" s="38">
        <v>0</v>
      </c>
      <c r="H1073" s="57">
        <f>IFERROR(Table1[Re-process (Kg)]/Table1[Actual Production (Kg)], "")</f>
        <v>0</v>
      </c>
      <c r="I1073" s="53">
        <f>IFERROR(Table1[[#This Row],[Actual Production (Kg)]]-Table1[[#This Row],[Re-process (Kg)]], "")</f>
        <v>9274</v>
      </c>
      <c r="J1073" s="53"/>
      <c r="K1073" s="52"/>
      <c r="L1073" s="53" t="str">
        <f>IF(Table1[[#This Row],[Target Time (Hours)]]="","",Table1[[#This Row],[Target Time (Hours)]]-Table1[[#This Row],[Downtime (Hours)]])</f>
        <v/>
      </c>
      <c r="M1073" s="53" t="str">
        <f>IFERROR(Table1[[#This Row],[Capacity (Kg)]]/Table1[[#This Row],[Target Time (Hours)]] * Table1[[#This Row],[Downtime (Hours)]], "")</f>
        <v/>
      </c>
      <c r="N1073" s="57" t="str">
        <f>IFERROR(Table1[[#This Row],[Running Time (hr)]]/Table1[Target Time (Hours)], "")</f>
        <v/>
      </c>
      <c r="O1073" s="57">
        <f>IFERROR(Table1[[#This Row],[Actual Production (Kg)]]/Table1[Capacity (Kg)], "")</f>
        <v>1</v>
      </c>
      <c r="P1073" s="57">
        <f>IFERROR(Table1[[#This Row],[Quality Pass Production]]/Table1[[#This Row],[Actual Production (Kg)]], "")</f>
        <v>1</v>
      </c>
      <c r="Q1073" s="57" t="str">
        <f>IFERROR(Table1[[#This Row],[Utilization %]]*Table1[[#This Row],[Efficiency %]]*Table1[[#This Row],[Quality %]], "")</f>
        <v/>
      </c>
      <c r="R1073" s="52"/>
    </row>
    <row r="1074" spans="1:18" ht="30" customHeight="1" x14ac:dyDescent="0.25">
      <c r="A1074" s="47">
        <v>46214</v>
      </c>
      <c r="B1074" s="48" t="s">
        <v>18</v>
      </c>
      <c r="C1074" s="48" t="s">
        <v>22</v>
      </c>
      <c r="D1074" s="48" t="s">
        <v>23</v>
      </c>
      <c r="E1074" s="49">
        <v>5000</v>
      </c>
      <c r="F1074" s="76">
        <v>5808</v>
      </c>
      <c r="G1074" s="34">
        <v>0</v>
      </c>
      <c r="H1074" s="50">
        <f>IFERROR(Table1[Re-process (Kg)]/Table1[Actual Production (Kg)], "")</f>
        <v>0</v>
      </c>
      <c r="I1074" s="49">
        <f>IFERROR(Table1[[#This Row],[Actual Production (Kg)]]-Table1[[#This Row],[Re-process (Kg)]], "")</f>
        <v>5808</v>
      </c>
      <c r="J1074" s="49">
        <v>22</v>
      </c>
      <c r="K1074" s="72">
        <v>2.5</v>
      </c>
      <c r="L1074" s="49">
        <f>IF(Table1[[#This Row],[Target Time (Hours)]]="","",Table1[[#This Row],[Target Time (Hours)]]-Table1[[#This Row],[Downtime (Hours)]])</f>
        <v>19.5</v>
      </c>
      <c r="M1074" s="49">
        <f>IFERROR(Table1[[#This Row],[Capacity (Kg)]]/Table1[[#This Row],[Target Time (Hours)]] * Table1[[#This Row],[Downtime (Hours)]], "")</f>
        <v>568.18181818181824</v>
      </c>
      <c r="N1074" s="50">
        <f>IFERROR(Table1[[#This Row],[Running Time (hr)]]/Table1[Target Time (Hours)], "")</f>
        <v>0.88636363636363635</v>
      </c>
      <c r="O1074" s="50">
        <f>IFERROR(Table1[[#This Row],[Actual Production (Kg)]]/Table1[Capacity (Kg)], "")</f>
        <v>1.1616</v>
      </c>
      <c r="P1074" s="50">
        <f>IFERROR(Table1[[#This Row],[Quality Pass Production]]/Table1[[#This Row],[Actual Production (Kg)]], "")</f>
        <v>1</v>
      </c>
      <c r="Q1074" s="50">
        <f>IFERROR(Table1[[#This Row],[Utilization %]]*Table1[[#This Row],[Efficiency %]]*Table1[[#This Row],[Quality %]], "")</f>
        <v>1.0295999999999998</v>
      </c>
      <c r="R1074" s="48" t="s">
        <v>292</v>
      </c>
    </row>
    <row r="1075" spans="1:18" x14ac:dyDescent="0.25">
      <c r="A1075" s="47">
        <v>46214</v>
      </c>
      <c r="B1075" s="48" t="s">
        <v>18</v>
      </c>
      <c r="C1075" s="48" t="s">
        <v>22</v>
      </c>
      <c r="D1075" s="48" t="s">
        <v>25</v>
      </c>
      <c r="E1075" s="49">
        <v>4000</v>
      </c>
      <c r="F1075" s="76">
        <v>1855</v>
      </c>
      <c r="G1075" s="30">
        <v>0</v>
      </c>
      <c r="H1075" s="50">
        <f>IFERROR(Table1[Re-process (Kg)]/Table1[Actual Production (Kg)], "")</f>
        <v>0</v>
      </c>
      <c r="I1075" s="49">
        <f>IFERROR(Table1[[#This Row],[Actual Production (Kg)]]-Table1[[#This Row],[Re-process (Kg)]], "")</f>
        <v>1855</v>
      </c>
      <c r="J1075" s="49"/>
      <c r="K1075" s="72"/>
      <c r="L1075" s="49" t="str">
        <f>IF(Table1[[#This Row],[Target Time (Hours)]]="","",Table1[[#This Row],[Target Time (Hours)]]-Table1[[#This Row],[Downtime (Hours)]])</f>
        <v/>
      </c>
      <c r="M1075" s="49" t="str">
        <f>IFERROR(Table1[[#This Row],[Capacity (Kg)]]/Table1[[#This Row],[Target Time (Hours)]] * Table1[[#This Row],[Downtime (Hours)]], "")</f>
        <v/>
      </c>
      <c r="N1075" s="50" t="str">
        <f>IFERROR(Table1[[#This Row],[Running Time (hr)]]/Table1[Target Time (Hours)], "")</f>
        <v/>
      </c>
      <c r="O1075" s="50">
        <f>IFERROR(Table1[[#This Row],[Actual Production (Kg)]]/Table1[Capacity (Kg)], "")</f>
        <v>0.46375</v>
      </c>
      <c r="P1075" s="50">
        <f>IFERROR(Table1[[#This Row],[Quality Pass Production]]/Table1[[#This Row],[Actual Production (Kg)]], "")</f>
        <v>1</v>
      </c>
      <c r="Q1075" s="50" t="str">
        <f>IFERROR(Table1[[#This Row],[Utilization %]]*Table1[[#This Row],[Efficiency %]]*Table1[[#This Row],[Quality %]], "")</f>
        <v/>
      </c>
    </row>
    <row r="1076" spans="1:18" ht="45" customHeight="1" x14ac:dyDescent="0.25">
      <c r="A1076" s="47">
        <v>46214</v>
      </c>
      <c r="B1076" s="48" t="s">
        <v>18</v>
      </c>
      <c r="C1076" s="48" t="s">
        <v>26</v>
      </c>
      <c r="D1076" s="48" t="s">
        <v>25</v>
      </c>
      <c r="E1076" s="49">
        <v>7000</v>
      </c>
      <c r="F1076" s="76">
        <v>6454</v>
      </c>
      <c r="G1076" s="34">
        <v>0</v>
      </c>
      <c r="H1076" s="50">
        <f>IFERROR(Table1[Re-process (Kg)]/Table1[Actual Production (Kg)], "")</f>
        <v>0</v>
      </c>
      <c r="I1076" s="49">
        <f>IFERROR(Table1[[#This Row],[Actual Production (Kg)]]-Table1[[#This Row],[Re-process (Kg)]], "")</f>
        <v>6454</v>
      </c>
      <c r="J1076" s="49">
        <v>22</v>
      </c>
      <c r="K1076" s="72">
        <v>4.5</v>
      </c>
      <c r="L1076" s="49">
        <f>IF(Table1[[#This Row],[Target Time (Hours)]]="","",Table1[[#This Row],[Target Time (Hours)]]-Table1[[#This Row],[Downtime (Hours)]])</f>
        <v>17.5</v>
      </c>
      <c r="M1076" s="49">
        <f>IFERROR(Table1[[#This Row],[Capacity (Kg)]]/Table1[[#This Row],[Target Time (Hours)]] * Table1[[#This Row],[Downtime (Hours)]], "")</f>
        <v>1431.8181818181818</v>
      </c>
      <c r="N1076" s="50">
        <f>IFERROR(Table1[[#This Row],[Running Time (hr)]]/Table1[Target Time (Hours)], "")</f>
        <v>0.79545454545454541</v>
      </c>
      <c r="O1076" s="50">
        <f>IFERROR(Table1[[#This Row],[Actual Production (Kg)]]/Table1[Capacity (Kg)], "")</f>
        <v>0.92200000000000004</v>
      </c>
      <c r="P1076" s="50">
        <f>IFERROR(Table1[[#This Row],[Quality Pass Production]]/Table1[[#This Row],[Actual Production (Kg)]], "")</f>
        <v>1</v>
      </c>
      <c r="Q1076" s="50">
        <f>IFERROR(Table1[[#This Row],[Utilization %]]*Table1[[#This Row],[Efficiency %]]*Table1[[#This Row],[Quality %]], "")</f>
        <v>0.7334090909090909</v>
      </c>
      <c r="R1076" s="48" t="s">
        <v>293</v>
      </c>
    </row>
    <row r="1077" spans="1:18" ht="30" customHeight="1" x14ac:dyDescent="0.25">
      <c r="A1077" s="47">
        <v>46214</v>
      </c>
      <c r="B1077" s="48" t="s">
        <v>18</v>
      </c>
      <c r="C1077" s="48" t="s">
        <v>28</v>
      </c>
      <c r="D1077" s="48" t="s">
        <v>29</v>
      </c>
      <c r="E1077" s="49">
        <v>7800</v>
      </c>
      <c r="F1077" s="76">
        <v>5331</v>
      </c>
      <c r="G1077" s="30">
        <v>0</v>
      </c>
      <c r="H1077" s="50">
        <f>IFERROR(Table1[Re-process (Kg)]/Table1[Actual Production (Kg)], "")</f>
        <v>0</v>
      </c>
      <c r="I1077" s="49">
        <f>IFERROR(Table1[[#This Row],[Actual Production (Kg)]]-Table1[[#This Row],[Re-process (Kg)]], "")</f>
        <v>5331</v>
      </c>
      <c r="J1077" s="49">
        <v>22</v>
      </c>
      <c r="K1077" s="72">
        <v>7</v>
      </c>
      <c r="L1077" s="49">
        <f>IF(Table1[[#This Row],[Target Time (Hours)]]="","",Table1[[#This Row],[Target Time (Hours)]]-Table1[[#This Row],[Downtime (Hours)]])</f>
        <v>15</v>
      </c>
      <c r="M1077" s="49">
        <f>IFERROR(Table1[[#This Row],[Capacity (Kg)]]/Table1[[#This Row],[Target Time (Hours)]] * Table1[[#This Row],[Downtime (Hours)]], "")</f>
        <v>2481.818181818182</v>
      </c>
      <c r="N1077" s="50">
        <f>IFERROR(Table1[[#This Row],[Running Time (hr)]]/Table1[Target Time (Hours)], "")</f>
        <v>0.68181818181818177</v>
      </c>
      <c r="O1077" s="50">
        <f>IFERROR(Table1[[#This Row],[Actual Production (Kg)]]/Table1[Capacity (Kg)], "")</f>
        <v>0.68346153846153845</v>
      </c>
      <c r="P1077" s="50">
        <f>IFERROR(Table1[[#This Row],[Quality Pass Production]]/Table1[[#This Row],[Actual Production (Kg)]], "")</f>
        <v>1</v>
      </c>
      <c r="Q1077" s="50">
        <f>IFERROR(Table1[[#This Row],[Utilization %]]*Table1[[#This Row],[Efficiency %]]*Table1[[#This Row],[Quality %]], "")</f>
        <v>0.46599650349650346</v>
      </c>
      <c r="R1077" s="48" t="s">
        <v>294</v>
      </c>
    </row>
    <row r="1078" spans="1:18" ht="30" customHeight="1" x14ac:dyDescent="0.25">
      <c r="A1078" s="51">
        <v>46214</v>
      </c>
      <c r="B1078" s="52" t="s">
        <v>18</v>
      </c>
      <c r="C1078" s="52" t="s">
        <v>135</v>
      </c>
      <c r="D1078" s="52" t="s">
        <v>29</v>
      </c>
      <c r="E1078" s="53"/>
      <c r="F1078" s="53"/>
      <c r="G1078" s="38"/>
      <c r="H1078" s="57" t="str">
        <f>IFERROR(Table1[Re-process (Kg)]/Table1[Actual Production (Kg)], "")</f>
        <v/>
      </c>
      <c r="I1078" s="53">
        <f>IFERROR(Table1[[#This Row],[Actual Production (Kg)]]-Table1[[#This Row],[Re-process (Kg)]], "")</f>
        <v>0</v>
      </c>
      <c r="J1078" s="53"/>
      <c r="K1078" s="52"/>
      <c r="L1078" s="53" t="str">
        <f>IF(Table1[[#This Row],[Target Time (Hours)]]="","",Table1[[#This Row],[Target Time (Hours)]]-Table1[[#This Row],[Downtime (Hours)]])</f>
        <v/>
      </c>
      <c r="M1078" s="53" t="str">
        <f>IFERROR(Table1[[#This Row],[Capacity (Kg)]]/Table1[[#This Row],[Target Time (Hours)]] * Table1[[#This Row],[Downtime (Hours)]], "")</f>
        <v/>
      </c>
      <c r="N1078" s="57" t="str">
        <f>IFERROR(Table1[[#This Row],[Running Time (hr)]]/Table1[Target Time (Hours)], "")</f>
        <v/>
      </c>
      <c r="O1078" s="57" t="str">
        <f>IFERROR(Table1[[#This Row],[Actual Production (Kg)]]/Table1[Capacity (Kg)], "")</f>
        <v/>
      </c>
      <c r="P1078" s="57" t="str">
        <f>IFERROR(Table1[[#This Row],[Quality Pass Production]]/Table1[[#This Row],[Actual Production (Kg)]], "")</f>
        <v/>
      </c>
      <c r="Q1078" s="57" t="str">
        <f>IFERROR(Table1[[#This Row],[Utilization %]]*Table1[[#This Row],[Efficiency %]]*Table1[[#This Row],[Quality %]], "")</f>
        <v/>
      </c>
      <c r="R1078" s="52"/>
    </row>
    <row r="1079" spans="1:18" ht="30" customHeight="1" x14ac:dyDescent="0.25">
      <c r="A1079" s="47">
        <v>46214</v>
      </c>
      <c r="B1079" s="48" t="s">
        <v>18</v>
      </c>
      <c r="C1079" s="48" t="s">
        <v>30</v>
      </c>
      <c r="D1079" s="48" t="s">
        <v>31</v>
      </c>
      <c r="E1079" s="49">
        <v>9000</v>
      </c>
      <c r="F1079" s="76">
        <v>8102</v>
      </c>
      <c r="G1079" s="30">
        <v>0</v>
      </c>
      <c r="H1079" s="50">
        <f>IFERROR(Table1[Re-process (Kg)]/Table1[Actual Production (Kg)], "")</f>
        <v>0</v>
      </c>
      <c r="I1079" s="49">
        <f>IFERROR(Table1[[#This Row],[Actual Production (Kg)]]-Table1[[#This Row],[Re-process (Kg)]], "")</f>
        <v>8102</v>
      </c>
      <c r="J1079" s="49">
        <v>22</v>
      </c>
      <c r="K1079" s="72"/>
      <c r="L1079" s="49">
        <f>IF(Table1[[#This Row],[Target Time (Hours)]]="","",Table1[[#This Row],[Target Time (Hours)]]-Table1[[#This Row],[Downtime (Hours)]])</f>
        <v>22</v>
      </c>
      <c r="M1079" s="49">
        <f>IFERROR(Table1[[#This Row],[Capacity (Kg)]]/Table1[[#This Row],[Target Time (Hours)]] * Table1[[#This Row],[Downtime (Hours)]], "")</f>
        <v>0</v>
      </c>
      <c r="N1079" s="50">
        <f>IFERROR(Table1[[#This Row],[Running Time (hr)]]/Table1[Target Time (Hours)], "")</f>
        <v>1</v>
      </c>
      <c r="O1079" s="50">
        <f>IFERROR(Table1[[#This Row],[Actual Production (Kg)]]/Table1[Capacity (Kg)], "")</f>
        <v>0.90022222222222226</v>
      </c>
      <c r="P1079" s="50">
        <f>IFERROR(Table1[[#This Row],[Quality Pass Production]]/Table1[[#This Row],[Actual Production (Kg)]], "")</f>
        <v>1</v>
      </c>
      <c r="Q1079" s="50">
        <f>IFERROR(Table1[[#This Row],[Utilization %]]*Table1[[#This Row],[Efficiency %]]*Table1[[#This Row],[Quality %]], "")</f>
        <v>0.90022222222222226</v>
      </c>
    </row>
    <row r="1080" spans="1:18" ht="30" customHeight="1" x14ac:dyDescent="0.25">
      <c r="A1080" s="51">
        <v>46214</v>
      </c>
      <c r="B1080" s="52" t="s">
        <v>18</v>
      </c>
      <c r="C1080" s="52" t="s">
        <v>32</v>
      </c>
      <c r="D1080" s="52" t="s">
        <v>31</v>
      </c>
      <c r="E1080" s="79">
        <f>Table1[[#This Row],[Actual Production (Kg)]]</f>
        <v>3063</v>
      </c>
      <c r="F1080" s="53">
        <v>3063</v>
      </c>
      <c r="G1080" s="38"/>
      <c r="H1080" s="57">
        <f>IFERROR(Table1[Re-process (Kg)]/Table1[Actual Production (Kg)], "")</f>
        <v>0</v>
      </c>
      <c r="I1080" s="53">
        <f>IFERROR(Table1[[#This Row],[Actual Production (Kg)]]-Table1[[#This Row],[Re-process (Kg)]], "")</f>
        <v>3063</v>
      </c>
      <c r="J1080" s="53"/>
      <c r="K1080" s="52"/>
      <c r="L1080" s="53" t="str">
        <f>IF(Table1[[#This Row],[Target Time (Hours)]]="","",Table1[[#This Row],[Target Time (Hours)]]-Table1[[#This Row],[Downtime (Hours)]])</f>
        <v/>
      </c>
      <c r="M1080" s="53" t="str">
        <f>IFERROR(Table1[[#This Row],[Capacity (Kg)]]/Table1[[#This Row],[Target Time (Hours)]] * Table1[[#This Row],[Downtime (Hours)]], "")</f>
        <v/>
      </c>
      <c r="N1080" s="57" t="str">
        <f>IFERROR(Table1[[#This Row],[Running Time (hr)]]/Table1[Target Time (Hours)], "")</f>
        <v/>
      </c>
      <c r="O1080" s="57">
        <f>IFERROR(Table1[[#This Row],[Actual Production (Kg)]]/Table1[Capacity (Kg)], "")</f>
        <v>1</v>
      </c>
      <c r="P1080" s="57">
        <f>IFERROR(Table1[[#This Row],[Quality Pass Production]]/Table1[[#This Row],[Actual Production (Kg)]], "")</f>
        <v>1</v>
      </c>
      <c r="Q1080" s="57" t="str">
        <f>IFERROR(Table1[[#This Row],[Utilization %]]*Table1[[#This Row],[Efficiency %]]*Table1[[#This Row],[Quality %]], "")</f>
        <v/>
      </c>
      <c r="R1080" s="52" t="s">
        <v>295</v>
      </c>
    </row>
    <row r="1081" spans="1:18" ht="30" customHeight="1" x14ac:dyDescent="0.25">
      <c r="A1081" s="47">
        <v>46214</v>
      </c>
      <c r="B1081" s="48" t="s">
        <v>33</v>
      </c>
      <c r="C1081" s="48" t="s">
        <v>34</v>
      </c>
      <c r="D1081" s="48" t="s">
        <v>35</v>
      </c>
      <c r="E1081" s="49">
        <v>9000</v>
      </c>
      <c r="F1081" s="76">
        <v>7189</v>
      </c>
      <c r="G1081" s="30">
        <v>0</v>
      </c>
      <c r="H1081" s="50">
        <f>IFERROR(Table1[Re-process (Kg)]/Table1[Actual Production (Kg)], "")</f>
        <v>0</v>
      </c>
      <c r="I1081" s="49">
        <f>IFERROR(Table1[[#This Row],[Actual Production (Kg)]]-Table1[[#This Row],[Re-process (Kg)]], "")</f>
        <v>7189</v>
      </c>
      <c r="J1081" s="49">
        <v>22</v>
      </c>
      <c r="K1081" s="72"/>
      <c r="L1081" s="49">
        <f>IF(Table1[[#This Row],[Target Time (Hours)]]="","",Table1[[#This Row],[Target Time (Hours)]]-Table1[[#This Row],[Downtime (Hours)]])</f>
        <v>22</v>
      </c>
      <c r="M1081" s="49">
        <f>IFERROR(Table1[[#This Row],[Capacity (Kg)]]/Table1[[#This Row],[Target Time (Hours)]] * Table1[[#This Row],[Downtime (Hours)]], "")</f>
        <v>0</v>
      </c>
      <c r="N1081" s="50">
        <f>IFERROR(Table1[[#This Row],[Running Time (hr)]]/Table1[Target Time (Hours)], "")</f>
        <v>1</v>
      </c>
      <c r="O1081" s="50">
        <f>IFERROR(Table1[[#This Row],[Actual Production (Kg)]]/Table1[Capacity (Kg)], "")</f>
        <v>0.79877777777777781</v>
      </c>
      <c r="P1081" s="50">
        <f>IFERROR(Table1[[#This Row],[Quality Pass Production]]/Table1[[#This Row],[Actual Production (Kg)]], "")</f>
        <v>1</v>
      </c>
      <c r="Q1081" s="50">
        <f>IFERROR(Table1[[#This Row],[Utilization %]]*Table1[[#This Row],[Efficiency %]]*Table1[[#This Row],[Quality %]], "")</f>
        <v>0.79877777777777781</v>
      </c>
      <c r="R1081" s="48" t="s">
        <v>296</v>
      </c>
    </row>
    <row r="1082" spans="1:18" ht="45" customHeight="1" x14ac:dyDescent="0.25">
      <c r="A1082" s="47">
        <v>46214</v>
      </c>
      <c r="B1082" s="48" t="s">
        <v>33</v>
      </c>
      <c r="C1082" s="48" t="s">
        <v>36</v>
      </c>
      <c r="D1082" s="48" t="s">
        <v>37</v>
      </c>
      <c r="E1082" s="49">
        <v>8000</v>
      </c>
      <c r="F1082" s="76">
        <v>6446</v>
      </c>
      <c r="G1082" s="34">
        <v>0</v>
      </c>
      <c r="H1082" s="50">
        <f>IFERROR(Table1[Re-process (Kg)]/Table1[Actual Production (Kg)], "")</f>
        <v>0</v>
      </c>
      <c r="I1082" s="49">
        <f>IFERROR(Table1[[#This Row],[Actual Production (Kg)]]-Table1[[#This Row],[Re-process (Kg)]], "")</f>
        <v>6446</v>
      </c>
      <c r="J1082" s="49">
        <v>22</v>
      </c>
      <c r="K1082" s="72">
        <v>4.55</v>
      </c>
      <c r="L1082" s="49">
        <f>IF(Table1[[#This Row],[Target Time (Hours)]]="","",Table1[[#This Row],[Target Time (Hours)]]-Table1[[#This Row],[Downtime (Hours)]])</f>
        <v>17.45</v>
      </c>
      <c r="M1082" s="49">
        <f>IFERROR(Table1[[#This Row],[Capacity (Kg)]]/Table1[[#This Row],[Target Time (Hours)]] * Table1[[#This Row],[Downtime (Hours)]], "")</f>
        <v>1654.5454545454545</v>
      </c>
      <c r="N1082" s="50">
        <f>IFERROR(Table1[[#This Row],[Running Time (hr)]]/Table1[Target Time (Hours)], "")</f>
        <v>0.7931818181818181</v>
      </c>
      <c r="O1082" s="50">
        <f>IFERROR(Table1[[#This Row],[Actual Production (Kg)]]/Table1[Capacity (Kg)], "")</f>
        <v>0.80574999999999997</v>
      </c>
      <c r="P1082" s="50">
        <f>IFERROR(Table1[[#This Row],[Quality Pass Production]]/Table1[[#This Row],[Actual Production (Kg)]], "")</f>
        <v>1</v>
      </c>
      <c r="Q1082" s="50">
        <f>IFERROR(Table1[[#This Row],[Utilization %]]*Table1[[#This Row],[Efficiency %]]*Table1[[#This Row],[Quality %]], "")</f>
        <v>0.63910624999999988</v>
      </c>
      <c r="R1082" s="48" t="s">
        <v>297</v>
      </c>
    </row>
    <row r="1083" spans="1:18" ht="30" customHeight="1" x14ac:dyDescent="0.25">
      <c r="A1083" s="47">
        <v>46214</v>
      </c>
      <c r="B1083" s="48" t="s">
        <v>33</v>
      </c>
      <c r="C1083" s="48" t="s">
        <v>39</v>
      </c>
      <c r="D1083" s="48" t="s">
        <v>31</v>
      </c>
      <c r="E1083" s="49">
        <v>6000</v>
      </c>
      <c r="F1083" s="76">
        <v>3161</v>
      </c>
      <c r="G1083" s="30">
        <v>0</v>
      </c>
      <c r="H1083" s="50">
        <f>IFERROR(Table1[Re-process (Kg)]/Table1[Actual Production (Kg)], "")</f>
        <v>0</v>
      </c>
      <c r="I1083" s="49">
        <f>IFERROR(Table1[[#This Row],[Actual Production (Kg)]]-Table1[[#This Row],[Re-process (Kg)]], "")</f>
        <v>3161</v>
      </c>
      <c r="J1083" s="49">
        <v>22</v>
      </c>
      <c r="K1083" s="72"/>
      <c r="L1083" s="49">
        <f>IF(Table1[[#This Row],[Target Time (Hours)]]="","",Table1[[#This Row],[Target Time (Hours)]]-Table1[[#This Row],[Downtime (Hours)]])</f>
        <v>22</v>
      </c>
      <c r="M1083" s="49">
        <f>IFERROR(Table1[[#This Row],[Capacity (Kg)]]/Table1[[#This Row],[Target Time (Hours)]] * Table1[[#This Row],[Downtime (Hours)]], "")</f>
        <v>0</v>
      </c>
      <c r="N1083" s="50">
        <f>IFERROR(Table1[[#This Row],[Running Time (hr)]]/Table1[Target Time (Hours)], "")</f>
        <v>1</v>
      </c>
      <c r="O1083" s="50">
        <f>IFERROR(Table1[[#This Row],[Actual Production (Kg)]]/Table1[Capacity (Kg)], "")</f>
        <v>0.52683333333333338</v>
      </c>
      <c r="P1083" s="50">
        <f>IFERROR(Table1[[#This Row],[Quality Pass Production]]/Table1[[#This Row],[Actual Production (Kg)]], "")</f>
        <v>1</v>
      </c>
      <c r="Q1083" s="50">
        <f>IFERROR(Table1[[#This Row],[Utilization %]]*Table1[[#This Row],[Efficiency %]]*Table1[[#This Row],[Quality %]], "")</f>
        <v>0.52683333333333338</v>
      </c>
      <c r="R1083" s="48" t="s">
        <v>296</v>
      </c>
    </row>
    <row r="1084" spans="1:18" ht="45" customHeight="1" x14ac:dyDescent="0.25">
      <c r="A1084" s="54">
        <v>46214</v>
      </c>
      <c r="B1084" s="55" t="s">
        <v>33</v>
      </c>
      <c r="C1084" s="55" t="s">
        <v>40</v>
      </c>
      <c r="D1084" s="55" t="s">
        <v>31</v>
      </c>
      <c r="E1084" s="56">
        <v>5000</v>
      </c>
      <c r="F1084" s="56">
        <v>1703</v>
      </c>
      <c r="G1084" s="43">
        <v>0</v>
      </c>
      <c r="H1084" s="58">
        <f>IFERROR(Table1[Re-process (Kg)]/Table1[Actual Production (Kg)], "")</f>
        <v>0</v>
      </c>
      <c r="I1084" s="56">
        <f>IFERROR(Table1[[#This Row],[Actual Production (Kg)]]-Table1[[#This Row],[Re-process (Kg)]], "")</f>
        <v>1703</v>
      </c>
      <c r="J1084" s="56">
        <v>22</v>
      </c>
      <c r="K1084" s="55"/>
      <c r="L1084" s="56">
        <f>IF(Table1[[#This Row],[Target Time (Hours)]]="","",Table1[[#This Row],[Target Time (Hours)]]-Table1[[#This Row],[Downtime (Hours)]])</f>
        <v>22</v>
      </c>
      <c r="M1084" s="56">
        <f>IFERROR(Table1[[#This Row],[Capacity (Kg)]]/Table1[[#This Row],[Target Time (Hours)]] * Table1[[#This Row],[Downtime (Hours)]], "")</f>
        <v>0</v>
      </c>
      <c r="N1084" s="58">
        <f>IFERROR(Table1[[#This Row],[Running Time (hr)]]/Table1[Target Time (Hours)], "")</f>
        <v>1</v>
      </c>
      <c r="O1084" s="58">
        <f>IFERROR(Table1[[#This Row],[Actual Production (Kg)]]/Table1[Capacity (Kg)], "")</f>
        <v>0.34060000000000001</v>
      </c>
      <c r="P1084" s="58">
        <f>IFERROR(Table1[[#This Row],[Quality Pass Production]]/Table1[[#This Row],[Actual Production (Kg)]], "")</f>
        <v>1</v>
      </c>
      <c r="Q1084" s="58">
        <f>IFERROR(Table1[[#This Row],[Utilization %]]*Table1[[#This Row],[Efficiency %]]*Table1[[#This Row],[Quality %]], "")</f>
        <v>0.34060000000000001</v>
      </c>
      <c r="R1084" s="55" t="s">
        <v>296</v>
      </c>
    </row>
    <row r="1085" spans="1:18" ht="45" customHeight="1" x14ac:dyDescent="0.25">
      <c r="A1085" s="47">
        <v>46215</v>
      </c>
      <c r="B1085" s="48" t="s">
        <v>18</v>
      </c>
      <c r="C1085" s="48" t="s">
        <v>19</v>
      </c>
      <c r="D1085" s="48" t="s">
        <v>20</v>
      </c>
      <c r="E1085" s="49">
        <v>10000</v>
      </c>
      <c r="F1085" s="76">
        <v>8957</v>
      </c>
      <c r="G1085" s="34">
        <v>0</v>
      </c>
      <c r="H1085" s="50">
        <f>IFERROR(Table1[Re-process (Kg)]/Table1[Actual Production (Kg)], "")</f>
        <v>0</v>
      </c>
      <c r="I1085" s="49">
        <f>IFERROR(Table1[[#This Row],[Actual Production (Kg)]]-Table1[[#This Row],[Re-process (Kg)]], "")</f>
        <v>8957</v>
      </c>
      <c r="J1085" s="49">
        <v>22</v>
      </c>
      <c r="K1085" s="72">
        <v>2</v>
      </c>
      <c r="L1085" s="49">
        <f>IF(Table1[[#This Row],[Target Time (Hours)]]="","",Table1[[#This Row],[Target Time (Hours)]]-Table1[[#This Row],[Downtime (Hours)]])</f>
        <v>20</v>
      </c>
      <c r="M1085" s="49">
        <f>IFERROR(Table1[[#This Row],[Capacity (Kg)]]/Table1[[#This Row],[Target Time (Hours)]] * Table1[[#This Row],[Downtime (Hours)]], "")</f>
        <v>909.09090909090912</v>
      </c>
      <c r="N1085" s="50">
        <f>IFERROR(Table1[[#This Row],[Running Time (hr)]]/Table1[Target Time (Hours)], "")</f>
        <v>0.90909090909090906</v>
      </c>
      <c r="O1085" s="50">
        <f>IFERROR(Table1[[#This Row],[Actual Production (Kg)]]/Table1[Capacity (Kg)], "")</f>
        <v>0.89570000000000005</v>
      </c>
      <c r="P1085" s="50">
        <f>IFERROR(Table1[[#This Row],[Quality Pass Production]]/Table1[[#This Row],[Actual Production (Kg)]], "")</f>
        <v>1</v>
      </c>
      <c r="Q1085" s="50">
        <f>IFERROR(Table1[[#This Row],[Utilization %]]*Table1[[#This Row],[Efficiency %]]*Table1[[#This Row],[Quality %]], "")</f>
        <v>0.81427272727272726</v>
      </c>
      <c r="R1085" s="48" t="s">
        <v>298</v>
      </c>
    </row>
    <row r="1086" spans="1:18" x14ac:dyDescent="0.25">
      <c r="A1086" s="51">
        <v>46215</v>
      </c>
      <c r="B1086" s="52" t="s">
        <v>18</v>
      </c>
      <c r="C1086" s="52" t="s">
        <v>238</v>
      </c>
      <c r="D1086" s="52" t="s">
        <v>20</v>
      </c>
      <c r="E1086" s="79">
        <f>Table1[[#This Row],[Actual Production (Kg)]]</f>
        <v>10416</v>
      </c>
      <c r="F1086" s="53">
        <v>10416</v>
      </c>
      <c r="G1086" s="38">
        <v>0</v>
      </c>
      <c r="H1086" s="57">
        <f>IFERROR(Table1[Re-process (Kg)]/Table1[Actual Production (Kg)], "")</f>
        <v>0</v>
      </c>
      <c r="I1086" s="53">
        <f>IFERROR(Table1[[#This Row],[Actual Production (Kg)]]-Table1[[#This Row],[Re-process (Kg)]], "")</f>
        <v>10416</v>
      </c>
      <c r="J1086" s="53"/>
      <c r="K1086" s="52"/>
      <c r="L1086" s="53" t="str">
        <f>IF(Table1[[#This Row],[Target Time (Hours)]]="","",Table1[[#This Row],[Target Time (Hours)]]-Table1[[#This Row],[Downtime (Hours)]])</f>
        <v/>
      </c>
      <c r="M1086" s="53" t="str">
        <f>IFERROR(Table1[[#This Row],[Capacity (Kg)]]/Table1[[#This Row],[Target Time (Hours)]] * Table1[[#This Row],[Downtime (Hours)]], "")</f>
        <v/>
      </c>
      <c r="N1086" s="57" t="str">
        <f>IFERROR(Table1[[#This Row],[Running Time (hr)]]/Table1[Target Time (Hours)], "")</f>
        <v/>
      </c>
      <c r="O1086" s="57">
        <f>IFERROR(Table1[[#This Row],[Actual Production (Kg)]]/Table1[Capacity (Kg)], "")</f>
        <v>1</v>
      </c>
      <c r="P1086" s="57">
        <f>IFERROR(Table1[[#This Row],[Quality Pass Production]]/Table1[[#This Row],[Actual Production (Kg)]], "")</f>
        <v>1</v>
      </c>
      <c r="Q1086" s="57" t="str">
        <f>IFERROR(Table1[[#This Row],[Utilization %]]*Table1[[#This Row],[Efficiency %]]*Table1[[#This Row],[Quality %]], "")</f>
        <v/>
      </c>
      <c r="R1086" s="52"/>
    </row>
    <row r="1087" spans="1:18" x14ac:dyDescent="0.25">
      <c r="A1087" s="47">
        <v>46215</v>
      </c>
      <c r="B1087" s="48" t="s">
        <v>18</v>
      </c>
      <c r="C1087" s="48" t="s">
        <v>22</v>
      </c>
      <c r="D1087" s="48" t="s">
        <v>23</v>
      </c>
      <c r="E1087" s="49">
        <v>5000</v>
      </c>
      <c r="F1087" s="76">
        <v>4522</v>
      </c>
      <c r="G1087" s="34">
        <v>0</v>
      </c>
      <c r="H1087" s="50">
        <f>IFERROR(Table1[Re-process (Kg)]/Table1[Actual Production (Kg)], "")</f>
        <v>0</v>
      </c>
      <c r="I1087" s="49">
        <f>IFERROR(Table1[[#This Row],[Actual Production (Kg)]]-Table1[[#This Row],[Re-process (Kg)]], "")</f>
        <v>4522</v>
      </c>
      <c r="J1087" s="49">
        <v>22</v>
      </c>
      <c r="K1087" s="72"/>
      <c r="L1087" s="49">
        <f>IF(Table1[[#This Row],[Target Time (Hours)]]="","",Table1[[#This Row],[Target Time (Hours)]]-Table1[[#This Row],[Downtime (Hours)]])</f>
        <v>22</v>
      </c>
      <c r="M1087" s="49">
        <f>IFERROR(Table1[[#This Row],[Capacity (Kg)]]/Table1[[#This Row],[Target Time (Hours)]] * Table1[[#This Row],[Downtime (Hours)]], "")</f>
        <v>0</v>
      </c>
      <c r="N1087" s="50">
        <f>IFERROR(Table1[[#This Row],[Running Time (hr)]]/Table1[Target Time (Hours)], "")</f>
        <v>1</v>
      </c>
      <c r="O1087" s="50">
        <f>IFERROR(Table1[[#This Row],[Actual Production (Kg)]]/Table1[Capacity (Kg)], "")</f>
        <v>0.90439999999999998</v>
      </c>
      <c r="P1087" s="50">
        <f>IFERROR(Table1[[#This Row],[Quality Pass Production]]/Table1[[#This Row],[Actual Production (Kg)]], "")</f>
        <v>1</v>
      </c>
      <c r="Q1087" s="50">
        <f>IFERROR(Table1[[#This Row],[Utilization %]]*Table1[[#This Row],[Efficiency %]]*Table1[[#This Row],[Quality %]], "")</f>
        <v>0.90439999999999998</v>
      </c>
    </row>
    <row r="1088" spans="1:18" x14ac:dyDescent="0.25">
      <c r="A1088" s="47">
        <v>46215</v>
      </c>
      <c r="B1088" s="48" t="s">
        <v>18</v>
      </c>
      <c r="C1088" s="48" t="s">
        <v>22</v>
      </c>
      <c r="D1088" s="48" t="s">
        <v>25</v>
      </c>
      <c r="E1088" s="49">
        <v>4000</v>
      </c>
      <c r="F1088" s="76">
        <v>4445</v>
      </c>
      <c r="G1088" s="30">
        <v>0</v>
      </c>
      <c r="H1088" s="50">
        <f>IFERROR(Table1[Re-process (Kg)]/Table1[Actual Production (Kg)], "")</f>
        <v>0</v>
      </c>
      <c r="I1088" s="49">
        <f>IFERROR(Table1[[#This Row],[Actual Production (Kg)]]-Table1[[#This Row],[Re-process (Kg)]], "")</f>
        <v>4445</v>
      </c>
      <c r="J1088" s="49"/>
      <c r="K1088" s="72"/>
      <c r="L1088" s="49" t="str">
        <f>IF(Table1[[#This Row],[Target Time (Hours)]]="","",Table1[[#This Row],[Target Time (Hours)]]-Table1[[#This Row],[Downtime (Hours)]])</f>
        <v/>
      </c>
      <c r="M1088" s="49" t="str">
        <f>IFERROR(Table1[[#This Row],[Capacity (Kg)]]/Table1[[#This Row],[Target Time (Hours)]] * Table1[[#This Row],[Downtime (Hours)]], "")</f>
        <v/>
      </c>
      <c r="N1088" s="50" t="str">
        <f>IFERROR(Table1[[#This Row],[Running Time (hr)]]/Table1[Target Time (Hours)], "")</f>
        <v/>
      </c>
      <c r="O1088" s="50">
        <f>IFERROR(Table1[[#This Row],[Actual Production (Kg)]]/Table1[Capacity (Kg)], "")</f>
        <v>1.1112500000000001</v>
      </c>
      <c r="P1088" s="50">
        <f>IFERROR(Table1[[#This Row],[Quality Pass Production]]/Table1[[#This Row],[Actual Production (Kg)]], "")</f>
        <v>1</v>
      </c>
      <c r="Q1088" s="50" t="str">
        <f>IFERROR(Table1[[#This Row],[Utilization %]]*Table1[[#This Row],[Efficiency %]]*Table1[[#This Row],[Quality %]], "")</f>
        <v/>
      </c>
    </row>
    <row r="1089" spans="1:18" x14ac:dyDescent="0.25">
      <c r="A1089" s="47">
        <v>46215</v>
      </c>
      <c r="B1089" s="48" t="s">
        <v>18</v>
      </c>
      <c r="C1089" s="48" t="s">
        <v>26</v>
      </c>
      <c r="D1089" s="48" t="s">
        <v>25</v>
      </c>
      <c r="E1089" s="49">
        <v>7000</v>
      </c>
      <c r="F1089" s="76">
        <v>7622</v>
      </c>
      <c r="G1089" s="34">
        <v>0</v>
      </c>
      <c r="H1089" s="50">
        <f>IFERROR(Table1[Re-process (Kg)]/Table1[Actual Production (Kg)], "")</f>
        <v>0</v>
      </c>
      <c r="I1089" s="49">
        <f>IFERROR(Table1[[#This Row],[Actual Production (Kg)]]-Table1[[#This Row],[Re-process (Kg)]], "")</f>
        <v>7622</v>
      </c>
      <c r="J1089" s="49">
        <v>22</v>
      </c>
      <c r="K1089" s="72"/>
      <c r="L1089" s="49">
        <f>IF(Table1[[#This Row],[Target Time (Hours)]]="","",Table1[[#This Row],[Target Time (Hours)]]-Table1[[#This Row],[Downtime (Hours)]])</f>
        <v>22</v>
      </c>
      <c r="M1089" s="49">
        <f>IFERROR(Table1[[#This Row],[Capacity (Kg)]]/Table1[[#This Row],[Target Time (Hours)]] * Table1[[#This Row],[Downtime (Hours)]], "")</f>
        <v>0</v>
      </c>
      <c r="N1089" s="50">
        <f>IFERROR(Table1[[#This Row],[Running Time (hr)]]/Table1[Target Time (Hours)], "")</f>
        <v>1</v>
      </c>
      <c r="O1089" s="50">
        <f>IFERROR(Table1[[#This Row],[Actual Production (Kg)]]/Table1[Capacity (Kg)], "")</f>
        <v>1.088857142857143</v>
      </c>
      <c r="P1089" s="50">
        <f>IFERROR(Table1[[#This Row],[Quality Pass Production]]/Table1[[#This Row],[Actual Production (Kg)]], "")</f>
        <v>1</v>
      </c>
      <c r="Q1089" s="50">
        <f>IFERROR(Table1[[#This Row],[Utilization %]]*Table1[[#This Row],[Efficiency %]]*Table1[[#This Row],[Quality %]], "")</f>
        <v>1.088857142857143</v>
      </c>
    </row>
    <row r="1090" spans="1:18" ht="30" customHeight="1" x14ac:dyDescent="0.25">
      <c r="A1090" s="47">
        <v>46215</v>
      </c>
      <c r="B1090" s="48" t="s">
        <v>18</v>
      </c>
      <c r="C1090" s="48" t="s">
        <v>28</v>
      </c>
      <c r="D1090" s="48" t="s">
        <v>29</v>
      </c>
      <c r="E1090" s="49">
        <v>7800</v>
      </c>
      <c r="F1090" s="76">
        <v>5391</v>
      </c>
      <c r="G1090" s="30">
        <v>0</v>
      </c>
      <c r="H1090" s="50">
        <f>IFERROR(Table1[Re-process (Kg)]/Table1[Actual Production (Kg)], "")</f>
        <v>0</v>
      </c>
      <c r="I1090" s="49">
        <f>IFERROR(Table1[[#This Row],[Actual Production (Kg)]]-Table1[[#This Row],[Re-process (Kg)]], "")</f>
        <v>5391</v>
      </c>
      <c r="J1090" s="49">
        <v>22</v>
      </c>
      <c r="K1090" s="72">
        <v>7</v>
      </c>
      <c r="L1090" s="49">
        <f>IF(Table1[[#This Row],[Target Time (Hours)]]="","",Table1[[#This Row],[Target Time (Hours)]]-Table1[[#This Row],[Downtime (Hours)]])</f>
        <v>15</v>
      </c>
      <c r="M1090" s="49">
        <f>IFERROR(Table1[[#This Row],[Capacity (Kg)]]/Table1[[#This Row],[Target Time (Hours)]] * Table1[[#This Row],[Downtime (Hours)]], "")</f>
        <v>2481.818181818182</v>
      </c>
      <c r="N1090" s="50">
        <f>IFERROR(Table1[[#This Row],[Running Time (hr)]]/Table1[Target Time (Hours)], "")</f>
        <v>0.68181818181818177</v>
      </c>
      <c r="O1090" s="50">
        <f>IFERROR(Table1[[#This Row],[Actual Production (Kg)]]/Table1[Capacity (Kg)], "")</f>
        <v>0.69115384615384612</v>
      </c>
      <c r="P1090" s="50">
        <f>IFERROR(Table1[[#This Row],[Quality Pass Production]]/Table1[[#This Row],[Actual Production (Kg)]], "")</f>
        <v>1</v>
      </c>
      <c r="Q1090" s="50">
        <f>IFERROR(Table1[[#This Row],[Utilization %]]*Table1[[#This Row],[Efficiency %]]*Table1[[#This Row],[Quality %]], "")</f>
        <v>0.47124125874125866</v>
      </c>
      <c r="R1090" s="48" t="s">
        <v>271</v>
      </c>
    </row>
    <row r="1091" spans="1:18" ht="30" customHeight="1" x14ac:dyDescent="0.25">
      <c r="A1091" s="51">
        <v>46215</v>
      </c>
      <c r="B1091" s="52" t="s">
        <v>18</v>
      </c>
      <c r="C1091" s="52" t="s">
        <v>135</v>
      </c>
      <c r="D1091" s="52" t="s">
        <v>29</v>
      </c>
      <c r="E1091" s="53"/>
      <c r="F1091" s="53"/>
      <c r="G1091" s="38"/>
      <c r="H1091" s="57" t="str">
        <f>IFERROR(Table1[Re-process (Kg)]/Table1[Actual Production (Kg)], "")</f>
        <v/>
      </c>
      <c r="I1091" s="53">
        <f>IFERROR(Table1[[#This Row],[Actual Production (Kg)]]-Table1[[#This Row],[Re-process (Kg)]], "")</f>
        <v>0</v>
      </c>
      <c r="J1091" s="53"/>
      <c r="K1091" s="52"/>
      <c r="L1091" s="53" t="str">
        <f>IF(Table1[[#This Row],[Target Time (Hours)]]="","",Table1[[#This Row],[Target Time (Hours)]]-Table1[[#This Row],[Downtime (Hours)]])</f>
        <v/>
      </c>
      <c r="M1091" s="53" t="str">
        <f>IFERROR(Table1[[#This Row],[Capacity (Kg)]]/Table1[[#This Row],[Target Time (Hours)]] * Table1[[#This Row],[Downtime (Hours)]], "")</f>
        <v/>
      </c>
      <c r="N1091" s="57" t="str">
        <f>IFERROR(Table1[[#This Row],[Running Time (hr)]]/Table1[Target Time (Hours)], "")</f>
        <v/>
      </c>
      <c r="O1091" s="57" t="str">
        <f>IFERROR(Table1[[#This Row],[Actual Production (Kg)]]/Table1[Capacity (Kg)], "")</f>
        <v/>
      </c>
      <c r="P1091" s="57" t="str">
        <f>IFERROR(Table1[[#This Row],[Quality Pass Production]]/Table1[[#This Row],[Actual Production (Kg)]], "")</f>
        <v/>
      </c>
      <c r="Q1091" s="57" t="str">
        <f>IFERROR(Table1[[#This Row],[Utilization %]]*Table1[[#This Row],[Efficiency %]]*Table1[[#This Row],[Quality %]], "")</f>
        <v/>
      </c>
      <c r="R1091" s="52"/>
    </row>
    <row r="1092" spans="1:18" ht="30" customHeight="1" x14ac:dyDescent="0.25">
      <c r="A1092" s="47">
        <v>46215</v>
      </c>
      <c r="B1092" s="48" t="s">
        <v>18</v>
      </c>
      <c r="C1092" s="48" t="s">
        <v>30</v>
      </c>
      <c r="D1092" s="48" t="s">
        <v>31</v>
      </c>
      <c r="E1092" s="49">
        <v>9000</v>
      </c>
      <c r="F1092" s="76">
        <v>7730</v>
      </c>
      <c r="G1092" s="30">
        <v>0</v>
      </c>
      <c r="H1092" s="50">
        <f>IFERROR(Table1[Re-process (Kg)]/Table1[Actual Production (Kg)], "")</f>
        <v>0</v>
      </c>
      <c r="I1092" s="49">
        <f>IFERROR(Table1[[#This Row],[Actual Production (Kg)]]-Table1[[#This Row],[Re-process (Kg)]], "")</f>
        <v>7730</v>
      </c>
      <c r="J1092" s="49">
        <v>22</v>
      </c>
      <c r="K1092" s="72"/>
      <c r="L1092" s="49">
        <f>IF(Table1[[#This Row],[Target Time (Hours)]]="","",Table1[[#This Row],[Target Time (Hours)]]-Table1[[#This Row],[Downtime (Hours)]])</f>
        <v>22</v>
      </c>
      <c r="M1092" s="49">
        <f>IFERROR(Table1[[#This Row],[Capacity (Kg)]]/Table1[[#This Row],[Target Time (Hours)]] * Table1[[#This Row],[Downtime (Hours)]], "")</f>
        <v>0</v>
      </c>
      <c r="N1092" s="50">
        <f>IFERROR(Table1[[#This Row],[Running Time (hr)]]/Table1[Target Time (Hours)], "")</f>
        <v>1</v>
      </c>
      <c r="O1092" s="50">
        <f>IFERROR(Table1[[#This Row],[Actual Production (Kg)]]/Table1[Capacity (Kg)], "")</f>
        <v>0.85888888888888892</v>
      </c>
      <c r="P1092" s="50">
        <f>IFERROR(Table1[[#This Row],[Quality Pass Production]]/Table1[[#This Row],[Actual Production (Kg)]], "")</f>
        <v>1</v>
      </c>
      <c r="Q1092" s="50">
        <f>IFERROR(Table1[[#This Row],[Utilization %]]*Table1[[#This Row],[Efficiency %]]*Table1[[#This Row],[Quality %]], "")</f>
        <v>0.85888888888888892</v>
      </c>
    </row>
    <row r="1093" spans="1:18" ht="30" customHeight="1" x14ac:dyDescent="0.25">
      <c r="A1093" s="51">
        <v>46215</v>
      </c>
      <c r="B1093" s="52" t="s">
        <v>18</v>
      </c>
      <c r="C1093" s="52" t="s">
        <v>32</v>
      </c>
      <c r="D1093" s="52" t="s">
        <v>31</v>
      </c>
      <c r="E1093" s="79">
        <v>1451</v>
      </c>
      <c r="F1093" s="53">
        <v>1451</v>
      </c>
      <c r="G1093" s="38"/>
      <c r="H1093" s="57">
        <f>IFERROR(Table1[Re-process (Kg)]/Table1[Actual Production (Kg)], "")</f>
        <v>0</v>
      </c>
      <c r="I1093" s="53">
        <f>IFERROR(Table1[[#This Row],[Actual Production (Kg)]]-Table1[[#This Row],[Re-process (Kg)]], "")</f>
        <v>1451</v>
      </c>
      <c r="J1093" s="53"/>
      <c r="K1093" s="52"/>
      <c r="L1093" s="53" t="str">
        <f>IF(Table1[[#This Row],[Target Time (Hours)]]="","",Table1[[#This Row],[Target Time (Hours)]]-Table1[[#This Row],[Downtime (Hours)]])</f>
        <v/>
      </c>
      <c r="M1093" s="53" t="str">
        <f>IFERROR(Table1[[#This Row],[Capacity (Kg)]]/Table1[[#This Row],[Target Time (Hours)]] * Table1[[#This Row],[Downtime (Hours)]], "")</f>
        <v/>
      </c>
      <c r="N1093" s="57" t="str">
        <f>IFERROR(Table1[[#This Row],[Running Time (hr)]]/Table1[Target Time (Hours)], "")</f>
        <v/>
      </c>
      <c r="O1093" s="57">
        <f>IFERROR(Table1[[#This Row],[Actual Production (Kg)]]/Table1[Capacity (Kg)], "")</f>
        <v>1</v>
      </c>
      <c r="P1093" s="57">
        <f>IFERROR(Table1[[#This Row],[Quality Pass Production]]/Table1[[#This Row],[Actual Production (Kg)]], "")</f>
        <v>1</v>
      </c>
      <c r="Q1093" s="57" t="str">
        <f>IFERROR(Table1[[#This Row],[Utilization %]]*Table1[[#This Row],[Efficiency %]]*Table1[[#This Row],[Quality %]], "")</f>
        <v/>
      </c>
      <c r="R1093" s="52" t="s">
        <v>295</v>
      </c>
    </row>
    <row r="1094" spans="1:18" ht="30" customHeight="1" x14ac:dyDescent="0.25">
      <c r="A1094" s="47">
        <v>46215</v>
      </c>
      <c r="B1094" s="48" t="s">
        <v>33</v>
      </c>
      <c r="C1094" s="48" t="s">
        <v>34</v>
      </c>
      <c r="D1094" s="48" t="s">
        <v>35</v>
      </c>
      <c r="E1094" s="49">
        <v>9000</v>
      </c>
      <c r="F1094" s="76">
        <v>4246</v>
      </c>
      <c r="G1094" s="30">
        <v>0</v>
      </c>
      <c r="H1094" s="50">
        <f>IFERROR(Table1[Re-process (Kg)]/Table1[Actual Production (Kg)], "")</f>
        <v>0</v>
      </c>
      <c r="I1094" s="49">
        <f>IFERROR(Table1[[#This Row],[Actual Production (Kg)]]-Table1[[#This Row],[Re-process (Kg)]], "")</f>
        <v>4246</v>
      </c>
      <c r="J1094" s="49">
        <v>22</v>
      </c>
      <c r="K1094" s="72"/>
      <c r="L1094" s="49">
        <f>IF(Table1[[#This Row],[Target Time (Hours)]]="","",Table1[[#This Row],[Target Time (Hours)]]-Table1[[#This Row],[Downtime (Hours)]])</f>
        <v>22</v>
      </c>
      <c r="M1094" s="49">
        <f>IFERROR(Table1[[#This Row],[Capacity (Kg)]]/Table1[[#This Row],[Target Time (Hours)]] * Table1[[#This Row],[Downtime (Hours)]], "")</f>
        <v>0</v>
      </c>
      <c r="N1094" s="50">
        <f>IFERROR(Table1[[#This Row],[Running Time (hr)]]/Table1[Target Time (Hours)], "")</f>
        <v>1</v>
      </c>
      <c r="O1094" s="50">
        <f>IFERROR(Table1[[#This Row],[Actual Production (Kg)]]/Table1[Capacity (Kg)], "")</f>
        <v>0.4717777777777778</v>
      </c>
      <c r="P1094" s="50">
        <f>IFERROR(Table1[[#This Row],[Quality Pass Production]]/Table1[[#This Row],[Actual Production (Kg)]], "")</f>
        <v>1</v>
      </c>
      <c r="Q1094" s="50">
        <f>IFERROR(Table1[[#This Row],[Utilization %]]*Table1[[#This Row],[Efficiency %]]*Table1[[#This Row],[Quality %]], "")</f>
        <v>0.4717777777777778</v>
      </c>
      <c r="R1094" s="48" t="s">
        <v>296</v>
      </c>
    </row>
    <row r="1095" spans="1:18" ht="60" customHeight="1" x14ac:dyDescent="0.25">
      <c r="A1095" s="47">
        <v>46215</v>
      </c>
      <c r="B1095" s="48" t="s">
        <v>33</v>
      </c>
      <c r="C1095" s="48" t="s">
        <v>36</v>
      </c>
      <c r="D1095" s="48" t="s">
        <v>37</v>
      </c>
      <c r="E1095" s="49">
        <v>8000</v>
      </c>
      <c r="F1095" s="76">
        <v>4413</v>
      </c>
      <c r="G1095" s="34">
        <v>0</v>
      </c>
      <c r="H1095" s="50">
        <f>IFERROR(Table1[Re-process (Kg)]/Table1[Actual Production (Kg)], "")</f>
        <v>0</v>
      </c>
      <c r="I1095" s="49">
        <f>IFERROR(Table1[[#This Row],[Actual Production (Kg)]]-Table1[[#This Row],[Re-process (Kg)]], "")</f>
        <v>4413</v>
      </c>
      <c r="J1095" s="49">
        <v>22</v>
      </c>
      <c r="K1095" s="72">
        <v>6.5</v>
      </c>
      <c r="L1095" s="49">
        <f>IF(Table1[[#This Row],[Target Time (Hours)]]="","",Table1[[#This Row],[Target Time (Hours)]]-Table1[[#This Row],[Downtime (Hours)]])</f>
        <v>15.5</v>
      </c>
      <c r="M1095" s="49">
        <f>IFERROR(Table1[[#This Row],[Capacity (Kg)]]/Table1[[#This Row],[Target Time (Hours)]] * Table1[[#This Row],[Downtime (Hours)]], "")</f>
        <v>2363.6363636363635</v>
      </c>
      <c r="N1095" s="50">
        <f>IFERROR(Table1[[#This Row],[Running Time (hr)]]/Table1[Target Time (Hours)], "")</f>
        <v>0.70454545454545459</v>
      </c>
      <c r="O1095" s="50">
        <f>IFERROR(Table1[[#This Row],[Actual Production (Kg)]]/Table1[Capacity (Kg)], "")</f>
        <v>0.55162500000000003</v>
      </c>
      <c r="P1095" s="50">
        <f>IFERROR(Table1[[#This Row],[Quality Pass Production]]/Table1[[#This Row],[Actual Production (Kg)]], "")</f>
        <v>1</v>
      </c>
      <c r="Q1095" s="50">
        <f>IFERROR(Table1[[#This Row],[Utilization %]]*Table1[[#This Row],[Efficiency %]]*Table1[[#This Row],[Quality %]], "")</f>
        <v>0.38864488636363642</v>
      </c>
      <c r="R1095" s="48" t="s">
        <v>299</v>
      </c>
    </row>
    <row r="1096" spans="1:18" ht="30" customHeight="1" x14ac:dyDescent="0.25">
      <c r="A1096" s="47">
        <v>46215</v>
      </c>
      <c r="B1096" s="48" t="s">
        <v>33</v>
      </c>
      <c r="C1096" s="48" t="s">
        <v>39</v>
      </c>
      <c r="D1096" s="48" t="s">
        <v>31</v>
      </c>
      <c r="E1096" s="49">
        <v>6000</v>
      </c>
      <c r="F1096" s="76">
        <v>2997</v>
      </c>
      <c r="G1096" s="30">
        <v>0</v>
      </c>
      <c r="H1096" s="50">
        <f>IFERROR(Table1[Re-process (Kg)]/Table1[Actual Production (Kg)], "")</f>
        <v>0</v>
      </c>
      <c r="I1096" s="49">
        <f>IFERROR(Table1[[#This Row],[Actual Production (Kg)]]-Table1[[#This Row],[Re-process (Kg)]], "")</f>
        <v>2997</v>
      </c>
      <c r="J1096" s="49">
        <v>22</v>
      </c>
      <c r="K1096" s="72"/>
      <c r="L1096" s="49">
        <f>IF(Table1[[#This Row],[Target Time (Hours)]]="","",Table1[[#This Row],[Target Time (Hours)]]-Table1[[#This Row],[Downtime (Hours)]])</f>
        <v>22</v>
      </c>
      <c r="M1096" s="49">
        <f>IFERROR(Table1[[#This Row],[Capacity (Kg)]]/Table1[[#This Row],[Target Time (Hours)]] * Table1[[#This Row],[Downtime (Hours)]], "")</f>
        <v>0</v>
      </c>
      <c r="N1096" s="50">
        <f>IFERROR(Table1[[#This Row],[Running Time (hr)]]/Table1[Target Time (Hours)], "")</f>
        <v>1</v>
      </c>
      <c r="O1096" s="50">
        <f>IFERROR(Table1[[#This Row],[Actual Production (Kg)]]/Table1[Capacity (Kg)], "")</f>
        <v>0.4995</v>
      </c>
      <c r="P1096" s="50">
        <f>IFERROR(Table1[[#This Row],[Quality Pass Production]]/Table1[[#This Row],[Actual Production (Kg)]], "")</f>
        <v>1</v>
      </c>
      <c r="Q1096" s="50">
        <f>IFERROR(Table1[[#This Row],[Utilization %]]*Table1[[#This Row],[Efficiency %]]*Table1[[#This Row],[Quality %]], "")</f>
        <v>0.4995</v>
      </c>
      <c r="R1096" s="48" t="s">
        <v>296</v>
      </c>
    </row>
    <row r="1097" spans="1:18" ht="45" customHeight="1" x14ac:dyDescent="0.25">
      <c r="A1097" s="54">
        <v>46215</v>
      </c>
      <c r="B1097" s="55" t="s">
        <v>33</v>
      </c>
      <c r="C1097" s="55" t="s">
        <v>40</v>
      </c>
      <c r="D1097" s="55" t="s">
        <v>31</v>
      </c>
      <c r="E1097" s="56">
        <v>5000</v>
      </c>
      <c r="F1097" s="56">
        <v>1611</v>
      </c>
      <c r="G1097" s="43">
        <v>0</v>
      </c>
      <c r="H1097" s="58">
        <f>IFERROR(Table1[Re-process (Kg)]/Table1[Actual Production (Kg)], "")</f>
        <v>0</v>
      </c>
      <c r="I1097" s="56">
        <f>IFERROR(Table1[[#This Row],[Actual Production (Kg)]]-Table1[[#This Row],[Re-process (Kg)]], "")</f>
        <v>1611</v>
      </c>
      <c r="J1097" s="56">
        <v>22</v>
      </c>
      <c r="K1097" s="55"/>
      <c r="L1097" s="56">
        <f>IF(Table1[[#This Row],[Target Time (Hours)]]="","",Table1[[#This Row],[Target Time (Hours)]]-Table1[[#This Row],[Downtime (Hours)]])</f>
        <v>22</v>
      </c>
      <c r="M1097" s="56">
        <f>IFERROR(Table1[[#This Row],[Capacity (Kg)]]/Table1[[#This Row],[Target Time (Hours)]] * Table1[[#This Row],[Downtime (Hours)]], "")</f>
        <v>0</v>
      </c>
      <c r="N1097" s="58">
        <f>IFERROR(Table1[[#This Row],[Running Time (hr)]]/Table1[Target Time (Hours)], "")</f>
        <v>1</v>
      </c>
      <c r="O1097" s="58">
        <f>IFERROR(Table1[[#This Row],[Actual Production (Kg)]]/Table1[Capacity (Kg)], "")</f>
        <v>0.32219999999999999</v>
      </c>
      <c r="P1097" s="58">
        <f>IFERROR(Table1[[#This Row],[Quality Pass Production]]/Table1[[#This Row],[Actual Production (Kg)]], "")</f>
        <v>1</v>
      </c>
      <c r="Q1097" s="58">
        <f>IFERROR(Table1[[#This Row],[Utilization %]]*Table1[[#This Row],[Efficiency %]]*Table1[[#This Row],[Quality %]], "")</f>
        <v>0.32219999999999999</v>
      </c>
      <c r="R1097" s="55" t="s">
        <v>296</v>
      </c>
    </row>
    <row r="1098" spans="1:18" ht="45" customHeight="1" x14ac:dyDescent="0.25">
      <c r="A1098" s="47">
        <v>46216</v>
      </c>
      <c r="B1098" s="48" t="s">
        <v>18</v>
      </c>
      <c r="C1098" s="48" t="s">
        <v>19</v>
      </c>
      <c r="D1098" s="48" t="s">
        <v>20</v>
      </c>
      <c r="E1098" s="49">
        <v>10000</v>
      </c>
      <c r="F1098" s="76">
        <v>8046</v>
      </c>
      <c r="G1098" s="34">
        <v>0</v>
      </c>
      <c r="H1098" s="50">
        <f>IFERROR(Table1[Re-process (Kg)]/Table1[Actual Production (Kg)], "")</f>
        <v>0</v>
      </c>
      <c r="I1098" s="49">
        <f>IFERROR(Table1[[#This Row],[Actual Production (Kg)]]-Table1[[#This Row],[Re-process (Kg)]], "")</f>
        <v>8046</v>
      </c>
      <c r="J1098" s="49">
        <v>22</v>
      </c>
      <c r="K1098" s="72">
        <v>5.5</v>
      </c>
      <c r="L1098" s="49">
        <f>IF(Table1[[#This Row],[Target Time (Hours)]]="","",Table1[[#This Row],[Target Time (Hours)]]-Table1[[#This Row],[Downtime (Hours)]])</f>
        <v>16.5</v>
      </c>
      <c r="M1098" s="49">
        <f>IFERROR(Table1[[#This Row],[Capacity (Kg)]]/Table1[[#This Row],[Target Time (Hours)]] * Table1[[#This Row],[Downtime (Hours)]], "")</f>
        <v>2500</v>
      </c>
      <c r="N1098" s="50">
        <f>IFERROR(Table1[[#This Row],[Running Time (hr)]]/Table1[Target Time (Hours)], "")</f>
        <v>0.75</v>
      </c>
      <c r="O1098" s="50">
        <f>IFERROR(Table1[[#This Row],[Actual Production (Kg)]]/Table1[Capacity (Kg)], "")</f>
        <v>0.80459999999999998</v>
      </c>
      <c r="P1098" s="50">
        <f>IFERROR(Table1[[#This Row],[Quality Pass Production]]/Table1[[#This Row],[Actual Production (Kg)]], "")</f>
        <v>1</v>
      </c>
      <c r="Q1098" s="50">
        <f>IFERROR(Table1[[#This Row],[Utilization %]]*Table1[[#This Row],[Efficiency %]]*Table1[[#This Row],[Quality %]], "")</f>
        <v>0.60345000000000004</v>
      </c>
      <c r="R1098" s="48" t="s">
        <v>300</v>
      </c>
    </row>
    <row r="1099" spans="1:18" x14ac:dyDescent="0.25">
      <c r="A1099" s="51">
        <v>46216</v>
      </c>
      <c r="B1099" s="52" t="s">
        <v>18</v>
      </c>
      <c r="C1099" s="52" t="s">
        <v>238</v>
      </c>
      <c r="D1099" s="52" t="s">
        <v>20</v>
      </c>
      <c r="E1099" s="79">
        <v>10882</v>
      </c>
      <c r="F1099" s="53">
        <v>10882</v>
      </c>
      <c r="G1099" s="38">
        <v>0</v>
      </c>
      <c r="H1099" s="57">
        <f>IFERROR(Table1[Re-process (Kg)]/Table1[Actual Production (Kg)], "")</f>
        <v>0</v>
      </c>
      <c r="I1099" s="53">
        <f>IFERROR(Table1[[#This Row],[Actual Production (Kg)]]-Table1[[#This Row],[Re-process (Kg)]], "")</f>
        <v>10882</v>
      </c>
      <c r="J1099" s="53"/>
      <c r="K1099" s="52"/>
      <c r="L1099" s="53" t="str">
        <f>IF(Table1[[#This Row],[Target Time (Hours)]]="","",Table1[[#This Row],[Target Time (Hours)]]-Table1[[#This Row],[Downtime (Hours)]])</f>
        <v/>
      </c>
      <c r="M1099" s="53" t="str">
        <f>IFERROR(Table1[[#This Row],[Capacity (Kg)]]/Table1[[#This Row],[Target Time (Hours)]] * Table1[[#This Row],[Downtime (Hours)]], "")</f>
        <v/>
      </c>
      <c r="N1099" s="57" t="str">
        <f>IFERROR(Table1[[#This Row],[Running Time (hr)]]/Table1[Target Time (Hours)], "")</f>
        <v/>
      </c>
      <c r="O1099" s="57">
        <f>IFERROR(Table1[[#This Row],[Actual Production (Kg)]]/Table1[Capacity (Kg)], "")</f>
        <v>1</v>
      </c>
      <c r="P1099" s="57">
        <f>IFERROR(Table1[[#This Row],[Quality Pass Production]]/Table1[[#This Row],[Actual Production (Kg)]], "")</f>
        <v>1</v>
      </c>
      <c r="Q1099" s="57" t="str">
        <f>IFERROR(Table1[[#This Row],[Utilization %]]*Table1[[#This Row],[Efficiency %]]*Table1[[#This Row],[Quality %]], "")</f>
        <v/>
      </c>
      <c r="R1099" s="52"/>
    </row>
    <row r="1100" spans="1:18" x14ac:dyDescent="0.25">
      <c r="A1100" s="47">
        <v>46216</v>
      </c>
      <c r="B1100" s="48" t="s">
        <v>18</v>
      </c>
      <c r="C1100" s="48" t="s">
        <v>22</v>
      </c>
      <c r="D1100" s="48" t="s">
        <v>23</v>
      </c>
      <c r="E1100" s="49">
        <v>5000</v>
      </c>
      <c r="F1100" s="76">
        <v>5457</v>
      </c>
      <c r="G1100" s="34">
        <v>0</v>
      </c>
      <c r="H1100" s="50">
        <f>IFERROR(Table1[Re-process (Kg)]/Table1[Actual Production (Kg)], "")</f>
        <v>0</v>
      </c>
      <c r="I1100" s="49">
        <f>IFERROR(Table1[[#This Row],[Actual Production (Kg)]]-Table1[[#This Row],[Re-process (Kg)]], "")</f>
        <v>5457</v>
      </c>
      <c r="J1100" s="49">
        <v>22</v>
      </c>
      <c r="K1100" s="72"/>
      <c r="L1100" s="49">
        <f>IF(Table1[[#This Row],[Target Time (Hours)]]="","",Table1[[#This Row],[Target Time (Hours)]]-Table1[[#This Row],[Downtime (Hours)]])</f>
        <v>22</v>
      </c>
      <c r="M1100" s="49">
        <f>IFERROR(Table1[[#This Row],[Capacity (Kg)]]/Table1[[#This Row],[Target Time (Hours)]] * Table1[[#This Row],[Downtime (Hours)]], "")</f>
        <v>0</v>
      </c>
      <c r="N1100" s="50">
        <f>IFERROR(Table1[[#This Row],[Running Time (hr)]]/Table1[Target Time (Hours)], "")</f>
        <v>1</v>
      </c>
      <c r="O1100" s="50">
        <f>IFERROR(Table1[[#This Row],[Actual Production (Kg)]]/Table1[Capacity (Kg)], "")</f>
        <v>1.0913999999999999</v>
      </c>
      <c r="P1100" s="50">
        <f>IFERROR(Table1[[#This Row],[Quality Pass Production]]/Table1[[#This Row],[Actual Production (Kg)]], "")</f>
        <v>1</v>
      </c>
      <c r="Q1100" s="50">
        <f>IFERROR(Table1[[#This Row],[Utilization %]]*Table1[[#This Row],[Efficiency %]]*Table1[[#This Row],[Quality %]], "")</f>
        <v>1.0913999999999999</v>
      </c>
    </row>
    <row r="1101" spans="1:18" x14ac:dyDescent="0.25">
      <c r="A1101" s="47">
        <v>46216</v>
      </c>
      <c r="B1101" s="48" t="s">
        <v>18</v>
      </c>
      <c r="C1101" s="48" t="s">
        <v>22</v>
      </c>
      <c r="D1101" s="48" t="s">
        <v>25</v>
      </c>
      <c r="E1101" s="49">
        <v>4000</v>
      </c>
      <c r="F1101" s="76">
        <v>3067</v>
      </c>
      <c r="G1101" s="30">
        <v>0</v>
      </c>
      <c r="H1101" s="50">
        <f>IFERROR(Table1[Re-process (Kg)]/Table1[Actual Production (Kg)], "")</f>
        <v>0</v>
      </c>
      <c r="I1101" s="49">
        <f>IFERROR(Table1[[#This Row],[Actual Production (Kg)]]-Table1[[#This Row],[Re-process (Kg)]], "")</f>
        <v>3067</v>
      </c>
      <c r="J1101" s="49"/>
      <c r="K1101" s="72"/>
      <c r="L1101" s="49" t="str">
        <f>IF(Table1[[#This Row],[Target Time (Hours)]]="","",Table1[[#This Row],[Target Time (Hours)]]-Table1[[#This Row],[Downtime (Hours)]])</f>
        <v/>
      </c>
      <c r="M1101" s="49" t="str">
        <f>IFERROR(Table1[[#This Row],[Capacity (Kg)]]/Table1[[#This Row],[Target Time (Hours)]] * Table1[[#This Row],[Downtime (Hours)]], "")</f>
        <v/>
      </c>
      <c r="N1101" s="50" t="str">
        <f>IFERROR(Table1[[#This Row],[Running Time (hr)]]/Table1[Target Time (Hours)], "")</f>
        <v/>
      </c>
      <c r="O1101" s="50">
        <f>IFERROR(Table1[[#This Row],[Actual Production (Kg)]]/Table1[Capacity (Kg)], "")</f>
        <v>0.76675000000000004</v>
      </c>
      <c r="P1101" s="50">
        <f>IFERROR(Table1[[#This Row],[Quality Pass Production]]/Table1[[#This Row],[Actual Production (Kg)]], "")</f>
        <v>1</v>
      </c>
      <c r="Q1101" s="50" t="str">
        <f>IFERROR(Table1[[#This Row],[Utilization %]]*Table1[[#This Row],[Efficiency %]]*Table1[[#This Row],[Quality %]], "")</f>
        <v/>
      </c>
    </row>
    <row r="1102" spans="1:18" x14ac:dyDescent="0.25">
      <c r="A1102" s="47">
        <v>46216</v>
      </c>
      <c r="B1102" s="48" t="s">
        <v>18</v>
      </c>
      <c r="C1102" s="48" t="s">
        <v>26</v>
      </c>
      <c r="D1102" s="48" t="s">
        <v>25</v>
      </c>
      <c r="E1102" s="49">
        <v>7000</v>
      </c>
      <c r="F1102" s="76">
        <v>7796</v>
      </c>
      <c r="G1102" s="34">
        <v>0</v>
      </c>
      <c r="H1102" s="50">
        <f>IFERROR(Table1[Re-process (Kg)]/Table1[Actual Production (Kg)], "")</f>
        <v>0</v>
      </c>
      <c r="I1102" s="49">
        <f>IFERROR(Table1[[#This Row],[Actual Production (Kg)]]-Table1[[#This Row],[Re-process (Kg)]], "")</f>
        <v>7796</v>
      </c>
      <c r="J1102" s="49">
        <v>22</v>
      </c>
      <c r="K1102" s="72"/>
      <c r="L1102" s="49">
        <f>IF(Table1[[#This Row],[Target Time (Hours)]]="","",Table1[[#This Row],[Target Time (Hours)]]-Table1[[#This Row],[Downtime (Hours)]])</f>
        <v>22</v>
      </c>
      <c r="M1102" s="49">
        <f>IFERROR(Table1[[#This Row],[Capacity (Kg)]]/Table1[[#This Row],[Target Time (Hours)]] * Table1[[#This Row],[Downtime (Hours)]], "")</f>
        <v>0</v>
      </c>
      <c r="N1102" s="50">
        <f>IFERROR(Table1[[#This Row],[Running Time (hr)]]/Table1[Target Time (Hours)], "")</f>
        <v>1</v>
      </c>
      <c r="O1102" s="50">
        <f>IFERROR(Table1[[#This Row],[Actual Production (Kg)]]/Table1[Capacity (Kg)], "")</f>
        <v>1.1137142857142857</v>
      </c>
      <c r="P1102" s="50">
        <f>IFERROR(Table1[[#This Row],[Quality Pass Production]]/Table1[[#This Row],[Actual Production (Kg)]], "")</f>
        <v>1</v>
      </c>
      <c r="Q1102" s="50">
        <f>IFERROR(Table1[[#This Row],[Utilization %]]*Table1[[#This Row],[Efficiency %]]*Table1[[#This Row],[Quality %]], "")</f>
        <v>1.1137142857142857</v>
      </c>
    </row>
    <row r="1103" spans="1:18" ht="30" customHeight="1" x14ac:dyDescent="0.25">
      <c r="A1103" s="47">
        <v>46216</v>
      </c>
      <c r="B1103" s="48" t="s">
        <v>18</v>
      </c>
      <c r="C1103" s="48" t="s">
        <v>28</v>
      </c>
      <c r="D1103" s="48" t="s">
        <v>29</v>
      </c>
      <c r="E1103" s="49">
        <v>7800</v>
      </c>
      <c r="F1103" s="76">
        <v>7341</v>
      </c>
      <c r="G1103" s="30">
        <v>0</v>
      </c>
      <c r="H1103" s="50">
        <f>IFERROR(Table1[Re-process (Kg)]/Table1[Actual Production (Kg)], "")</f>
        <v>0</v>
      </c>
      <c r="I1103" s="49">
        <f>IFERROR(Table1[[#This Row],[Actual Production (Kg)]]-Table1[[#This Row],[Re-process (Kg)]], "")</f>
        <v>7341</v>
      </c>
      <c r="J1103" s="49">
        <v>22</v>
      </c>
      <c r="K1103" s="72"/>
      <c r="L1103" s="49">
        <f>IF(Table1[[#This Row],[Target Time (Hours)]]="","",Table1[[#This Row],[Target Time (Hours)]]-Table1[[#This Row],[Downtime (Hours)]])</f>
        <v>22</v>
      </c>
      <c r="M1103" s="49">
        <f>IFERROR(Table1[[#This Row],[Capacity (Kg)]]/Table1[[#This Row],[Target Time (Hours)]] * Table1[[#This Row],[Downtime (Hours)]], "")</f>
        <v>0</v>
      </c>
      <c r="N1103" s="50">
        <f>IFERROR(Table1[[#This Row],[Running Time (hr)]]/Table1[Target Time (Hours)], "")</f>
        <v>1</v>
      </c>
      <c r="O1103" s="50">
        <f>IFERROR(Table1[[#This Row],[Actual Production (Kg)]]/Table1[Capacity (Kg)], "")</f>
        <v>0.94115384615384612</v>
      </c>
      <c r="P1103" s="50">
        <f>IFERROR(Table1[[#This Row],[Quality Pass Production]]/Table1[[#This Row],[Actual Production (Kg)]], "")</f>
        <v>1</v>
      </c>
      <c r="Q1103" s="50">
        <f>IFERROR(Table1[[#This Row],[Utilization %]]*Table1[[#This Row],[Efficiency %]]*Table1[[#This Row],[Quality %]], "")</f>
        <v>0.94115384615384612</v>
      </c>
    </row>
    <row r="1104" spans="1:18" ht="30" customHeight="1" x14ac:dyDescent="0.25">
      <c r="A1104" s="51">
        <v>46216</v>
      </c>
      <c r="B1104" s="52" t="s">
        <v>18</v>
      </c>
      <c r="C1104" s="52" t="s">
        <v>135</v>
      </c>
      <c r="D1104" s="52" t="s">
        <v>29</v>
      </c>
      <c r="E1104" s="53"/>
      <c r="F1104" s="53"/>
      <c r="G1104" s="38"/>
      <c r="H1104" s="57" t="str">
        <f>IFERROR(Table1[Re-process (Kg)]/Table1[Actual Production (Kg)], "")</f>
        <v/>
      </c>
      <c r="I1104" s="53">
        <f>IFERROR(Table1[[#This Row],[Actual Production (Kg)]]-Table1[[#This Row],[Re-process (Kg)]], "")</f>
        <v>0</v>
      </c>
      <c r="J1104" s="53"/>
      <c r="K1104" s="52"/>
      <c r="L1104" s="53" t="str">
        <f>IF(Table1[[#This Row],[Target Time (Hours)]]="","",Table1[[#This Row],[Target Time (Hours)]]-Table1[[#This Row],[Downtime (Hours)]])</f>
        <v/>
      </c>
      <c r="M1104" s="53" t="str">
        <f>IFERROR(Table1[[#This Row],[Capacity (Kg)]]/Table1[[#This Row],[Target Time (Hours)]] * Table1[[#This Row],[Downtime (Hours)]], "")</f>
        <v/>
      </c>
      <c r="N1104" s="57" t="str">
        <f>IFERROR(Table1[[#This Row],[Running Time (hr)]]/Table1[Target Time (Hours)], "")</f>
        <v/>
      </c>
      <c r="O1104" s="57" t="str">
        <f>IFERROR(Table1[[#This Row],[Actual Production (Kg)]]/Table1[Capacity (Kg)], "")</f>
        <v/>
      </c>
      <c r="P1104" s="57" t="str">
        <f>IFERROR(Table1[[#This Row],[Quality Pass Production]]/Table1[[#This Row],[Actual Production (Kg)]], "")</f>
        <v/>
      </c>
      <c r="Q1104" s="57" t="str">
        <f>IFERROR(Table1[[#This Row],[Utilization %]]*Table1[[#This Row],[Efficiency %]]*Table1[[#This Row],[Quality %]], "")</f>
        <v/>
      </c>
      <c r="R1104" s="52"/>
    </row>
    <row r="1105" spans="1:18" ht="30" customHeight="1" x14ac:dyDescent="0.25">
      <c r="A1105" s="47">
        <v>46216</v>
      </c>
      <c r="B1105" s="48" t="s">
        <v>18</v>
      </c>
      <c r="C1105" s="48" t="s">
        <v>30</v>
      </c>
      <c r="D1105" s="48" t="s">
        <v>31</v>
      </c>
      <c r="E1105" s="49">
        <v>9000</v>
      </c>
      <c r="F1105" s="76">
        <v>8237</v>
      </c>
      <c r="G1105" s="30">
        <v>0</v>
      </c>
      <c r="H1105" s="50">
        <f>IFERROR(Table1[Re-process (Kg)]/Table1[Actual Production (Kg)], "")</f>
        <v>0</v>
      </c>
      <c r="I1105" s="49">
        <f>IFERROR(Table1[[#This Row],[Actual Production (Kg)]]-Table1[[#This Row],[Re-process (Kg)]], "")</f>
        <v>8237</v>
      </c>
      <c r="J1105" s="49">
        <v>22</v>
      </c>
      <c r="K1105" s="72"/>
      <c r="L1105" s="49">
        <f>IF(Table1[[#This Row],[Target Time (Hours)]]="","",Table1[[#This Row],[Target Time (Hours)]]-Table1[[#This Row],[Downtime (Hours)]])</f>
        <v>22</v>
      </c>
      <c r="M1105" s="49">
        <f>IFERROR(Table1[[#This Row],[Capacity (Kg)]]/Table1[[#This Row],[Target Time (Hours)]] * Table1[[#This Row],[Downtime (Hours)]], "")</f>
        <v>0</v>
      </c>
      <c r="N1105" s="50">
        <f>IFERROR(Table1[[#This Row],[Running Time (hr)]]/Table1[Target Time (Hours)], "")</f>
        <v>1</v>
      </c>
      <c r="O1105" s="50">
        <f>IFERROR(Table1[[#This Row],[Actual Production (Kg)]]/Table1[Capacity (Kg)], "")</f>
        <v>0.91522222222222227</v>
      </c>
      <c r="P1105" s="50">
        <f>IFERROR(Table1[[#This Row],[Quality Pass Production]]/Table1[[#This Row],[Actual Production (Kg)]], "")</f>
        <v>1</v>
      </c>
      <c r="Q1105" s="50">
        <f>IFERROR(Table1[[#This Row],[Utilization %]]*Table1[[#This Row],[Efficiency %]]*Table1[[#This Row],[Quality %]], "")</f>
        <v>0.91522222222222227</v>
      </c>
    </row>
    <row r="1106" spans="1:18" ht="30" customHeight="1" x14ac:dyDescent="0.25">
      <c r="A1106" s="51">
        <v>46216</v>
      </c>
      <c r="B1106" s="52" t="s">
        <v>18</v>
      </c>
      <c r="C1106" s="52" t="s">
        <v>32</v>
      </c>
      <c r="D1106" s="52" t="s">
        <v>31</v>
      </c>
      <c r="E1106" s="79">
        <v>1931</v>
      </c>
      <c r="F1106" s="53">
        <v>1931</v>
      </c>
      <c r="G1106" s="38"/>
      <c r="H1106" s="57">
        <f>IFERROR(Table1[Re-process (Kg)]/Table1[Actual Production (Kg)], "")</f>
        <v>0</v>
      </c>
      <c r="I1106" s="53">
        <f>IFERROR(Table1[[#This Row],[Actual Production (Kg)]]-Table1[[#This Row],[Re-process (Kg)]], "")</f>
        <v>1931</v>
      </c>
      <c r="J1106" s="53"/>
      <c r="K1106" s="52"/>
      <c r="L1106" s="53" t="str">
        <f>IF(Table1[[#This Row],[Target Time (Hours)]]="","",Table1[[#This Row],[Target Time (Hours)]]-Table1[[#This Row],[Downtime (Hours)]])</f>
        <v/>
      </c>
      <c r="M1106" s="53" t="str">
        <f>IFERROR(Table1[[#This Row],[Capacity (Kg)]]/Table1[[#This Row],[Target Time (Hours)]] * Table1[[#This Row],[Downtime (Hours)]], "")</f>
        <v/>
      </c>
      <c r="N1106" s="57" t="str">
        <f>IFERROR(Table1[[#This Row],[Running Time (hr)]]/Table1[Target Time (Hours)], "")</f>
        <v/>
      </c>
      <c r="O1106" s="57">
        <f>IFERROR(Table1[[#This Row],[Actual Production (Kg)]]/Table1[Capacity (Kg)], "")</f>
        <v>1</v>
      </c>
      <c r="P1106" s="57">
        <f>IFERROR(Table1[[#This Row],[Quality Pass Production]]/Table1[[#This Row],[Actual Production (Kg)]], "")</f>
        <v>1</v>
      </c>
      <c r="Q1106" s="57" t="str">
        <f>IFERROR(Table1[[#This Row],[Utilization %]]*Table1[[#This Row],[Efficiency %]]*Table1[[#This Row],[Quality %]], "")</f>
        <v/>
      </c>
      <c r="R1106" s="52" t="s">
        <v>295</v>
      </c>
    </row>
    <row r="1107" spans="1:18" ht="30" customHeight="1" x14ac:dyDescent="0.25">
      <c r="A1107" s="47">
        <v>46216</v>
      </c>
      <c r="B1107" s="48" t="s">
        <v>33</v>
      </c>
      <c r="C1107" s="48" t="s">
        <v>34</v>
      </c>
      <c r="D1107" s="48" t="s">
        <v>35</v>
      </c>
      <c r="E1107" s="49">
        <v>9000</v>
      </c>
      <c r="F1107" s="76">
        <v>4599</v>
      </c>
      <c r="G1107" s="30">
        <v>0</v>
      </c>
      <c r="H1107" s="50">
        <f>IFERROR(Table1[Re-process (Kg)]/Table1[Actual Production (Kg)], "")</f>
        <v>0</v>
      </c>
      <c r="I1107" s="49">
        <f>IFERROR(Table1[[#This Row],[Actual Production (Kg)]]-Table1[[#This Row],[Re-process (Kg)]], "")</f>
        <v>4599</v>
      </c>
      <c r="J1107" s="49">
        <v>22</v>
      </c>
      <c r="K1107" s="72"/>
      <c r="L1107" s="49">
        <f>IF(Table1[[#This Row],[Target Time (Hours)]]="","",Table1[[#This Row],[Target Time (Hours)]]-Table1[[#This Row],[Downtime (Hours)]])</f>
        <v>22</v>
      </c>
      <c r="M1107" s="49">
        <f>IFERROR(Table1[[#This Row],[Capacity (Kg)]]/Table1[[#This Row],[Target Time (Hours)]] * Table1[[#This Row],[Downtime (Hours)]], "")</f>
        <v>0</v>
      </c>
      <c r="N1107" s="50">
        <f>IFERROR(Table1[[#This Row],[Running Time (hr)]]/Table1[Target Time (Hours)], "")</f>
        <v>1</v>
      </c>
      <c r="O1107" s="50">
        <f>IFERROR(Table1[[#This Row],[Actual Production (Kg)]]/Table1[Capacity (Kg)], "")</f>
        <v>0.51100000000000001</v>
      </c>
      <c r="P1107" s="50">
        <f>IFERROR(Table1[[#This Row],[Quality Pass Production]]/Table1[[#This Row],[Actual Production (Kg)]], "")</f>
        <v>1</v>
      </c>
      <c r="Q1107" s="50">
        <f>IFERROR(Table1[[#This Row],[Utilization %]]*Table1[[#This Row],[Efficiency %]]*Table1[[#This Row],[Quality %]], "")</f>
        <v>0.51100000000000001</v>
      </c>
      <c r="R1107" s="48" t="s">
        <v>296</v>
      </c>
    </row>
    <row r="1108" spans="1:18" ht="60" customHeight="1" x14ac:dyDescent="0.25">
      <c r="A1108" s="47">
        <v>46216</v>
      </c>
      <c r="B1108" s="48" t="s">
        <v>33</v>
      </c>
      <c r="C1108" s="48" t="s">
        <v>36</v>
      </c>
      <c r="D1108" s="48" t="s">
        <v>37</v>
      </c>
      <c r="E1108" s="49">
        <v>8000</v>
      </c>
      <c r="F1108" s="76">
        <v>3737</v>
      </c>
      <c r="G1108" s="34">
        <v>0</v>
      </c>
      <c r="H1108" s="50">
        <f>IFERROR(Table1[Re-process (Kg)]/Table1[Actual Production (Kg)], "")</f>
        <v>0</v>
      </c>
      <c r="I1108" s="49">
        <f>IFERROR(Table1[[#This Row],[Actual Production (Kg)]]-Table1[[#This Row],[Re-process (Kg)]], "")</f>
        <v>3737</v>
      </c>
      <c r="J1108" s="49">
        <v>22</v>
      </c>
      <c r="K1108" s="72">
        <v>10.45</v>
      </c>
      <c r="L1108" s="49">
        <f>IF(Table1[[#This Row],[Target Time (Hours)]]="","",Table1[[#This Row],[Target Time (Hours)]]-Table1[[#This Row],[Downtime (Hours)]])</f>
        <v>11.55</v>
      </c>
      <c r="M1108" s="49">
        <f>IFERROR(Table1[[#This Row],[Capacity (Kg)]]/Table1[[#This Row],[Target Time (Hours)]] * Table1[[#This Row],[Downtime (Hours)]], "")</f>
        <v>3799.9999999999995</v>
      </c>
      <c r="N1108" s="50">
        <f>IFERROR(Table1[[#This Row],[Running Time (hr)]]/Table1[Target Time (Hours)], "")</f>
        <v>0.52500000000000002</v>
      </c>
      <c r="O1108" s="50">
        <f>IFERROR(Table1[[#This Row],[Actual Production (Kg)]]/Table1[Capacity (Kg)], "")</f>
        <v>0.46712500000000001</v>
      </c>
      <c r="P1108" s="50">
        <f>IFERROR(Table1[[#This Row],[Quality Pass Production]]/Table1[[#This Row],[Actual Production (Kg)]], "")</f>
        <v>1</v>
      </c>
      <c r="Q1108" s="50">
        <f>IFERROR(Table1[[#This Row],[Utilization %]]*Table1[[#This Row],[Efficiency %]]*Table1[[#This Row],[Quality %]], "")</f>
        <v>0.24524062500000002</v>
      </c>
      <c r="R1108" s="48" t="s">
        <v>301</v>
      </c>
    </row>
    <row r="1109" spans="1:18" ht="30" customHeight="1" x14ac:dyDescent="0.25">
      <c r="A1109" s="47">
        <v>46216</v>
      </c>
      <c r="B1109" s="48" t="s">
        <v>33</v>
      </c>
      <c r="C1109" s="48" t="s">
        <v>39</v>
      </c>
      <c r="D1109" s="48" t="s">
        <v>31</v>
      </c>
      <c r="E1109" s="49">
        <v>6000</v>
      </c>
      <c r="F1109" s="76">
        <v>2142</v>
      </c>
      <c r="G1109" s="30">
        <v>0</v>
      </c>
      <c r="H1109" s="50">
        <f>IFERROR(Table1[Re-process (Kg)]/Table1[Actual Production (Kg)], "")</f>
        <v>0</v>
      </c>
      <c r="I1109" s="49">
        <f>IFERROR(Table1[[#This Row],[Actual Production (Kg)]]-Table1[[#This Row],[Re-process (Kg)]], "")</f>
        <v>2142</v>
      </c>
      <c r="J1109" s="49">
        <v>22</v>
      </c>
      <c r="K1109" s="72"/>
      <c r="L1109" s="49">
        <f>IF(Table1[[#This Row],[Target Time (Hours)]]="","",Table1[[#This Row],[Target Time (Hours)]]-Table1[[#This Row],[Downtime (Hours)]])</f>
        <v>22</v>
      </c>
      <c r="M1109" s="49">
        <f>IFERROR(Table1[[#This Row],[Capacity (Kg)]]/Table1[[#This Row],[Target Time (Hours)]] * Table1[[#This Row],[Downtime (Hours)]], "")</f>
        <v>0</v>
      </c>
      <c r="N1109" s="50">
        <f>IFERROR(Table1[[#This Row],[Running Time (hr)]]/Table1[Target Time (Hours)], "")</f>
        <v>1</v>
      </c>
      <c r="O1109" s="50">
        <f>IFERROR(Table1[[#This Row],[Actual Production (Kg)]]/Table1[Capacity (Kg)], "")</f>
        <v>0.35699999999999998</v>
      </c>
      <c r="P1109" s="50">
        <f>IFERROR(Table1[[#This Row],[Quality Pass Production]]/Table1[[#This Row],[Actual Production (Kg)]], "")</f>
        <v>1</v>
      </c>
      <c r="Q1109" s="50">
        <f>IFERROR(Table1[[#This Row],[Utilization %]]*Table1[[#This Row],[Efficiency %]]*Table1[[#This Row],[Quality %]], "")</f>
        <v>0.35699999999999998</v>
      </c>
      <c r="R1109" s="48" t="s">
        <v>296</v>
      </c>
    </row>
    <row r="1110" spans="1:18" ht="45" customHeight="1" x14ac:dyDescent="0.25">
      <c r="A1110" s="54">
        <v>46216</v>
      </c>
      <c r="B1110" s="55" t="s">
        <v>33</v>
      </c>
      <c r="C1110" s="55" t="s">
        <v>40</v>
      </c>
      <c r="D1110" s="55" t="s">
        <v>31</v>
      </c>
      <c r="E1110" s="56">
        <v>5000</v>
      </c>
      <c r="F1110" s="56">
        <v>1930</v>
      </c>
      <c r="G1110" s="43">
        <v>0</v>
      </c>
      <c r="H1110" s="58">
        <f>IFERROR(Table1[Re-process (Kg)]/Table1[Actual Production (Kg)], "")</f>
        <v>0</v>
      </c>
      <c r="I1110" s="56">
        <f>IFERROR(Table1[[#This Row],[Actual Production (Kg)]]-Table1[[#This Row],[Re-process (Kg)]], "")</f>
        <v>1930</v>
      </c>
      <c r="J1110" s="56">
        <v>22</v>
      </c>
      <c r="K1110" s="55">
        <v>3</v>
      </c>
      <c r="L1110" s="56">
        <f>IF(Table1[[#This Row],[Target Time (Hours)]]="","",Table1[[#This Row],[Target Time (Hours)]]-Table1[[#This Row],[Downtime (Hours)]])</f>
        <v>19</v>
      </c>
      <c r="M1110" s="56">
        <f>IFERROR(Table1[[#This Row],[Capacity (Kg)]]/Table1[[#This Row],[Target Time (Hours)]] * Table1[[#This Row],[Downtime (Hours)]], "")</f>
        <v>681.81818181818187</v>
      </c>
      <c r="N1110" s="58">
        <f>IFERROR(Table1[[#This Row],[Running Time (hr)]]/Table1[Target Time (Hours)], "")</f>
        <v>0.86363636363636365</v>
      </c>
      <c r="O1110" s="58">
        <f>IFERROR(Table1[[#This Row],[Actual Production (Kg)]]/Table1[Capacity (Kg)], "")</f>
        <v>0.38600000000000001</v>
      </c>
      <c r="P1110" s="58">
        <f>IFERROR(Table1[[#This Row],[Quality Pass Production]]/Table1[[#This Row],[Actual Production (Kg)]], "")</f>
        <v>1</v>
      </c>
      <c r="Q1110" s="58">
        <f>IFERROR(Table1[[#This Row],[Utilization %]]*Table1[[#This Row],[Efficiency %]]*Table1[[#This Row],[Quality %]], "")</f>
        <v>0.33336363636363636</v>
      </c>
      <c r="R1110" s="55" t="s">
        <v>302</v>
      </c>
    </row>
    <row r="1111" spans="1:18" ht="30" customHeight="1" x14ac:dyDescent="0.25">
      <c r="A1111" s="47">
        <v>46217</v>
      </c>
      <c r="B1111" s="48" t="s">
        <v>18</v>
      </c>
      <c r="C1111" s="48" t="s">
        <v>19</v>
      </c>
      <c r="D1111" s="48" t="s">
        <v>20</v>
      </c>
      <c r="E1111" s="49">
        <v>10000</v>
      </c>
      <c r="F1111" s="76">
        <v>8917</v>
      </c>
      <c r="G1111" s="34">
        <v>0</v>
      </c>
      <c r="H1111" s="50">
        <f>IFERROR(Table1[Re-process (Kg)]/Table1[Actual Production (Kg)], "")</f>
        <v>0</v>
      </c>
      <c r="I1111" s="49">
        <f>IFERROR(Table1[[#This Row],[Actual Production (Kg)]]-Table1[[#This Row],[Re-process (Kg)]], "")</f>
        <v>8917</v>
      </c>
      <c r="J1111" s="49">
        <v>22</v>
      </c>
      <c r="K1111" s="72"/>
      <c r="L1111" s="49">
        <f>IF(Table1[[#This Row],[Target Time (Hours)]]="","",Table1[[#This Row],[Target Time (Hours)]]-Table1[[#This Row],[Downtime (Hours)]])</f>
        <v>22</v>
      </c>
      <c r="M1111" s="49">
        <f>IFERROR(Table1[[#This Row],[Capacity (Kg)]]/Table1[[#This Row],[Target Time (Hours)]] * Table1[[#This Row],[Downtime (Hours)]], "")</f>
        <v>0</v>
      </c>
      <c r="N1111" s="50">
        <f>IFERROR(Table1[[#This Row],[Running Time (hr)]]/Table1[Target Time (Hours)], "")</f>
        <v>1</v>
      </c>
      <c r="O1111" s="50">
        <f>IFERROR(Table1[[#This Row],[Actual Production (Kg)]]/Table1[Capacity (Kg)], "")</f>
        <v>0.89170000000000005</v>
      </c>
      <c r="P1111" s="50">
        <f>IFERROR(Table1[[#This Row],[Quality Pass Production]]/Table1[[#This Row],[Actual Production (Kg)]], "")</f>
        <v>1</v>
      </c>
      <c r="Q1111" s="50">
        <f>IFERROR(Table1[[#This Row],[Utilization %]]*Table1[[#This Row],[Efficiency %]]*Table1[[#This Row],[Quality %]], "")</f>
        <v>0.89170000000000005</v>
      </c>
    </row>
    <row r="1112" spans="1:18" x14ac:dyDescent="0.25">
      <c r="A1112" s="51">
        <v>46217</v>
      </c>
      <c r="B1112" s="52" t="s">
        <v>18</v>
      </c>
      <c r="C1112" s="52" t="s">
        <v>238</v>
      </c>
      <c r="D1112" s="52" t="s">
        <v>20</v>
      </c>
      <c r="E1112" s="79">
        <v>9690</v>
      </c>
      <c r="F1112" s="53">
        <v>9690</v>
      </c>
      <c r="G1112" s="38">
        <v>0</v>
      </c>
      <c r="H1112" s="57">
        <f>IFERROR(Table1[Re-process (Kg)]/Table1[Actual Production (Kg)], "")</f>
        <v>0</v>
      </c>
      <c r="I1112" s="53">
        <f>IFERROR(Table1[[#This Row],[Actual Production (Kg)]]-Table1[[#This Row],[Re-process (Kg)]], "")</f>
        <v>9690</v>
      </c>
      <c r="J1112" s="53"/>
      <c r="K1112" s="52"/>
      <c r="L1112" s="53" t="str">
        <f>IF(Table1[[#This Row],[Target Time (Hours)]]="","",Table1[[#This Row],[Target Time (Hours)]]-Table1[[#This Row],[Downtime (Hours)]])</f>
        <v/>
      </c>
      <c r="M1112" s="53" t="str">
        <f>IFERROR(Table1[[#This Row],[Capacity (Kg)]]/Table1[[#This Row],[Target Time (Hours)]] * Table1[[#This Row],[Downtime (Hours)]], "")</f>
        <v/>
      </c>
      <c r="N1112" s="57" t="str">
        <f>IFERROR(Table1[[#This Row],[Running Time (hr)]]/Table1[Target Time (Hours)], "")</f>
        <v/>
      </c>
      <c r="O1112" s="57">
        <f>IFERROR(Table1[[#This Row],[Actual Production (Kg)]]/Table1[Capacity (Kg)], "")</f>
        <v>1</v>
      </c>
      <c r="P1112" s="57">
        <f>IFERROR(Table1[[#This Row],[Quality Pass Production]]/Table1[[#This Row],[Actual Production (Kg)]], "")</f>
        <v>1</v>
      </c>
      <c r="Q1112" s="57" t="str">
        <f>IFERROR(Table1[[#This Row],[Utilization %]]*Table1[[#This Row],[Efficiency %]]*Table1[[#This Row],[Quality %]], "")</f>
        <v/>
      </c>
      <c r="R1112" s="52"/>
    </row>
    <row r="1113" spans="1:18" x14ac:dyDescent="0.25">
      <c r="A1113" s="47">
        <v>46217</v>
      </c>
      <c r="B1113" s="48" t="s">
        <v>18</v>
      </c>
      <c r="C1113" s="48" t="s">
        <v>22</v>
      </c>
      <c r="D1113" s="48" t="s">
        <v>23</v>
      </c>
      <c r="E1113" s="49">
        <v>5000</v>
      </c>
      <c r="F1113" s="76">
        <v>4885</v>
      </c>
      <c r="G1113" s="34">
        <v>0</v>
      </c>
      <c r="H1113" s="50">
        <f>IFERROR(Table1[Re-process (Kg)]/Table1[Actual Production (Kg)], "")</f>
        <v>0</v>
      </c>
      <c r="I1113" s="49">
        <f>IFERROR(Table1[[#This Row],[Actual Production (Kg)]]-Table1[[#This Row],[Re-process (Kg)]], "")</f>
        <v>4885</v>
      </c>
      <c r="J1113" s="49">
        <v>22</v>
      </c>
      <c r="K1113" s="72"/>
      <c r="L1113" s="49">
        <f>IF(Table1[[#This Row],[Target Time (Hours)]]="","",Table1[[#This Row],[Target Time (Hours)]]-Table1[[#This Row],[Downtime (Hours)]])</f>
        <v>22</v>
      </c>
      <c r="M1113" s="49">
        <f>IFERROR(Table1[[#This Row],[Capacity (Kg)]]/Table1[[#This Row],[Target Time (Hours)]] * Table1[[#This Row],[Downtime (Hours)]], "")</f>
        <v>0</v>
      </c>
      <c r="N1113" s="50">
        <f>IFERROR(Table1[[#This Row],[Running Time (hr)]]/Table1[Target Time (Hours)], "")</f>
        <v>1</v>
      </c>
      <c r="O1113" s="50">
        <f>IFERROR(Table1[[#This Row],[Actual Production (Kg)]]/Table1[Capacity (Kg)], "")</f>
        <v>0.97699999999999998</v>
      </c>
      <c r="P1113" s="50">
        <f>IFERROR(Table1[[#This Row],[Quality Pass Production]]/Table1[[#This Row],[Actual Production (Kg)]], "")</f>
        <v>1</v>
      </c>
      <c r="Q1113" s="50">
        <f>IFERROR(Table1[[#This Row],[Utilization %]]*Table1[[#This Row],[Efficiency %]]*Table1[[#This Row],[Quality %]], "")</f>
        <v>0.97699999999999998</v>
      </c>
    </row>
    <row r="1114" spans="1:18" x14ac:dyDescent="0.25">
      <c r="A1114" s="47">
        <v>46217</v>
      </c>
      <c r="B1114" s="48" t="s">
        <v>18</v>
      </c>
      <c r="C1114" s="48" t="s">
        <v>22</v>
      </c>
      <c r="D1114" s="48" t="s">
        <v>25</v>
      </c>
      <c r="E1114" s="49">
        <v>4000</v>
      </c>
      <c r="F1114" s="76">
        <v>3816</v>
      </c>
      <c r="G1114" s="30">
        <v>0</v>
      </c>
      <c r="H1114" s="50">
        <f>IFERROR(Table1[Re-process (Kg)]/Table1[Actual Production (Kg)], "")</f>
        <v>0</v>
      </c>
      <c r="I1114" s="49">
        <f>IFERROR(Table1[[#This Row],[Actual Production (Kg)]]-Table1[[#This Row],[Re-process (Kg)]], "")</f>
        <v>3816</v>
      </c>
      <c r="J1114" s="49"/>
      <c r="K1114" s="72"/>
      <c r="L1114" s="49" t="str">
        <f>IF(Table1[[#This Row],[Target Time (Hours)]]="","",Table1[[#This Row],[Target Time (Hours)]]-Table1[[#This Row],[Downtime (Hours)]])</f>
        <v/>
      </c>
      <c r="M1114" s="49" t="str">
        <f>IFERROR(Table1[[#This Row],[Capacity (Kg)]]/Table1[[#This Row],[Target Time (Hours)]] * Table1[[#This Row],[Downtime (Hours)]], "")</f>
        <v/>
      </c>
      <c r="N1114" s="50" t="str">
        <f>IFERROR(Table1[[#This Row],[Running Time (hr)]]/Table1[Target Time (Hours)], "")</f>
        <v/>
      </c>
      <c r="O1114" s="50">
        <f>IFERROR(Table1[[#This Row],[Actual Production (Kg)]]/Table1[Capacity (Kg)], "")</f>
        <v>0.95399999999999996</v>
      </c>
      <c r="P1114" s="50">
        <f>IFERROR(Table1[[#This Row],[Quality Pass Production]]/Table1[[#This Row],[Actual Production (Kg)]], "")</f>
        <v>1</v>
      </c>
      <c r="Q1114" s="50" t="str">
        <f>IFERROR(Table1[[#This Row],[Utilization %]]*Table1[[#This Row],[Efficiency %]]*Table1[[#This Row],[Quality %]], "")</f>
        <v/>
      </c>
    </row>
    <row r="1115" spans="1:18" x14ac:dyDescent="0.25">
      <c r="A1115" s="47">
        <v>46217</v>
      </c>
      <c r="B1115" s="48" t="s">
        <v>18</v>
      </c>
      <c r="C1115" s="48" t="s">
        <v>26</v>
      </c>
      <c r="D1115" s="48" t="s">
        <v>25</v>
      </c>
      <c r="E1115" s="49">
        <v>7000</v>
      </c>
      <c r="F1115" s="76">
        <v>7470</v>
      </c>
      <c r="G1115" s="34">
        <v>0</v>
      </c>
      <c r="H1115" s="50">
        <f>IFERROR(Table1[Re-process (Kg)]/Table1[Actual Production (Kg)], "")</f>
        <v>0</v>
      </c>
      <c r="I1115" s="49">
        <f>IFERROR(Table1[[#This Row],[Actual Production (Kg)]]-Table1[[#This Row],[Re-process (Kg)]], "")</f>
        <v>7470</v>
      </c>
      <c r="J1115" s="49">
        <v>22</v>
      </c>
      <c r="K1115" s="72"/>
      <c r="L1115" s="49">
        <f>IF(Table1[[#This Row],[Target Time (Hours)]]="","",Table1[[#This Row],[Target Time (Hours)]]-Table1[[#This Row],[Downtime (Hours)]])</f>
        <v>22</v>
      </c>
      <c r="M1115" s="49">
        <f>IFERROR(Table1[[#This Row],[Capacity (Kg)]]/Table1[[#This Row],[Target Time (Hours)]] * Table1[[#This Row],[Downtime (Hours)]], "")</f>
        <v>0</v>
      </c>
      <c r="N1115" s="50">
        <f>IFERROR(Table1[[#This Row],[Running Time (hr)]]/Table1[Target Time (Hours)], "")</f>
        <v>1</v>
      </c>
      <c r="O1115" s="50">
        <f>IFERROR(Table1[[#This Row],[Actual Production (Kg)]]/Table1[Capacity (Kg)], "")</f>
        <v>1.0671428571428572</v>
      </c>
      <c r="P1115" s="50">
        <f>IFERROR(Table1[[#This Row],[Quality Pass Production]]/Table1[[#This Row],[Actual Production (Kg)]], "")</f>
        <v>1</v>
      </c>
      <c r="Q1115" s="50">
        <f>IFERROR(Table1[[#This Row],[Utilization %]]*Table1[[#This Row],[Efficiency %]]*Table1[[#This Row],[Quality %]], "")</f>
        <v>1.0671428571428572</v>
      </c>
    </row>
    <row r="1116" spans="1:18" ht="30" customHeight="1" x14ac:dyDescent="0.25">
      <c r="A1116" s="47">
        <v>46217</v>
      </c>
      <c r="B1116" s="48" t="s">
        <v>18</v>
      </c>
      <c r="C1116" s="48" t="s">
        <v>28</v>
      </c>
      <c r="D1116" s="48" t="s">
        <v>29</v>
      </c>
      <c r="E1116" s="49">
        <v>7800</v>
      </c>
      <c r="F1116" s="76">
        <v>4712</v>
      </c>
      <c r="G1116" s="30">
        <v>0</v>
      </c>
      <c r="H1116" s="50">
        <f>IFERROR(Table1[Re-process (Kg)]/Table1[Actual Production (Kg)], "")</f>
        <v>0</v>
      </c>
      <c r="I1116" s="49">
        <f>IFERROR(Table1[[#This Row],[Actual Production (Kg)]]-Table1[[#This Row],[Re-process (Kg)]], "")</f>
        <v>4712</v>
      </c>
      <c r="J1116" s="49">
        <v>22</v>
      </c>
      <c r="K1116" s="72">
        <v>4.5</v>
      </c>
      <c r="L1116" s="49">
        <f>IF(Table1[[#This Row],[Target Time (Hours)]]="","",Table1[[#This Row],[Target Time (Hours)]]-Table1[[#This Row],[Downtime (Hours)]])</f>
        <v>17.5</v>
      </c>
      <c r="M1116" s="49">
        <f>IFERROR(Table1[[#This Row],[Capacity (Kg)]]/Table1[[#This Row],[Target Time (Hours)]] * Table1[[#This Row],[Downtime (Hours)]], "")</f>
        <v>1595.4545454545455</v>
      </c>
      <c r="N1116" s="50">
        <f>IFERROR(Table1[[#This Row],[Running Time (hr)]]/Table1[Target Time (Hours)], "")</f>
        <v>0.79545454545454541</v>
      </c>
      <c r="O1116" s="50">
        <f>IFERROR(Table1[[#This Row],[Actual Production (Kg)]]/Table1[Capacity (Kg)], "")</f>
        <v>0.60410256410256413</v>
      </c>
      <c r="P1116" s="50">
        <f>IFERROR(Table1[[#This Row],[Quality Pass Production]]/Table1[[#This Row],[Actual Production (Kg)]], "")</f>
        <v>1</v>
      </c>
      <c r="Q1116" s="50">
        <f>IFERROR(Table1[[#This Row],[Utilization %]]*Table1[[#This Row],[Efficiency %]]*Table1[[#This Row],[Quality %]], "")</f>
        <v>0.48053613053613053</v>
      </c>
      <c r="R1116" s="48" t="s">
        <v>303</v>
      </c>
    </row>
    <row r="1117" spans="1:18" ht="30" customHeight="1" x14ac:dyDescent="0.25">
      <c r="A1117" s="51">
        <v>46217</v>
      </c>
      <c r="B1117" s="52" t="s">
        <v>18</v>
      </c>
      <c r="C1117" s="52" t="s">
        <v>135</v>
      </c>
      <c r="D1117" s="52" t="s">
        <v>29</v>
      </c>
      <c r="E1117" s="53"/>
      <c r="F1117" s="53"/>
      <c r="G1117" s="38"/>
      <c r="H1117" s="57" t="str">
        <f>IFERROR(Table1[Re-process (Kg)]/Table1[Actual Production (Kg)], "")</f>
        <v/>
      </c>
      <c r="I1117" s="53">
        <f>IFERROR(Table1[[#This Row],[Actual Production (Kg)]]-Table1[[#This Row],[Re-process (Kg)]], "")</f>
        <v>0</v>
      </c>
      <c r="J1117" s="53"/>
      <c r="K1117" s="52"/>
      <c r="L1117" s="53" t="str">
        <f>IF(Table1[[#This Row],[Target Time (Hours)]]="","",Table1[[#This Row],[Target Time (Hours)]]-Table1[[#This Row],[Downtime (Hours)]])</f>
        <v/>
      </c>
      <c r="M1117" s="53" t="str">
        <f>IFERROR(Table1[[#This Row],[Capacity (Kg)]]/Table1[[#This Row],[Target Time (Hours)]] * Table1[[#This Row],[Downtime (Hours)]], "")</f>
        <v/>
      </c>
      <c r="N1117" s="57" t="str">
        <f>IFERROR(Table1[[#This Row],[Running Time (hr)]]/Table1[Target Time (Hours)], "")</f>
        <v/>
      </c>
      <c r="O1117" s="57" t="str">
        <f>IFERROR(Table1[[#This Row],[Actual Production (Kg)]]/Table1[Capacity (Kg)], "")</f>
        <v/>
      </c>
      <c r="P1117" s="57" t="str">
        <f>IFERROR(Table1[[#This Row],[Quality Pass Production]]/Table1[[#This Row],[Actual Production (Kg)]], "")</f>
        <v/>
      </c>
      <c r="Q1117" s="57" t="str">
        <f>IFERROR(Table1[[#This Row],[Utilization %]]*Table1[[#This Row],[Efficiency %]]*Table1[[#This Row],[Quality %]], "")</f>
        <v/>
      </c>
      <c r="R1117" s="52"/>
    </row>
    <row r="1118" spans="1:18" ht="30" customHeight="1" x14ac:dyDescent="0.25">
      <c r="A1118" s="47">
        <v>46217</v>
      </c>
      <c r="B1118" s="48" t="s">
        <v>18</v>
      </c>
      <c r="C1118" s="48" t="s">
        <v>30</v>
      </c>
      <c r="D1118" s="48" t="s">
        <v>31</v>
      </c>
      <c r="E1118" s="49">
        <v>9000</v>
      </c>
      <c r="F1118" s="76">
        <v>6828</v>
      </c>
      <c r="G1118" s="30">
        <v>0</v>
      </c>
      <c r="H1118" s="50">
        <f>IFERROR(Table1[Re-process (Kg)]/Table1[Actual Production (Kg)], "")</f>
        <v>0</v>
      </c>
      <c r="I1118" s="49">
        <f>IFERROR(Table1[[#This Row],[Actual Production (Kg)]]-Table1[[#This Row],[Re-process (Kg)]], "")</f>
        <v>6828</v>
      </c>
      <c r="J1118" s="49">
        <v>22</v>
      </c>
      <c r="K1118" s="72"/>
      <c r="L1118" s="49">
        <f>IF(Table1[[#This Row],[Target Time (Hours)]]="","",Table1[[#This Row],[Target Time (Hours)]]-Table1[[#This Row],[Downtime (Hours)]])</f>
        <v>22</v>
      </c>
      <c r="M1118" s="49">
        <f>IFERROR(Table1[[#This Row],[Capacity (Kg)]]/Table1[[#This Row],[Target Time (Hours)]] * Table1[[#This Row],[Downtime (Hours)]], "")</f>
        <v>0</v>
      </c>
      <c r="N1118" s="50">
        <f>IFERROR(Table1[[#This Row],[Running Time (hr)]]/Table1[Target Time (Hours)], "")</f>
        <v>1</v>
      </c>
      <c r="O1118" s="50">
        <f>IFERROR(Table1[[#This Row],[Actual Production (Kg)]]/Table1[Capacity (Kg)], "")</f>
        <v>0.75866666666666671</v>
      </c>
      <c r="P1118" s="50">
        <f>IFERROR(Table1[[#This Row],[Quality Pass Production]]/Table1[[#This Row],[Actual Production (Kg)]], "")</f>
        <v>1</v>
      </c>
      <c r="Q1118" s="50">
        <f>IFERROR(Table1[[#This Row],[Utilization %]]*Table1[[#This Row],[Efficiency %]]*Table1[[#This Row],[Quality %]], "")</f>
        <v>0.75866666666666671</v>
      </c>
    </row>
    <row r="1119" spans="1:18" ht="30" customHeight="1" x14ac:dyDescent="0.25">
      <c r="A1119" s="51">
        <v>46217</v>
      </c>
      <c r="B1119" s="52" t="s">
        <v>18</v>
      </c>
      <c r="C1119" s="52" t="s">
        <v>32</v>
      </c>
      <c r="D1119" s="52" t="s">
        <v>31</v>
      </c>
      <c r="E1119" s="79">
        <f>Table1[[#This Row],[Actual Production (Kg)]]</f>
        <v>0</v>
      </c>
      <c r="F1119" s="53"/>
      <c r="G1119" s="38"/>
      <c r="H1119" s="57" t="str">
        <f>IFERROR(Table1[Re-process (Kg)]/Table1[Actual Production (Kg)], "")</f>
        <v/>
      </c>
      <c r="I1119" s="53">
        <f>IFERROR(Table1[[#This Row],[Actual Production (Kg)]]-Table1[[#This Row],[Re-process (Kg)]], "")</f>
        <v>0</v>
      </c>
      <c r="J1119" s="53"/>
      <c r="K1119" s="52"/>
      <c r="L1119" s="53" t="str">
        <f>IF(Table1[[#This Row],[Target Time (Hours)]]="","",Table1[[#This Row],[Target Time (Hours)]]-Table1[[#This Row],[Downtime (Hours)]])</f>
        <v/>
      </c>
      <c r="M1119" s="53" t="str">
        <f>IFERROR(Table1[[#This Row],[Capacity (Kg)]]/Table1[[#This Row],[Target Time (Hours)]] * Table1[[#This Row],[Downtime (Hours)]], "")</f>
        <v/>
      </c>
      <c r="N1119" s="57" t="str">
        <f>IFERROR(Table1[[#This Row],[Running Time (hr)]]/Table1[Target Time (Hours)], "")</f>
        <v/>
      </c>
      <c r="O1119" s="57" t="str">
        <f>IFERROR(Table1[[#This Row],[Actual Production (Kg)]]/Table1[Capacity (Kg)], "")</f>
        <v/>
      </c>
      <c r="P1119" s="57" t="str">
        <f>IFERROR(Table1[[#This Row],[Quality Pass Production]]/Table1[[#This Row],[Actual Production (Kg)]], "")</f>
        <v/>
      </c>
      <c r="Q1119" s="57" t="str">
        <f>IFERROR(Table1[[#This Row],[Utilization %]]*Table1[[#This Row],[Efficiency %]]*Table1[[#This Row],[Quality %]], "")</f>
        <v/>
      </c>
      <c r="R1119" s="52"/>
    </row>
    <row r="1120" spans="1:18" ht="30" customHeight="1" x14ac:dyDescent="0.25">
      <c r="A1120" s="47">
        <v>46217</v>
      </c>
      <c r="B1120" s="48" t="s">
        <v>33</v>
      </c>
      <c r="C1120" s="48" t="s">
        <v>34</v>
      </c>
      <c r="D1120" s="48" t="s">
        <v>35</v>
      </c>
      <c r="E1120" s="49">
        <v>9000</v>
      </c>
      <c r="F1120" s="76">
        <v>7499</v>
      </c>
      <c r="G1120" s="30">
        <v>0</v>
      </c>
      <c r="H1120" s="50">
        <f>IFERROR(Table1[Re-process (Kg)]/Table1[Actual Production (Kg)], "")</f>
        <v>0</v>
      </c>
      <c r="I1120" s="49">
        <f>IFERROR(Table1[[#This Row],[Actual Production (Kg)]]-Table1[[#This Row],[Re-process (Kg)]], "")</f>
        <v>7499</v>
      </c>
      <c r="J1120" s="49">
        <v>22</v>
      </c>
      <c r="K1120" s="72"/>
      <c r="L1120" s="49">
        <f>IF(Table1[[#This Row],[Target Time (Hours)]]="","",Table1[[#This Row],[Target Time (Hours)]]-Table1[[#This Row],[Downtime (Hours)]])</f>
        <v>22</v>
      </c>
      <c r="M1120" s="49">
        <f>IFERROR(Table1[[#This Row],[Capacity (Kg)]]/Table1[[#This Row],[Target Time (Hours)]] * Table1[[#This Row],[Downtime (Hours)]], "")</f>
        <v>0</v>
      </c>
      <c r="N1120" s="50">
        <f>IFERROR(Table1[[#This Row],[Running Time (hr)]]/Table1[Target Time (Hours)], "")</f>
        <v>1</v>
      </c>
      <c r="O1120" s="50">
        <f>IFERROR(Table1[[#This Row],[Actual Production (Kg)]]/Table1[Capacity (Kg)], "")</f>
        <v>0.8332222222222222</v>
      </c>
      <c r="P1120" s="50">
        <f>IFERROR(Table1[[#This Row],[Quality Pass Production]]/Table1[[#This Row],[Actual Production (Kg)]], "")</f>
        <v>1</v>
      </c>
      <c r="Q1120" s="50">
        <f>IFERROR(Table1[[#This Row],[Utilization %]]*Table1[[#This Row],[Efficiency %]]*Table1[[#This Row],[Quality %]], "")</f>
        <v>0.8332222222222222</v>
      </c>
    </row>
    <row r="1121" spans="1:18" x14ac:dyDescent="0.25">
      <c r="A1121" s="47">
        <v>46217</v>
      </c>
      <c r="B1121" s="48" t="s">
        <v>33</v>
      </c>
      <c r="C1121" s="48" t="s">
        <v>36</v>
      </c>
      <c r="D1121" s="48" t="s">
        <v>37</v>
      </c>
      <c r="E1121" s="49">
        <v>8000</v>
      </c>
      <c r="F1121" s="76">
        <v>7220</v>
      </c>
      <c r="G1121" s="34">
        <v>0</v>
      </c>
      <c r="H1121" s="50">
        <f>IFERROR(Table1[Re-process (Kg)]/Table1[Actual Production (Kg)], "")</f>
        <v>0</v>
      </c>
      <c r="I1121" s="49">
        <f>IFERROR(Table1[[#This Row],[Actual Production (Kg)]]-Table1[[#This Row],[Re-process (Kg)]], "")</f>
        <v>7220</v>
      </c>
      <c r="J1121" s="49">
        <v>22</v>
      </c>
      <c r="K1121" s="72">
        <v>1.5</v>
      </c>
      <c r="L1121" s="49">
        <f>IF(Table1[[#This Row],[Target Time (Hours)]]="","",Table1[[#This Row],[Target Time (Hours)]]-Table1[[#This Row],[Downtime (Hours)]])</f>
        <v>20.5</v>
      </c>
      <c r="M1121" s="49">
        <f>IFERROR(Table1[[#This Row],[Capacity (Kg)]]/Table1[[#This Row],[Target Time (Hours)]] * Table1[[#This Row],[Downtime (Hours)]], "")</f>
        <v>545.4545454545455</v>
      </c>
      <c r="N1121" s="50">
        <f>IFERROR(Table1[[#This Row],[Running Time (hr)]]/Table1[Target Time (Hours)], "")</f>
        <v>0.93181818181818177</v>
      </c>
      <c r="O1121" s="50">
        <f>IFERROR(Table1[[#This Row],[Actual Production (Kg)]]/Table1[Capacity (Kg)], "")</f>
        <v>0.90249999999999997</v>
      </c>
      <c r="P1121" s="50">
        <f>IFERROR(Table1[[#This Row],[Quality Pass Production]]/Table1[[#This Row],[Actual Production (Kg)]], "")</f>
        <v>1</v>
      </c>
      <c r="Q1121" s="50">
        <f>IFERROR(Table1[[#This Row],[Utilization %]]*Table1[[#This Row],[Efficiency %]]*Table1[[#This Row],[Quality %]], "")</f>
        <v>0.84096590909090907</v>
      </c>
      <c r="R1121" s="48" t="s">
        <v>304</v>
      </c>
    </row>
    <row r="1122" spans="1:18" ht="30" customHeight="1" x14ac:dyDescent="0.25">
      <c r="A1122" s="47">
        <v>46217</v>
      </c>
      <c r="B1122" s="48" t="s">
        <v>33</v>
      </c>
      <c r="C1122" s="48" t="s">
        <v>39</v>
      </c>
      <c r="D1122" s="48" t="s">
        <v>31</v>
      </c>
      <c r="E1122" s="49">
        <v>6000</v>
      </c>
      <c r="F1122" s="76">
        <v>2710</v>
      </c>
      <c r="G1122" s="30">
        <v>0</v>
      </c>
      <c r="H1122" s="50">
        <f>IFERROR(Table1[Re-process (Kg)]/Table1[Actual Production (Kg)], "")</f>
        <v>0</v>
      </c>
      <c r="I1122" s="49">
        <f>IFERROR(Table1[[#This Row],[Actual Production (Kg)]]-Table1[[#This Row],[Re-process (Kg)]], "")</f>
        <v>2710</v>
      </c>
      <c r="J1122" s="49">
        <v>22</v>
      </c>
      <c r="K1122" s="72"/>
      <c r="L1122" s="49">
        <f>IF(Table1[[#This Row],[Target Time (Hours)]]="","",Table1[[#This Row],[Target Time (Hours)]]-Table1[[#This Row],[Downtime (Hours)]])</f>
        <v>22</v>
      </c>
      <c r="M1122" s="49">
        <f>IFERROR(Table1[[#This Row],[Capacity (Kg)]]/Table1[[#This Row],[Target Time (Hours)]] * Table1[[#This Row],[Downtime (Hours)]], "")</f>
        <v>0</v>
      </c>
      <c r="N1122" s="50">
        <f>IFERROR(Table1[[#This Row],[Running Time (hr)]]/Table1[Target Time (Hours)], "")</f>
        <v>1</v>
      </c>
      <c r="O1122" s="50">
        <f>IFERROR(Table1[[#This Row],[Actual Production (Kg)]]/Table1[Capacity (Kg)], "")</f>
        <v>0.45166666666666666</v>
      </c>
      <c r="P1122" s="50">
        <f>IFERROR(Table1[[#This Row],[Quality Pass Production]]/Table1[[#This Row],[Actual Production (Kg)]], "")</f>
        <v>1</v>
      </c>
      <c r="Q1122" s="50">
        <f>IFERROR(Table1[[#This Row],[Utilization %]]*Table1[[#This Row],[Efficiency %]]*Table1[[#This Row],[Quality %]], "")</f>
        <v>0.45166666666666666</v>
      </c>
    </row>
    <row r="1123" spans="1:18" ht="45" customHeight="1" x14ac:dyDescent="0.25">
      <c r="A1123" s="54">
        <v>46217</v>
      </c>
      <c r="B1123" s="55" t="s">
        <v>33</v>
      </c>
      <c r="C1123" s="55" t="s">
        <v>40</v>
      </c>
      <c r="D1123" s="55" t="s">
        <v>31</v>
      </c>
      <c r="E1123" s="56">
        <v>5000</v>
      </c>
      <c r="F1123" s="56">
        <v>2150</v>
      </c>
      <c r="G1123" s="43">
        <v>0</v>
      </c>
      <c r="H1123" s="58">
        <f>IFERROR(Table1[Re-process (Kg)]/Table1[Actual Production (Kg)], "")</f>
        <v>0</v>
      </c>
      <c r="I1123" s="56">
        <f>IFERROR(Table1[[#This Row],[Actual Production (Kg)]]-Table1[[#This Row],[Re-process (Kg)]], "")</f>
        <v>2150</v>
      </c>
      <c r="J1123" s="56">
        <v>22</v>
      </c>
      <c r="K1123" s="55"/>
      <c r="L1123" s="56">
        <f>IF(Table1[[#This Row],[Target Time (Hours)]]="","",Table1[[#This Row],[Target Time (Hours)]]-Table1[[#This Row],[Downtime (Hours)]])</f>
        <v>22</v>
      </c>
      <c r="M1123" s="56">
        <f>IFERROR(Table1[[#This Row],[Capacity (Kg)]]/Table1[[#This Row],[Target Time (Hours)]] * Table1[[#This Row],[Downtime (Hours)]], "")</f>
        <v>0</v>
      </c>
      <c r="N1123" s="58">
        <f>IFERROR(Table1[[#This Row],[Running Time (hr)]]/Table1[Target Time (Hours)], "")</f>
        <v>1</v>
      </c>
      <c r="O1123" s="58">
        <f>IFERROR(Table1[[#This Row],[Actual Production (Kg)]]/Table1[Capacity (Kg)], "")</f>
        <v>0.43</v>
      </c>
      <c r="P1123" s="58">
        <f>IFERROR(Table1[[#This Row],[Quality Pass Production]]/Table1[[#This Row],[Actual Production (Kg)]], "")</f>
        <v>1</v>
      </c>
      <c r="Q1123" s="58">
        <f>IFERROR(Table1[[#This Row],[Utilization %]]*Table1[[#This Row],[Efficiency %]]*Table1[[#This Row],[Quality %]], "")</f>
        <v>0.43</v>
      </c>
      <c r="R1123" s="55"/>
    </row>
    <row r="1124" spans="1:18" ht="30" customHeight="1" x14ac:dyDescent="0.25">
      <c r="A1124" s="47">
        <v>46218</v>
      </c>
      <c r="B1124" s="48" t="s">
        <v>18</v>
      </c>
      <c r="C1124" s="48" t="s">
        <v>19</v>
      </c>
      <c r="D1124" s="48" t="s">
        <v>20</v>
      </c>
      <c r="E1124" s="49">
        <v>10000</v>
      </c>
      <c r="F1124" s="76">
        <v>8043</v>
      </c>
      <c r="G1124" s="34">
        <v>0</v>
      </c>
      <c r="H1124" s="50">
        <f>IFERROR(Table1[Re-process (Kg)]/Table1[Actual Production (Kg)], "")</f>
        <v>0</v>
      </c>
      <c r="I1124" s="49">
        <f>IFERROR(Table1[[#This Row],[Actual Production (Kg)]]-Table1[[#This Row],[Re-process (Kg)]], "")</f>
        <v>8043</v>
      </c>
      <c r="J1124" s="49">
        <v>22</v>
      </c>
      <c r="K1124" s="72"/>
      <c r="L1124" s="49">
        <f>IF(Table1[[#This Row],[Target Time (Hours)]]="","",Table1[[#This Row],[Target Time (Hours)]]-Table1[[#This Row],[Downtime (Hours)]])</f>
        <v>22</v>
      </c>
      <c r="M1124" s="49">
        <f>IFERROR(Table1[[#This Row],[Capacity (Kg)]]/Table1[[#This Row],[Target Time (Hours)]] * Table1[[#This Row],[Downtime (Hours)]], "")</f>
        <v>0</v>
      </c>
      <c r="N1124" s="50">
        <f>IFERROR(Table1[[#This Row],[Running Time (hr)]]/Table1[Target Time (Hours)], "")</f>
        <v>1</v>
      </c>
      <c r="O1124" s="50">
        <f>IFERROR(Table1[[#This Row],[Actual Production (Kg)]]/Table1[Capacity (Kg)], "")</f>
        <v>0.80430000000000001</v>
      </c>
      <c r="P1124" s="50">
        <f>IFERROR(Table1[[#This Row],[Quality Pass Production]]/Table1[[#This Row],[Actual Production (Kg)]], "")</f>
        <v>1</v>
      </c>
      <c r="Q1124" s="50">
        <f>IFERROR(Table1[[#This Row],[Utilization %]]*Table1[[#This Row],[Efficiency %]]*Table1[[#This Row],[Quality %]], "")</f>
        <v>0.80430000000000001</v>
      </c>
    </row>
    <row r="1125" spans="1:18" x14ac:dyDescent="0.25">
      <c r="A1125" s="51">
        <v>46218</v>
      </c>
      <c r="B1125" s="52" t="s">
        <v>18</v>
      </c>
      <c r="C1125" s="52" t="s">
        <v>238</v>
      </c>
      <c r="D1125" s="52" t="s">
        <v>20</v>
      </c>
      <c r="E1125" s="79">
        <v>9607</v>
      </c>
      <c r="F1125" s="53">
        <v>9607</v>
      </c>
      <c r="G1125" s="38">
        <v>0</v>
      </c>
      <c r="H1125" s="57">
        <f>IFERROR(Table1[Re-process (Kg)]/Table1[Actual Production (Kg)], "")</f>
        <v>0</v>
      </c>
      <c r="I1125" s="53">
        <f>IFERROR(Table1[[#This Row],[Actual Production (Kg)]]-Table1[[#This Row],[Re-process (Kg)]], "")</f>
        <v>9607</v>
      </c>
      <c r="J1125" s="53"/>
      <c r="K1125" s="52"/>
      <c r="L1125" s="53" t="str">
        <f>IF(Table1[[#This Row],[Target Time (Hours)]]="","",Table1[[#This Row],[Target Time (Hours)]]-Table1[[#This Row],[Downtime (Hours)]])</f>
        <v/>
      </c>
      <c r="M1125" s="53" t="str">
        <f>IFERROR(Table1[[#This Row],[Capacity (Kg)]]/Table1[[#This Row],[Target Time (Hours)]] * Table1[[#This Row],[Downtime (Hours)]], "")</f>
        <v/>
      </c>
      <c r="N1125" s="57" t="str">
        <f>IFERROR(Table1[[#This Row],[Running Time (hr)]]/Table1[Target Time (Hours)], "")</f>
        <v/>
      </c>
      <c r="O1125" s="57">
        <f>IFERROR(Table1[[#This Row],[Actual Production (Kg)]]/Table1[Capacity (Kg)], "")</f>
        <v>1</v>
      </c>
      <c r="P1125" s="57">
        <f>IFERROR(Table1[[#This Row],[Quality Pass Production]]/Table1[[#This Row],[Actual Production (Kg)]], "")</f>
        <v>1</v>
      </c>
      <c r="Q1125" s="57" t="str">
        <f>IFERROR(Table1[[#This Row],[Utilization %]]*Table1[[#This Row],[Efficiency %]]*Table1[[#This Row],[Quality %]], "")</f>
        <v/>
      </c>
      <c r="R1125" s="52"/>
    </row>
    <row r="1126" spans="1:18" x14ac:dyDescent="0.25">
      <c r="A1126" s="47">
        <v>46218</v>
      </c>
      <c r="B1126" s="48" t="s">
        <v>18</v>
      </c>
      <c r="C1126" s="48" t="s">
        <v>22</v>
      </c>
      <c r="D1126" s="48" t="s">
        <v>23</v>
      </c>
      <c r="E1126" s="49">
        <v>5000</v>
      </c>
      <c r="F1126" s="76">
        <v>5331</v>
      </c>
      <c r="G1126" s="34">
        <v>0</v>
      </c>
      <c r="H1126" s="50">
        <f>IFERROR(Table1[Re-process (Kg)]/Table1[Actual Production (Kg)], "")</f>
        <v>0</v>
      </c>
      <c r="I1126" s="49">
        <f>IFERROR(Table1[[#This Row],[Actual Production (Kg)]]-Table1[[#This Row],[Re-process (Kg)]], "")</f>
        <v>5331</v>
      </c>
      <c r="J1126" s="49">
        <v>22</v>
      </c>
      <c r="K1126" s="72"/>
      <c r="L1126" s="49">
        <f>IF(Table1[[#This Row],[Target Time (Hours)]]="","",Table1[[#This Row],[Target Time (Hours)]]-Table1[[#This Row],[Downtime (Hours)]])</f>
        <v>22</v>
      </c>
      <c r="M1126" s="49">
        <f>IFERROR(Table1[[#This Row],[Capacity (Kg)]]/Table1[[#This Row],[Target Time (Hours)]] * Table1[[#This Row],[Downtime (Hours)]], "")</f>
        <v>0</v>
      </c>
      <c r="N1126" s="50">
        <f>IFERROR(Table1[[#This Row],[Running Time (hr)]]/Table1[Target Time (Hours)], "")</f>
        <v>1</v>
      </c>
      <c r="O1126" s="50">
        <f>IFERROR(Table1[[#This Row],[Actual Production (Kg)]]/Table1[Capacity (Kg)], "")</f>
        <v>1.0662</v>
      </c>
      <c r="P1126" s="50">
        <f>IFERROR(Table1[[#This Row],[Quality Pass Production]]/Table1[[#This Row],[Actual Production (Kg)]], "")</f>
        <v>1</v>
      </c>
      <c r="Q1126" s="50">
        <f>IFERROR(Table1[[#This Row],[Utilization %]]*Table1[[#This Row],[Efficiency %]]*Table1[[#This Row],[Quality %]], "")</f>
        <v>1.0662</v>
      </c>
      <c r="R1126" s="48" t="s">
        <v>305</v>
      </c>
    </row>
    <row r="1127" spans="1:18" x14ac:dyDescent="0.25">
      <c r="A1127" s="47">
        <v>46218</v>
      </c>
      <c r="B1127" s="48" t="s">
        <v>18</v>
      </c>
      <c r="C1127" s="48" t="s">
        <v>22</v>
      </c>
      <c r="D1127" s="48" t="s">
        <v>25</v>
      </c>
      <c r="E1127" s="49">
        <v>4000</v>
      </c>
      <c r="F1127" s="76">
        <v>3497</v>
      </c>
      <c r="G1127" s="30">
        <v>0</v>
      </c>
      <c r="H1127" s="50">
        <f>IFERROR(Table1[Re-process (Kg)]/Table1[Actual Production (Kg)], "")</f>
        <v>0</v>
      </c>
      <c r="I1127" s="49">
        <f>IFERROR(Table1[[#This Row],[Actual Production (Kg)]]-Table1[[#This Row],[Re-process (Kg)]], "")</f>
        <v>3497</v>
      </c>
      <c r="J1127" s="49"/>
      <c r="K1127" s="72"/>
      <c r="L1127" s="49" t="str">
        <f>IF(Table1[[#This Row],[Target Time (Hours)]]="","",Table1[[#This Row],[Target Time (Hours)]]-Table1[[#This Row],[Downtime (Hours)]])</f>
        <v/>
      </c>
      <c r="M1127" s="49" t="str">
        <f>IFERROR(Table1[[#This Row],[Capacity (Kg)]]/Table1[[#This Row],[Target Time (Hours)]] * Table1[[#This Row],[Downtime (Hours)]], "")</f>
        <v/>
      </c>
      <c r="N1127" s="50" t="str">
        <f>IFERROR(Table1[[#This Row],[Running Time (hr)]]/Table1[Target Time (Hours)], "")</f>
        <v/>
      </c>
      <c r="O1127" s="50">
        <f>IFERROR(Table1[[#This Row],[Actual Production (Kg)]]/Table1[Capacity (Kg)], "")</f>
        <v>0.87424999999999997</v>
      </c>
      <c r="P1127" s="50">
        <f>IFERROR(Table1[[#This Row],[Quality Pass Production]]/Table1[[#This Row],[Actual Production (Kg)]], "")</f>
        <v>1</v>
      </c>
      <c r="Q1127" s="50" t="str">
        <f>IFERROR(Table1[[#This Row],[Utilization %]]*Table1[[#This Row],[Efficiency %]]*Table1[[#This Row],[Quality %]], "")</f>
        <v/>
      </c>
    </row>
    <row r="1128" spans="1:18" x14ac:dyDescent="0.25">
      <c r="A1128" s="47">
        <v>46218</v>
      </c>
      <c r="B1128" s="48" t="s">
        <v>18</v>
      </c>
      <c r="C1128" s="48" t="s">
        <v>26</v>
      </c>
      <c r="D1128" s="48" t="s">
        <v>25</v>
      </c>
      <c r="E1128" s="49">
        <v>7000</v>
      </c>
      <c r="F1128" s="76">
        <v>7715</v>
      </c>
      <c r="G1128" s="34">
        <v>0</v>
      </c>
      <c r="H1128" s="50">
        <f>IFERROR(Table1[Re-process (Kg)]/Table1[Actual Production (Kg)], "")</f>
        <v>0</v>
      </c>
      <c r="I1128" s="49">
        <f>IFERROR(Table1[[#This Row],[Actual Production (Kg)]]-Table1[[#This Row],[Re-process (Kg)]], "")</f>
        <v>7715</v>
      </c>
      <c r="J1128" s="49">
        <v>22</v>
      </c>
      <c r="K1128" s="72"/>
      <c r="L1128" s="49">
        <f>IF(Table1[[#This Row],[Target Time (Hours)]]="","",Table1[[#This Row],[Target Time (Hours)]]-Table1[[#This Row],[Downtime (Hours)]])</f>
        <v>22</v>
      </c>
      <c r="M1128" s="49">
        <f>IFERROR(Table1[[#This Row],[Capacity (Kg)]]/Table1[[#This Row],[Target Time (Hours)]] * Table1[[#This Row],[Downtime (Hours)]], "")</f>
        <v>0</v>
      </c>
      <c r="N1128" s="50">
        <f>IFERROR(Table1[[#This Row],[Running Time (hr)]]/Table1[Target Time (Hours)], "")</f>
        <v>1</v>
      </c>
      <c r="O1128" s="50">
        <f>IFERROR(Table1[[#This Row],[Actual Production (Kg)]]/Table1[Capacity (Kg)], "")</f>
        <v>1.1021428571428571</v>
      </c>
      <c r="P1128" s="50">
        <f>IFERROR(Table1[[#This Row],[Quality Pass Production]]/Table1[[#This Row],[Actual Production (Kg)]], "")</f>
        <v>1</v>
      </c>
      <c r="Q1128" s="50">
        <f>IFERROR(Table1[[#This Row],[Utilization %]]*Table1[[#This Row],[Efficiency %]]*Table1[[#This Row],[Quality %]], "")</f>
        <v>1.1021428571428571</v>
      </c>
    </row>
    <row r="1129" spans="1:18" ht="30" customHeight="1" x14ac:dyDescent="0.25">
      <c r="A1129" s="47">
        <v>46218</v>
      </c>
      <c r="B1129" s="48" t="s">
        <v>18</v>
      </c>
      <c r="C1129" s="48" t="s">
        <v>28</v>
      </c>
      <c r="D1129" s="48" t="s">
        <v>29</v>
      </c>
      <c r="E1129" s="49">
        <v>7800</v>
      </c>
      <c r="F1129" s="76">
        <v>5452</v>
      </c>
      <c r="G1129" s="30">
        <v>0</v>
      </c>
      <c r="H1129" s="50">
        <f>IFERROR(Table1[Re-process (Kg)]/Table1[Actual Production (Kg)], "")</f>
        <v>0</v>
      </c>
      <c r="I1129" s="49">
        <f>IFERROR(Table1[[#This Row],[Actual Production (Kg)]]-Table1[[#This Row],[Re-process (Kg)]], "")</f>
        <v>5452</v>
      </c>
      <c r="J1129" s="49">
        <v>22</v>
      </c>
      <c r="K1129" s="72">
        <v>6</v>
      </c>
      <c r="L1129" s="49">
        <f>IF(Table1[[#This Row],[Target Time (Hours)]]="","",Table1[[#This Row],[Target Time (Hours)]]-Table1[[#This Row],[Downtime (Hours)]])</f>
        <v>16</v>
      </c>
      <c r="M1129" s="49">
        <f>IFERROR(Table1[[#This Row],[Capacity (Kg)]]/Table1[[#This Row],[Target Time (Hours)]] * Table1[[#This Row],[Downtime (Hours)]], "")</f>
        <v>2127.2727272727275</v>
      </c>
      <c r="N1129" s="50">
        <f>IFERROR(Table1[[#This Row],[Running Time (hr)]]/Table1[Target Time (Hours)], "")</f>
        <v>0.72727272727272729</v>
      </c>
      <c r="O1129" s="50">
        <f>IFERROR(Table1[[#This Row],[Actual Production (Kg)]]/Table1[Capacity (Kg)], "")</f>
        <v>0.698974358974359</v>
      </c>
      <c r="P1129" s="50">
        <f>IFERROR(Table1[[#This Row],[Quality Pass Production]]/Table1[[#This Row],[Actual Production (Kg)]], "")</f>
        <v>1</v>
      </c>
      <c r="Q1129" s="50">
        <f>IFERROR(Table1[[#This Row],[Utilization %]]*Table1[[#This Row],[Efficiency %]]*Table1[[#This Row],[Quality %]], "")</f>
        <v>0.50834498834498842</v>
      </c>
      <c r="R1129" s="48" t="s">
        <v>306</v>
      </c>
    </row>
    <row r="1130" spans="1:18" ht="30" customHeight="1" x14ac:dyDescent="0.25">
      <c r="A1130" s="51">
        <v>46218</v>
      </c>
      <c r="B1130" s="52" t="s">
        <v>18</v>
      </c>
      <c r="C1130" s="52" t="s">
        <v>135</v>
      </c>
      <c r="D1130" s="52" t="s">
        <v>29</v>
      </c>
      <c r="E1130" s="53"/>
      <c r="F1130" s="53"/>
      <c r="G1130" s="38"/>
      <c r="H1130" s="57" t="str">
        <f>IFERROR(Table1[Re-process (Kg)]/Table1[Actual Production (Kg)], "")</f>
        <v/>
      </c>
      <c r="I1130" s="53">
        <f>IFERROR(Table1[[#This Row],[Actual Production (Kg)]]-Table1[[#This Row],[Re-process (Kg)]], "")</f>
        <v>0</v>
      </c>
      <c r="J1130" s="53"/>
      <c r="K1130" s="52"/>
      <c r="L1130" s="53" t="str">
        <f>IF(Table1[[#This Row],[Target Time (Hours)]]="","",Table1[[#This Row],[Target Time (Hours)]]-Table1[[#This Row],[Downtime (Hours)]])</f>
        <v/>
      </c>
      <c r="M1130" s="53" t="str">
        <f>IFERROR(Table1[[#This Row],[Capacity (Kg)]]/Table1[[#This Row],[Target Time (Hours)]] * Table1[[#This Row],[Downtime (Hours)]], "")</f>
        <v/>
      </c>
      <c r="N1130" s="57" t="str">
        <f>IFERROR(Table1[[#This Row],[Running Time (hr)]]/Table1[Target Time (Hours)], "")</f>
        <v/>
      </c>
      <c r="O1130" s="57" t="str">
        <f>IFERROR(Table1[[#This Row],[Actual Production (Kg)]]/Table1[Capacity (Kg)], "")</f>
        <v/>
      </c>
      <c r="P1130" s="57" t="str">
        <f>IFERROR(Table1[[#This Row],[Quality Pass Production]]/Table1[[#This Row],[Actual Production (Kg)]], "")</f>
        <v/>
      </c>
      <c r="Q1130" s="57" t="str">
        <f>IFERROR(Table1[[#This Row],[Utilization %]]*Table1[[#This Row],[Efficiency %]]*Table1[[#This Row],[Quality %]], "")</f>
        <v/>
      </c>
      <c r="R1130" s="52"/>
    </row>
    <row r="1131" spans="1:18" ht="30" customHeight="1" x14ac:dyDescent="0.25">
      <c r="A1131" s="47">
        <v>46218</v>
      </c>
      <c r="B1131" s="48" t="s">
        <v>18</v>
      </c>
      <c r="C1131" s="48" t="s">
        <v>30</v>
      </c>
      <c r="D1131" s="48" t="s">
        <v>31</v>
      </c>
      <c r="E1131" s="49">
        <v>9000</v>
      </c>
      <c r="F1131" s="76">
        <v>7356</v>
      </c>
      <c r="G1131" s="30">
        <v>0</v>
      </c>
      <c r="H1131" s="50">
        <f>IFERROR(Table1[Re-process (Kg)]/Table1[Actual Production (Kg)], "")</f>
        <v>0</v>
      </c>
      <c r="I1131" s="49">
        <f>IFERROR(Table1[[#This Row],[Actual Production (Kg)]]-Table1[[#This Row],[Re-process (Kg)]], "")</f>
        <v>7356</v>
      </c>
      <c r="J1131" s="49">
        <v>22</v>
      </c>
      <c r="K1131" s="72">
        <v>2</v>
      </c>
      <c r="L1131" s="49">
        <f>IF(Table1[[#This Row],[Target Time (Hours)]]="","",Table1[[#This Row],[Target Time (Hours)]]-Table1[[#This Row],[Downtime (Hours)]])</f>
        <v>20</v>
      </c>
      <c r="M1131" s="49">
        <f>IFERROR(Table1[[#This Row],[Capacity (Kg)]]/Table1[[#This Row],[Target Time (Hours)]] * Table1[[#This Row],[Downtime (Hours)]], "")</f>
        <v>818.18181818181813</v>
      </c>
      <c r="N1131" s="50">
        <f>IFERROR(Table1[[#This Row],[Running Time (hr)]]/Table1[Target Time (Hours)], "")</f>
        <v>0.90909090909090906</v>
      </c>
      <c r="O1131" s="50">
        <f>IFERROR(Table1[[#This Row],[Actual Production (Kg)]]/Table1[Capacity (Kg)], "")</f>
        <v>0.81733333333333336</v>
      </c>
      <c r="P1131" s="50">
        <f>IFERROR(Table1[[#This Row],[Quality Pass Production]]/Table1[[#This Row],[Actual Production (Kg)]], "")</f>
        <v>1</v>
      </c>
      <c r="Q1131" s="50">
        <f>IFERROR(Table1[[#This Row],[Utilization %]]*Table1[[#This Row],[Efficiency %]]*Table1[[#This Row],[Quality %]], "")</f>
        <v>0.74303030303030304</v>
      </c>
      <c r="R1131" s="48" t="s">
        <v>307</v>
      </c>
    </row>
    <row r="1132" spans="1:18" ht="30" customHeight="1" x14ac:dyDescent="0.25">
      <c r="A1132" s="51">
        <v>46218</v>
      </c>
      <c r="B1132" s="52" t="s">
        <v>18</v>
      </c>
      <c r="C1132" s="52" t="s">
        <v>32</v>
      </c>
      <c r="D1132" s="52" t="s">
        <v>31</v>
      </c>
      <c r="E1132" s="79">
        <v>2084</v>
      </c>
      <c r="F1132" s="53">
        <v>2084</v>
      </c>
      <c r="G1132" s="38"/>
      <c r="H1132" s="57">
        <f>IFERROR(Table1[Re-process (Kg)]/Table1[Actual Production (Kg)], "")</f>
        <v>0</v>
      </c>
      <c r="I1132" s="53">
        <f>IFERROR(Table1[[#This Row],[Actual Production (Kg)]]-Table1[[#This Row],[Re-process (Kg)]], "")</f>
        <v>2084</v>
      </c>
      <c r="J1132" s="53"/>
      <c r="K1132" s="52"/>
      <c r="L1132" s="53" t="str">
        <f>IF(Table1[[#This Row],[Target Time (Hours)]]="","",Table1[[#This Row],[Target Time (Hours)]]-Table1[[#This Row],[Downtime (Hours)]])</f>
        <v/>
      </c>
      <c r="M1132" s="53" t="str">
        <f>IFERROR(Table1[[#This Row],[Capacity (Kg)]]/Table1[[#This Row],[Target Time (Hours)]] * Table1[[#This Row],[Downtime (Hours)]], "")</f>
        <v/>
      </c>
      <c r="N1132" s="57" t="str">
        <f>IFERROR(Table1[[#This Row],[Running Time (hr)]]/Table1[Target Time (Hours)], "")</f>
        <v/>
      </c>
      <c r="O1132" s="57">
        <f>IFERROR(Table1[[#This Row],[Actual Production (Kg)]]/Table1[Capacity (Kg)], "")</f>
        <v>1</v>
      </c>
      <c r="P1132" s="57">
        <f>IFERROR(Table1[[#This Row],[Quality Pass Production]]/Table1[[#This Row],[Actual Production (Kg)]], "")</f>
        <v>1</v>
      </c>
      <c r="Q1132" s="57" t="str">
        <f>IFERROR(Table1[[#This Row],[Utilization %]]*Table1[[#This Row],[Efficiency %]]*Table1[[#This Row],[Quality %]], "")</f>
        <v/>
      </c>
      <c r="R1132" s="52" t="s">
        <v>308</v>
      </c>
    </row>
    <row r="1133" spans="1:18" ht="30" customHeight="1" x14ac:dyDescent="0.25">
      <c r="A1133" s="47">
        <v>46218</v>
      </c>
      <c r="B1133" s="48" t="s">
        <v>33</v>
      </c>
      <c r="C1133" s="48" t="s">
        <v>34</v>
      </c>
      <c r="D1133" s="48" t="s">
        <v>35</v>
      </c>
      <c r="E1133" s="49">
        <v>9000</v>
      </c>
      <c r="F1133" s="76">
        <v>6981</v>
      </c>
      <c r="G1133" s="30">
        <v>0</v>
      </c>
      <c r="H1133" s="50">
        <f>IFERROR(Table1[Re-process (Kg)]/Table1[Actual Production (Kg)], "")</f>
        <v>0</v>
      </c>
      <c r="I1133" s="49">
        <f>IFERROR(Table1[[#This Row],[Actual Production (Kg)]]-Table1[[#This Row],[Re-process (Kg)]], "")</f>
        <v>6981</v>
      </c>
      <c r="J1133" s="49">
        <v>22</v>
      </c>
      <c r="K1133" s="72"/>
      <c r="L1133" s="49">
        <f>IF(Table1[[#This Row],[Target Time (Hours)]]="","",Table1[[#This Row],[Target Time (Hours)]]-Table1[[#This Row],[Downtime (Hours)]])</f>
        <v>22</v>
      </c>
      <c r="M1133" s="49">
        <f>IFERROR(Table1[[#This Row],[Capacity (Kg)]]/Table1[[#This Row],[Target Time (Hours)]] * Table1[[#This Row],[Downtime (Hours)]], "")</f>
        <v>0</v>
      </c>
      <c r="N1133" s="50">
        <f>IFERROR(Table1[[#This Row],[Running Time (hr)]]/Table1[Target Time (Hours)], "")</f>
        <v>1</v>
      </c>
      <c r="O1133" s="50">
        <f>IFERROR(Table1[[#This Row],[Actual Production (Kg)]]/Table1[Capacity (Kg)], "")</f>
        <v>0.77566666666666662</v>
      </c>
      <c r="P1133" s="50">
        <f>IFERROR(Table1[[#This Row],[Quality Pass Production]]/Table1[[#This Row],[Actual Production (Kg)]], "")</f>
        <v>1</v>
      </c>
      <c r="Q1133" s="50">
        <f>IFERROR(Table1[[#This Row],[Utilization %]]*Table1[[#This Row],[Efficiency %]]*Table1[[#This Row],[Quality %]], "")</f>
        <v>0.77566666666666662</v>
      </c>
    </row>
    <row r="1134" spans="1:18" ht="30" customHeight="1" x14ac:dyDescent="0.25">
      <c r="A1134" s="47">
        <v>46218</v>
      </c>
      <c r="B1134" s="48" t="s">
        <v>33</v>
      </c>
      <c r="C1134" s="48" t="s">
        <v>36</v>
      </c>
      <c r="D1134" s="48" t="s">
        <v>37</v>
      </c>
      <c r="E1134" s="49">
        <v>8000</v>
      </c>
      <c r="F1134" s="76">
        <v>7031</v>
      </c>
      <c r="G1134" s="34">
        <v>0</v>
      </c>
      <c r="H1134" s="50">
        <f>IFERROR(Table1[Re-process (Kg)]/Table1[Actual Production (Kg)], "")</f>
        <v>0</v>
      </c>
      <c r="I1134" s="49">
        <f>IFERROR(Table1[[#This Row],[Actual Production (Kg)]]-Table1[[#This Row],[Re-process (Kg)]], "")</f>
        <v>7031</v>
      </c>
      <c r="J1134" s="49">
        <v>22</v>
      </c>
      <c r="K1134" s="72">
        <v>3.17</v>
      </c>
      <c r="L1134" s="49">
        <f>IF(Table1[[#This Row],[Target Time (Hours)]]="","",Table1[[#This Row],[Target Time (Hours)]]-Table1[[#This Row],[Downtime (Hours)]])</f>
        <v>18.829999999999998</v>
      </c>
      <c r="M1134" s="49">
        <f>IFERROR(Table1[[#This Row],[Capacity (Kg)]]/Table1[[#This Row],[Target Time (Hours)]] * Table1[[#This Row],[Downtime (Hours)]], "")</f>
        <v>1152.7272727272727</v>
      </c>
      <c r="N1134" s="50">
        <f>IFERROR(Table1[[#This Row],[Running Time (hr)]]/Table1[Target Time (Hours)], "")</f>
        <v>0.85590909090909084</v>
      </c>
      <c r="O1134" s="50">
        <f>IFERROR(Table1[[#This Row],[Actual Production (Kg)]]/Table1[Capacity (Kg)], "")</f>
        <v>0.87887499999999996</v>
      </c>
      <c r="P1134" s="50">
        <f>IFERROR(Table1[[#This Row],[Quality Pass Production]]/Table1[[#This Row],[Actual Production (Kg)]], "")</f>
        <v>1</v>
      </c>
      <c r="Q1134" s="50">
        <f>IFERROR(Table1[[#This Row],[Utilization %]]*Table1[[#This Row],[Efficiency %]]*Table1[[#This Row],[Quality %]], "")</f>
        <v>0.75223710227272722</v>
      </c>
      <c r="R1134" s="48" t="s">
        <v>309</v>
      </c>
    </row>
    <row r="1135" spans="1:18" ht="30" customHeight="1" x14ac:dyDescent="0.25">
      <c r="A1135" s="47">
        <v>46218</v>
      </c>
      <c r="B1135" s="48" t="s">
        <v>33</v>
      </c>
      <c r="C1135" s="48" t="s">
        <v>39</v>
      </c>
      <c r="D1135" s="48" t="s">
        <v>31</v>
      </c>
      <c r="E1135" s="49">
        <v>6000</v>
      </c>
      <c r="F1135" s="76">
        <v>1748</v>
      </c>
      <c r="G1135" s="30">
        <v>0</v>
      </c>
      <c r="H1135" s="50">
        <f>IFERROR(Table1[Re-process (Kg)]/Table1[Actual Production (Kg)], "")</f>
        <v>0</v>
      </c>
      <c r="I1135" s="49">
        <f>IFERROR(Table1[[#This Row],[Actual Production (Kg)]]-Table1[[#This Row],[Re-process (Kg)]], "")</f>
        <v>1748</v>
      </c>
      <c r="J1135" s="49">
        <v>22</v>
      </c>
      <c r="K1135" s="72"/>
      <c r="L1135" s="49">
        <f>IF(Table1[[#This Row],[Target Time (Hours)]]="","",Table1[[#This Row],[Target Time (Hours)]]-Table1[[#This Row],[Downtime (Hours)]])</f>
        <v>22</v>
      </c>
      <c r="M1135" s="49">
        <f>IFERROR(Table1[[#This Row],[Capacity (Kg)]]/Table1[[#This Row],[Target Time (Hours)]] * Table1[[#This Row],[Downtime (Hours)]], "")</f>
        <v>0</v>
      </c>
      <c r="N1135" s="50">
        <f>IFERROR(Table1[[#This Row],[Running Time (hr)]]/Table1[Target Time (Hours)], "")</f>
        <v>1</v>
      </c>
      <c r="O1135" s="50">
        <f>IFERROR(Table1[[#This Row],[Actual Production (Kg)]]/Table1[Capacity (Kg)], "")</f>
        <v>0.29133333333333333</v>
      </c>
      <c r="P1135" s="50">
        <f>IFERROR(Table1[[#This Row],[Quality Pass Production]]/Table1[[#This Row],[Actual Production (Kg)]], "")</f>
        <v>1</v>
      </c>
      <c r="Q1135" s="50">
        <f>IFERROR(Table1[[#This Row],[Utilization %]]*Table1[[#This Row],[Efficiency %]]*Table1[[#This Row],[Quality %]], "")</f>
        <v>0.29133333333333333</v>
      </c>
    </row>
    <row r="1136" spans="1:18" ht="45" customHeight="1" x14ac:dyDescent="0.25">
      <c r="A1136" s="54">
        <v>46218</v>
      </c>
      <c r="B1136" s="55" t="s">
        <v>33</v>
      </c>
      <c r="C1136" s="55" t="s">
        <v>40</v>
      </c>
      <c r="D1136" s="55" t="s">
        <v>31</v>
      </c>
      <c r="E1136" s="56">
        <v>5000</v>
      </c>
      <c r="F1136" s="56">
        <v>3713</v>
      </c>
      <c r="G1136" s="43">
        <v>0</v>
      </c>
      <c r="H1136" s="58">
        <f>IFERROR(Table1[Re-process (Kg)]/Table1[Actual Production (Kg)], "")</f>
        <v>0</v>
      </c>
      <c r="I1136" s="56">
        <f>IFERROR(Table1[[#This Row],[Actual Production (Kg)]]-Table1[[#This Row],[Re-process (Kg)]], "")</f>
        <v>3713</v>
      </c>
      <c r="J1136" s="56">
        <v>22</v>
      </c>
      <c r="K1136" s="55"/>
      <c r="L1136" s="56">
        <f>IF(Table1[[#This Row],[Target Time (Hours)]]="","",Table1[[#This Row],[Target Time (Hours)]]-Table1[[#This Row],[Downtime (Hours)]])</f>
        <v>22</v>
      </c>
      <c r="M1136" s="56">
        <f>IFERROR(Table1[[#This Row],[Capacity (Kg)]]/Table1[[#This Row],[Target Time (Hours)]] * Table1[[#This Row],[Downtime (Hours)]], "")</f>
        <v>0</v>
      </c>
      <c r="N1136" s="58">
        <f>IFERROR(Table1[[#This Row],[Running Time (hr)]]/Table1[Target Time (Hours)], "")</f>
        <v>1</v>
      </c>
      <c r="O1136" s="58">
        <f>IFERROR(Table1[[#This Row],[Actual Production (Kg)]]/Table1[Capacity (Kg)], "")</f>
        <v>0.74260000000000004</v>
      </c>
      <c r="P1136" s="58">
        <f>IFERROR(Table1[[#This Row],[Quality Pass Production]]/Table1[[#This Row],[Actual Production (Kg)]], "")</f>
        <v>1</v>
      </c>
      <c r="Q1136" s="58">
        <f>IFERROR(Table1[[#This Row],[Utilization %]]*Table1[[#This Row],[Efficiency %]]*Table1[[#This Row],[Quality %]], "")</f>
        <v>0.74260000000000004</v>
      </c>
      <c r="R1136" s="55"/>
    </row>
    <row r="1137" spans="1:18" ht="30" customHeight="1" x14ac:dyDescent="0.25">
      <c r="A1137" s="47">
        <v>46219</v>
      </c>
      <c r="B1137" s="48" t="s">
        <v>18</v>
      </c>
      <c r="C1137" s="48" t="s">
        <v>19</v>
      </c>
      <c r="D1137" s="48" t="s">
        <v>20</v>
      </c>
      <c r="E1137" s="49">
        <v>10000</v>
      </c>
      <c r="F1137" s="76">
        <v>8443</v>
      </c>
      <c r="G1137" s="49">
        <v>0</v>
      </c>
      <c r="H1137" s="50">
        <f>IFERROR(Table1[Re-process (Kg)]/Table1[Actual Production (Kg)], "")</f>
        <v>0</v>
      </c>
      <c r="I1137" s="49">
        <f>IFERROR(Table1[[#This Row],[Actual Production (Kg)]]-Table1[[#This Row],[Re-process (Kg)]], "")</f>
        <v>8443</v>
      </c>
      <c r="J1137" s="49">
        <v>22</v>
      </c>
      <c r="K1137" s="72"/>
      <c r="L1137" s="49">
        <f>IF(Table1[[#This Row],[Target Time (Hours)]]="","",Table1[[#This Row],[Target Time (Hours)]]-Table1[[#This Row],[Downtime (Hours)]])</f>
        <v>22</v>
      </c>
      <c r="M1137" s="49">
        <f>IFERROR(Table1[[#This Row],[Capacity (Kg)]]/Table1[[#This Row],[Target Time (Hours)]] * Table1[[#This Row],[Downtime (Hours)]], "")</f>
        <v>0</v>
      </c>
      <c r="N1137" s="50">
        <f>IFERROR(Table1[[#This Row],[Running Time (hr)]]/Table1[Target Time (Hours)], "")</f>
        <v>1</v>
      </c>
      <c r="O1137" s="50">
        <f>IFERROR(Table1[[#This Row],[Actual Production (Kg)]]/Table1[Capacity (Kg)], "")</f>
        <v>0.84430000000000005</v>
      </c>
      <c r="P1137" s="50">
        <f>IFERROR(Table1[[#This Row],[Quality Pass Production]]/Table1[[#This Row],[Actual Production (Kg)]], "")</f>
        <v>1</v>
      </c>
      <c r="Q1137" s="50">
        <f>IFERROR(Table1[[#This Row],[Utilization %]]*Table1[[#This Row],[Efficiency %]]*Table1[[#This Row],[Quality %]], "")</f>
        <v>0.84430000000000005</v>
      </c>
    </row>
    <row r="1138" spans="1:18" x14ac:dyDescent="0.25">
      <c r="A1138" s="51">
        <v>46219</v>
      </c>
      <c r="B1138" s="52" t="s">
        <v>18</v>
      </c>
      <c r="C1138" s="52" t="s">
        <v>238</v>
      </c>
      <c r="D1138" s="52" t="s">
        <v>20</v>
      </c>
      <c r="E1138" s="79">
        <v>9351</v>
      </c>
      <c r="F1138" s="53">
        <v>9351</v>
      </c>
      <c r="G1138" s="53">
        <v>0</v>
      </c>
      <c r="H1138" s="57">
        <f>IFERROR(Table1[Re-process (Kg)]/Table1[Actual Production (Kg)], "")</f>
        <v>0</v>
      </c>
      <c r="I1138" s="53">
        <f>IFERROR(Table1[[#This Row],[Actual Production (Kg)]]-Table1[[#This Row],[Re-process (Kg)]], "")</f>
        <v>9351</v>
      </c>
      <c r="J1138" s="53"/>
      <c r="K1138" s="52"/>
      <c r="L1138" s="53" t="str">
        <f>IF(Table1[[#This Row],[Target Time (Hours)]]="","",Table1[[#This Row],[Target Time (Hours)]]-Table1[[#This Row],[Downtime (Hours)]])</f>
        <v/>
      </c>
      <c r="M1138" s="53" t="str">
        <f>IFERROR(Table1[[#This Row],[Capacity (Kg)]]/Table1[[#This Row],[Target Time (Hours)]] * Table1[[#This Row],[Downtime (Hours)]], "")</f>
        <v/>
      </c>
      <c r="N1138" s="57" t="str">
        <f>IFERROR(Table1[[#This Row],[Running Time (hr)]]/Table1[Target Time (Hours)], "")</f>
        <v/>
      </c>
      <c r="O1138" s="57">
        <f>IFERROR(Table1[[#This Row],[Actual Production (Kg)]]/Table1[Capacity (Kg)], "")</f>
        <v>1</v>
      </c>
      <c r="P1138" s="57">
        <f>IFERROR(Table1[[#This Row],[Quality Pass Production]]/Table1[[#This Row],[Actual Production (Kg)]], "")</f>
        <v>1</v>
      </c>
      <c r="Q1138" s="57" t="str">
        <f>IFERROR(Table1[[#This Row],[Utilization %]]*Table1[[#This Row],[Efficiency %]]*Table1[[#This Row],[Quality %]], "")</f>
        <v/>
      </c>
      <c r="R1138" s="52"/>
    </row>
    <row r="1139" spans="1:18" x14ac:dyDescent="0.25">
      <c r="A1139" s="47">
        <v>46219</v>
      </c>
      <c r="B1139" s="48" t="s">
        <v>18</v>
      </c>
      <c r="C1139" s="48" t="s">
        <v>22</v>
      </c>
      <c r="D1139" s="48" t="s">
        <v>23</v>
      </c>
      <c r="E1139" s="49">
        <v>5000</v>
      </c>
      <c r="F1139" s="76">
        <v>2109</v>
      </c>
      <c r="G1139" s="49">
        <v>0</v>
      </c>
      <c r="H1139" s="50">
        <f>IFERROR(Table1[Re-process (Kg)]/Table1[Actual Production (Kg)], "")</f>
        <v>0</v>
      </c>
      <c r="I1139" s="49">
        <f>IFERROR(Table1[[#This Row],[Actual Production (Kg)]]-Table1[[#This Row],[Re-process (Kg)]], "")</f>
        <v>2109</v>
      </c>
      <c r="J1139" s="49">
        <v>22</v>
      </c>
      <c r="K1139" s="72"/>
      <c r="L1139" s="49">
        <f>IF(Table1[[#This Row],[Target Time (Hours)]]="","",Table1[[#This Row],[Target Time (Hours)]]-Table1[[#This Row],[Downtime (Hours)]])</f>
        <v>22</v>
      </c>
      <c r="M1139" s="49">
        <f>IFERROR(Table1[[#This Row],[Capacity (Kg)]]/Table1[[#This Row],[Target Time (Hours)]] * Table1[[#This Row],[Downtime (Hours)]], "")</f>
        <v>0</v>
      </c>
      <c r="N1139" s="50">
        <f>IFERROR(Table1[[#This Row],[Running Time (hr)]]/Table1[Target Time (Hours)], "")</f>
        <v>1</v>
      </c>
      <c r="O1139" s="50">
        <f>IFERROR(Table1[[#This Row],[Actual Production (Kg)]]/Table1[Capacity (Kg)], "")</f>
        <v>0.42180000000000001</v>
      </c>
      <c r="P1139" s="50">
        <f>IFERROR(Table1[[#This Row],[Quality Pass Production]]/Table1[[#This Row],[Actual Production (Kg)]], "")</f>
        <v>1</v>
      </c>
      <c r="Q1139" s="50">
        <f>IFERROR(Table1[[#This Row],[Utilization %]]*Table1[[#This Row],[Efficiency %]]*Table1[[#This Row],[Quality %]], "")</f>
        <v>0.42180000000000001</v>
      </c>
    </row>
    <row r="1140" spans="1:18" x14ac:dyDescent="0.25">
      <c r="A1140" s="47">
        <v>46219</v>
      </c>
      <c r="B1140" s="48" t="s">
        <v>18</v>
      </c>
      <c r="C1140" s="48" t="s">
        <v>22</v>
      </c>
      <c r="D1140" s="48" t="s">
        <v>25</v>
      </c>
      <c r="E1140" s="49">
        <v>4000</v>
      </c>
      <c r="F1140" s="76">
        <v>6920</v>
      </c>
      <c r="G1140" s="49">
        <v>0</v>
      </c>
      <c r="H1140" s="50">
        <f>IFERROR(Table1[Re-process (Kg)]/Table1[Actual Production (Kg)], "")</f>
        <v>0</v>
      </c>
      <c r="I1140" s="49">
        <f>IFERROR(Table1[[#This Row],[Actual Production (Kg)]]-Table1[[#This Row],[Re-process (Kg)]], "")</f>
        <v>6920</v>
      </c>
      <c r="J1140" s="49"/>
      <c r="K1140" s="72"/>
      <c r="L1140" s="49" t="str">
        <f>IF(Table1[[#This Row],[Target Time (Hours)]]="","",Table1[[#This Row],[Target Time (Hours)]]-Table1[[#This Row],[Downtime (Hours)]])</f>
        <v/>
      </c>
      <c r="M1140" s="49" t="str">
        <f>IFERROR(Table1[[#This Row],[Capacity (Kg)]]/Table1[[#This Row],[Target Time (Hours)]] * Table1[[#This Row],[Downtime (Hours)]], "")</f>
        <v/>
      </c>
      <c r="N1140" s="50" t="str">
        <f>IFERROR(Table1[[#This Row],[Running Time (hr)]]/Table1[Target Time (Hours)], "")</f>
        <v/>
      </c>
      <c r="O1140" s="50">
        <f>IFERROR(Table1[[#This Row],[Actual Production (Kg)]]/Table1[Capacity (Kg)], "")</f>
        <v>1.73</v>
      </c>
      <c r="P1140" s="50">
        <f>IFERROR(Table1[[#This Row],[Quality Pass Production]]/Table1[[#This Row],[Actual Production (Kg)]], "")</f>
        <v>1</v>
      </c>
      <c r="Q1140" s="50" t="str">
        <f>IFERROR(Table1[[#This Row],[Utilization %]]*Table1[[#This Row],[Efficiency %]]*Table1[[#This Row],[Quality %]], "")</f>
        <v/>
      </c>
    </row>
    <row r="1141" spans="1:18" x14ac:dyDescent="0.25">
      <c r="A1141" s="47">
        <v>46219</v>
      </c>
      <c r="B1141" s="48" t="s">
        <v>18</v>
      </c>
      <c r="C1141" s="48" t="s">
        <v>26</v>
      </c>
      <c r="D1141" s="48" t="s">
        <v>25</v>
      </c>
      <c r="E1141" s="49">
        <v>7000</v>
      </c>
      <c r="F1141" s="76">
        <v>6408</v>
      </c>
      <c r="G1141" s="49">
        <v>0</v>
      </c>
      <c r="H1141" s="50">
        <f>IFERROR(Table1[Re-process (Kg)]/Table1[Actual Production (Kg)], "")</f>
        <v>0</v>
      </c>
      <c r="I1141" s="49">
        <f>IFERROR(Table1[[#This Row],[Actual Production (Kg)]]-Table1[[#This Row],[Re-process (Kg)]], "")</f>
        <v>6408</v>
      </c>
      <c r="J1141" s="49">
        <v>22</v>
      </c>
      <c r="K1141" s="72"/>
      <c r="L1141" s="49">
        <f>IF(Table1[[#This Row],[Target Time (Hours)]]="","",Table1[[#This Row],[Target Time (Hours)]]-Table1[[#This Row],[Downtime (Hours)]])</f>
        <v>22</v>
      </c>
      <c r="M1141" s="49">
        <f>IFERROR(Table1[[#This Row],[Capacity (Kg)]]/Table1[[#This Row],[Target Time (Hours)]] * Table1[[#This Row],[Downtime (Hours)]], "")</f>
        <v>0</v>
      </c>
      <c r="N1141" s="50">
        <f>IFERROR(Table1[[#This Row],[Running Time (hr)]]/Table1[Target Time (Hours)], "")</f>
        <v>1</v>
      </c>
      <c r="O1141" s="50">
        <f>IFERROR(Table1[[#This Row],[Actual Production (Kg)]]/Table1[Capacity (Kg)], "")</f>
        <v>0.91542857142857148</v>
      </c>
      <c r="P1141" s="50">
        <f>IFERROR(Table1[[#This Row],[Quality Pass Production]]/Table1[[#This Row],[Actual Production (Kg)]], "")</f>
        <v>1</v>
      </c>
      <c r="Q1141" s="50">
        <f>IFERROR(Table1[[#This Row],[Utilization %]]*Table1[[#This Row],[Efficiency %]]*Table1[[#This Row],[Quality %]], "")</f>
        <v>0.91542857142857148</v>
      </c>
    </row>
    <row r="1142" spans="1:18" ht="30" customHeight="1" x14ac:dyDescent="0.25">
      <c r="A1142" s="47">
        <v>46219</v>
      </c>
      <c r="B1142" s="48" t="s">
        <v>18</v>
      </c>
      <c r="C1142" s="48" t="s">
        <v>28</v>
      </c>
      <c r="D1142" s="48" t="s">
        <v>29</v>
      </c>
      <c r="E1142" s="49">
        <v>7800</v>
      </c>
      <c r="F1142" s="76">
        <v>4321</v>
      </c>
      <c r="G1142" s="49">
        <v>0</v>
      </c>
      <c r="H1142" s="50">
        <f>IFERROR(Table1[Re-process (Kg)]/Table1[Actual Production (Kg)], "")</f>
        <v>0</v>
      </c>
      <c r="I1142" s="49">
        <f>IFERROR(Table1[[#This Row],[Actual Production (Kg)]]-Table1[[#This Row],[Re-process (Kg)]], "")</f>
        <v>4321</v>
      </c>
      <c r="J1142" s="49">
        <v>22</v>
      </c>
      <c r="K1142" s="72">
        <v>6</v>
      </c>
      <c r="L1142" s="49">
        <f>IF(Table1[[#This Row],[Target Time (Hours)]]="","",Table1[[#This Row],[Target Time (Hours)]]-Table1[[#This Row],[Downtime (Hours)]])</f>
        <v>16</v>
      </c>
      <c r="M1142" s="49">
        <f>IFERROR(Table1[[#This Row],[Capacity (Kg)]]/Table1[[#This Row],[Target Time (Hours)]] * Table1[[#This Row],[Downtime (Hours)]], "")</f>
        <v>2127.2727272727275</v>
      </c>
      <c r="N1142" s="50">
        <f>IFERROR(Table1[[#This Row],[Running Time (hr)]]/Table1[Target Time (Hours)], "")</f>
        <v>0.72727272727272729</v>
      </c>
      <c r="O1142" s="50">
        <f>IFERROR(Table1[[#This Row],[Actual Production (Kg)]]/Table1[Capacity (Kg)], "")</f>
        <v>0.55397435897435898</v>
      </c>
      <c r="P1142" s="50">
        <f>IFERROR(Table1[[#This Row],[Quality Pass Production]]/Table1[[#This Row],[Actual Production (Kg)]], "")</f>
        <v>1</v>
      </c>
      <c r="Q1142" s="50">
        <f>IFERROR(Table1[[#This Row],[Utilization %]]*Table1[[#This Row],[Efficiency %]]*Table1[[#This Row],[Quality %]], "")</f>
        <v>0.4028904428904429</v>
      </c>
      <c r="R1142" s="48" t="s">
        <v>310</v>
      </c>
    </row>
    <row r="1143" spans="1:18" ht="30" customHeight="1" x14ac:dyDescent="0.25">
      <c r="A1143" s="51">
        <v>46219</v>
      </c>
      <c r="B1143" s="52" t="s">
        <v>18</v>
      </c>
      <c r="C1143" s="52" t="s">
        <v>135</v>
      </c>
      <c r="D1143" s="52" t="s">
        <v>29</v>
      </c>
      <c r="E1143" s="53"/>
      <c r="F1143" s="53"/>
      <c r="G1143" s="53"/>
      <c r="H1143" s="57" t="str">
        <f>IFERROR(Table1[Re-process (Kg)]/Table1[Actual Production (Kg)], "")</f>
        <v/>
      </c>
      <c r="I1143" s="53">
        <f>IFERROR(Table1[[#This Row],[Actual Production (Kg)]]-Table1[[#This Row],[Re-process (Kg)]], "")</f>
        <v>0</v>
      </c>
      <c r="J1143" s="53"/>
      <c r="K1143" s="52"/>
      <c r="L1143" s="53" t="str">
        <f>IF(Table1[[#This Row],[Target Time (Hours)]]="","",Table1[[#This Row],[Target Time (Hours)]]-Table1[[#This Row],[Downtime (Hours)]])</f>
        <v/>
      </c>
      <c r="M1143" s="53" t="str">
        <f>IFERROR(Table1[[#This Row],[Capacity (Kg)]]/Table1[[#This Row],[Target Time (Hours)]] * Table1[[#This Row],[Downtime (Hours)]], "")</f>
        <v/>
      </c>
      <c r="N1143" s="57" t="str">
        <f>IFERROR(Table1[[#This Row],[Running Time (hr)]]/Table1[Target Time (Hours)], "")</f>
        <v/>
      </c>
      <c r="O1143" s="57" t="str">
        <f>IFERROR(Table1[[#This Row],[Actual Production (Kg)]]/Table1[Capacity (Kg)], "")</f>
        <v/>
      </c>
      <c r="P1143" s="57" t="str">
        <f>IFERROR(Table1[[#This Row],[Quality Pass Production]]/Table1[[#This Row],[Actual Production (Kg)]], "")</f>
        <v/>
      </c>
      <c r="Q1143" s="57" t="str">
        <f>IFERROR(Table1[[#This Row],[Utilization %]]*Table1[[#This Row],[Efficiency %]]*Table1[[#This Row],[Quality %]], "")</f>
        <v/>
      </c>
      <c r="R1143" s="52"/>
    </row>
    <row r="1144" spans="1:18" ht="30" customHeight="1" x14ac:dyDescent="0.25">
      <c r="A1144" s="47">
        <v>46219</v>
      </c>
      <c r="B1144" s="48" t="s">
        <v>18</v>
      </c>
      <c r="C1144" s="48" t="s">
        <v>30</v>
      </c>
      <c r="D1144" s="48" t="s">
        <v>31</v>
      </c>
      <c r="E1144" s="49">
        <v>9000</v>
      </c>
      <c r="F1144" s="76">
        <v>7559</v>
      </c>
      <c r="G1144" s="49">
        <v>0</v>
      </c>
      <c r="H1144" s="50">
        <f>IFERROR(Table1[Re-process (Kg)]/Table1[Actual Production (Kg)], "")</f>
        <v>0</v>
      </c>
      <c r="I1144" s="49">
        <f>IFERROR(Table1[[#This Row],[Actual Production (Kg)]]-Table1[[#This Row],[Re-process (Kg)]], "")</f>
        <v>7559</v>
      </c>
      <c r="J1144" s="49">
        <v>22</v>
      </c>
      <c r="K1144" s="72"/>
      <c r="L1144" s="49">
        <f>IF(Table1[[#This Row],[Target Time (Hours)]]="","",Table1[[#This Row],[Target Time (Hours)]]-Table1[[#This Row],[Downtime (Hours)]])</f>
        <v>22</v>
      </c>
      <c r="M1144" s="49">
        <f>IFERROR(Table1[[#This Row],[Capacity (Kg)]]/Table1[[#This Row],[Target Time (Hours)]] * Table1[[#This Row],[Downtime (Hours)]], "")</f>
        <v>0</v>
      </c>
      <c r="N1144" s="50">
        <f>IFERROR(Table1[[#This Row],[Running Time (hr)]]/Table1[Target Time (Hours)], "")</f>
        <v>1</v>
      </c>
      <c r="O1144" s="50">
        <f>IFERROR(Table1[[#This Row],[Actual Production (Kg)]]/Table1[Capacity (Kg)], "")</f>
        <v>0.83988888888888891</v>
      </c>
      <c r="P1144" s="50">
        <f>IFERROR(Table1[[#This Row],[Quality Pass Production]]/Table1[[#This Row],[Actual Production (Kg)]], "")</f>
        <v>1</v>
      </c>
      <c r="Q1144" s="50">
        <f>IFERROR(Table1[[#This Row],[Utilization %]]*Table1[[#This Row],[Efficiency %]]*Table1[[#This Row],[Quality %]], "")</f>
        <v>0.83988888888888891</v>
      </c>
    </row>
    <row r="1145" spans="1:18" ht="30" customHeight="1" x14ac:dyDescent="0.25">
      <c r="A1145" s="51">
        <v>46219</v>
      </c>
      <c r="B1145" s="52" t="s">
        <v>18</v>
      </c>
      <c r="C1145" s="52" t="s">
        <v>32</v>
      </c>
      <c r="D1145" s="52" t="s">
        <v>31</v>
      </c>
      <c r="E1145" s="79">
        <v>1700</v>
      </c>
      <c r="F1145" s="53">
        <v>1700</v>
      </c>
      <c r="G1145" s="53"/>
      <c r="H1145" s="57">
        <f>IFERROR(Table1[Re-process (Kg)]/Table1[Actual Production (Kg)], "")</f>
        <v>0</v>
      </c>
      <c r="I1145" s="53">
        <f>IFERROR(Table1[[#This Row],[Actual Production (Kg)]]-Table1[[#This Row],[Re-process (Kg)]], "")</f>
        <v>1700</v>
      </c>
      <c r="J1145" s="53"/>
      <c r="K1145" s="52"/>
      <c r="L1145" s="53" t="str">
        <f>IF(Table1[[#This Row],[Target Time (Hours)]]="","",Table1[[#This Row],[Target Time (Hours)]]-Table1[[#This Row],[Downtime (Hours)]])</f>
        <v/>
      </c>
      <c r="M1145" s="53" t="str">
        <f>IFERROR(Table1[[#This Row],[Capacity (Kg)]]/Table1[[#This Row],[Target Time (Hours)]] * Table1[[#This Row],[Downtime (Hours)]], "")</f>
        <v/>
      </c>
      <c r="N1145" s="57" t="str">
        <f>IFERROR(Table1[[#This Row],[Running Time (hr)]]/Table1[Target Time (Hours)], "")</f>
        <v/>
      </c>
      <c r="O1145" s="57">
        <f>IFERROR(Table1[[#This Row],[Actual Production (Kg)]]/Table1[Capacity (Kg)], "")</f>
        <v>1</v>
      </c>
      <c r="P1145" s="57">
        <f>IFERROR(Table1[[#This Row],[Quality Pass Production]]/Table1[[#This Row],[Actual Production (Kg)]], "")</f>
        <v>1</v>
      </c>
      <c r="Q1145" s="57" t="str">
        <f>IFERROR(Table1[[#This Row],[Utilization %]]*Table1[[#This Row],[Efficiency %]]*Table1[[#This Row],[Quality %]], "")</f>
        <v/>
      </c>
      <c r="R1145" s="52" t="s">
        <v>308</v>
      </c>
    </row>
    <row r="1146" spans="1:18" ht="30" customHeight="1" x14ac:dyDescent="0.25">
      <c r="A1146" s="47">
        <v>46219</v>
      </c>
      <c r="B1146" s="48" t="s">
        <v>33</v>
      </c>
      <c r="C1146" s="48" t="s">
        <v>34</v>
      </c>
      <c r="D1146" s="48" t="s">
        <v>35</v>
      </c>
      <c r="E1146" s="49">
        <v>9000</v>
      </c>
      <c r="F1146" s="76">
        <v>6399</v>
      </c>
      <c r="G1146" s="49">
        <v>0</v>
      </c>
      <c r="H1146" s="50">
        <f>IFERROR(Table1[Re-process (Kg)]/Table1[Actual Production (Kg)], "")</f>
        <v>0</v>
      </c>
      <c r="I1146" s="49">
        <f>IFERROR(Table1[[#This Row],[Actual Production (Kg)]]-Table1[[#This Row],[Re-process (Kg)]], "")</f>
        <v>6399</v>
      </c>
      <c r="J1146" s="49">
        <v>22</v>
      </c>
      <c r="K1146" s="72"/>
      <c r="L1146" s="49">
        <f>IF(Table1[[#This Row],[Target Time (Hours)]]="","",Table1[[#This Row],[Target Time (Hours)]]-Table1[[#This Row],[Downtime (Hours)]])</f>
        <v>22</v>
      </c>
      <c r="M1146" s="49">
        <f>IFERROR(Table1[[#This Row],[Capacity (Kg)]]/Table1[[#This Row],[Target Time (Hours)]] * Table1[[#This Row],[Downtime (Hours)]], "")</f>
        <v>0</v>
      </c>
      <c r="N1146" s="50">
        <f>IFERROR(Table1[[#This Row],[Running Time (hr)]]/Table1[Target Time (Hours)], "")</f>
        <v>1</v>
      </c>
      <c r="O1146" s="50">
        <f>IFERROR(Table1[[#This Row],[Actual Production (Kg)]]/Table1[Capacity (Kg)], "")</f>
        <v>0.71099999999999997</v>
      </c>
      <c r="P1146" s="50">
        <f>IFERROR(Table1[[#This Row],[Quality Pass Production]]/Table1[[#This Row],[Actual Production (Kg)]], "")</f>
        <v>1</v>
      </c>
      <c r="Q1146" s="50">
        <f>IFERROR(Table1[[#This Row],[Utilization %]]*Table1[[#This Row],[Efficiency %]]*Table1[[#This Row],[Quality %]], "")</f>
        <v>0.71099999999999997</v>
      </c>
    </row>
    <row r="1147" spans="1:18" x14ac:dyDescent="0.25">
      <c r="A1147" s="47">
        <v>46219</v>
      </c>
      <c r="B1147" s="48" t="s">
        <v>33</v>
      </c>
      <c r="C1147" s="48" t="s">
        <v>36</v>
      </c>
      <c r="D1147" s="48" t="s">
        <v>37</v>
      </c>
      <c r="E1147" s="49">
        <v>8000</v>
      </c>
      <c r="F1147" s="76">
        <v>7143</v>
      </c>
      <c r="G1147" s="49">
        <v>0</v>
      </c>
      <c r="H1147" s="50">
        <f>IFERROR(Table1[Re-process (Kg)]/Table1[Actual Production (Kg)], "")</f>
        <v>0</v>
      </c>
      <c r="I1147" s="49">
        <f>IFERROR(Table1[[#This Row],[Actual Production (Kg)]]-Table1[[#This Row],[Re-process (Kg)]], "")</f>
        <v>7143</v>
      </c>
      <c r="J1147" s="49">
        <v>22</v>
      </c>
      <c r="K1147" s="72">
        <v>1.1000000000000001</v>
      </c>
      <c r="L1147" s="49">
        <f>IF(Table1[[#This Row],[Target Time (Hours)]]="","",Table1[[#This Row],[Target Time (Hours)]]-Table1[[#This Row],[Downtime (Hours)]])</f>
        <v>20.9</v>
      </c>
      <c r="M1147" s="49">
        <f>IFERROR(Table1[[#This Row],[Capacity (Kg)]]/Table1[[#This Row],[Target Time (Hours)]] * Table1[[#This Row],[Downtime (Hours)]], "")</f>
        <v>400</v>
      </c>
      <c r="N1147" s="50">
        <f>IFERROR(Table1[[#This Row],[Running Time (hr)]]/Table1[Target Time (Hours)], "")</f>
        <v>0.95</v>
      </c>
      <c r="O1147" s="50">
        <f>IFERROR(Table1[[#This Row],[Actual Production (Kg)]]/Table1[Capacity (Kg)], "")</f>
        <v>0.89287499999999997</v>
      </c>
      <c r="P1147" s="50">
        <f>IFERROR(Table1[[#This Row],[Quality Pass Production]]/Table1[[#This Row],[Actual Production (Kg)]], "")</f>
        <v>1</v>
      </c>
      <c r="Q1147" s="50">
        <f>IFERROR(Table1[[#This Row],[Utilization %]]*Table1[[#This Row],[Efficiency %]]*Table1[[#This Row],[Quality %]], "")</f>
        <v>0.84823124999999988</v>
      </c>
      <c r="R1147" s="48" t="s">
        <v>311</v>
      </c>
    </row>
    <row r="1148" spans="1:18" ht="30" customHeight="1" x14ac:dyDescent="0.25">
      <c r="A1148" s="47">
        <v>46219</v>
      </c>
      <c r="B1148" s="48" t="s">
        <v>33</v>
      </c>
      <c r="C1148" s="48" t="s">
        <v>39</v>
      </c>
      <c r="D1148" s="48" t="s">
        <v>31</v>
      </c>
      <c r="E1148" s="49">
        <v>6000</v>
      </c>
      <c r="F1148" s="76">
        <v>2058</v>
      </c>
      <c r="G1148" s="49">
        <v>0</v>
      </c>
      <c r="H1148" s="50">
        <f>IFERROR(Table1[Re-process (Kg)]/Table1[Actual Production (Kg)], "")</f>
        <v>0</v>
      </c>
      <c r="I1148" s="49">
        <f>IFERROR(Table1[[#This Row],[Actual Production (Kg)]]-Table1[[#This Row],[Re-process (Kg)]], "")</f>
        <v>2058</v>
      </c>
      <c r="J1148" s="49">
        <v>22</v>
      </c>
      <c r="K1148" s="72"/>
      <c r="L1148" s="49">
        <f>IF(Table1[[#This Row],[Target Time (Hours)]]="","",Table1[[#This Row],[Target Time (Hours)]]-Table1[[#This Row],[Downtime (Hours)]])</f>
        <v>22</v>
      </c>
      <c r="M1148" s="49">
        <f>IFERROR(Table1[[#This Row],[Capacity (Kg)]]/Table1[[#This Row],[Target Time (Hours)]] * Table1[[#This Row],[Downtime (Hours)]], "")</f>
        <v>0</v>
      </c>
      <c r="N1148" s="50">
        <f>IFERROR(Table1[[#This Row],[Running Time (hr)]]/Table1[Target Time (Hours)], "")</f>
        <v>1</v>
      </c>
      <c r="O1148" s="50">
        <f>IFERROR(Table1[[#This Row],[Actual Production (Kg)]]/Table1[Capacity (Kg)], "")</f>
        <v>0.34300000000000003</v>
      </c>
      <c r="P1148" s="50">
        <f>IFERROR(Table1[[#This Row],[Quality Pass Production]]/Table1[[#This Row],[Actual Production (Kg)]], "")</f>
        <v>1</v>
      </c>
      <c r="Q1148" s="50">
        <f>IFERROR(Table1[[#This Row],[Utilization %]]*Table1[[#This Row],[Efficiency %]]*Table1[[#This Row],[Quality %]], "")</f>
        <v>0.34300000000000003</v>
      </c>
      <c r="R1148" s="48" t="s">
        <v>312</v>
      </c>
    </row>
    <row r="1149" spans="1:18" ht="45" customHeight="1" x14ac:dyDescent="0.25">
      <c r="A1149" s="54">
        <v>46219</v>
      </c>
      <c r="B1149" s="55" t="s">
        <v>33</v>
      </c>
      <c r="C1149" s="55" t="s">
        <v>40</v>
      </c>
      <c r="D1149" s="55" t="s">
        <v>31</v>
      </c>
      <c r="E1149" s="56">
        <v>5000</v>
      </c>
      <c r="F1149" s="56">
        <v>4795</v>
      </c>
      <c r="G1149" s="56">
        <v>0</v>
      </c>
      <c r="H1149" s="58">
        <f>IFERROR(Table1[Re-process (Kg)]/Table1[Actual Production (Kg)], "")</f>
        <v>0</v>
      </c>
      <c r="I1149" s="56">
        <f>IFERROR(Table1[[#This Row],[Actual Production (Kg)]]-Table1[[#This Row],[Re-process (Kg)]], "")</f>
        <v>4795</v>
      </c>
      <c r="J1149" s="56">
        <v>22</v>
      </c>
      <c r="K1149" s="55"/>
      <c r="L1149" s="56">
        <f>IF(Table1[[#This Row],[Target Time (Hours)]]="","",Table1[[#This Row],[Target Time (Hours)]]-Table1[[#This Row],[Downtime (Hours)]])</f>
        <v>22</v>
      </c>
      <c r="M1149" s="56">
        <f>IFERROR(Table1[[#This Row],[Capacity (Kg)]]/Table1[[#This Row],[Target Time (Hours)]] * Table1[[#This Row],[Downtime (Hours)]], "")</f>
        <v>0</v>
      </c>
      <c r="N1149" s="58">
        <f>IFERROR(Table1[[#This Row],[Running Time (hr)]]/Table1[Target Time (Hours)], "")</f>
        <v>1</v>
      </c>
      <c r="O1149" s="58">
        <f>IFERROR(Table1[[#This Row],[Actual Production (Kg)]]/Table1[Capacity (Kg)], "")</f>
        <v>0.95899999999999996</v>
      </c>
      <c r="P1149" s="58">
        <f>IFERROR(Table1[[#This Row],[Quality Pass Production]]/Table1[[#This Row],[Actual Production (Kg)]], "")</f>
        <v>1</v>
      </c>
      <c r="Q1149" s="58">
        <f>IFERROR(Table1[[#This Row],[Utilization %]]*Table1[[#This Row],[Efficiency %]]*Table1[[#This Row],[Quality %]], "")</f>
        <v>0.95899999999999996</v>
      </c>
      <c r="R1149" s="55"/>
    </row>
    <row r="1150" spans="1:18" ht="30" customHeight="1" x14ac:dyDescent="0.25">
      <c r="A1150" s="47">
        <v>46221</v>
      </c>
      <c r="B1150" s="48" t="s">
        <v>18</v>
      </c>
      <c r="C1150" s="48" t="s">
        <v>19</v>
      </c>
      <c r="D1150" s="48" t="s">
        <v>20</v>
      </c>
      <c r="E1150" s="49">
        <v>10000</v>
      </c>
      <c r="F1150" s="76">
        <v>9033</v>
      </c>
      <c r="G1150" s="49">
        <v>0</v>
      </c>
      <c r="H1150" s="50">
        <f>IFERROR(Table1[Re-process (Kg)]/Table1[Actual Production (Kg)], "")</f>
        <v>0</v>
      </c>
      <c r="I1150" s="49">
        <f>IFERROR(Table1[[#This Row],[Actual Production (Kg)]]-Table1[[#This Row],[Re-process (Kg)]], "")</f>
        <v>9033</v>
      </c>
      <c r="J1150" s="49">
        <v>22</v>
      </c>
      <c r="K1150" s="72"/>
      <c r="L1150" s="49">
        <f>IF(Table1[[#This Row],[Target Time (Hours)]]="","",Table1[[#This Row],[Target Time (Hours)]]-Table1[[#This Row],[Downtime (Hours)]])</f>
        <v>22</v>
      </c>
      <c r="M1150" s="49">
        <f>IFERROR(Table1[[#This Row],[Capacity (Kg)]]/Table1[[#This Row],[Target Time (Hours)]] * Table1[[#This Row],[Downtime (Hours)]], "")</f>
        <v>0</v>
      </c>
      <c r="N1150" s="50">
        <f>IFERROR(Table1[[#This Row],[Running Time (hr)]]/Table1[Target Time (Hours)], "")</f>
        <v>1</v>
      </c>
      <c r="O1150" s="50">
        <f>IFERROR(Table1[[#This Row],[Actual Production (Kg)]]/Table1[Capacity (Kg)], "")</f>
        <v>0.90329999999999999</v>
      </c>
      <c r="P1150" s="50">
        <f>IFERROR(Table1[[#This Row],[Quality Pass Production]]/Table1[[#This Row],[Actual Production (Kg)]], "")</f>
        <v>1</v>
      </c>
      <c r="Q1150" s="50">
        <f>IFERROR(Table1[[#This Row],[Utilization %]]*Table1[[#This Row],[Efficiency %]]*Table1[[#This Row],[Quality %]], "")</f>
        <v>0.90329999999999999</v>
      </c>
    </row>
    <row r="1151" spans="1:18" x14ac:dyDescent="0.25">
      <c r="A1151" s="51">
        <v>46221</v>
      </c>
      <c r="B1151" s="52" t="s">
        <v>18</v>
      </c>
      <c r="C1151" s="52" t="s">
        <v>238</v>
      </c>
      <c r="D1151" s="52" t="s">
        <v>20</v>
      </c>
      <c r="E1151" s="79">
        <v>11187</v>
      </c>
      <c r="F1151" s="53">
        <v>11187</v>
      </c>
      <c r="G1151" s="53">
        <v>0</v>
      </c>
      <c r="H1151" s="57">
        <f>IFERROR(Table1[Re-process (Kg)]/Table1[Actual Production (Kg)], "")</f>
        <v>0</v>
      </c>
      <c r="I1151" s="53">
        <f>IFERROR(Table1[[#This Row],[Actual Production (Kg)]]-Table1[[#This Row],[Re-process (Kg)]], "")</f>
        <v>11187</v>
      </c>
      <c r="J1151" s="53"/>
      <c r="K1151" s="52"/>
      <c r="L1151" s="53" t="str">
        <f>IF(Table1[[#This Row],[Target Time (Hours)]]="","",Table1[[#This Row],[Target Time (Hours)]]-Table1[[#This Row],[Downtime (Hours)]])</f>
        <v/>
      </c>
      <c r="M1151" s="53" t="str">
        <f>IFERROR(Table1[[#This Row],[Capacity (Kg)]]/Table1[[#This Row],[Target Time (Hours)]] * Table1[[#This Row],[Downtime (Hours)]], "")</f>
        <v/>
      </c>
      <c r="N1151" s="57" t="str">
        <f>IFERROR(Table1[[#This Row],[Running Time (hr)]]/Table1[Target Time (Hours)], "")</f>
        <v/>
      </c>
      <c r="O1151" s="57">
        <f>IFERROR(Table1[[#This Row],[Actual Production (Kg)]]/Table1[Capacity (Kg)], "")</f>
        <v>1</v>
      </c>
      <c r="P1151" s="57">
        <f>IFERROR(Table1[[#This Row],[Quality Pass Production]]/Table1[[#This Row],[Actual Production (Kg)]], "")</f>
        <v>1</v>
      </c>
      <c r="Q1151" s="57" t="str">
        <f>IFERROR(Table1[[#This Row],[Utilization %]]*Table1[[#This Row],[Efficiency %]]*Table1[[#This Row],[Quality %]], "")</f>
        <v/>
      </c>
      <c r="R1151" s="52"/>
    </row>
    <row r="1152" spans="1:18" ht="30" customHeight="1" x14ac:dyDescent="0.25">
      <c r="A1152" s="47">
        <v>46221</v>
      </c>
      <c r="B1152" s="48" t="s">
        <v>18</v>
      </c>
      <c r="C1152" s="48" t="s">
        <v>22</v>
      </c>
      <c r="D1152" s="48" t="s">
        <v>23</v>
      </c>
      <c r="E1152" s="49">
        <v>5000</v>
      </c>
      <c r="F1152" s="76">
        <v>3980</v>
      </c>
      <c r="G1152" s="49">
        <v>0</v>
      </c>
      <c r="H1152" s="50">
        <f>IFERROR(Table1[Re-process (Kg)]/Table1[Actual Production (Kg)], "")</f>
        <v>0</v>
      </c>
      <c r="I1152" s="49">
        <f>IFERROR(Table1[[#This Row],[Actual Production (Kg)]]-Table1[[#This Row],[Re-process (Kg)]], "")</f>
        <v>3980</v>
      </c>
      <c r="J1152" s="49">
        <v>22</v>
      </c>
      <c r="K1152" s="72">
        <v>3</v>
      </c>
      <c r="L1152" s="49">
        <f>IF(Table1[[#This Row],[Target Time (Hours)]]="","",Table1[[#This Row],[Target Time (Hours)]]-Table1[[#This Row],[Downtime (Hours)]])</f>
        <v>19</v>
      </c>
      <c r="M1152" s="49">
        <f>IFERROR(Table1[[#This Row],[Capacity (Kg)]]/Table1[[#This Row],[Target Time (Hours)]] * Table1[[#This Row],[Downtime (Hours)]], "")</f>
        <v>681.81818181818187</v>
      </c>
      <c r="N1152" s="50">
        <f>IFERROR(Table1[[#This Row],[Running Time (hr)]]/Table1[Target Time (Hours)], "")</f>
        <v>0.86363636363636365</v>
      </c>
      <c r="O1152" s="50">
        <f>IFERROR(Table1[[#This Row],[Actual Production (Kg)]]/Table1[Capacity (Kg)], "")</f>
        <v>0.79600000000000004</v>
      </c>
      <c r="P1152" s="50">
        <f>IFERROR(Table1[[#This Row],[Quality Pass Production]]/Table1[[#This Row],[Actual Production (Kg)]], "")</f>
        <v>1</v>
      </c>
      <c r="Q1152" s="50">
        <f>IFERROR(Table1[[#This Row],[Utilization %]]*Table1[[#This Row],[Efficiency %]]*Table1[[#This Row],[Quality %]], "")</f>
        <v>0.68745454545454554</v>
      </c>
      <c r="R1152" s="48" t="s">
        <v>313</v>
      </c>
    </row>
    <row r="1153" spans="1:18" x14ac:dyDescent="0.25">
      <c r="A1153" s="47">
        <v>46221</v>
      </c>
      <c r="B1153" s="48" t="s">
        <v>18</v>
      </c>
      <c r="C1153" s="48" t="s">
        <v>22</v>
      </c>
      <c r="D1153" s="48" t="s">
        <v>25</v>
      </c>
      <c r="E1153" s="49">
        <v>4000</v>
      </c>
      <c r="F1153" s="76">
        <v>4670</v>
      </c>
      <c r="G1153" s="49">
        <v>0</v>
      </c>
      <c r="H1153" s="50">
        <f>IFERROR(Table1[Re-process (Kg)]/Table1[Actual Production (Kg)], "")</f>
        <v>0</v>
      </c>
      <c r="I1153" s="49">
        <f>IFERROR(Table1[[#This Row],[Actual Production (Kg)]]-Table1[[#This Row],[Re-process (Kg)]], "")</f>
        <v>4670</v>
      </c>
      <c r="J1153" s="49"/>
      <c r="K1153" s="72"/>
      <c r="L1153" s="49" t="str">
        <f>IF(Table1[[#This Row],[Target Time (Hours)]]="","",Table1[[#This Row],[Target Time (Hours)]]-Table1[[#This Row],[Downtime (Hours)]])</f>
        <v/>
      </c>
      <c r="M1153" s="49" t="str">
        <f>IFERROR(Table1[[#This Row],[Capacity (Kg)]]/Table1[[#This Row],[Target Time (Hours)]] * Table1[[#This Row],[Downtime (Hours)]], "")</f>
        <v/>
      </c>
      <c r="N1153" s="50" t="str">
        <f>IFERROR(Table1[[#This Row],[Running Time (hr)]]/Table1[Target Time (Hours)], "")</f>
        <v/>
      </c>
      <c r="O1153" s="50">
        <f>IFERROR(Table1[[#This Row],[Actual Production (Kg)]]/Table1[Capacity (Kg)], "")</f>
        <v>1.1675</v>
      </c>
      <c r="P1153" s="50">
        <f>IFERROR(Table1[[#This Row],[Quality Pass Production]]/Table1[[#This Row],[Actual Production (Kg)]], "")</f>
        <v>1</v>
      </c>
      <c r="Q1153" s="50" t="str">
        <f>IFERROR(Table1[[#This Row],[Utilization %]]*Table1[[#This Row],[Efficiency %]]*Table1[[#This Row],[Quality %]], "")</f>
        <v/>
      </c>
    </row>
    <row r="1154" spans="1:18" ht="45" customHeight="1" x14ac:dyDescent="0.25">
      <c r="A1154" s="47">
        <v>46221</v>
      </c>
      <c r="B1154" s="48" t="s">
        <v>18</v>
      </c>
      <c r="C1154" s="48" t="s">
        <v>26</v>
      </c>
      <c r="D1154" s="48" t="s">
        <v>25</v>
      </c>
      <c r="E1154" s="49">
        <v>7000</v>
      </c>
      <c r="F1154" s="76">
        <v>6765</v>
      </c>
      <c r="G1154" s="49">
        <v>0</v>
      </c>
      <c r="H1154" s="50">
        <f>IFERROR(Table1[Re-process (Kg)]/Table1[Actual Production (Kg)], "")</f>
        <v>0</v>
      </c>
      <c r="I1154" s="49">
        <f>IFERROR(Table1[[#This Row],[Actual Production (Kg)]]-Table1[[#This Row],[Re-process (Kg)]], "")</f>
        <v>6765</v>
      </c>
      <c r="J1154" s="49">
        <v>22</v>
      </c>
      <c r="K1154" s="72">
        <v>3.5</v>
      </c>
      <c r="L1154" s="49">
        <f>IF(Table1[[#This Row],[Target Time (Hours)]]="","",Table1[[#This Row],[Target Time (Hours)]]-Table1[[#This Row],[Downtime (Hours)]])</f>
        <v>18.5</v>
      </c>
      <c r="M1154" s="49">
        <f>IFERROR(Table1[[#This Row],[Capacity (Kg)]]/Table1[[#This Row],[Target Time (Hours)]] * Table1[[#This Row],[Downtime (Hours)]], "")</f>
        <v>1113.6363636363637</v>
      </c>
      <c r="N1154" s="50">
        <f>IFERROR(Table1[[#This Row],[Running Time (hr)]]/Table1[Target Time (Hours)], "")</f>
        <v>0.84090909090909094</v>
      </c>
      <c r="O1154" s="50">
        <f>IFERROR(Table1[[#This Row],[Actual Production (Kg)]]/Table1[Capacity (Kg)], "")</f>
        <v>0.96642857142857141</v>
      </c>
      <c r="P1154" s="50">
        <f>IFERROR(Table1[[#This Row],[Quality Pass Production]]/Table1[[#This Row],[Actual Production (Kg)]], "")</f>
        <v>1</v>
      </c>
      <c r="Q1154" s="50">
        <f>IFERROR(Table1[[#This Row],[Utilization %]]*Table1[[#This Row],[Efficiency %]]*Table1[[#This Row],[Quality %]], "")</f>
        <v>0.81267857142857147</v>
      </c>
      <c r="R1154" s="48" t="s">
        <v>314</v>
      </c>
    </row>
    <row r="1155" spans="1:18" ht="30" customHeight="1" x14ac:dyDescent="0.25">
      <c r="A1155" s="47">
        <v>46221</v>
      </c>
      <c r="B1155" s="48" t="s">
        <v>18</v>
      </c>
      <c r="C1155" s="48" t="s">
        <v>28</v>
      </c>
      <c r="D1155" s="48" t="s">
        <v>29</v>
      </c>
      <c r="E1155" s="49">
        <v>7800</v>
      </c>
      <c r="F1155" s="76">
        <v>3420</v>
      </c>
      <c r="G1155" s="49">
        <v>0</v>
      </c>
      <c r="H1155" s="50">
        <f>IFERROR(Table1[Re-process (Kg)]/Table1[Actual Production (Kg)], "")</f>
        <v>0</v>
      </c>
      <c r="I1155" s="49">
        <f>IFERROR(Table1[[#This Row],[Actual Production (Kg)]]-Table1[[#This Row],[Re-process (Kg)]], "")</f>
        <v>3420</v>
      </c>
      <c r="J1155" s="49">
        <v>22</v>
      </c>
      <c r="K1155" s="72">
        <v>5</v>
      </c>
      <c r="L1155" s="49">
        <f>IF(Table1[[#This Row],[Target Time (Hours)]]="","",Table1[[#This Row],[Target Time (Hours)]]-Table1[[#This Row],[Downtime (Hours)]])</f>
        <v>17</v>
      </c>
      <c r="M1155" s="49">
        <f>IFERROR(Table1[[#This Row],[Capacity (Kg)]]/Table1[[#This Row],[Target Time (Hours)]] * Table1[[#This Row],[Downtime (Hours)]], "")</f>
        <v>1772.7272727272727</v>
      </c>
      <c r="N1155" s="50">
        <f>IFERROR(Table1[[#This Row],[Running Time (hr)]]/Table1[Target Time (Hours)], "")</f>
        <v>0.77272727272727271</v>
      </c>
      <c r="O1155" s="50">
        <f>IFERROR(Table1[[#This Row],[Actual Production (Kg)]]/Table1[Capacity (Kg)], "")</f>
        <v>0.43846153846153846</v>
      </c>
      <c r="P1155" s="50">
        <f>IFERROR(Table1[[#This Row],[Quality Pass Production]]/Table1[[#This Row],[Actual Production (Kg)]], "")</f>
        <v>1</v>
      </c>
      <c r="Q1155" s="50">
        <f>IFERROR(Table1[[#This Row],[Utilization %]]*Table1[[#This Row],[Efficiency %]]*Table1[[#This Row],[Quality %]], "")</f>
        <v>0.33881118881118882</v>
      </c>
      <c r="R1155" s="48" t="s">
        <v>315</v>
      </c>
    </row>
    <row r="1156" spans="1:18" ht="30" customHeight="1" x14ac:dyDescent="0.25">
      <c r="A1156" s="51">
        <v>46221</v>
      </c>
      <c r="B1156" s="52" t="s">
        <v>18</v>
      </c>
      <c r="C1156" s="52" t="s">
        <v>135</v>
      </c>
      <c r="D1156" s="52" t="s">
        <v>29</v>
      </c>
      <c r="E1156" s="53"/>
      <c r="F1156" s="53"/>
      <c r="G1156" s="53"/>
      <c r="H1156" s="57" t="str">
        <f>IFERROR(Table1[Re-process (Kg)]/Table1[Actual Production (Kg)], "")</f>
        <v/>
      </c>
      <c r="I1156" s="53">
        <f>IFERROR(Table1[[#This Row],[Actual Production (Kg)]]-Table1[[#This Row],[Re-process (Kg)]], "")</f>
        <v>0</v>
      </c>
      <c r="J1156" s="53"/>
      <c r="K1156" s="52"/>
      <c r="L1156" s="53" t="str">
        <f>IF(Table1[[#This Row],[Target Time (Hours)]]="","",Table1[[#This Row],[Target Time (Hours)]]-Table1[[#This Row],[Downtime (Hours)]])</f>
        <v/>
      </c>
      <c r="M1156" s="53" t="str">
        <f>IFERROR(Table1[[#This Row],[Capacity (Kg)]]/Table1[[#This Row],[Target Time (Hours)]] * Table1[[#This Row],[Downtime (Hours)]], "")</f>
        <v/>
      </c>
      <c r="N1156" s="57" t="str">
        <f>IFERROR(Table1[[#This Row],[Running Time (hr)]]/Table1[Target Time (Hours)], "")</f>
        <v/>
      </c>
      <c r="O1156" s="57" t="str">
        <f>IFERROR(Table1[[#This Row],[Actual Production (Kg)]]/Table1[Capacity (Kg)], "")</f>
        <v/>
      </c>
      <c r="P1156" s="57" t="str">
        <f>IFERROR(Table1[[#This Row],[Quality Pass Production]]/Table1[[#This Row],[Actual Production (Kg)]], "")</f>
        <v/>
      </c>
      <c r="Q1156" s="57" t="str">
        <f>IFERROR(Table1[[#This Row],[Utilization %]]*Table1[[#This Row],[Efficiency %]]*Table1[[#This Row],[Quality %]], "")</f>
        <v/>
      </c>
      <c r="R1156" s="52"/>
    </row>
    <row r="1157" spans="1:18" ht="30" customHeight="1" x14ac:dyDescent="0.25">
      <c r="A1157" s="47">
        <v>46221</v>
      </c>
      <c r="B1157" s="48" t="s">
        <v>18</v>
      </c>
      <c r="C1157" s="48" t="s">
        <v>30</v>
      </c>
      <c r="D1157" s="48" t="s">
        <v>31</v>
      </c>
      <c r="E1157" s="49">
        <v>9000</v>
      </c>
      <c r="F1157" s="76">
        <v>7812</v>
      </c>
      <c r="G1157" s="49">
        <v>0</v>
      </c>
      <c r="H1157" s="50">
        <f>IFERROR(Table1[Re-process (Kg)]/Table1[Actual Production (Kg)], "")</f>
        <v>0</v>
      </c>
      <c r="I1157" s="49">
        <f>IFERROR(Table1[[#This Row],[Actual Production (Kg)]]-Table1[[#This Row],[Re-process (Kg)]], "")</f>
        <v>7812</v>
      </c>
      <c r="J1157" s="49">
        <v>22</v>
      </c>
      <c r="K1157" s="72"/>
      <c r="L1157" s="49">
        <f>IF(Table1[[#This Row],[Target Time (Hours)]]="","",Table1[[#This Row],[Target Time (Hours)]]-Table1[[#This Row],[Downtime (Hours)]])</f>
        <v>22</v>
      </c>
      <c r="M1157" s="49">
        <f>IFERROR(Table1[[#This Row],[Capacity (Kg)]]/Table1[[#This Row],[Target Time (Hours)]] * Table1[[#This Row],[Downtime (Hours)]], "")</f>
        <v>0</v>
      </c>
      <c r="N1157" s="50">
        <f>IFERROR(Table1[[#This Row],[Running Time (hr)]]/Table1[Target Time (Hours)], "")</f>
        <v>1</v>
      </c>
      <c r="O1157" s="50">
        <f>IFERROR(Table1[[#This Row],[Actual Production (Kg)]]/Table1[Capacity (Kg)], "")</f>
        <v>0.86799999999999999</v>
      </c>
      <c r="P1157" s="50">
        <f>IFERROR(Table1[[#This Row],[Quality Pass Production]]/Table1[[#This Row],[Actual Production (Kg)]], "")</f>
        <v>1</v>
      </c>
      <c r="Q1157" s="50">
        <f>IFERROR(Table1[[#This Row],[Utilization %]]*Table1[[#This Row],[Efficiency %]]*Table1[[#This Row],[Quality %]], "")</f>
        <v>0.86799999999999999</v>
      </c>
    </row>
    <row r="1158" spans="1:18" ht="30" customHeight="1" x14ac:dyDescent="0.25">
      <c r="A1158" s="51">
        <v>46221</v>
      </c>
      <c r="B1158" s="52" t="s">
        <v>18</v>
      </c>
      <c r="C1158" s="52" t="s">
        <v>32</v>
      </c>
      <c r="D1158" s="52" t="s">
        <v>31</v>
      </c>
      <c r="E1158" s="79">
        <v>1963</v>
      </c>
      <c r="F1158" s="53">
        <v>1963</v>
      </c>
      <c r="G1158" s="53"/>
      <c r="H1158" s="57">
        <f>IFERROR(Table1[Re-process (Kg)]/Table1[Actual Production (Kg)], "")</f>
        <v>0</v>
      </c>
      <c r="I1158" s="53">
        <f>IFERROR(Table1[[#This Row],[Actual Production (Kg)]]-Table1[[#This Row],[Re-process (Kg)]], "")</f>
        <v>1963</v>
      </c>
      <c r="J1158" s="53"/>
      <c r="K1158" s="52"/>
      <c r="L1158" s="53" t="str">
        <f>IF(Table1[[#This Row],[Target Time (Hours)]]="","",Table1[[#This Row],[Target Time (Hours)]]-Table1[[#This Row],[Downtime (Hours)]])</f>
        <v/>
      </c>
      <c r="M1158" s="53" t="str">
        <f>IFERROR(Table1[[#This Row],[Capacity (Kg)]]/Table1[[#This Row],[Target Time (Hours)]] * Table1[[#This Row],[Downtime (Hours)]], "")</f>
        <v/>
      </c>
      <c r="N1158" s="57" t="str">
        <f>IFERROR(Table1[[#This Row],[Running Time (hr)]]/Table1[Target Time (Hours)], "")</f>
        <v/>
      </c>
      <c r="O1158" s="57">
        <f>IFERROR(Table1[[#This Row],[Actual Production (Kg)]]/Table1[Capacity (Kg)], "")</f>
        <v>1</v>
      </c>
      <c r="P1158" s="57">
        <f>IFERROR(Table1[[#This Row],[Quality Pass Production]]/Table1[[#This Row],[Actual Production (Kg)]], "")</f>
        <v>1</v>
      </c>
      <c r="Q1158" s="57" t="str">
        <f>IFERROR(Table1[[#This Row],[Utilization %]]*Table1[[#This Row],[Efficiency %]]*Table1[[#This Row],[Quality %]], "")</f>
        <v/>
      </c>
      <c r="R1158" s="52"/>
    </row>
    <row r="1159" spans="1:18" ht="30" customHeight="1" x14ac:dyDescent="0.25">
      <c r="A1159" s="47">
        <v>46221</v>
      </c>
      <c r="B1159" s="48" t="s">
        <v>33</v>
      </c>
      <c r="C1159" s="48" t="s">
        <v>34</v>
      </c>
      <c r="D1159" s="48" t="s">
        <v>35</v>
      </c>
      <c r="E1159" s="49">
        <v>9000</v>
      </c>
      <c r="F1159" s="76">
        <v>6886</v>
      </c>
      <c r="G1159" s="49">
        <v>0</v>
      </c>
      <c r="H1159" s="50">
        <f>IFERROR(Table1[Re-process (Kg)]/Table1[Actual Production (Kg)], "")</f>
        <v>0</v>
      </c>
      <c r="I1159" s="49">
        <f>IFERROR(Table1[[#This Row],[Actual Production (Kg)]]-Table1[[#This Row],[Re-process (Kg)]], "")</f>
        <v>6886</v>
      </c>
      <c r="J1159" s="49">
        <v>22</v>
      </c>
      <c r="K1159" s="72"/>
      <c r="L1159" s="49">
        <f>IF(Table1[[#This Row],[Target Time (Hours)]]="","",Table1[[#This Row],[Target Time (Hours)]]-Table1[[#This Row],[Downtime (Hours)]])</f>
        <v>22</v>
      </c>
      <c r="M1159" s="49">
        <f>IFERROR(Table1[[#This Row],[Capacity (Kg)]]/Table1[[#This Row],[Target Time (Hours)]] * Table1[[#This Row],[Downtime (Hours)]], "")</f>
        <v>0</v>
      </c>
      <c r="N1159" s="50">
        <f>IFERROR(Table1[[#This Row],[Running Time (hr)]]/Table1[Target Time (Hours)], "")</f>
        <v>1</v>
      </c>
      <c r="O1159" s="50">
        <f>IFERROR(Table1[[#This Row],[Actual Production (Kg)]]/Table1[Capacity (Kg)], "")</f>
        <v>0.76511111111111108</v>
      </c>
      <c r="P1159" s="50">
        <f>IFERROR(Table1[[#This Row],[Quality Pass Production]]/Table1[[#This Row],[Actual Production (Kg)]], "")</f>
        <v>1</v>
      </c>
      <c r="Q1159" s="50">
        <f>IFERROR(Table1[[#This Row],[Utilization %]]*Table1[[#This Row],[Efficiency %]]*Table1[[#This Row],[Quality %]], "")</f>
        <v>0.76511111111111108</v>
      </c>
      <c r="R1159" s="48" t="s">
        <v>316</v>
      </c>
    </row>
    <row r="1160" spans="1:18" ht="30" customHeight="1" x14ac:dyDescent="0.25">
      <c r="A1160" s="47">
        <v>46221</v>
      </c>
      <c r="B1160" s="48" t="s">
        <v>33</v>
      </c>
      <c r="C1160" s="48" t="s">
        <v>36</v>
      </c>
      <c r="D1160" s="48" t="s">
        <v>37</v>
      </c>
      <c r="E1160" s="49">
        <v>8000</v>
      </c>
      <c r="F1160" s="76">
        <v>5834</v>
      </c>
      <c r="G1160" s="49">
        <v>0</v>
      </c>
      <c r="H1160" s="50">
        <f>IFERROR(Table1[Re-process (Kg)]/Table1[Actual Production (Kg)], "")</f>
        <v>0</v>
      </c>
      <c r="I1160" s="49">
        <f>IFERROR(Table1[[#This Row],[Actual Production (Kg)]]-Table1[[#This Row],[Re-process (Kg)]], "")</f>
        <v>5834</v>
      </c>
      <c r="J1160" s="49">
        <v>22</v>
      </c>
      <c r="K1160" s="72">
        <v>2.5</v>
      </c>
      <c r="L1160" s="49">
        <f>IF(Table1[[#This Row],[Target Time (Hours)]]="","",Table1[[#This Row],[Target Time (Hours)]]-Table1[[#This Row],[Downtime (Hours)]])</f>
        <v>19.5</v>
      </c>
      <c r="M1160" s="49">
        <f>IFERROR(Table1[[#This Row],[Capacity (Kg)]]/Table1[[#This Row],[Target Time (Hours)]] * Table1[[#This Row],[Downtime (Hours)]], "")</f>
        <v>909.09090909090901</v>
      </c>
      <c r="N1160" s="50">
        <f>IFERROR(Table1[[#This Row],[Running Time (hr)]]/Table1[Target Time (Hours)], "")</f>
        <v>0.88636363636363635</v>
      </c>
      <c r="O1160" s="50">
        <f>IFERROR(Table1[[#This Row],[Actual Production (Kg)]]/Table1[Capacity (Kg)], "")</f>
        <v>0.72924999999999995</v>
      </c>
      <c r="P1160" s="50">
        <f>IFERROR(Table1[[#This Row],[Quality Pass Production]]/Table1[[#This Row],[Actual Production (Kg)]], "")</f>
        <v>1</v>
      </c>
      <c r="Q1160" s="50">
        <f>IFERROR(Table1[[#This Row],[Utilization %]]*Table1[[#This Row],[Efficiency %]]*Table1[[#This Row],[Quality %]], "")</f>
        <v>0.64638068181818176</v>
      </c>
      <c r="R1160" s="48" t="s">
        <v>317</v>
      </c>
    </row>
    <row r="1161" spans="1:18" ht="30" customHeight="1" x14ac:dyDescent="0.25">
      <c r="A1161" s="47">
        <v>46221</v>
      </c>
      <c r="B1161" s="48" t="s">
        <v>33</v>
      </c>
      <c r="C1161" s="48" t="s">
        <v>39</v>
      </c>
      <c r="D1161" s="48" t="s">
        <v>31</v>
      </c>
      <c r="E1161" s="49">
        <v>6000</v>
      </c>
      <c r="F1161" s="76">
        <v>2095</v>
      </c>
      <c r="G1161" s="49">
        <v>0</v>
      </c>
      <c r="H1161" s="50">
        <f>IFERROR(Table1[Re-process (Kg)]/Table1[Actual Production (Kg)], "")</f>
        <v>0</v>
      </c>
      <c r="I1161" s="49">
        <f>IFERROR(Table1[[#This Row],[Actual Production (Kg)]]-Table1[[#This Row],[Re-process (Kg)]], "")</f>
        <v>2095</v>
      </c>
      <c r="J1161" s="49">
        <v>22</v>
      </c>
      <c r="K1161" s="72"/>
      <c r="L1161" s="49">
        <f>IF(Table1[[#This Row],[Target Time (Hours)]]="","",Table1[[#This Row],[Target Time (Hours)]]-Table1[[#This Row],[Downtime (Hours)]])</f>
        <v>22</v>
      </c>
      <c r="M1161" s="49">
        <f>IFERROR(Table1[[#This Row],[Capacity (Kg)]]/Table1[[#This Row],[Target Time (Hours)]] * Table1[[#This Row],[Downtime (Hours)]], "")</f>
        <v>0</v>
      </c>
      <c r="N1161" s="50">
        <f>IFERROR(Table1[[#This Row],[Running Time (hr)]]/Table1[Target Time (Hours)], "")</f>
        <v>1</v>
      </c>
      <c r="O1161" s="50">
        <f>IFERROR(Table1[[#This Row],[Actual Production (Kg)]]/Table1[Capacity (Kg)], "")</f>
        <v>0.34916666666666668</v>
      </c>
      <c r="P1161" s="50">
        <f>IFERROR(Table1[[#This Row],[Quality Pass Production]]/Table1[[#This Row],[Actual Production (Kg)]], "")</f>
        <v>1</v>
      </c>
      <c r="Q1161" s="50">
        <f>IFERROR(Table1[[#This Row],[Utilization %]]*Table1[[#This Row],[Efficiency %]]*Table1[[#This Row],[Quality %]], "")</f>
        <v>0.34916666666666668</v>
      </c>
    </row>
    <row r="1162" spans="1:18" ht="45" customHeight="1" x14ac:dyDescent="0.25">
      <c r="A1162" s="54">
        <v>46221</v>
      </c>
      <c r="B1162" s="55" t="s">
        <v>33</v>
      </c>
      <c r="C1162" s="55" t="s">
        <v>40</v>
      </c>
      <c r="D1162" s="55" t="s">
        <v>31</v>
      </c>
      <c r="E1162" s="56">
        <v>5000</v>
      </c>
      <c r="F1162" s="56">
        <v>3990</v>
      </c>
      <c r="G1162" s="56">
        <v>0</v>
      </c>
      <c r="H1162" s="58">
        <f>IFERROR(Table1[Re-process (Kg)]/Table1[Actual Production (Kg)], "")</f>
        <v>0</v>
      </c>
      <c r="I1162" s="56">
        <f>IFERROR(Table1[[#This Row],[Actual Production (Kg)]]-Table1[[#This Row],[Re-process (Kg)]], "")</f>
        <v>3990</v>
      </c>
      <c r="J1162" s="56">
        <v>22</v>
      </c>
      <c r="K1162" s="55"/>
      <c r="L1162" s="56">
        <f>IF(Table1[[#This Row],[Target Time (Hours)]]="","",Table1[[#This Row],[Target Time (Hours)]]-Table1[[#This Row],[Downtime (Hours)]])</f>
        <v>22</v>
      </c>
      <c r="M1162" s="56">
        <f>IFERROR(Table1[[#This Row],[Capacity (Kg)]]/Table1[[#This Row],[Target Time (Hours)]] * Table1[[#This Row],[Downtime (Hours)]], "")</f>
        <v>0</v>
      </c>
      <c r="N1162" s="58">
        <f>IFERROR(Table1[[#This Row],[Running Time (hr)]]/Table1[Target Time (Hours)], "")</f>
        <v>1</v>
      </c>
      <c r="O1162" s="58">
        <f>IFERROR(Table1[[#This Row],[Actual Production (Kg)]]/Table1[Capacity (Kg)], "")</f>
        <v>0.79800000000000004</v>
      </c>
      <c r="P1162" s="58">
        <f>IFERROR(Table1[[#This Row],[Quality Pass Production]]/Table1[[#This Row],[Actual Production (Kg)]], "")</f>
        <v>1</v>
      </c>
      <c r="Q1162" s="58">
        <f>IFERROR(Table1[[#This Row],[Utilization %]]*Table1[[#This Row],[Efficiency %]]*Table1[[#This Row],[Quality %]], "")</f>
        <v>0.79800000000000004</v>
      </c>
      <c r="R1162" s="55"/>
    </row>
    <row r="1163" spans="1:18" ht="30" customHeight="1" x14ac:dyDescent="0.25">
      <c r="A1163" s="47">
        <v>46222</v>
      </c>
      <c r="B1163" s="48" t="s">
        <v>18</v>
      </c>
      <c r="C1163" s="48" t="s">
        <v>19</v>
      </c>
      <c r="D1163" s="48" t="s">
        <v>20</v>
      </c>
      <c r="E1163" s="49">
        <v>10000</v>
      </c>
      <c r="F1163" s="76">
        <v>9804</v>
      </c>
      <c r="G1163" s="49">
        <v>0</v>
      </c>
      <c r="H1163" s="50">
        <f>IFERROR(Table1[Re-process (Kg)]/Table1[Actual Production (Kg)], "")</f>
        <v>0</v>
      </c>
      <c r="I1163" s="49">
        <f>IFERROR(Table1[[#This Row],[Actual Production (Kg)]]-Table1[[#This Row],[Re-process (Kg)]], "")</f>
        <v>9804</v>
      </c>
      <c r="J1163" s="49">
        <v>22</v>
      </c>
      <c r="K1163" s="72"/>
      <c r="L1163" s="49">
        <f>IF(Table1[[#This Row],[Target Time (Hours)]]="","",Table1[[#This Row],[Target Time (Hours)]]-Table1[[#This Row],[Downtime (Hours)]])</f>
        <v>22</v>
      </c>
      <c r="M1163" s="49">
        <f>IFERROR(Table1[[#This Row],[Capacity (Kg)]]/Table1[[#This Row],[Target Time (Hours)]] * Table1[[#This Row],[Downtime (Hours)]], "")</f>
        <v>0</v>
      </c>
      <c r="N1163" s="50">
        <f>IFERROR(Table1[[#This Row],[Running Time (hr)]]/Table1[Target Time (Hours)], "")</f>
        <v>1</v>
      </c>
      <c r="O1163" s="50">
        <f>IFERROR(Table1[[#This Row],[Actual Production (Kg)]]/Table1[Capacity (Kg)], "")</f>
        <v>0.98040000000000005</v>
      </c>
      <c r="P1163" s="50">
        <f>IFERROR(Table1[[#This Row],[Quality Pass Production]]/Table1[[#This Row],[Actual Production (Kg)]], "")</f>
        <v>1</v>
      </c>
      <c r="Q1163" s="50">
        <f>IFERROR(Table1[[#This Row],[Utilization %]]*Table1[[#This Row],[Efficiency %]]*Table1[[#This Row],[Quality %]], "")</f>
        <v>0.98040000000000005</v>
      </c>
    </row>
    <row r="1164" spans="1:18" x14ac:dyDescent="0.25">
      <c r="A1164" s="51">
        <v>46222</v>
      </c>
      <c r="B1164" s="52" t="s">
        <v>18</v>
      </c>
      <c r="C1164" s="52" t="s">
        <v>238</v>
      </c>
      <c r="D1164" s="52" t="s">
        <v>20</v>
      </c>
      <c r="E1164" s="79">
        <v>10367</v>
      </c>
      <c r="F1164" s="53">
        <v>10367</v>
      </c>
      <c r="G1164" s="53">
        <v>0</v>
      </c>
      <c r="H1164" s="57">
        <f>IFERROR(Table1[Re-process (Kg)]/Table1[Actual Production (Kg)], "")</f>
        <v>0</v>
      </c>
      <c r="I1164" s="53">
        <f>IFERROR(Table1[[#This Row],[Actual Production (Kg)]]-Table1[[#This Row],[Re-process (Kg)]], "")</f>
        <v>10367</v>
      </c>
      <c r="J1164" s="53"/>
      <c r="K1164" s="52"/>
      <c r="L1164" s="53" t="str">
        <f>IF(Table1[[#This Row],[Target Time (Hours)]]="","",Table1[[#This Row],[Target Time (Hours)]]-Table1[[#This Row],[Downtime (Hours)]])</f>
        <v/>
      </c>
      <c r="M1164" s="53" t="str">
        <f>IFERROR(Table1[[#This Row],[Capacity (Kg)]]/Table1[[#This Row],[Target Time (Hours)]] * Table1[[#This Row],[Downtime (Hours)]], "")</f>
        <v/>
      </c>
      <c r="N1164" s="57" t="str">
        <f>IFERROR(Table1[[#This Row],[Running Time (hr)]]/Table1[Target Time (Hours)], "")</f>
        <v/>
      </c>
      <c r="O1164" s="57">
        <f>IFERROR(Table1[[#This Row],[Actual Production (Kg)]]/Table1[Capacity (Kg)], "")</f>
        <v>1</v>
      </c>
      <c r="P1164" s="57">
        <f>IFERROR(Table1[[#This Row],[Quality Pass Production]]/Table1[[#This Row],[Actual Production (Kg)]], "")</f>
        <v>1</v>
      </c>
      <c r="Q1164" s="57" t="str">
        <f>IFERROR(Table1[[#This Row],[Utilization %]]*Table1[[#This Row],[Efficiency %]]*Table1[[#This Row],[Quality %]], "")</f>
        <v/>
      </c>
      <c r="R1164" s="52"/>
    </row>
    <row r="1165" spans="1:18" x14ac:dyDescent="0.25">
      <c r="A1165" s="47">
        <v>46222</v>
      </c>
      <c r="B1165" s="48" t="s">
        <v>18</v>
      </c>
      <c r="C1165" s="48" t="s">
        <v>22</v>
      </c>
      <c r="D1165" s="48" t="s">
        <v>23</v>
      </c>
      <c r="E1165" s="49">
        <v>5000</v>
      </c>
      <c r="F1165" s="76">
        <v>5944</v>
      </c>
      <c r="G1165" s="49">
        <v>0</v>
      </c>
      <c r="H1165" s="50">
        <f>IFERROR(Table1[Re-process (Kg)]/Table1[Actual Production (Kg)], "")</f>
        <v>0</v>
      </c>
      <c r="I1165" s="49">
        <f>IFERROR(Table1[[#This Row],[Actual Production (Kg)]]-Table1[[#This Row],[Re-process (Kg)]], "")</f>
        <v>5944</v>
      </c>
      <c r="J1165" s="49">
        <v>22</v>
      </c>
      <c r="K1165" s="72"/>
      <c r="L1165" s="49">
        <f>IF(Table1[[#This Row],[Target Time (Hours)]]="","",Table1[[#This Row],[Target Time (Hours)]]-Table1[[#This Row],[Downtime (Hours)]])</f>
        <v>22</v>
      </c>
      <c r="M1165" s="49">
        <f>IFERROR(Table1[[#This Row],[Capacity (Kg)]]/Table1[[#This Row],[Target Time (Hours)]] * Table1[[#This Row],[Downtime (Hours)]], "")</f>
        <v>0</v>
      </c>
      <c r="N1165" s="50">
        <f>IFERROR(Table1[[#This Row],[Running Time (hr)]]/Table1[Target Time (Hours)], "")</f>
        <v>1</v>
      </c>
      <c r="O1165" s="50">
        <f>IFERROR(Table1[[#This Row],[Actual Production (Kg)]]/Table1[Capacity (Kg)], "")</f>
        <v>1.1888000000000001</v>
      </c>
      <c r="P1165" s="50">
        <f>IFERROR(Table1[[#This Row],[Quality Pass Production]]/Table1[[#This Row],[Actual Production (Kg)]], "")</f>
        <v>1</v>
      </c>
      <c r="Q1165" s="50">
        <f>IFERROR(Table1[[#This Row],[Utilization %]]*Table1[[#This Row],[Efficiency %]]*Table1[[#This Row],[Quality %]], "")</f>
        <v>1.1888000000000001</v>
      </c>
    </row>
    <row r="1166" spans="1:18" x14ac:dyDescent="0.25">
      <c r="A1166" s="47">
        <v>46222</v>
      </c>
      <c r="B1166" s="48" t="s">
        <v>18</v>
      </c>
      <c r="C1166" s="48" t="s">
        <v>22</v>
      </c>
      <c r="D1166" s="48" t="s">
        <v>25</v>
      </c>
      <c r="E1166" s="49">
        <v>4000</v>
      </c>
      <c r="F1166" s="76">
        <v>4319</v>
      </c>
      <c r="G1166" s="49">
        <v>0</v>
      </c>
      <c r="H1166" s="50">
        <f>IFERROR(Table1[Re-process (Kg)]/Table1[Actual Production (Kg)], "")</f>
        <v>0</v>
      </c>
      <c r="I1166" s="49">
        <f>IFERROR(Table1[[#This Row],[Actual Production (Kg)]]-Table1[[#This Row],[Re-process (Kg)]], "")</f>
        <v>4319</v>
      </c>
      <c r="J1166" s="49"/>
      <c r="K1166" s="72"/>
      <c r="L1166" s="49" t="str">
        <f>IF(Table1[[#This Row],[Target Time (Hours)]]="","",Table1[[#This Row],[Target Time (Hours)]]-Table1[[#This Row],[Downtime (Hours)]])</f>
        <v/>
      </c>
      <c r="M1166" s="49" t="str">
        <f>IFERROR(Table1[[#This Row],[Capacity (Kg)]]/Table1[[#This Row],[Target Time (Hours)]] * Table1[[#This Row],[Downtime (Hours)]], "")</f>
        <v/>
      </c>
      <c r="N1166" s="50" t="str">
        <f>IFERROR(Table1[[#This Row],[Running Time (hr)]]/Table1[Target Time (Hours)], "")</f>
        <v/>
      </c>
      <c r="O1166" s="50">
        <f>IFERROR(Table1[[#This Row],[Actual Production (Kg)]]/Table1[Capacity (Kg)], "")</f>
        <v>1.07975</v>
      </c>
      <c r="P1166" s="50">
        <f>IFERROR(Table1[[#This Row],[Quality Pass Production]]/Table1[[#This Row],[Actual Production (Kg)]], "")</f>
        <v>1</v>
      </c>
      <c r="Q1166" s="50" t="str">
        <f>IFERROR(Table1[[#This Row],[Utilization %]]*Table1[[#This Row],[Efficiency %]]*Table1[[#This Row],[Quality %]], "")</f>
        <v/>
      </c>
    </row>
    <row r="1167" spans="1:18" x14ac:dyDescent="0.25">
      <c r="A1167" s="47">
        <v>46222</v>
      </c>
      <c r="B1167" s="48" t="s">
        <v>18</v>
      </c>
      <c r="C1167" s="48" t="s">
        <v>26</v>
      </c>
      <c r="D1167" s="48" t="s">
        <v>25</v>
      </c>
      <c r="E1167" s="49">
        <v>7000</v>
      </c>
      <c r="F1167" s="76">
        <v>7849</v>
      </c>
      <c r="G1167" s="49">
        <v>0</v>
      </c>
      <c r="H1167" s="50">
        <f>IFERROR(Table1[Re-process (Kg)]/Table1[Actual Production (Kg)], "")</f>
        <v>0</v>
      </c>
      <c r="I1167" s="49">
        <f>IFERROR(Table1[[#This Row],[Actual Production (Kg)]]-Table1[[#This Row],[Re-process (Kg)]], "")</f>
        <v>7849</v>
      </c>
      <c r="J1167" s="49">
        <v>22</v>
      </c>
      <c r="K1167" s="72"/>
      <c r="L1167" s="49">
        <f>IF(Table1[[#This Row],[Target Time (Hours)]]="","",Table1[[#This Row],[Target Time (Hours)]]-Table1[[#This Row],[Downtime (Hours)]])</f>
        <v>22</v>
      </c>
      <c r="M1167" s="49">
        <f>IFERROR(Table1[[#This Row],[Capacity (Kg)]]/Table1[[#This Row],[Target Time (Hours)]] * Table1[[#This Row],[Downtime (Hours)]], "")</f>
        <v>0</v>
      </c>
      <c r="N1167" s="50">
        <f>IFERROR(Table1[[#This Row],[Running Time (hr)]]/Table1[Target Time (Hours)], "")</f>
        <v>1</v>
      </c>
      <c r="O1167" s="50">
        <f>IFERROR(Table1[[#This Row],[Actual Production (Kg)]]/Table1[Capacity (Kg)], "")</f>
        <v>1.1212857142857142</v>
      </c>
      <c r="P1167" s="50">
        <f>IFERROR(Table1[[#This Row],[Quality Pass Production]]/Table1[[#This Row],[Actual Production (Kg)]], "")</f>
        <v>1</v>
      </c>
      <c r="Q1167" s="50">
        <f>IFERROR(Table1[[#This Row],[Utilization %]]*Table1[[#This Row],[Efficiency %]]*Table1[[#This Row],[Quality %]], "")</f>
        <v>1.1212857142857142</v>
      </c>
    </row>
    <row r="1168" spans="1:18" ht="30" customHeight="1" x14ac:dyDescent="0.25">
      <c r="A1168" s="47">
        <v>46222</v>
      </c>
      <c r="B1168" s="48" t="s">
        <v>18</v>
      </c>
      <c r="C1168" s="48" t="s">
        <v>28</v>
      </c>
      <c r="D1168" s="48" t="s">
        <v>29</v>
      </c>
      <c r="E1168" s="49">
        <v>7800</v>
      </c>
      <c r="F1168" s="76">
        <v>5965</v>
      </c>
      <c r="G1168" s="49">
        <v>0</v>
      </c>
      <c r="H1168" s="50">
        <f>IFERROR(Table1[Re-process (Kg)]/Table1[Actual Production (Kg)], "")</f>
        <v>0</v>
      </c>
      <c r="I1168" s="49">
        <f>IFERROR(Table1[[#This Row],[Actual Production (Kg)]]-Table1[[#This Row],[Re-process (Kg)]], "")</f>
        <v>5965</v>
      </c>
      <c r="J1168" s="49">
        <v>22</v>
      </c>
      <c r="K1168" s="72">
        <v>4</v>
      </c>
      <c r="L1168" s="49">
        <f>IF(Table1[[#This Row],[Target Time (Hours)]]="","",Table1[[#This Row],[Target Time (Hours)]]-Table1[[#This Row],[Downtime (Hours)]])</f>
        <v>18</v>
      </c>
      <c r="M1168" s="49">
        <f>IFERROR(Table1[[#This Row],[Capacity (Kg)]]/Table1[[#This Row],[Target Time (Hours)]] * Table1[[#This Row],[Downtime (Hours)]], "")</f>
        <v>1418.1818181818182</v>
      </c>
      <c r="N1168" s="50">
        <f>IFERROR(Table1[[#This Row],[Running Time (hr)]]/Table1[Target Time (Hours)], "")</f>
        <v>0.81818181818181823</v>
      </c>
      <c r="O1168" s="50">
        <f>IFERROR(Table1[[#This Row],[Actual Production (Kg)]]/Table1[Capacity (Kg)], "")</f>
        <v>0.76474358974358969</v>
      </c>
      <c r="P1168" s="50">
        <f>IFERROR(Table1[[#This Row],[Quality Pass Production]]/Table1[[#This Row],[Actual Production (Kg)]], "")</f>
        <v>1</v>
      </c>
      <c r="Q1168" s="50">
        <f>IFERROR(Table1[[#This Row],[Utilization %]]*Table1[[#This Row],[Efficiency %]]*Table1[[#This Row],[Quality %]], "")</f>
        <v>0.62569930069930069</v>
      </c>
      <c r="R1168" s="48" t="s">
        <v>318</v>
      </c>
    </row>
    <row r="1169" spans="1:18" ht="30" customHeight="1" x14ac:dyDescent="0.25">
      <c r="A1169" s="51">
        <v>46222</v>
      </c>
      <c r="B1169" s="52" t="s">
        <v>18</v>
      </c>
      <c r="C1169" s="52" t="s">
        <v>135</v>
      </c>
      <c r="D1169" s="52" t="s">
        <v>29</v>
      </c>
      <c r="E1169" s="53"/>
      <c r="F1169" s="53"/>
      <c r="G1169" s="53"/>
      <c r="H1169" s="57" t="str">
        <f>IFERROR(Table1[Re-process (Kg)]/Table1[Actual Production (Kg)], "")</f>
        <v/>
      </c>
      <c r="I1169" s="53">
        <f>IFERROR(Table1[[#This Row],[Actual Production (Kg)]]-Table1[[#This Row],[Re-process (Kg)]], "")</f>
        <v>0</v>
      </c>
      <c r="J1169" s="53"/>
      <c r="K1169" s="52"/>
      <c r="L1169" s="53" t="str">
        <f>IF(Table1[[#This Row],[Target Time (Hours)]]="","",Table1[[#This Row],[Target Time (Hours)]]-Table1[[#This Row],[Downtime (Hours)]])</f>
        <v/>
      </c>
      <c r="M1169" s="53" t="str">
        <f>IFERROR(Table1[[#This Row],[Capacity (Kg)]]/Table1[[#This Row],[Target Time (Hours)]] * Table1[[#This Row],[Downtime (Hours)]], "")</f>
        <v/>
      </c>
      <c r="N1169" s="57" t="str">
        <f>IFERROR(Table1[[#This Row],[Running Time (hr)]]/Table1[Target Time (Hours)], "")</f>
        <v/>
      </c>
      <c r="O1169" s="57" t="str">
        <f>IFERROR(Table1[[#This Row],[Actual Production (Kg)]]/Table1[Capacity (Kg)], "")</f>
        <v/>
      </c>
      <c r="P1169" s="57" t="str">
        <f>IFERROR(Table1[[#This Row],[Quality Pass Production]]/Table1[[#This Row],[Actual Production (Kg)]], "")</f>
        <v/>
      </c>
      <c r="Q1169" s="57" t="str">
        <f>IFERROR(Table1[[#This Row],[Utilization %]]*Table1[[#This Row],[Efficiency %]]*Table1[[#This Row],[Quality %]], "")</f>
        <v/>
      </c>
      <c r="R1169" s="52"/>
    </row>
    <row r="1170" spans="1:18" ht="30" customHeight="1" x14ac:dyDescent="0.25">
      <c r="A1170" s="47">
        <v>46222</v>
      </c>
      <c r="B1170" s="48" t="s">
        <v>18</v>
      </c>
      <c r="C1170" s="48" t="s">
        <v>30</v>
      </c>
      <c r="D1170" s="48" t="s">
        <v>31</v>
      </c>
      <c r="E1170" s="49">
        <v>9000</v>
      </c>
      <c r="F1170" s="76">
        <v>7973</v>
      </c>
      <c r="G1170" s="49">
        <v>0</v>
      </c>
      <c r="H1170" s="50">
        <f>IFERROR(Table1[Re-process (Kg)]/Table1[Actual Production (Kg)], "")</f>
        <v>0</v>
      </c>
      <c r="I1170" s="49">
        <f>IFERROR(Table1[[#This Row],[Actual Production (Kg)]]-Table1[[#This Row],[Re-process (Kg)]], "")</f>
        <v>7973</v>
      </c>
      <c r="J1170" s="49">
        <v>22</v>
      </c>
      <c r="K1170" s="72"/>
      <c r="L1170" s="49">
        <f>IF(Table1[[#This Row],[Target Time (Hours)]]="","",Table1[[#This Row],[Target Time (Hours)]]-Table1[[#This Row],[Downtime (Hours)]])</f>
        <v>22</v>
      </c>
      <c r="M1170" s="49">
        <f>IFERROR(Table1[[#This Row],[Capacity (Kg)]]/Table1[[#This Row],[Target Time (Hours)]] * Table1[[#This Row],[Downtime (Hours)]], "")</f>
        <v>0</v>
      </c>
      <c r="N1170" s="50">
        <f>IFERROR(Table1[[#This Row],[Running Time (hr)]]/Table1[Target Time (Hours)], "")</f>
        <v>1</v>
      </c>
      <c r="O1170" s="50">
        <f>IFERROR(Table1[[#This Row],[Actual Production (Kg)]]/Table1[Capacity (Kg)], "")</f>
        <v>0.88588888888888884</v>
      </c>
      <c r="P1170" s="50">
        <f>IFERROR(Table1[[#This Row],[Quality Pass Production]]/Table1[[#This Row],[Actual Production (Kg)]], "")</f>
        <v>1</v>
      </c>
      <c r="Q1170" s="50">
        <f>IFERROR(Table1[[#This Row],[Utilization %]]*Table1[[#This Row],[Efficiency %]]*Table1[[#This Row],[Quality %]], "")</f>
        <v>0.88588888888888884</v>
      </c>
    </row>
    <row r="1171" spans="1:18" ht="30" customHeight="1" x14ac:dyDescent="0.25">
      <c r="A1171" s="51">
        <v>46222</v>
      </c>
      <c r="B1171" s="52" t="s">
        <v>18</v>
      </c>
      <c r="C1171" s="52" t="s">
        <v>32</v>
      </c>
      <c r="D1171" s="52" t="s">
        <v>31</v>
      </c>
      <c r="E1171" s="79">
        <v>2316</v>
      </c>
      <c r="F1171" s="53">
        <v>2316</v>
      </c>
      <c r="G1171" s="53"/>
      <c r="H1171" s="57">
        <f>IFERROR(Table1[Re-process (Kg)]/Table1[Actual Production (Kg)], "")</f>
        <v>0</v>
      </c>
      <c r="I1171" s="53">
        <f>IFERROR(Table1[[#This Row],[Actual Production (Kg)]]-Table1[[#This Row],[Re-process (Kg)]], "")</f>
        <v>2316</v>
      </c>
      <c r="J1171" s="53"/>
      <c r="K1171" s="52"/>
      <c r="L1171" s="53" t="str">
        <f>IF(Table1[[#This Row],[Target Time (Hours)]]="","",Table1[[#This Row],[Target Time (Hours)]]-Table1[[#This Row],[Downtime (Hours)]])</f>
        <v/>
      </c>
      <c r="M1171" s="53" t="str">
        <f>IFERROR(Table1[[#This Row],[Capacity (Kg)]]/Table1[[#This Row],[Target Time (Hours)]] * Table1[[#This Row],[Downtime (Hours)]], "")</f>
        <v/>
      </c>
      <c r="N1171" s="57" t="str">
        <f>IFERROR(Table1[[#This Row],[Running Time (hr)]]/Table1[Target Time (Hours)], "")</f>
        <v/>
      </c>
      <c r="O1171" s="57">
        <f>IFERROR(Table1[[#This Row],[Actual Production (Kg)]]/Table1[Capacity (Kg)], "")</f>
        <v>1</v>
      </c>
      <c r="P1171" s="57">
        <f>IFERROR(Table1[[#This Row],[Quality Pass Production]]/Table1[[#This Row],[Actual Production (Kg)]], "")</f>
        <v>1</v>
      </c>
      <c r="Q1171" s="57" t="str">
        <f>IFERROR(Table1[[#This Row],[Utilization %]]*Table1[[#This Row],[Efficiency %]]*Table1[[#This Row],[Quality %]], "")</f>
        <v/>
      </c>
      <c r="R1171" s="52" t="s">
        <v>308</v>
      </c>
    </row>
    <row r="1172" spans="1:18" ht="30" customHeight="1" x14ac:dyDescent="0.25">
      <c r="A1172" s="47">
        <v>46222</v>
      </c>
      <c r="B1172" s="48" t="s">
        <v>33</v>
      </c>
      <c r="C1172" s="48" t="s">
        <v>34</v>
      </c>
      <c r="D1172" s="48" t="s">
        <v>35</v>
      </c>
      <c r="E1172" s="49">
        <v>9000</v>
      </c>
      <c r="F1172" s="76">
        <v>6359</v>
      </c>
      <c r="G1172" s="49">
        <v>0</v>
      </c>
      <c r="H1172" s="50">
        <f>IFERROR(Table1[Re-process (Kg)]/Table1[Actual Production (Kg)], "")</f>
        <v>0</v>
      </c>
      <c r="I1172" s="49">
        <f>IFERROR(Table1[[#This Row],[Actual Production (Kg)]]-Table1[[#This Row],[Re-process (Kg)]], "")</f>
        <v>6359</v>
      </c>
      <c r="J1172" s="49">
        <v>22</v>
      </c>
      <c r="K1172" s="72"/>
      <c r="L1172" s="49">
        <f>IF(Table1[[#This Row],[Target Time (Hours)]]="","",Table1[[#This Row],[Target Time (Hours)]]-Table1[[#This Row],[Downtime (Hours)]])</f>
        <v>22</v>
      </c>
      <c r="M1172" s="49">
        <f>IFERROR(Table1[[#This Row],[Capacity (Kg)]]/Table1[[#This Row],[Target Time (Hours)]] * Table1[[#This Row],[Downtime (Hours)]], "")</f>
        <v>0</v>
      </c>
      <c r="N1172" s="50">
        <f>IFERROR(Table1[[#This Row],[Running Time (hr)]]/Table1[Target Time (Hours)], "")</f>
        <v>1</v>
      </c>
      <c r="O1172" s="50">
        <f>IFERROR(Table1[[#This Row],[Actual Production (Kg)]]/Table1[Capacity (Kg)], "")</f>
        <v>0.7065555555555556</v>
      </c>
      <c r="P1172" s="50">
        <f>IFERROR(Table1[[#This Row],[Quality Pass Production]]/Table1[[#This Row],[Actual Production (Kg)]], "")</f>
        <v>1</v>
      </c>
      <c r="Q1172" s="50">
        <f>IFERROR(Table1[[#This Row],[Utilization %]]*Table1[[#This Row],[Efficiency %]]*Table1[[#This Row],[Quality %]], "")</f>
        <v>0.7065555555555556</v>
      </c>
    </row>
    <row r="1173" spans="1:18" ht="30" customHeight="1" x14ac:dyDescent="0.25">
      <c r="A1173" s="47">
        <v>46222</v>
      </c>
      <c r="B1173" s="48" t="s">
        <v>33</v>
      </c>
      <c r="C1173" s="48" t="s">
        <v>36</v>
      </c>
      <c r="D1173" s="48" t="s">
        <v>37</v>
      </c>
      <c r="E1173" s="49">
        <v>8000</v>
      </c>
      <c r="F1173" s="76">
        <v>6616</v>
      </c>
      <c r="G1173" s="49">
        <v>0</v>
      </c>
      <c r="H1173" s="50">
        <f>IFERROR(Table1[Re-process (Kg)]/Table1[Actual Production (Kg)], "")</f>
        <v>0</v>
      </c>
      <c r="I1173" s="49">
        <f>IFERROR(Table1[[#This Row],[Actual Production (Kg)]]-Table1[[#This Row],[Re-process (Kg)]], "")</f>
        <v>6616</v>
      </c>
      <c r="J1173" s="49">
        <v>22</v>
      </c>
      <c r="K1173" s="72"/>
      <c r="L1173" s="49">
        <f>IF(Table1[[#This Row],[Target Time (Hours)]]="","",Table1[[#This Row],[Target Time (Hours)]]-Table1[[#This Row],[Downtime (Hours)]])</f>
        <v>22</v>
      </c>
      <c r="M1173" s="49">
        <f>IFERROR(Table1[[#This Row],[Capacity (Kg)]]/Table1[[#This Row],[Target Time (Hours)]] * Table1[[#This Row],[Downtime (Hours)]], "")</f>
        <v>0</v>
      </c>
      <c r="N1173" s="50">
        <f>IFERROR(Table1[[#This Row],[Running Time (hr)]]/Table1[Target Time (Hours)], "")</f>
        <v>1</v>
      </c>
      <c r="O1173" s="50">
        <f>IFERROR(Table1[[#This Row],[Actual Production (Kg)]]/Table1[Capacity (Kg)], "")</f>
        <v>0.82699999999999996</v>
      </c>
      <c r="P1173" s="50">
        <f>IFERROR(Table1[[#This Row],[Quality Pass Production]]/Table1[[#This Row],[Actual Production (Kg)]], "")</f>
        <v>1</v>
      </c>
      <c r="Q1173" s="50">
        <f>IFERROR(Table1[[#This Row],[Utilization %]]*Table1[[#This Row],[Efficiency %]]*Table1[[#This Row],[Quality %]], "")</f>
        <v>0.82699999999999996</v>
      </c>
      <c r="R1173" s="48" t="s">
        <v>319</v>
      </c>
    </row>
    <row r="1174" spans="1:18" ht="30" customHeight="1" x14ac:dyDescent="0.25">
      <c r="A1174" s="47">
        <v>46222</v>
      </c>
      <c r="B1174" s="48" t="s">
        <v>33</v>
      </c>
      <c r="C1174" s="48" t="s">
        <v>39</v>
      </c>
      <c r="D1174" s="48" t="s">
        <v>31</v>
      </c>
      <c r="E1174" s="49">
        <v>6000</v>
      </c>
      <c r="F1174" s="76">
        <v>2254</v>
      </c>
      <c r="G1174" s="49">
        <v>0</v>
      </c>
      <c r="H1174" s="50">
        <f>IFERROR(Table1[Re-process (Kg)]/Table1[Actual Production (Kg)], "")</f>
        <v>0</v>
      </c>
      <c r="I1174" s="49">
        <f>IFERROR(Table1[[#This Row],[Actual Production (Kg)]]-Table1[[#This Row],[Re-process (Kg)]], "")</f>
        <v>2254</v>
      </c>
      <c r="J1174" s="49">
        <v>22</v>
      </c>
      <c r="K1174" s="72"/>
      <c r="L1174" s="49">
        <f>IF(Table1[[#This Row],[Target Time (Hours)]]="","",Table1[[#This Row],[Target Time (Hours)]]-Table1[[#This Row],[Downtime (Hours)]])</f>
        <v>22</v>
      </c>
      <c r="M1174" s="49">
        <f>IFERROR(Table1[[#This Row],[Capacity (Kg)]]/Table1[[#This Row],[Target Time (Hours)]] * Table1[[#This Row],[Downtime (Hours)]], "")</f>
        <v>0</v>
      </c>
      <c r="N1174" s="50">
        <f>IFERROR(Table1[[#This Row],[Running Time (hr)]]/Table1[Target Time (Hours)], "")</f>
        <v>1</v>
      </c>
      <c r="O1174" s="50">
        <f>IFERROR(Table1[[#This Row],[Actual Production (Kg)]]/Table1[Capacity (Kg)], "")</f>
        <v>0.37566666666666665</v>
      </c>
      <c r="P1174" s="50">
        <f>IFERROR(Table1[[#This Row],[Quality Pass Production]]/Table1[[#This Row],[Actual Production (Kg)]], "")</f>
        <v>1</v>
      </c>
      <c r="Q1174" s="50">
        <f>IFERROR(Table1[[#This Row],[Utilization %]]*Table1[[#This Row],[Efficiency %]]*Table1[[#This Row],[Quality %]], "")</f>
        <v>0.37566666666666665</v>
      </c>
      <c r="R1174" s="48" t="s">
        <v>312</v>
      </c>
    </row>
    <row r="1175" spans="1:18" ht="45" customHeight="1" x14ac:dyDescent="0.25">
      <c r="A1175" s="54">
        <v>46222</v>
      </c>
      <c r="B1175" s="55" t="s">
        <v>33</v>
      </c>
      <c r="C1175" s="55" t="s">
        <v>40</v>
      </c>
      <c r="D1175" s="55" t="s">
        <v>31</v>
      </c>
      <c r="E1175" s="56">
        <v>5000</v>
      </c>
      <c r="F1175" s="56">
        <v>4212</v>
      </c>
      <c r="G1175" s="56">
        <v>0</v>
      </c>
      <c r="H1175" s="58">
        <f>IFERROR(Table1[Re-process (Kg)]/Table1[Actual Production (Kg)], "")</f>
        <v>0</v>
      </c>
      <c r="I1175" s="56">
        <f>IFERROR(Table1[[#This Row],[Actual Production (Kg)]]-Table1[[#This Row],[Re-process (Kg)]], "")</f>
        <v>4212</v>
      </c>
      <c r="J1175" s="56">
        <v>22</v>
      </c>
      <c r="K1175" s="55"/>
      <c r="L1175" s="56">
        <f>IF(Table1[[#This Row],[Target Time (Hours)]]="","",Table1[[#This Row],[Target Time (Hours)]]-Table1[[#This Row],[Downtime (Hours)]])</f>
        <v>22</v>
      </c>
      <c r="M1175" s="56">
        <f>IFERROR(Table1[[#This Row],[Capacity (Kg)]]/Table1[[#This Row],[Target Time (Hours)]] * Table1[[#This Row],[Downtime (Hours)]], "")</f>
        <v>0</v>
      </c>
      <c r="N1175" s="58">
        <f>IFERROR(Table1[[#This Row],[Running Time (hr)]]/Table1[Target Time (Hours)], "")</f>
        <v>1</v>
      </c>
      <c r="O1175" s="58">
        <f>IFERROR(Table1[[#This Row],[Actual Production (Kg)]]/Table1[Capacity (Kg)], "")</f>
        <v>0.84240000000000004</v>
      </c>
      <c r="P1175" s="58">
        <f>IFERROR(Table1[[#This Row],[Quality Pass Production]]/Table1[[#This Row],[Actual Production (Kg)]], "")</f>
        <v>1</v>
      </c>
      <c r="Q1175" s="58">
        <f>IFERROR(Table1[[#This Row],[Utilization %]]*Table1[[#This Row],[Efficiency %]]*Table1[[#This Row],[Quality %]], "")</f>
        <v>0.84240000000000004</v>
      </c>
      <c r="R1175" s="55"/>
    </row>
    <row r="1176" spans="1:18" ht="30" customHeight="1" x14ac:dyDescent="0.25">
      <c r="A1176" s="47">
        <v>46223</v>
      </c>
      <c r="B1176" s="48" t="s">
        <v>18</v>
      </c>
      <c r="C1176" s="48" t="s">
        <v>19</v>
      </c>
      <c r="D1176" s="48" t="s">
        <v>20</v>
      </c>
      <c r="E1176" s="49">
        <v>10000</v>
      </c>
      <c r="F1176" s="76">
        <v>9434</v>
      </c>
      <c r="G1176" s="49">
        <v>0</v>
      </c>
      <c r="H1176" s="50">
        <f>IFERROR(Table1[Re-process (Kg)]/Table1[Actual Production (Kg)], "")</f>
        <v>0</v>
      </c>
      <c r="I1176" s="49">
        <f>IFERROR(Table1[[#This Row],[Actual Production (Kg)]]-Table1[[#This Row],[Re-process (Kg)]], "")</f>
        <v>9434</v>
      </c>
      <c r="J1176" s="49">
        <v>22</v>
      </c>
      <c r="K1176" s="72"/>
      <c r="L1176" s="49">
        <f>IF(Table1[[#This Row],[Target Time (Hours)]]="","",Table1[[#This Row],[Target Time (Hours)]]-Table1[[#This Row],[Downtime (Hours)]])</f>
        <v>22</v>
      </c>
      <c r="M1176" s="49">
        <f>IFERROR(Table1[[#This Row],[Capacity (Kg)]]/Table1[[#This Row],[Target Time (Hours)]] * Table1[[#This Row],[Downtime (Hours)]], "")</f>
        <v>0</v>
      </c>
      <c r="N1176" s="50">
        <f>IFERROR(Table1[[#This Row],[Running Time (hr)]]/Table1[Target Time (Hours)], "")</f>
        <v>1</v>
      </c>
      <c r="O1176" s="50">
        <f>IFERROR(Table1[[#This Row],[Actual Production (Kg)]]/Table1[Capacity (Kg)], "")</f>
        <v>0.94340000000000002</v>
      </c>
      <c r="P1176" s="50">
        <f>IFERROR(Table1[[#This Row],[Quality Pass Production]]/Table1[[#This Row],[Actual Production (Kg)]], "")</f>
        <v>1</v>
      </c>
      <c r="Q1176" s="50">
        <f>IFERROR(Table1[[#This Row],[Utilization %]]*Table1[[#This Row],[Efficiency %]]*Table1[[#This Row],[Quality %]], "")</f>
        <v>0.94340000000000002</v>
      </c>
    </row>
    <row r="1177" spans="1:18" x14ac:dyDescent="0.25">
      <c r="A1177" s="51">
        <v>46223</v>
      </c>
      <c r="B1177" s="52" t="s">
        <v>18</v>
      </c>
      <c r="C1177" s="52" t="s">
        <v>238</v>
      </c>
      <c r="D1177" s="52" t="s">
        <v>20</v>
      </c>
      <c r="E1177" s="53">
        <v>9225</v>
      </c>
      <c r="F1177" s="53">
        <v>9225</v>
      </c>
      <c r="G1177" s="53">
        <v>0</v>
      </c>
      <c r="H1177" s="57">
        <f>IFERROR(Table1[Re-process (Kg)]/Table1[Actual Production (Kg)], "")</f>
        <v>0</v>
      </c>
      <c r="I1177" s="53">
        <f>IFERROR(Table1[[#This Row],[Actual Production (Kg)]]-Table1[[#This Row],[Re-process (Kg)]], "")</f>
        <v>9225</v>
      </c>
      <c r="J1177" s="53"/>
      <c r="K1177" s="52"/>
      <c r="L1177" s="53" t="str">
        <f>IF(Table1[[#This Row],[Target Time (Hours)]]="","",Table1[[#This Row],[Target Time (Hours)]]-Table1[[#This Row],[Downtime (Hours)]])</f>
        <v/>
      </c>
      <c r="M1177" s="53" t="str">
        <f>IFERROR(Table1[[#This Row],[Capacity (Kg)]]/Table1[[#This Row],[Target Time (Hours)]] * Table1[[#This Row],[Downtime (Hours)]], "")</f>
        <v/>
      </c>
      <c r="N1177" s="57" t="str">
        <f>IFERROR(Table1[[#This Row],[Running Time (hr)]]/Table1[Target Time (Hours)], "")</f>
        <v/>
      </c>
      <c r="O1177" s="57">
        <f>IFERROR(Table1[[#This Row],[Actual Production (Kg)]]/Table1[Capacity (Kg)], "")</f>
        <v>1</v>
      </c>
      <c r="P1177" s="57">
        <f>IFERROR(Table1[[#This Row],[Quality Pass Production]]/Table1[[#This Row],[Actual Production (Kg)]], "")</f>
        <v>1</v>
      </c>
      <c r="Q1177" s="57" t="str">
        <f>IFERROR(Table1[[#This Row],[Utilization %]]*Table1[[#This Row],[Efficiency %]]*Table1[[#This Row],[Quality %]], "")</f>
        <v/>
      </c>
      <c r="R1177" s="52"/>
    </row>
    <row r="1178" spans="1:18" x14ac:dyDescent="0.25">
      <c r="A1178" s="47">
        <v>46223</v>
      </c>
      <c r="B1178" s="48" t="s">
        <v>18</v>
      </c>
      <c r="C1178" s="48" t="s">
        <v>22</v>
      </c>
      <c r="D1178" s="48" t="s">
        <v>23</v>
      </c>
      <c r="E1178" s="49">
        <v>5000</v>
      </c>
      <c r="F1178" s="76">
        <v>6448</v>
      </c>
      <c r="G1178" s="49">
        <v>0</v>
      </c>
      <c r="H1178" s="50">
        <f>IFERROR(Table1[Re-process (Kg)]/Table1[Actual Production (Kg)], "")</f>
        <v>0</v>
      </c>
      <c r="I1178" s="49">
        <f>IFERROR(Table1[[#This Row],[Actual Production (Kg)]]-Table1[[#This Row],[Re-process (Kg)]], "")</f>
        <v>6448</v>
      </c>
      <c r="J1178" s="49">
        <v>22</v>
      </c>
      <c r="K1178" s="72"/>
      <c r="L1178" s="49">
        <f>IF(Table1[[#This Row],[Target Time (Hours)]]="","",Table1[[#This Row],[Target Time (Hours)]]-Table1[[#This Row],[Downtime (Hours)]])</f>
        <v>22</v>
      </c>
      <c r="M1178" s="49">
        <f>IFERROR(Table1[[#This Row],[Capacity (Kg)]]/Table1[[#This Row],[Target Time (Hours)]] * Table1[[#This Row],[Downtime (Hours)]], "")</f>
        <v>0</v>
      </c>
      <c r="N1178" s="50">
        <f>IFERROR(Table1[[#This Row],[Running Time (hr)]]/Table1[Target Time (Hours)], "")</f>
        <v>1</v>
      </c>
      <c r="O1178" s="50">
        <f>IFERROR(Table1[[#This Row],[Actual Production (Kg)]]/Table1[Capacity (Kg)], "")</f>
        <v>1.2896000000000001</v>
      </c>
      <c r="P1178" s="50">
        <f>IFERROR(Table1[[#This Row],[Quality Pass Production]]/Table1[[#This Row],[Actual Production (Kg)]], "")</f>
        <v>1</v>
      </c>
      <c r="Q1178" s="50">
        <f>IFERROR(Table1[[#This Row],[Utilization %]]*Table1[[#This Row],[Efficiency %]]*Table1[[#This Row],[Quality %]], "")</f>
        <v>1.2896000000000001</v>
      </c>
    </row>
    <row r="1179" spans="1:18" x14ac:dyDescent="0.25">
      <c r="A1179" s="47">
        <v>46223</v>
      </c>
      <c r="B1179" s="48" t="s">
        <v>18</v>
      </c>
      <c r="C1179" s="48" t="s">
        <v>22</v>
      </c>
      <c r="D1179" s="48" t="s">
        <v>25</v>
      </c>
      <c r="E1179" s="49">
        <v>4000</v>
      </c>
      <c r="F1179" s="76">
        <v>2576</v>
      </c>
      <c r="G1179" s="49">
        <v>0</v>
      </c>
      <c r="H1179" s="50">
        <f>IFERROR(Table1[Re-process (Kg)]/Table1[Actual Production (Kg)], "")</f>
        <v>0</v>
      </c>
      <c r="I1179" s="49">
        <f>IFERROR(Table1[[#This Row],[Actual Production (Kg)]]-Table1[[#This Row],[Re-process (Kg)]], "")</f>
        <v>2576</v>
      </c>
      <c r="J1179" s="49"/>
      <c r="K1179" s="72"/>
      <c r="L1179" s="49" t="str">
        <f>IF(Table1[[#This Row],[Target Time (Hours)]]="","",Table1[[#This Row],[Target Time (Hours)]]-Table1[[#This Row],[Downtime (Hours)]])</f>
        <v/>
      </c>
      <c r="M1179" s="49" t="str">
        <f>IFERROR(Table1[[#This Row],[Capacity (Kg)]]/Table1[[#This Row],[Target Time (Hours)]] * Table1[[#This Row],[Downtime (Hours)]], "")</f>
        <v/>
      </c>
      <c r="N1179" s="50" t="str">
        <f>IFERROR(Table1[[#This Row],[Running Time (hr)]]/Table1[Target Time (Hours)], "")</f>
        <v/>
      </c>
      <c r="O1179" s="50">
        <f>IFERROR(Table1[[#This Row],[Actual Production (Kg)]]/Table1[Capacity (Kg)], "")</f>
        <v>0.64400000000000002</v>
      </c>
      <c r="P1179" s="50">
        <f>IFERROR(Table1[[#This Row],[Quality Pass Production]]/Table1[[#This Row],[Actual Production (Kg)]], "")</f>
        <v>1</v>
      </c>
      <c r="Q1179" s="50" t="str">
        <f>IFERROR(Table1[[#This Row],[Utilization %]]*Table1[[#This Row],[Efficiency %]]*Table1[[#This Row],[Quality %]], "")</f>
        <v/>
      </c>
    </row>
    <row r="1180" spans="1:18" ht="30" customHeight="1" x14ac:dyDescent="0.25">
      <c r="A1180" s="47">
        <v>46223</v>
      </c>
      <c r="B1180" s="48" t="s">
        <v>18</v>
      </c>
      <c r="C1180" s="48" t="s">
        <v>26</v>
      </c>
      <c r="D1180" s="48" t="s">
        <v>25</v>
      </c>
      <c r="E1180" s="49">
        <v>7000</v>
      </c>
      <c r="F1180" s="76">
        <v>7790</v>
      </c>
      <c r="G1180" s="49">
        <v>0</v>
      </c>
      <c r="H1180" s="50">
        <f>IFERROR(Table1[Re-process (Kg)]/Table1[Actual Production (Kg)], "")</f>
        <v>0</v>
      </c>
      <c r="I1180" s="49">
        <f>IFERROR(Table1[[#This Row],[Actual Production (Kg)]]-Table1[[#This Row],[Re-process (Kg)]], "")</f>
        <v>7790</v>
      </c>
      <c r="J1180" s="49">
        <v>22</v>
      </c>
      <c r="K1180" s="72">
        <v>0.4</v>
      </c>
      <c r="L1180" s="49">
        <f>IF(Table1[[#This Row],[Target Time (Hours)]]="","",Table1[[#This Row],[Target Time (Hours)]]-Table1[[#This Row],[Downtime (Hours)]])</f>
        <v>21.6</v>
      </c>
      <c r="M1180" s="49">
        <f>IFERROR(Table1[[#This Row],[Capacity (Kg)]]/Table1[[#This Row],[Target Time (Hours)]] * Table1[[#This Row],[Downtime (Hours)]], "")</f>
        <v>127.27272727272728</v>
      </c>
      <c r="N1180" s="50">
        <f>IFERROR(Table1[[#This Row],[Running Time (hr)]]/Table1[Target Time (Hours)], "")</f>
        <v>0.98181818181818192</v>
      </c>
      <c r="O1180" s="50">
        <f>IFERROR(Table1[[#This Row],[Actual Production (Kg)]]/Table1[Capacity (Kg)], "")</f>
        <v>1.1128571428571428</v>
      </c>
      <c r="P1180" s="50">
        <f>IFERROR(Table1[[#This Row],[Quality Pass Production]]/Table1[[#This Row],[Actual Production (Kg)]], "")</f>
        <v>1</v>
      </c>
      <c r="Q1180" s="50">
        <f>IFERROR(Table1[[#This Row],[Utilization %]]*Table1[[#This Row],[Efficiency %]]*Table1[[#This Row],[Quality %]], "")</f>
        <v>1.0926233766233766</v>
      </c>
      <c r="R1180" s="48" t="s">
        <v>320</v>
      </c>
    </row>
    <row r="1181" spans="1:18" ht="30" customHeight="1" x14ac:dyDescent="0.25">
      <c r="A1181" s="47">
        <v>46223</v>
      </c>
      <c r="B1181" s="48" t="s">
        <v>18</v>
      </c>
      <c r="C1181" s="48" t="s">
        <v>28</v>
      </c>
      <c r="D1181" s="48" t="s">
        <v>29</v>
      </c>
      <c r="E1181" s="49">
        <v>7800</v>
      </c>
      <c r="F1181" s="76">
        <v>7441</v>
      </c>
      <c r="G1181" s="49">
        <v>0</v>
      </c>
      <c r="H1181" s="50">
        <f>IFERROR(Table1[Re-process (Kg)]/Table1[Actual Production (Kg)], "")</f>
        <v>0</v>
      </c>
      <c r="I1181" s="49">
        <f>IFERROR(Table1[[#This Row],[Actual Production (Kg)]]-Table1[[#This Row],[Re-process (Kg)]], "")</f>
        <v>7441</v>
      </c>
      <c r="J1181" s="49">
        <v>22</v>
      </c>
      <c r="K1181" s="72"/>
      <c r="L1181" s="49">
        <f>IF(Table1[[#This Row],[Target Time (Hours)]]="","",Table1[[#This Row],[Target Time (Hours)]]-Table1[[#This Row],[Downtime (Hours)]])</f>
        <v>22</v>
      </c>
      <c r="M1181" s="49">
        <f>IFERROR(Table1[[#This Row],[Capacity (Kg)]]/Table1[[#This Row],[Target Time (Hours)]] * Table1[[#This Row],[Downtime (Hours)]], "")</f>
        <v>0</v>
      </c>
      <c r="N1181" s="50">
        <f>IFERROR(Table1[[#This Row],[Running Time (hr)]]/Table1[Target Time (Hours)], "")</f>
        <v>1</v>
      </c>
      <c r="O1181" s="50">
        <f>IFERROR(Table1[[#This Row],[Actual Production (Kg)]]/Table1[Capacity (Kg)], "")</f>
        <v>0.953974358974359</v>
      </c>
      <c r="P1181" s="50">
        <f>IFERROR(Table1[[#This Row],[Quality Pass Production]]/Table1[[#This Row],[Actual Production (Kg)]], "")</f>
        <v>1</v>
      </c>
      <c r="Q1181" s="50">
        <f>IFERROR(Table1[[#This Row],[Utilization %]]*Table1[[#This Row],[Efficiency %]]*Table1[[#This Row],[Quality %]], "")</f>
        <v>0.953974358974359</v>
      </c>
    </row>
    <row r="1182" spans="1:18" ht="30" customHeight="1" x14ac:dyDescent="0.25">
      <c r="A1182" s="51">
        <v>46223</v>
      </c>
      <c r="B1182" s="52" t="s">
        <v>18</v>
      </c>
      <c r="C1182" s="52" t="s">
        <v>135</v>
      </c>
      <c r="D1182" s="52" t="s">
        <v>29</v>
      </c>
      <c r="E1182" s="53"/>
      <c r="F1182" s="53"/>
      <c r="G1182" s="53"/>
      <c r="H1182" s="57" t="str">
        <f>IFERROR(Table1[Re-process (Kg)]/Table1[Actual Production (Kg)], "")</f>
        <v/>
      </c>
      <c r="I1182" s="53">
        <f>IFERROR(Table1[[#This Row],[Actual Production (Kg)]]-Table1[[#This Row],[Re-process (Kg)]], "")</f>
        <v>0</v>
      </c>
      <c r="J1182" s="53"/>
      <c r="K1182" s="52"/>
      <c r="L1182" s="53" t="str">
        <f>IF(Table1[[#This Row],[Target Time (Hours)]]="","",Table1[[#This Row],[Target Time (Hours)]]-Table1[[#This Row],[Downtime (Hours)]])</f>
        <v/>
      </c>
      <c r="M1182" s="53" t="str">
        <f>IFERROR(Table1[[#This Row],[Capacity (Kg)]]/Table1[[#This Row],[Target Time (Hours)]] * Table1[[#This Row],[Downtime (Hours)]], "")</f>
        <v/>
      </c>
      <c r="N1182" s="57" t="str">
        <f>IFERROR(Table1[[#This Row],[Running Time (hr)]]/Table1[Target Time (Hours)], "")</f>
        <v/>
      </c>
      <c r="O1182" s="57" t="str">
        <f>IFERROR(Table1[[#This Row],[Actual Production (Kg)]]/Table1[Capacity (Kg)], "")</f>
        <v/>
      </c>
      <c r="P1182" s="57" t="str">
        <f>IFERROR(Table1[[#This Row],[Quality Pass Production]]/Table1[[#This Row],[Actual Production (Kg)]], "")</f>
        <v/>
      </c>
      <c r="Q1182" s="57" t="str">
        <f>IFERROR(Table1[[#This Row],[Utilization %]]*Table1[[#This Row],[Efficiency %]]*Table1[[#This Row],[Quality %]], "")</f>
        <v/>
      </c>
      <c r="R1182" s="52"/>
    </row>
    <row r="1183" spans="1:18" ht="30" customHeight="1" x14ac:dyDescent="0.25">
      <c r="A1183" s="47">
        <v>46223</v>
      </c>
      <c r="B1183" s="48" t="s">
        <v>18</v>
      </c>
      <c r="C1183" s="48" t="s">
        <v>30</v>
      </c>
      <c r="D1183" s="48" t="s">
        <v>31</v>
      </c>
      <c r="E1183" s="49">
        <v>9000</v>
      </c>
      <c r="F1183" s="76">
        <v>8396</v>
      </c>
      <c r="G1183" s="49">
        <v>0</v>
      </c>
      <c r="H1183" s="50">
        <f>IFERROR(Table1[Re-process (Kg)]/Table1[Actual Production (Kg)], "")</f>
        <v>0</v>
      </c>
      <c r="I1183" s="49">
        <f>IFERROR(Table1[[#This Row],[Actual Production (Kg)]]-Table1[[#This Row],[Re-process (Kg)]], "")</f>
        <v>8396</v>
      </c>
      <c r="J1183" s="49">
        <v>22</v>
      </c>
      <c r="K1183" s="72"/>
      <c r="L1183" s="49">
        <f>IF(Table1[[#This Row],[Target Time (Hours)]]="","",Table1[[#This Row],[Target Time (Hours)]]-Table1[[#This Row],[Downtime (Hours)]])</f>
        <v>22</v>
      </c>
      <c r="M1183" s="49">
        <f>IFERROR(Table1[[#This Row],[Capacity (Kg)]]/Table1[[#This Row],[Target Time (Hours)]] * Table1[[#This Row],[Downtime (Hours)]], "")</f>
        <v>0</v>
      </c>
      <c r="N1183" s="50">
        <f>IFERROR(Table1[[#This Row],[Running Time (hr)]]/Table1[Target Time (Hours)], "")</f>
        <v>1</v>
      </c>
      <c r="O1183" s="50">
        <f>IFERROR(Table1[[#This Row],[Actual Production (Kg)]]/Table1[Capacity (Kg)], "")</f>
        <v>0.93288888888888888</v>
      </c>
      <c r="P1183" s="50">
        <f>IFERROR(Table1[[#This Row],[Quality Pass Production]]/Table1[[#This Row],[Actual Production (Kg)]], "")</f>
        <v>1</v>
      </c>
      <c r="Q1183" s="50">
        <f>IFERROR(Table1[[#This Row],[Utilization %]]*Table1[[#This Row],[Efficiency %]]*Table1[[#This Row],[Quality %]], "")</f>
        <v>0.93288888888888888</v>
      </c>
    </row>
    <row r="1184" spans="1:18" ht="30" customHeight="1" x14ac:dyDescent="0.25">
      <c r="A1184" s="51">
        <v>46223</v>
      </c>
      <c r="B1184" s="52" t="s">
        <v>18</v>
      </c>
      <c r="C1184" s="52" t="s">
        <v>32</v>
      </c>
      <c r="D1184" s="52" t="s">
        <v>31</v>
      </c>
      <c r="E1184" s="53">
        <v>916</v>
      </c>
      <c r="F1184" s="53">
        <v>916</v>
      </c>
      <c r="G1184" s="53"/>
      <c r="H1184" s="57">
        <f>IFERROR(Table1[Re-process (Kg)]/Table1[Actual Production (Kg)], "")</f>
        <v>0</v>
      </c>
      <c r="I1184" s="53">
        <f>IFERROR(Table1[[#This Row],[Actual Production (Kg)]]-Table1[[#This Row],[Re-process (Kg)]], "")</f>
        <v>916</v>
      </c>
      <c r="J1184" s="53"/>
      <c r="K1184" s="52"/>
      <c r="L1184" s="53" t="str">
        <f>IF(Table1[[#This Row],[Target Time (Hours)]]="","",Table1[[#This Row],[Target Time (Hours)]]-Table1[[#This Row],[Downtime (Hours)]])</f>
        <v/>
      </c>
      <c r="M1184" s="53" t="str">
        <f>IFERROR(Table1[[#This Row],[Capacity (Kg)]]/Table1[[#This Row],[Target Time (Hours)]] * Table1[[#This Row],[Downtime (Hours)]], "")</f>
        <v/>
      </c>
      <c r="N1184" s="57" t="str">
        <f>IFERROR(Table1[[#This Row],[Running Time (hr)]]/Table1[Target Time (Hours)], "")</f>
        <v/>
      </c>
      <c r="O1184" s="57">
        <f>IFERROR(Table1[[#This Row],[Actual Production (Kg)]]/Table1[Capacity (Kg)], "")</f>
        <v>1</v>
      </c>
      <c r="P1184" s="57">
        <f>IFERROR(Table1[[#This Row],[Quality Pass Production]]/Table1[[#This Row],[Actual Production (Kg)]], "")</f>
        <v>1</v>
      </c>
      <c r="Q1184" s="57" t="str">
        <f>IFERROR(Table1[[#This Row],[Utilization %]]*Table1[[#This Row],[Efficiency %]]*Table1[[#This Row],[Quality %]], "")</f>
        <v/>
      </c>
      <c r="R1184" s="52" t="s">
        <v>308</v>
      </c>
    </row>
    <row r="1185" spans="1:18" ht="30" customHeight="1" x14ac:dyDescent="0.25">
      <c r="A1185" s="47">
        <v>46223</v>
      </c>
      <c r="B1185" s="48" t="s">
        <v>33</v>
      </c>
      <c r="C1185" s="48" t="s">
        <v>34</v>
      </c>
      <c r="D1185" s="48" t="s">
        <v>35</v>
      </c>
      <c r="E1185" s="49">
        <v>9000</v>
      </c>
      <c r="F1185" s="76">
        <v>7169</v>
      </c>
      <c r="G1185" s="49">
        <v>0</v>
      </c>
      <c r="H1185" s="50">
        <f>IFERROR(Table1[Re-process (Kg)]/Table1[Actual Production (Kg)], "")</f>
        <v>0</v>
      </c>
      <c r="I1185" s="49">
        <f>IFERROR(Table1[[#This Row],[Actual Production (Kg)]]-Table1[[#This Row],[Re-process (Kg)]], "")</f>
        <v>7169</v>
      </c>
      <c r="J1185" s="49">
        <v>22</v>
      </c>
      <c r="K1185" s="72"/>
      <c r="L1185" s="49">
        <f>IF(Table1[[#This Row],[Target Time (Hours)]]="","",Table1[[#This Row],[Target Time (Hours)]]-Table1[[#This Row],[Downtime (Hours)]])</f>
        <v>22</v>
      </c>
      <c r="M1185" s="49">
        <f>IFERROR(Table1[[#This Row],[Capacity (Kg)]]/Table1[[#This Row],[Target Time (Hours)]] * Table1[[#This Row],[Downtime (Hours)]], "")</f>
        <v>0</v>
      </c>
      <c r="N1185" s="50">
        <f>IFERROR(Table1[[#This Row],[Running Time (hr)]]/Table1[Target Time (Hours)], "")</f>
        <v>1</v>
      </c>
      <c r="O1185" s="50">
        <f>IFERROR(Table1[[#This Row],[Actual Production (Kg)]]/Table1[Capacity (Kg)], "")</f>
        <v>0.79655555555555557</v>
      </c>
      <c r="P1185" s="50">
        <f>IFERROR(Table1[[#This Row],[Quality Pass Production]]/Table1[[#This Row],[Actual Production (Kg)]], "")</f>
        <v>1</v>
      </c>
      <c r="Q1185" s="50">
        <f>IFERROR(Table1[[#This Row],[Utilization %]]*Table1[[#This Row],[Efficiency %]]*Table1[[#This Row],[Quality %]], "")</f>
        <v>0.79655555555555557</v>
      </c>
    </row>
    <row r="1186" spans="1:18" ht="30" customHeight="1" x14ac:dyDescent="0.25">
      <c r="A1186" s="47">
        <v>46223</v>
      </c>
      <c r="B1186" s="48" t="s">
        <v>33</v>
      </c>
      <c r="C1186" s="48" t="s">
        <v>36</v>
      </c>
      <c r="D1186" s="48" t="s">
        <v>37</v>
      </c>
      <c r="E1186" s="49">
        <v>8000</v>
      </c>
      <c r="F1186" s="76">
        <v>6851</v>
      </c>
      <c r="G1186" s="49">
        <v>0</v>
      </c>
      <c r="H1186" s="50">
        <f>IFERROR(Table1[Re-process (Kg)]/Table1[Actual Production (Kg)], "")</f>
        <v>0</v>
      </c>
      <c r="I1186" s="49">
        <f>IFERROR(Table1[[#This Row],[Actual Production (Kg)]]-Table1[[#This Row],[Re-process (Kg)]], "")</f>
        <v>6851</v>
      </c>
      <c r="J1186" s="49">
        <v>22</v>
      </c>
      <c r="K1186" s="72">
        <v>1.5</v>
      </c>
      <c r="L1186" s="49">
        <f>IF(Table1[[#This Row],[Target Time (Hours)]]="","",Table1[[#This Row],[Target Time (Hours)]]-Table1[[#This Row],[Downtime (Hours)]])</f>
        <v>20.5</v>
      </c>
      <c r="M1186" s="49">
        <f>IFERROR(Table1[[#This Row],[Capacity (Kg)]]/Table1[[#This Row],[Target Time (Hours)]] * Table1[[#This Row],[Downtime (Hours)]], "")</f>
        <v>545.4545454545455</v>
      </c>
      <c r="N1186" s="50">
        <f>IFERROR(Table1[[#This Row],[Running Time (hr)]]/Table1[Target Time (Hours)], "")</f>
        <v>0.93181818181818177</v>
      </c>
      <c r="O1186" s="50">
        <f>IFERROR(Table1[[#This Row],[Actual Production (Kg)]]/Table1[Capacity (Kg)], "")</f>
        <v>0.856375</v>
      </c>
      <c r="P1186" s="50">
        <f>IFERROR(Table1[[#This Row],[Quality Pass Production]]/Table1[[#This Row],[Actual Production (Kg)]], "")</f>
        <v>1</v>
      </c>
      <c r="Q1186" s="50">
        <f>IFERROR(Table1[[#This Row],[Utilization %]]*Table1[[#This Row],[Efficiency %]]*Table1[[#This Row],[Quality %]], "")</f>
        <v>0.7979857954545454</v>
      </c>
      <c r="R1186" s="48" t="s">
        <v>319</v>
      </c>
    </row>
    <row r="1187" spans="1:18" ht="30" customHeight="1" x14ac:dyDescent="0.25">
      <c r="A1187" s="47">
        <v>46223</v>
      </c>
      <c r="B1187" s="48" t="s">
        <v>33</v>
      </c>
      <c r="C1187" s="48" t="s">
        <v>39</v>
      </c>
      <c r="D1187" s="48" t="s">
        <v>31</v>
      </c>
      <c r="E1187" s="49">
        <v>6000</v>
      </c>
      <c r="F1187" s="76">
        <v>2066</v>
      </c>
      <c r="G1187" s="49">
        <v>0</v>
      </c>
      <c r="H1187" s="50">
        <f>IFERROR(Table1[Re-process (Kg)]/Table1[Actual Production (Kg)], "")</f>
        <v>0</v>
      </c>
      <c r="I1187" s="49">
        <f>IFERROR(Table1[[#This Row],[Actual Production (Kg)]]-Table1[[#This Row],[Re-process (Kg)]], "")</f>
        <v>2066</v>
      </c>
      <c r="J1187" s="49">
        <v>22</v>
      </c>
      <c r="K1187" s="72"/>
      <c r="L1187" s="49">
        <f>IF(Table1[[#This Row],[Target Time (Hours)]]="","",Table1[[#This Row],[Target Time (Hours)]]-Table1[[#This Row],[Downtime (Hours)]])</f>
        <v>22</v>
      </c>
      <c r="M1187" s="49">
        <f>IFERROR(Table1[[#This Row],[Capacity (Kg)]]/Table1[[#This Row],[Target Time (Hours)]] * Table1[[#This Row],[Downtime (Hours)]], "")</f>
        <v>0</v>
      </c>
      <c r="N1187" s="50">
        <f>IFERROR(Table1[[#This Row],[Running Time (hr)]]/Table1[Target Time (Hours)], "")</f>
        <v>1</v>
      </c>
      <c r="O1187" s="50">
        <f>IFERROR(Table1[[#This Row],[Actual Production (Kg)]]/Table1[Capacity (Kg)], "")</f>
        <v>0.34433333333333332</v>
      </c>
      <c r="P1187" s="50">
        <f>IFERROR(Table1[[#This Row],[Quality Pass Production]]/Table1[[#This Row],[Actual Production (Kg)]], "")</f>
        <v>1</v>
      </c>
      <c r="Q1187" s="50">
        <f>IFERROR(Table1[[#This Row],[Utilization %]]*Table1[[#This Row],[Efficiency %]]*Table1[[#This Row],[Quality %]], "")</f>
        <v>0.34433333333333332</v>
      </c>
      <c r="R1187" s="48" t="s">
        <v>312</v>
      </c>
    </row>
    <row r="1188" spans="1:18" ht="45" customHeight="1" x14ac:dyDescent="0.25">
      <c r="A1188" s="54">
        <v>46223</v>
      </c>
      <c r="B1188" s="55" t="s">
        <v>33</v>
      </c>
      <c r="C1188" s="55" t="s">
        <v>40</v>
      </c>
      <c r="D1188" s="55" t="s">
        <v>31</v>
      </c>
      <c r="E1188" s="56">
        <v>5000</v>
      </c>
      <c r="F1188" s="56">
        <v>4034</v>
      </c>
      <c r="G1188" s="56">
        <v>0</v>
      </c>
      <c r="H1188" s="58">
        <f>IFERROR(Table1[Re-process (Kg)]/Table1[Actual Production (Kg)], "")</f>
        <v>0</v>
      </c>
      <c r="I1188" s="56">
        <f>IFERROR(Table1[[#This Row],[Actual Production (Kg)]]-Table1[[#This Row],[Re-process (Kg)]], "")</f>
        <v>4034</v>
      </c>
      <c r="J1188" s="56">
        <v>22</v>
      </c>
      <c r="K1188" s="55"/>
      <c r="L1188" s="56">
        <f>IF(Table1[[#This Row],[Target Time (Hours)]]="","",Table1[[#This Row],[Target Time (Hours)]]-Table1[[#This Row],[Downtime (Hours)]])</f>
        <v>22</v>
      </c>
      <c r="M1188" s="56">
        <f>IFERROR(Table1[[#This Row],[Capacity (Kg)]]/Table1[[#This Row],[Target Time (Hours)]] * Table1[[#This Row],[Downtime (Hours)]], "")</f>
        <v>0</v>
      </c>
      <c r="N1188" s="58">
        <f>IFERROR(Table1[[#This Row],[Running Time (hr)]]/Table1[Target Time (Hours)], "")</f>
        <v>1</v>
      </c>
      <c r="O1188" s="58">
        <f>IFERROR(Table1[[#This Row],[Actual Production (Kg)]]/Table1[Capacity (Kg)], "")</f>
        <v>0.80679999999999996</v>
      </c>
      <c r="P1188" s="58">
        <f>IFERROR(Table1[[#This Row],[Quality Pass Production]]/Table1[[#This Row],[Actual Production (Kg)]], "")</f>
        <v>1</v>
      </c>
      <c r="Q1188" s="58">
        <f>IFERROR(Table1[[#This Row],[Utilization %]]*Table1[[#This Row],[Efficiency %]]*Table1[[#This Row],[Quality %]], "")</f>
        <v>0.80679999999999996</v>
      </c>
      <c r="R1188" s="55"/>
    </row>
    <row r="1189" spans="1:18" ht="45" customHeight="1" x14ac:dyDescent="0.25">
      <c r="A1189" s="47">
        <v>46224</v>
      </c>
      <c r="B1189" s="48" t="s">
        <v>18</v>
      </c>
      <c r="C1189" s="48" t="s">
        <v>19</v>
      </c>
      <c r="D1189" s="48" t="s">
        <v>20</v>
      </c>
      <c r="E1189" s="49">
        <v>10000</v>
      </c>
      <c r="F1189" s="76">
        <v>9409</v>
      </c>
      <c r="G1189" s="49">
        <v>0</v>
      </c>
      <c r="H1189" s="50">
        <f>IFERROR(Table1[Re-process (Kg)]/Table1[Actual Production (Kg)], "")</f>
        <v>0</v>
      </c>
      <c r="I1189" s="49">
        <f>IFERROR(Table1[[#This Row],[Actual Production (Kg)]]-Table1[[#This Row],[Re-process (Kg)]], "")</f>
        <v>9409</v>
      </c>
      <c r="J1189" s="49">
        <v>22</v>
      </c>
      <c r="K1189" s="72">
        <v>0.4</v>
      </c>
      <c r="L1189" s="49">
        <f>IF(Table1[[#This Row],[Target Time (Hours)]]="","",Table1[[#This Row],[Target Time (Hours)]]-Table1[[#This Row],[Downtime (Hours)]])</f>
        <v>21.6</v>
      </c>
      <c r="M1189" s="49">
        <f>IFERROR(Table1[[#This Row],[Capacity (Kg)]]/Table1[[#This Row],[Target Time (Hours)]] * Table1[[#This Row],[Downtime (Hours)]], "")</f>
        <v>181.81818181818184</v>
      </c>
      <c r="N1189" s="50">
        <f>IFERROR(Table1[[#This Row],[Running Time (hr)]]/Table1[Target Time (Hours)], "")</f>
        <v>0.98181818181818192</v>
      </c>
      <c r="O1189" s="50">
        <f>IFERROR(Table1[[#This Row],[Actual Production (Kg)]]/Table1[Capacity (Kg)], "")</f>
        <v>0.94089999999999996</v>
      </c>
      <c r="P1189" s="50">
        <f>IFERROR(Table1[[#This Row],[Quality Pass Production]]/Table1[[#This Row],[Actual Production (Kg)]], "")</f>
        <v>1</v>
      </c>
      <c r="Q1189" s="50">
        <f>IFERROR(Table1[[#This Row],[Utilization %]]*Table1[[#This Row],[Efficiency %]]*Table1[[#This Row],[Quality %]], "")</f>
        <v>0.92379272727272732</v>
      </c>
      <c r="R1189" s="48" t="s">
        <v>321</v>
      </c>
    </row>
    <row r="1190" spans="1:18" x14ac:dyDescent="0.25">
      <c r="A1190" s="51">
        <v>46224</v>
      </c>
      <c r="B1190" s="52" t="s">
        <v>18</v>
      </c>
      <c r="C1190" s="52" t="s">
        <v>238</v>
      </c>
      <c r="D1190" s="52" t="s">
        <v>20</v>
      </c>
      <c r="E1190" s="53">
        <v>10184</v>
      </c>
      <c r="F1190" s="53">
        <v>10184</v>
      </c>
      <c r="G1190" s="53">
        <v>0</v>
      </c>
      <c r="H1190" s="57">
        <f>IFERROR(Table1[Re-process (Kg)]/Table1[Actual Production (Kg)], "")</f>
        <v>0</v>
      </c>
      <c r="I1190" s="53">
        <f>IFERROR(Table1[[#This Row],[Actual Production (Kg)]]-Table1[[#This Row],[Re-process (Kg)]], "")</f>
        <v>10184</v>
      </c>
      <c r="J1190" s="53"/>
      <c r="K1190" s="52"/>
      <c r="L1190" s="53" t="str">
        <f>IF(Table1[[#This Row],[Target Time (Hours)]]="","",Table1[[#This Row],[Target Time (Hours)]]-Table1[[#This Row],[Downtime (Hours)]])</f>
        <v/>
      </c>
      <c r="M1190" s="53" t="str">
        <f>IFERROR(Table1[[#This Row],[Capacity (Kg)]]/Table1[[#This Row],[Target Time (Hours)]] * Table1[[#This Row],[Downtime (Hours)]], "")</f>
        <v/>
      </c>
      <c r="N1190" s="57" t="str">
        <f>IFERROR(Table1[[#This Row],[Running Time (hr)]]/Table1[Target Time (Hours)], "")</f>
        <v/>
      </c>
      <c r="O1190" s="57">
        <f>IFERROR(Table1[[#This Row],[Actual Production (Kg)]]/Table1[Capacity (Kg)], "")</f>
        <v>1</v>
      </c>
      <c r="P1190" s="57">
        <f>IFERROR(Table1[[#This Row],[Quality Pass Production]]/Table1[[#This Row],[Actual Production (Kg)]], "")</f>
        <v>1</v>
      </c>
      <c r="Q1190" s="57" t="str">
        <f>IFERROR(Table1[[#This Row],[Utilization %]]*Table1[[#This Row],[Efficiency %]]*Table1[[#This Row],[Quality %]], "")</f>
        <v/>
      </c>
      <c r="R1190" s="52"/>
    </row>
    <row r="1191" spans="1:18" ht="45" customHeight="1" x14ac:dyDescent="0.25">
      <c r="A1191" s="47">
        <v>46224</v>
      </c>
      <c r="B1191" s="48" t="s">
        <v>18</v>
      </c>
      <c r="C1191" s="48" t="s">
        <v>22</v>
      </c>
      <c r="D1191" s="48" t="s">
        <v>23</v>
      </c>
      <c r="E1191" s="49">
        <v>5000</v>
      </c>
      <c r="F1191" s="76">
        <v>4993</v>
      </c>
      <c r="G1191" s="49">
        <v>0</v>
      </c>
      <c r="H1191" s="50">
        <f>IFERROR(Table1[Re-process (Kg)]/Table1[Actual Production (Kg)], "")</f>
        <v>0</v>
      </c>
      <c r="I1191" s="49">
        <f>IFERROR(Table1[[#This Row],[Actual Production (Kg)]]-Table1[[#This Row],[Re-process (Kg)]], "")</f>
        <v>4993</v>
      </c>
      <c r="J1191" s="49">
        <v>22</v>
      </c>
      <c r="K1191" s="72">
        <v>0.4</v>
      </c>
      <c r="L1191" s="49">
        <f>IF(Table1[[#This Row],[Target Time (Hours)]]="","",Table1[[#This Row],[Target Time (Hours)]]-Table1[[#This Row],[Downtime (Hours)]])</f>
        <v>21.6</v>
      </c>
      <c r="M1191" s="49">
        <f>IFERROR(Table1[[#This Row],[Capacity (Kg)]]/Table1[[#This Row],[Target Time (Hours)]] * Table1[[#This Row],[Downtime (Hours)]], "")</f>
        <v>90.909090909090921</v>
      </c>
      <c r="N1191" s="50">
        <f>IFERROR(Table1[[#This Row],[Running Time (hr)]]/Table1[Target Time (Hours)], "")</f>
        <v>0.98181818181818192</v>
      </c>
      <c r="O1191" s="50">
        <f>IFERROR(Table1[[#This Row],[Actual Production (Kg)]]/Table1[Capacity (Kg)], "")</f>
        <v>0.99860000000000004</v>
      </c>
      <c r="P1191" s="50">
        <f>IFERROR(Table1[[#This Row],[Quality Pass Production]]/Table1[[#This Row],[Actual Production (Kg)]], "")</f>
        <v>1</v>
      </c>
      <c r="Q1191" s="50">
        <f>IFERROR(Table1[[#This Row],[Utilization %]]*Table1[[#This Row],[Efficiency %]]*Table1[[#This Row],[Quality %]], "")</f>
        <v>0.98044363636363652</v>
      </c>
      <c r="R1191" s="48" t="s">
        <v>321</v>
      </c>
    </row>
    <row r="1192" spans="1:18" x14ac:dyDescent="0.25">
      <c r="A1192" s="47">
        <v>46224</v>
      </c>
      <c r="B1192" s="48" t="s">
        <v>18</v>
      </c>
      <c r="C1192" s="48" t="s">
        <v>22</v>
      </c>
      <c r="D1192" s="48" t="s">
        <v>25</v>
      </c>
      <c r="E1192" s="49">
        <v>4000</v>
      </c>
      <c r="F1192" s="76">
        <v>5043</v>
      </c>
      <c r="G1192" s="49">
        <v>0</v>
      </c>
      <c r="H1192" s="50">
        <f>IFERROR(Table1[Re-process (Kg)]/Table1[Actual Production (Kg)], "")</f>
        <v>0</v>
      </c>
      <c r="I1192" s="49">
        <f>IFERROR(Table1[[#This Row],[Actual Production (Kg)]]-Table1[[#This Row],[Re-process (Kg)]], "")</f>
        <v>5043</v>
      </c>
      <c r="J1192" s="49"/>
      <c r="K1192" s="72"/>
      <c r="L1192" s="49" t="str">
        <f>IF(Table1[[#This Row],[Target Time (Hours)]]="","",Table1[[#This Row],[Target Time (Hours)]]-Table1[[#This Row],[Downtime (Hours)]])</f>
        <v/>
      </c>
      <c r="M1192" s="49" t="str">
        <f>IFERROR(Table1[[#This Row],[Capacity (Kg)]]/Table1[[#This Row],[Target Time (Hours)]] * Table1[[#This Row],[Downtime (Hours)]], "")</f>
        <v/>
      </c>
      <c r="N1192" s="50" t="str">
        <f>IFERROR(Table1[[#This Row],[Running Time (hr)]]/Table1[Target Time (Hours)], "")</f>
        <v/>
      </c>
      <c r="O1192" s="50">
        <f>IFERROR(Table1[[#This Row],[Actual Production (Kg)]]/Table1[Capacity (Kg)], "")</f>
        <v>1.26075</v>
      </c>
      <c r="P1192" s="50">
        <f>IFERROR(Table1[[#This Row],[Quality Pass Production]]/Table1[[#This Row],[Actual Production (Kg)]], "")</f>
        <v>1</v>
      </c>
      <c r="Q1192" s="50" t="str">
        <f>IFERROR(Table1[[#This Row],[Utilization %]]*Table1[[#This Row],[Efficiency %]]*Table1[[#This Row],[Quality %]], "")</f>
        <v/>
      </c>
    </row>
    <row r="1193" spans="1:18" ht="30" customHeight="1" x14ac:dyDescent="0.25">
      <c r="A1193" s="47">
        <v>46224</v>
      </c>
      <c r="B1193" s="48" t="s">
        <v>18</v>
      </c>
      <c r="C1193" s="48" t="s">
        <v>26</v>
      </c>
      <c r="D1193" s="48" t="s">
        <v>25</v>
      </c>
      <c r="E1193" s="49">
        <v>7000</v>
      </c>
      <c r="F1193" s="76">
        <v>7466</v>
      </c>
      <c r="G1193" s="49">
        <v>0</v>
      </c>
      <c r="H1193" s="50">
        <f>IFERROR(Table1[Re-process (Kg)]/Table1[Actual Production (Kg)], "")</f>
        <v>0</v>
      </c>
      <c r="I1193" s="49">
        <f>IFERROR(Table1[[#This Row],[Actual Production (Kg)]]-Table1[[#This Row],[Re-process (Kg)]], "")</f>
        <v>7466</v>
      </c>
      <c r="J1193" s="49">
        <v>22</v>
      </c>
      <c r="K1193" s="72">
        <v>0.4</v>
      </c>
      <c r="L1193" s="49">
        <f>IF(Table1[[#This Row],[Target Time (Hours)]]="","",Table1[[#This Row],[Target Time (Hours)]]-Table1[[#This Row],[Downtime (Hours)]])</f>
        <v>21.6</v>
      </c>
      <c r="M1193" s="49">
        <f>IFERROR(Table1[[#This Row],[Capacity (Kg)]]/Table1[[#This Row],[Target Time (Hours)]] * Table1[[#This Row],[Downtime (Hours)]], "")</f>
        <v>127.27272727272728</v>
      </c>
      <c r="N1193" s="50">
        <f>IFERROR(Table1[[#This Row],[Running Time (hr)]]/Table1[Target Time (Hours)], "")</f>
        <v>0.98181818181818192</v>
      </c>
      <c r="O1193" s="50">
        <f>IFERROR(Table1[[#This Row],[Actual Production (Kg)]]/Table1[Capacity (Kg)], "")</f>
        <v>1.0665714285714285</v>
      </c>
      <c r="P1193" s="50">
        <f>IFERROR(Table1[[#This Row],[Quality Pass Production]]/Table1[[#This Row],[Actual Production (Kg)]], "")</f>
        <v>1</v>
      </c>
      <c r="Q1193" s="50">
        <f>IFERROR(Table1[[#This Row],[Utilization %]]*Table1[[#This Row],[Efficiency %]]*Table1[[#This Row],[Quality %]], "")</f>
        <v>1.0471792207792208</v>
      </c>
      <c r="R1193" s="48" t="s">
        <v>320</v>
      </c>
    </row>
    <row r="1194" spans="1:18" ht="30" customHeight="1" x14ac:dyDescent="0.25">
      <c r="A1194" s="47">
        <v>46224</v>
      </c>
      <c r="B1194" s="48" t="s">
        <v>18</v>
      </c>
      <c r="C1194" s="48" t="s">
        <v>28</v>
      </c>
      <c r="D1194" s="48" t="s">
        <v>29</v>
      </c>
      <c r="E1194" s="49">
        <v>7800</v>
      </c>
      <c r="F1194" s="76">
        <v>5820</v>
      </c>
      <c r="G1194" s="49">
        <v>0</v>
      </c>
      <c r="H1194" s="50">
        <f>IFERROR(Table1[Re-process (Kg)]/Table1[Actual Production (Kg)], "")</f>
        <v>0</v>
      </c>
      <c r="I1194" s="49">
        <f>IFERROR(Table1[[#This Row],[Actual Production (Kg)]]-Table1[[#This Row],[Re-process (Kg)]], "")</f>
        <v>5820</v>
      </c>
      <c r="J1194" s="49">
        <v>22</v>
      </c>
      <c r="K1194" s="72">
        <v>5.5</v>
      </c>
      <c r="L1194" s="49">
        <f>IF(Table1[[#This Row],[Target Time (Hours)]]="","",Table1[[#This Row],[Target Time (Hours)]]-Table1[[#This Row],[Downtime (Hours)]])</f>
        <v>16.5</v>
      </c>
      <c r="M1194" s="49">
        <f>IFERROR(Table1[[#This Row],[Capacity (Kg)]]/Table1[[#This Row],[Target Time (Hours)]] * Table1[[#This Row],[Downtime (Hours)]], "")</f>
        <v>1950</v>
      </c>
      <c r="N1194" s="50">
        <f>IFERROR(Table1[[#This Row],[Running Time (hr)]]/Table1[Target Time (Hours)], "")</f>
        <v>0.75</v>
      </c>
      <c r="O1194" s="50">
        <f>IFERROR(Table1[[#This Row],[Actual Production (Kg)]]/Table1[Capacity (Kg)], "")</f>
        <v>0.74615384615384617</v>
      </c>
      <c r="P1194" s="50">
        <f>IFERROR(Table1[[#This Row],[Quality Pass Production]]/Table1[[#This Row],[Actual Production (Kg)]], "")</f>
        <v>1</v>
      </c>
      <c r="Q1194" s="50">
        <f>IFERROR(Table1[[#This Row],[Utilization %]]*Table1[[#This Row],[Efficiency %]]*Table1[[#This Row],[Quality %]], "")</f>
        <v>0.55961538461538463</v>
      </c>
      <c r="R1194" s="48" t="s">
        <v>322</v>
      </c>
    </row>
    <row r="1195" spans="1:18" ht="30" customHeight="1" x14ac:dyDescent="0.25">
      <c r="A1195" s="51">
        <v>46224</v>
      </c>
      <c r="B1195" s="52" t="s">
        <v>18</v>
      </c>
      <c r="C1195" s="52" t="s">
        <v>135</v>
      </c>
      <c r="D1195" s="52" t="s">
        <v>29</v>
      </c>
      <c r="E1195" s="53"/>
      <c r="F1195" s="53"/>
      <c r="G1195" s="53"/>
      <c r="H1195" s="57" t="str">
        <f>IFERROR(Table1[Re-process (Kg)]/Table1[Actual Production (Kg)], "")</f>
        <v/>
      </c>
      <c r="I1195" s="53">
        <f>IFERROR(Table1[[#This Row],[Actual Production (Kg)]]-Table1[[#This Row],[Re-process (Kg)]], "")</f>
        <v>0</v>
      </c>
      <c r="J1195" s="53"/>
      <c r="K1195" s="52"/>
      <c r="L1195" s="53" t="str">
        <f>IF(Table1[[#This Row],[Target Time (Hours)]]="","",Table1[[#This Row],[Target Time (Hours)]]-Table1[[#This Row],[Downtime (Hours)]])</f>
        <v/>
      </c>
      <c r="M1195" s="53" t="str">
        <f>IFERROR(Table1[[#This Row],[Capacity (Kg)]]/Table1[[#This Row],[Target Time (Hours)]] * Table1[[#This Row],[Downtime (Hours)]], "")</f>
        <v/>
      </c>
      <c r="N1195" s="57" t="str">
        <f>IFERROR(Table1[[#This Row],[Running Time (hr)]]/Table1[Target Time (Hours)], "")</f>
        <v/>
      </c>
      <c r="O1195" s="57" t="str">
        <f>IFERROR(Table1[[#This Row],[Actual Production (Kg)]]/Table1[Capacity (Kg)], "")</f>
        <v/>
      </c>
      <c r="P1195" s="57" t="str">
        <f>IFERROR(Table1[[#This Row],[Quality Pass Production]]/Table1[[#This Row],[Actual Production (Kg)]], "")</f>
        <v/>
      </c>
      <c r="Q1195" s="57" t="str">
        <f>IFERROR(Table1[[#This Row],[Utilization %]]*Table1[[#This Row],[Efficiency %]]*Table1[[#This Row],[Quality %]], "")</f>
        <v/>
      </c>
      <c r="R1195" s="52"/>
    </row>
    <row r="1196" spans="1:18" ht="30" customHeight="1" x14ac:dyDescent="0.25">
      <c r="A1196" s="47">
        <v>46224</v>
      </c>
      <c r="B1196" s="48" t="s">
        <v>18</v>
      </c>
      <c r="C1196" s="48" t="s">
        <v>30</v>
      </c>
      <c r="D1196" s="48" t="s">
        <v>31</v>
      </c>
      <c r="E1196" s="49">
        <v>9000</v>
      </c>
      <c r="F1196" s="76">
        <v>7656</v>
      </c>
      <c r="G1196" s="49">
        <v>0</v>
      </c>
      <c r="H1196" s="50">
        <f>IFERROR(Table1[Re-process (Kg)]/Table1[Actual Production (Kg)], "")</f>
        <v>0</v>
      </c>
      <c r="I1196" s="49">
        <f>IFERROR(Table1[[#This Row],[Actual Production (Kg)]]-Table1[[#This Row],[Re-process (Kg)]], "")</f>
        <v>7656</v>
      </c>
      <c r="J1196" s="49">
        <v>22</v>
      </c>
      <c r="K1196" s="72"/>
      <c r="L1196" s="49">
        <f>IF(Table1[[#This Row],[Target Time (Hours)]]="","",Table1[[#This Row],[Target Time (Hours)]]-Table1[[#This Row],[Downtime (Hours)]])</f>
        <v>22</v>
      </c>
      <c r="M1196" s="49">
        <f>IFERROR(Table1[[#This Row],[Capacity (Kg)]]/Table1[[#This Row],[Target Time (Hours)]] * Table1[[#This Row],[Downtime (Hours)]], "")</f>
        <v>0</v>
      </c>
      <c r="N1196" s="50">
        <f>IFERROR(Table1[[#This Row],[Running Time (hr)]]/Table1[Target Time (Hours)], "")</f>
        <v>1</v>
      </c>
      <c r="O1196" s="50">
        <f>IFERROR(Table1[[#This Row],[Actual Production (Kg)]]/Table1[Capacity (Kg)], "")</f>
        <v>0.85066666666666668</v>
      </c>
      <c r="P1196" s="50">
        <f>IFERROR(Table1[[#This Row],[Quality Pass Production]]/Table1[[#This Row],[Actual Production (Kg)]], "")</f>
        <v>1</v>
      </c>
      <c r="Q1196" s="50">
        <f>IFERROR(Table1[[#This Row],[Utilization %]]*Table1[[#This Row],[Efficiency %]]*Table1[[#This Row],[Quality %]], "")</f>
        <v>0.85066666666666668</v>
      </c>
    </row>
    <row r="1197" spans="1:18" ht="30" customHeight="1" x14ac:dyDescent="0.25">
      <c r="A1197" s="51">
        <v>46224</v>
      </c>
      <c r="B1197" s="52" t="s">
        <v>18</v>
      </c>
      <c r="C1197" s="52" t="s">
        <v>32</v>
      </c>
      <c r="D1197" s="52" t="s">
        <v>31</v>
      </c>
      <c r="E1197" s="53"/>
      <c r="F1197" s="53"/>
      <c r="G1197" s="53"/>
      <c r="H1197" s="57" t="str">
        <f>IFERROR(Table1[Re-process (Kg)]/Table1[Actual Production (Kg)], "")</f>
        <v/>
      </c>
      <c r="I1197" s="53">
        <f>IFERROR(Table1[[#This Row],[Actual Production (Kg)]]-Table1[[#This Row],[Re-process (Kg)]], "")</f>
        <v>0</v>
      </c>
      <c r="J1197" s="53"/>
      <c r="K1197" s="52"/>
      <c r="L1197" s="53" t="str">
        <f>IF(Table1[[#This Row],[Target Time (Hours)]]="","",Table1[[#This Row],[Target Time (Hours)]]-Table1[[#This Row],[Downtime (Hours)]])</f>
        <v/>
      </c>
      <c r="M1197" s="53" t="str">
        <f>IFERROR(Table1[[#This Row],[Capacity (Kg)]]/Table1[[#This Row],[Target Time (Hours)]] * Table1[[#This Row],[Downtime (Hours)]], "")</f>
        <v/>
      </c>
      <c r="N1197" s="57" t="str">
        <f>IFERROR(Table1[[#This Row],[Running Time (hr)]]/Table1[Target Time (Hours)], "")</f>
        <v/>
      </c>
      <c r="O1197" s="57" t="str">
        <f>IFERROR(Table1[[#This Row],[Actual Production (Kg)]]/Table1[Capacity (Kg)], "")</f>
        <v/>
      </c>
      <c r="P1197" s="57" t="str">
        <f>IFERROR(Table1[[#This Row],[Quality Pass Production]]/Table1[[#This Row],[Actual Production (Kg)]], "")</f>
        <v/>
      </c>
      <c r="Q1197" s="57" t="str">
        <f>IFERROR(Table1[[#This Row],[Utilization %]]*Table1[[#This Row],[Efficiency %]]*Table1[[#This Row],[Quality %]], "")</f>
        <v/>
      </c>
      <c r="R1197" s="52"/>
    </row>
    <row r="1198" spans="1:18" ht="30" customHeight="1" x14ac:dyDescent="0.25">
      <c r="A1198" s="47">
        <v>46224</v>
      </c>
      <c r="B1198" s="48" t="s">
        <v>33</v>
      </c>
      <c r="C1198" s="48" t="s">
        <v>34</v>
      </c>
      <c r="D1198" s="48" t="s">
        <v>35</v>
      </c>
      <c r="E1198" s="49">
        <v>9000</v>
      </c>
      <c r="F1198" s="76">
        <v>4827</v>
      </c>
      <c r="G1198" s="49">
        <v>0</v>
      </c>
      <c r="H1198" s="50">
        <f>IFERROR(Table1[Re-process (Kg)]/Table1[Actual Production (Kg)], "")</f>
        <v>0</v>
      </c>
      <c r="I1198" s="49">
        <f>IFERROR(Table1[[#This Row],[Actual Production (Kg)]]-Table1[[#This Row],[Re-process (Kg)]], "")</f>
        <v>4827</v>
      </c>
      <c r="J1198" s="49">
        <v>22</v>
      </c>
      <c r="K1198" s="72"/>
      <c r="L1198" s="49">
        <f>IF(Table1[[#This Row],[Target Time (Hours)]]="","",Table1[[#This Row],[Target Time (Hours)]]-Table1[[#This Row],[Downtime (Hours)]])</f>
        <v>22</v>
      </c>
      <c r="M1198" s="49">
        <f>IFERROR(Table1[[#This Row],[Capacity (Kg)]]/Table1[[#This Row],[Target Time (Hours)]] * Table1[[#This Row],[Downtime (Hours)]], "")</f>
        <v>0</v>
      </c>
      <c r="N1198" s="50">
        <f>IFERROR(Table1[[#This Row],[Running Time (hr)]]/Table1[Target Time (Hours)], "")</f>
        <v>1</v>
      </c>
      <c r="O1198" s="50">
        <f>IFERROR(Table1[[#This Row],[Actual Production (Kg)]]/Table1[Capacity (Kg)], "")</f>
        <v>0.53633333333333333</v>
      </c>
      <c r="P1198" s="50">
        <f>IFERROR(Table1[[#This Row],[Quality Pass Production]]/Table1[[#This Row],[Actual Production (Kg)]], "")</f>
        <v>1</v>
      </c>
      <c r="Q1198" s="50">
        <f>IFERROR(Table1[[#This Row],[Utilization %]]*Table1[[#This Row],[Efficiency %]]*Table1[[#This Row],[Quality %]], "")</f>
        <v>0.53633333333333333</v>
      </c>
    </row>
    <row r="1199" spans="1:18" ht="30" customHeight="1" x14ac:dyDescent="0.25">
      <c r="A1199" s="47">
        <v>46224</v>
      </c>
      <c r="B1199" s="48" t="s">
        <v>33</v>
      </c>
      <c r="C1199" s="48" t="s">
        <v>36</v>
      </c>
      <c r="D1199" s="48" t="s">
        <v>37</v>
      </c>
      <c r="E1199" s="49">
        <v>8000</v>
      </c>
      <c r="F1199" s="76">
        <v>5134</v>
      </c>
      <c r="G1199" s="49">
        <v>0</v>
      </c>
      <c r="H1199" s="50">
        <f>IFERROR(Table1[Re-process (Kg)]/Table1[Actual Production (Kg)], "")</f>
        <v>0</v>
      </c>
      <c r="I1199" s="49">
        <f>IFERROR(Table1[[#This Row],[Actual Production (Kg)]]-Table1[[#This Row],[Re-process (Kg)]], "")</f>
        <v>5134</v>
      </c>
      <c r="J1199" s="49">
        <v>22</v>
      </c>
      <c r="K1199" s="72">
        <v>1.7</v>
      </c>
      <c r="L1199" s="49">
        <f>IF(Table1[[#This Row],[Target Time (Hours)]]="","",Table1[[#This Row],[Target Time (Hours)]]-Table1[[#This Row],[Downtime (Hours)]])</f>
        <v>20.3</v>
      </c>
      <c r="M1199" s="49">
        <f>IFERROR(Table1[[#This Row],[Capacity (Kg)]]/Table1[[#This Row],[Target Time (Hours)]] * Table1[[#This Row],[Downtime (Hours)]], "")</f>
        <v>618.18181818181813</v>
      </c>
      <c r="N1199" s="50">
        <f>IFERROR(Table1[[#This Row],[Running Time (hr)]]/Table1[Target Time (Hours)], "")</f>
        <v>0.92272727272727273</v>
      </c>
      <c r="O1199" s="50">
        <f>IFERROR(Table1[[#This Row],[Actual Production (Kg)]]/Table1[Capacity (Kg)], "")</f>
        <v>0.64175000000000004</v>
      </c>
      <c r="P1199" s="50">
        <f>IFERROR(Table1[[#This Row],[Quality Pass Production]]/Table1[[#This Row],[Actual Production (Kg)]], "")</f>
        <v>1</v>
      </c>
      <c r="Q1199" s="50">
        <f>IFERROR(Table1[[#This Row],[Utilization %]]*Table1[[#This Row],[Efficiency %]]*Table1[[#This Row],[Quality %]], "")</f>
        <v>0.59216022727272732</v>
      </c>
      <c r="R1199" s="48" t="s">
        <v>323</v>
      </c>
    </row>
    <row r="1200" spans="1:18" ht="30" customHeight="1" x14ac:dyDescent="0.25">
      <c r="A1200" s="47">
        <v>46224</v>
      </c>
      <c r="B1200" s="48" t="s">
        <v>33</v>
      </c>
      <c r="C1200" s="48" t="s">
        <v>39</v>
      </c>
      <c r="D1200" s="48" t="s">
        <v>31</v>
      </c>
      <c r="E1200" s="49">
        <v>6000</v>
      </c>
      <c r="F1200" s="76">
        <v>2196</v>
      </c>
      <c r="G1200" s="49">
        <v>0</v>
      </c>
      <c r="H1200" s="50">
        <f>IFERROR(Table1[Re-process (Kg)]/Table1[Actual Production (Kg)], "")</f>
        <v>0</v>
      </c>
      <c r="I1200" s="49">
        <f>IFERROR(Table1[[#This Row],[Actual Production (Kg)]]-Table1[[#This Row],[Re-process (Kg)]], "")</f>
        <v>2196</v>
      </c>
      <c r="J1200" s="49">
        <v>22</v>
      </c>
      <c r="K1200" s="72"/>
      <c r="L1200" s="49">
        <f>IF(Table1[[#This Row],[Target Time (Hours)]]="","",Table1[[#This Row],[Target Time (Hours)]]-Table1[[#This Row],[Downtime (Hours)]])</f>
        <v>22</v>
      </c>
      <c r="M1200" s="49">
        <f>IFERROR(Table1[[#This Row],[Capacity (Kg)]]/Table1[[#This Row],[Target Time (Hours)]] * Table1[[#This Row],[Downtime (Hours)]], "")</f>
        <v>0</v>
      </c>
      <c r="N1200" s="50">
        <f>IFERROR(Table1[[#This Row],[Running Time (hr)]]/Table1[Target Time (Hours)], "")</f>
        <v>1</v>
      </c>
      <c r="O1200" s="50">
        <f>IFERROR(Table1[[#This Row],[Actual Production (Kg)]]/Table1[Capacity (Kg)], "")</f>
        <v>0.36599999999999999</v>
      </c>
      <c r="P1200" s="50">
        <f>IFERROR(Table1[[#This Row],[Quality Pass Production]]/Table1[[#This Row],[Actual Production (Kg)]], "")</f>
        <v>1</v>
      </c>
      <c r="Q1200" s="50">
        <f>IFERROR(Table1[[#This Row],[Utilization %]]*Table1[[#This Row],[Efficiency %]]*Table1[[#This Row],[Quality %]], "")</f>
        <v>0.36599999999999999</v>
      </c>
      <c r="R1200" s="48" t="s">
        <v>312</v>
      </c>
    </row>
    <row r="1201" spans="1:18" ht="45" customHeight="1" x14ac:dyDescent="0.25">
      <c r="A1201" s="54">
        <v>46224</v>
      </c>
      <c r="B1201" s="55" t="s">
        <v>33</v>
      </c>
      <c r="C1201" s="55" t="s">
        <v>40</v>
      </c>
      <c r="D1201" s="55" t="s">
        <v>31</v>
      </c>
      <c r="E1201" s="56">
        <v>5000</v>
      </c>
      <c r="F1201" s="56">
        <v>3971</v>
      </c>
      <c r="G1201" s="56">
        <v>0</v>
      </c>
      <c r="H1201" s="58">
        <f>IFERROR(Table1[Re-process (Kg)]/Table1[Actual Production (Kg)], "")</f>
        <v>0</v>
      </c>
      <c r="I1201" s="56">
        <f>IFERROR(Table1[[#This Row],[Actual Production (Kg)]]-Table1[[#This Row],[Re-process (Kg)]], "")</f>
        <v>3971</v>
      </c>
      <c r="J1201" s="56">
        <v>22</v>
      </c>
      <c r="K1201" s="55"/>
      <c r="L1201" s="56">
        <f>IF(Table1[[#This Row],[Target Time (Hours)]]="","",Table1[[#This Row],[Target Time (Hours)]]-Table1[[#This Row],[Downtime (Hours)]])</f>
        <v>22</v>
      </c>
      <c r="M1201" s="56">
        <f>IFERROR(Table1[[#This Row],[Capacity (Kg)]]/Table1[[#This Row],[Target Time (Hours)]] * Table1[[#This Row],[Downtime (Hours)]], "")</f>
        <v>0</v>
      </c>
      <c r="N1201" s="58">
        <f>IFERROR(Table1[[#This Row],[Running Time (hr)]]/Table1[Target Time (Hours)], "")</f>
        <v>1</v>
      </c>
      <c r="O1201" s="58">
        <f>IFERROR(Table1[[#This Row],[Actual Production (Kg)]]/Table1[Capacity (Kg)], "")</f>
        <v>0.79420000000000002</v>
      </c>
      <c r="P1201" s="58">
        <f>IFERROR(Table1[[#This Row],[Quality Pass Production]]/Table1[[#This Row],[Actual Production (Kg)]], "")</f>
        <v>1</v>
      </c>
      <c r="Q1201" s="58">
        <f>IFERROR(Table1[[#This Row],[Utilization %]]*Table1[[#This Row],[Efficiency %]]*Table1[[#This Row],[Quality %]], "")</f>
        <v>0.79420000000000002</v>
      </c>
      <c r="R1201" s="55" t="s">
        <v>312</v>
      </c>
    </row>
    <row r="1202" spans="1:18" ht="30" customHeight="1" x14ac:dyDescent="0.25">
      <c r="A1202" s="47">
        <v>46225</v>
      </c>
      <c r="B1202" s="48" t="s">
        <v>18</v>
      </c>
      <c r="C1202" s="48" t="s">
        <v>19</v>
      </c>
      <c r="D1202" s="48" t="s">
        <v>20</v>
      </c>
      <c r="E1202" s="49">
        <v>10000</v>
      </c>
      <c r="F1202" s="76">
        <v>8423</v>
      </c>
      <c r="G1202" s="49">
        <v>0</v>
      </c>
      <c r="H1202" s="50">
        <f>IFERROR(Table1[Re-process (Kg)]/Table1[Actual Production (Kg)], "")</f>
        <v>0</v>
      </c>
      <c r="I1202" s="49">
        <f>IFERROR(Table1[[#This Row],[Actual Production (Kg)]]-Table1[[#This Row],[Re-process (Kg)]], "")</f>
        <v>8423</v>
      </c>
      <c r="J1202" s="49">
        <v>22</v>
      </c>
      <c r="K1202" s="72"/>
      <c r="L1202" s="49">
        <f>IF(Table1[[#This Row],[Target Time (Hours)]]="","",Table1[[#This Row],[Target Time (Hours)]]-Table1[[#This Row],[Downtime (Hours)]])</f>
        <v>22</v>
      </c>
      <c r="M1202" s="49">
        <f>IFERROR(Table1[[#This Row],[Capacity (Kg)]]/Table1[[#This Row],[Target Time (Hours)]] * Table1[[#This Row],[Downtime (Hours)]], "")</f>
        <v>0</v>
      </c>
      <c r="N1202" s="50">
        <f>IFERROR(Table1[[#This Row],[Running Time (hr)]]/Table1[Target Time (Hours)], "")</f>
        <v>1</v>
      </c>
      <c r="O1202" s="50">
        <f>IFERROR(Table1[[#This Row],[Actual Production (Kg)]]/Table1[Capacity (Kg)], "")</f>
        <v>0.84230000000000005</v>
      </c>
      <c r="P1202" s="50">
        <f>IFERROR(Table1[[#This Row],[Quality Pass Production]]/Table1[[#This Row],[Actual Production (Kg)]], "")</f>
        <v>1</v>
      </c>
      <c r="Q1202" s="50">
        <f>IFERROR(Table1[[#This Row],[Utilization %]]*Table1[[#This Row],[Efficiency %]]*Table1[[#This Row],[Quality %]], "")</f>
        <v>0.84230000000000005</v>
      </c>
    </row>
    <row r="1203" spans="1:18" x14ac:dyDescent="0.25">
      <c r="A1203" s="51">
        <v>46225</v>
      </c>
      <c r="B1203" s="52" t="s">
        <v>18</v>
      </c>
      <c r="C1203" s="52" t="s">
        <v>238</v>
      </c>
      <c r="D1203" s="52" t="s">
        <v>20</v>
      </c>
      <c r="E1203" s="53">
        <v>10083</v>
      </c>
      <c r="F1203" s="53">
        <v>10083</v>
      </c>
      <c r="G1203" s="53">
        <v>0</v>
      </c>
      <c r="H1203" s="57">
        <f>IFERROR(Table1[Re-process (Kg)]/Table1[Actual Production (Kg)], "")</f>
        <v>0</v>
      </c>
      <c r="I1203" s="53">
        <f>IFERROR(Table1[[#This Row],[Actual Production (Kg)]]-Table1[[#This Row],[Re-process (Kg)]], "")</f>
        <v>10083</v>
      </c>
      <c r="J1203" s="53"/>
      <c r="K1203" s="52"/>
      <c r="L1203" s="53" t="str">
        <f>IF(Table1[[#This Row],[Target Time (Hours)]]="","",Table1[[#This Row],[Target Time (Hours)]]-Table1[[#This Row],[Downtime (Hours)]])</f>
        <v/>
      </c>
      <c r="M1203" s="53" t="str">
        <f>IFERROR(Table1[[#This Row],[Capacity (Kg)]]/Table1[[#This Row],[Target Time (Hours)]] * Table1[[#This Row],[Downtime (Hours)]], "")</f>
        <v/>
      </c>
      <c r="N1203" s="57" t="str">
        <f>IFERROR(Table1[[#This Row],[Running Time (hr)]]/Table1[Target Time (Hours)], "")</f>
        <v/>
      </c>
      <c r="O1203" s="57">
        <f>IFERROR(Table1[[#This Row],[Actual Production (Kg)]]/Table1[Capacity (Kg)], "")</f>
        <v>1</v>
      </c>
      <c r="P1203" s="57">
        <f>IFERROR(Table1[[#This Row],[Quality Pass Production]]/Table1[[#This Row],[Actual Production (Kg)]], "")</f>
        <v>1</v>
      </c>
      <c r="Q1203" s="57" t="str">
        <f>IFERROR(Table1[[#This Row],[Utilization %]]*Table1[[#This Row],[Efficiency %]]*Table1[[#This Row],[Quality %]], "")</f>
        <v/>
      </c>
      <c r="R1203" s="52"/>
    </row>
    <row r="1204" spans="1:18" x14ac:dyDescent="0.25">
      <c r="A1204" s="47">
        <v>46225</v>
      </c>
      <c r="B1204" s="48" t="s">
        <v>18</v>
      </c>
      <c r="C1204" s="48" t="s">
        <v>22</v>
      </c>
      <c r="D1204" s="48" t="s">
        <v>23</v>
      </c>
      <c r="E1204" s="49">
        <v>5000</v>
      </c>
      <c r="F1204" s="76">
        <v>5686</v>
      </c>
      <c r="G1204" s="49">
        <v>0</v>
      </c>
      <c r="H1204" s="50">
        <f>IFERROR(Table1[Re-process (Kg)]/Table1[Actual Production (Kg)], "")</f>
        <v>0</v>
      </c>
      <c r="I1204" s="49">
        <f>IFERROR(Table1[[#This Row],[Actual Production (Kg)]]-Table1[[#This Row],[Re-process (Kg)]], "")</f>
        <v>5686</v>
      </c>
      <c r="J1204" s="49">
        <v>22</v>
      </c>
      <c r="K1204" s="72"/>
      <c r="L1204" s="49">
        <f>IF(Table1[[#This Row],[Target Time (Hours)]]="","",Table1[[#This Row],[Target Time (Hours)]]-Table1[[#This Row],[Downtime (Hours)]])</f>
        <v>22</v>
      </c>
      <c r="M1204" s="49">
        <f>IFERROR(Table1[[#This Row],[Capacity (Kg)]]/Table1[[#This Row],[Target Time (Hours)]] * Table1[[#This Row],[Downtime (Hours)]], "")</f>
        <v>0</v>
      </c>
      <c r="N1204" s="50">
        <f>IFERROR(Table1[[#This Row],[Running Time (hr)]]/Table1[Target Time (Hours)], "")</f>
        <v>1</v>
      </c>
      <c r="O1204" s="50">
        <f>IFERROR(Table1[[#This Row],[Actual Production (Kg)]]/Table1[Capacity (Kg)], "")</f>
        <v>1.1372</v>
      </c>
      <c r="P1204" s="50">
        <f>IFERROR(Table1[[#This Row],[Quality Pass Production]]/Table1[[#This Row],[Actual Production (Kg)]], "")</f>
        <v>1</v>
      </c>
      <c r="Q1204" s="50">
        <f>IFERROR(Table1[[#This Row],[Utilization %]]*Table1[[#This Row],[Efficiency %]]*Table1[[#This Row],[Quality %]], "")</f>
        <v>1.1372</v>
      </c>
    </row>
    <row r="1205" spans="1:18" x14ac:dyDescent="0.25">
      <c r="A1205" s="47">
        <v>46225</v>
      </c>
      <c r="B1205" s="48" t="s">
        <v>18</v>
      </c>
      <c r="C1205" s="48" t="s">
        <v>22</v>
      </c>
      <c r="D1205" s="48" t="s">
        <v>25</v>
      </c>
      <c r="E1205" s="49">
        <v>4000</v>
      </c>
      <c r="F1205" s="76">
        <v>2886</v>
      </c>
      <c r="G1205" s="49">
        <v>0</v>
      </c>
      <c r="H1205" s="50">
        <f>IFERROR(Table1[Re-process (Kg)]/Table1[Actual Production (Kg)], "")</f>
        <v>0</v>
      </c>
      <c r="I1205" s="49">
        <f>IFERROR(Table1[[#This Row],[Actual Production (Kg)]]-Table1[[#This Row],[Re-process (Kg)]], "")</f>
        <v>2886</v>
      </c>
      <c r="J1205" s="49"/>
      <c r="K1205" s="72"/>
      <c r="L1205" s="49" t="str">
        <f>IF(Table1[[#This Row],[Target Time (Hours)]]="","",Table1[[#This Row],[Target Time (Hours)]]-Table1[[#This Row],[Downtime (Hours)]])</f>
        <v/>
      </c>
      <c r="M1205" s="49" t="str">
        <f>IFERROR(Table1[[#This Row],[Capacity (Kg)]]/Table1[[#This Row],[Target Time (Hours)]] * Table1[[#This Row],[Downtime (Hours)]], "")</f>
        <v/>
      </c>
      <c r="N1205" s="50" t="str">
        <f>IFERROR(Table1[[#This Row],[Running Time (hr)]]/Table1[Target Time (Hours)], "")</f>
        <v/>
      </c>
      <c r="O1205" s="50">
        <f>IFERROR(Table1[[#This Row],[Actual Production (Kg)]]/Table1[Capacity (Kg)], "")</f>
        <v>0.72150000000000003</v>
      </c>
      <c r="P1205" s="50">
        <f>IFERROR(Table1[[#This Row],[Quality Pass Production]]/Table1[[#This Row],[Actual Production (Kg)]], "")</f>
        <v>1</v>
      </c>
      <c r="Q1205" s="50" t="str">
        <f>IFERROR(Table1[[#This Row],[Utilization %]]*Table1[[#This Row],[Efficiency %]]*Table1[[#This Row],[Quality %]], "")</f>
        <v/>
      </c>
    </row>
    <row r="1206" spans="1:18" ht="60" customHeight="1" x14ac:dyDescent="0.25">
      <c r="A1206" s="47">
        <v>46225</v>
      </c>
      <c r="B1206" s="48" t="s">
        <v>18</v>
      </c>
      <c r="C1206" s="48" t="s">
        <v>26</v>
      </c>
      <c r="D1206" s="48" t="s">
        <v>25</v>
      </c>
      <c r="E1206" s="49">
        <v>7000</v>
      </c>
      <c r="F1206" s="76">
        <v>7664</v>
      </c>
      <c r="G1206" s="49">
        <v>0</v>
      </c>
      <c r="H1206" s="50">
        <f>IFERROR(Table1[Re-process (Kg)]/Table1[Actual Production (Kg)], "")</f>
        <v>0</v>
      </c>
      <c r="I1206" s="49">
        <f>IFERROR(Table1[[#This Row],[Actual Production (Kg)]]-Table1[[#This Row],[Re-process (Kg)]], "")</f>
        <v>7664</v>
      </c>
      <c r="J1206" s="49">
        <v>22</v>
      </c>
      <c r="K1206" s="72">
        <v>0.4</v>
      </c>
      <c r="L1206" s="49">
        <f>IF(Table1[[#This Row],[Target Time (Hours)]]="","",Table1[[#This Row],[Target Time (Hours)]]-Table1[[#This Row],[Downtime (Hours)]])</f>
        <v>21.6</v>
      </c>
      <c r="M1206" s="49">
        <f>IFERROR(Table1[[#This Row],[Capacity (Kg)]]/Table1[[#This Row],[Target Time (Hours)]] * Table1[[#This Row],[Downtime (Hours)]], "")</f>
        <v>127.27272727272728</v>
      </c>
      <c r="N1206" s="50">
        <f>IFERROR(Table1[[#This Row],[Running Time (hr)]]/Table1[Target Time (Hours)], "")</f>
        <v>0.98181818181818192</v>
      </c>
      <c r="O1206" s="50">
        <f>IFERROR(Table1[[#This Row],[Actual Production (Kg)]]/Table1[Capacity (Kg)], "")</f>
        <v>1.0948571428571428</v>
      </c>
      <c r="P1206" s="50">
        <f>IFERROR(Table1[[#This Row],[Quality Pass Production]]/Table1[[#This Row],[Actual Production (Kg)]], "")</f>
        <v>1</v>
      </c>
      <c r="Q1206" s="50">
        <f>IFERROR(Table1[[#This Row],[Utilization %]]*Table1[[#This Row],[Efficiency %]]*Table1[[#This Row],[Quality %]], "")</f>
        <v>1.0749506493506493</v>
      </c>
      <c r="R1206" s="48" t="s">
        <v>324</v>
      </c>
    </row>
    <row r="1207" spans="1:18" ht="30" customHeight="1" x14ac:dyDescent="0.25">
      <c r="A1207" s="47">
        <v>46225</v>
      </c>
      <c r="B1207" s="48" t="s">
        <v>18</v>
      </c>
      <c r="C1207" s="48" t="s">
        <v>28</v>
      </c>
      <c r="D1207" s="48" t="s">
        <v>29</v>
      </c>
      <c r="E1207" s="49">
        <v>7800</v>
      </c>
      <c r="F1207" s="76">
        <v>7780</v>
      </c>
      <c r="G1207" s="49">
        <v>0</v>
      </c>
      <c r="H1207" s="50">
        <f>IFERROR(Table1[Re-process (Kg)]/Table1[Actual Production (Kg)], "")</f>
        <v>0</v>
      </c>
      <c r="I1207" s="49">
        <f>IFERROR(Table1[[#This Row],[Actual Production (Kg)]]-Table1[[#This Row],[Re-process (Kg)]], "")</f>
        <v>7780</v>
      </c>
      <c r="J1207" s="49">
        <v>22</v>
      </c>
      <c r="K1207" s="72">
        <v>4</v>
      </c>
      <c r="L1207" s="49">
        <f>IF(Table1[[#This Row],[Target Time (Hours)]]="","",Table1[[#This Row],[Target Time (Hours)]]-Table1[[#This Row],[Downtime (Hours)]])</f>
        <v>18</v>
      </c>
      <c r="M1207" s="49">
        <f>IFERROR(Table1[[#This Row],[Capacity (Kg)]]/Table1[[#This Row],[Target Time (Hours)]] * Table1[[#This Row],[Downtime (Hours)]], "")</f>
        <v>1418.1818181818182</v>
      </c>
      <c r="N1207" s="50">
        <f>IFERROR(Table1[[#This Row],[Running Time (hr)]]/Table1[Target Time (Hours)], "")</f>
        <v>0.81818181818181823</v>
      </c>
      <c r="O1207" s="50">
        <f>IFERROR(Table1[[#This Row],[Actual Production (Kg)]]/Table1[Capacity (Kg)], "")</f>
        <v>0.99743589743589745</v>
      </c>
      <c r="P1207" s="50">
        <f>IFERROR(Table1[[#This Row],[Quality Pass Production]]/Table1[[#This Row],[Actual Production (Kg)]], "")</f>
        <v>1</v>
      </c>
      <c r="Q1207" s="50">
        <f>IFERROR(Table1[[#This Row],[Utilization %]]*Table1[[#This Row],[Efficiency %]]*Table1[[#This Row],[Quality %]], "")</f>
        <v>0.81608391608391617</v>
      </c>
      <c r="R1207" s="48" t="s">
        <v>325</v>
      </c>
    </row>
    <row r="1208" spans="1:18" ht="30" customHeight="1" x14ac:dyDescent="0.25">
      <c r="A1208" s="51">
        <v>46225</v>
      </c>
      <c r="B1208" s="52" t="s">
        <v>18</v>
      </c>
      <c r="C1208" s="52" t="s">
        <v>135</v>
      </c>
      <c r="D1208" s="52" t="s">
        <v>29</v>
      </c>
      <c r="E1208" s="53"/>
      <c r="F1208" s="53"/>
      <c r="G1208" s="53"/>
      <c r="H1208" s="57" t="str">
        <f>IFERROR(Table1[Re-process (Kg)]/Table1[Actual Production (Kg)], "")</f>
        <v/>
      </c>
      <c r="I1208" s="53">
        <f>IFERROR(Table1[[#This Row],[Actual Production (Kg)]]-Table1[[#This Row],[Re-process (Kg)]], "")</f>
        <v>0</v>
      </c>
      <c r="J1208" s="53"/>
      <c r="K1208" s="52"/>
      <c r="L1208" s="53" t="str">
        <f>IF(Table1[[#This Row],[Target Time (Hours)]]="","",Table1[[#This Row],[Target Time (Hours)]]-Table1[[#This Row],[Downtime (Hours)]])</f>
        <v/>
      </c>
      <c r="M1208" s="53" t="str">
        <f>IFERROR(Table1[[#This Row],[Capacity (Kg)]]/Table1[[#This Row],[Target Time (Hours)]] * Table1[[#This Row],[Downtime (Hours)]], "")</f>
        <v/>
      </c>
      <c r="N1208" s="57" t="str">
        <f>IFERROR(Table1[[#This Row],[Running Time (hr)]]/Table1[Target Time (Hours)], "")</f>
        <v/>
      </c>
      <c r="O1208" s="57" t="str">
        <f>IFERROR(Table1[[#This Row],[Actual Production (Kg)]]/Table1[Capacity (Kg)], "")</f>
        <v/>
      </c>
      <c r="P1208" s="57" t="str">
        <f>IFERROR(Table1[[#This Row],[Quality Pass Production]]/Table1[[#This Row],[Actual Production (Kg)]], "")</f>
        <v/>
      </c>
      <c r="Q1208" s="57" t="str">
        <f>IFERROR(Table1[[#This Row],[Utilization %]]*Table1[[#This Row],[Efficiency %]]*Table1[[#This Row],[Quality %]], "")</f>
        <v/>
      </c>
      <c r="R1208" s="52"/>
    </row>
    <row r="1209" spans="1:18" ht="30" customHeight="1" x14ac:dyDescent="0.25">
      <c r="A1209" s="47">
        <v>46225</v>
      </c>
      <c r="B1209" s="48" t="s">
        <v>18</v>
      </c>
      <c r="C1209" s="48" t="s">
        <v>30</v>
      </c>
      <c r="D1209" s="48" t="s">
        <v>31</v>
      </c>
      <c r="E1209" s="49">
        <v>9000</v>
      </c>
      <c r="F1209" s="76">
        <v>8245</v>
      </c>
      <c r="G1209" s="49">
        <v>0</v>
      </c>
      <c r="H1209" s="50">
        <f>IFERROR(Table1[Re-process (Kg)]/Table1[Actual Production (Kg)], "")</f>
        <v>0</v>
      </c>
      <c r="I1209" s="49">
        <f>IFERROR(Table1[[#This Row],[Actual Production (Kg)]]-Table1[[#This Row],[Re-process (Kg)]], "")</f>
        <v>8245</v>
      </c>
      <c r="J1209" s="49">
        <v>22</v>
      </c>
      <c r="K1209" s="72"/>
      <c r="L1209" s="49">
        <f>IF(Table1[[#This Row],[Target Time (Hours)]]="","",Table1[[#This Row],[Target Time (Hours)]]-Table1[[#This Row],[Downtime (Hours)]])</f>
        <v>22</v>
      </c>
      <c r="M1209" s="49">
        <f>IFERROR(Table1[[#This Row],[Capacity (Kg)]]/Table1[[#This Row],[Target Time (Hours)]] * Table1[[#This Row],[Downtime (Hours)]], "")</f>
        <v>0</v>
      </c>
      <c r="N1209" s="50">
        <f>IFERROR(Table1[[#This Row],[Running Time (hr)]]/Table1[Target Time (Hours)], "")</f>
        <v>1</v>
      </c>
      <c r="O1209" s="50">
        <f>IFERROR(Table1[[#This Row],[Actual Production (Kg)]]/Table1[Capacity (Kg)], "")</f>
        <v>0.9161111111111111</v>
      </c>
      <c r="P1209" s="50">
        <f>IFERROR(Table1[[#This Row],[Quality Pass Production]]/Table1[[#This Row],[Actual Production (Kg)]], "")</f>
        <v>1</v>
      </c>
      <c r="Q1209" s="50">
        <f>IFERROR(Table1[[#This Row],[Utilization %]]*Table1[[#This Row],[Efficiency %]]*Table1[[#This Row],[Quality %]], "")</f>
        <v>0.9161111111111111</v>
      </c>
    </row>
    <row r="1210" spans="1:18" ht="30" customHeight="1" x14ac:dyDescent="0.25">
      <c r="A1210" s="51">
        <v>46225</v>
      </c>
      <c r="B1210" s="52" t="s">
        <v>18</v>
      </c>
      <c r="C1210" s="52" t="s">
        <v>32</v>
      </c>
      <c r="D1210" s="52" t="s">
        <v>31</v>
      </c>
      <c r="E1210" s="53"/>
      <c r="F1210" s="53"/>
      <c r="G1210" s="53"/>
      <c r="H1210" s="57" t="str">
        <f>IFERROR(Table1[Re-process (Kg)]/Table1[Actual Production (Kg)], "")</f>
        <v/>
      </c>
      <c r="I1210" s="53">
        <f>IFERROR(Table1[[#This Row],[Actual Production (Kg)]]-Table1[[#This Row],[Re-process (Kg)]], "")</f>
        <v>0</v>
      </c>
      <c r="J1210" s="53"/>
      <c r="K1210" s="52"/>
      <c r="L1210" s="53" t="str">
        <f>IF(Table1[[#This Row],[Target Time (Hours)]]="","",Table1[[#This Row],[Target Time (Hours)]]-Table1[[#This Row],[Downtime (Hours)]])</f>
        <v/>
      </c>
      <c r="M1210" s="53" t="str">
        <f>IFERROR(Table1[[#This Row],[Capacity (Kg)]]/Table1[[#This Row],[Target Time (Hours)]] * Table1[[#This Row],[Downtime (Hours)]], "")</f>
        <v/>
      </c>
      <c r="N1210" s="57" t="str">
        <f>IFERROR(Table1[[#This Row],[Running Time (hr)]]/Table1[Target Time (Hours)], "")</f>
        <v/>
      </c>
      <c r="O1210" s="57" t="str">
        <f>IFERROR(Table1[[#This Row],[Actual Production (Kg)]]/Table1[Capacity (Kg)], "")</f>
        <v/>
      </c>
      <c r="P1210" s="57" t="str">
        <f>IFERROR(Table1[[#This Row],[Quality Pass Production]]/Table1[[#This Row],[Actual Production (Kg)]], "")</f>
        <v/>
      </c>
      <c r="Q1210" s="57" t="str">
        <f>IFERROR(Table1[[#This Row],[Utilization %]]*Table1[[#This Row],[Efficiency %]]*Table1[[#This Row],[Quality %]], "")</f>
        <v/>
      </c>
      <c r="R1210" s="52"/>
    </row>
    <row r="1211" spans="1:18" ht="30" customHeight="1" x14ac:dyDescent="0.25">
      <c r="A1211" s="47">
        <v>46225</v>
      </c>
      <c r="B1211" s="48" t="s">
        <v>33</v>
      </c>
      <c r="C1211" s="48" t="s">
        <v>34</v>
      </c>
      <c r="D1211" s="48" t="s">
        <v>35</v>
      </c>
      <c r="E1211" s="49">
        <v>9000</v>
      </c>
      <c r="F1211" s="76">
        <v>6389</v>
      </c>
      <c r="G1211" s="49">
        <v>0</v>
      </c>
      <c r="H1211" s="50">
        <f>IFERROR(Table1[Re-process (Kg)]/Table1[Actual Production (Kg)], "")</f>
        <v>0</v>
      </c>
      <c r="I1211" s="49">
        <f>IFERROR(Table1[[#This Row],[Actual Production (Kg)]]-Table1[[#This Row],[Re-process (Kg)]], "")</f>
        <v>6389</v>
      </c>
      <c r="J1211" s="49">
        <v>22</v>
      </c>
      <c r="K1211" s="72"/>
      <c r="L1211" s="49">
        <f>IF(Table1[[#This Row],[Target Time (Hours)]]="","",Table1[[#This Row],[Target Time (Hours)]]-Table1[[#This Row],[Downtime (Hours)]])</f>
        <v>22</v>
      </c>
      <c r="M1211" s="49">
        <f>IFERROR(Table1[[#This Row],[Capacity (Kg)]]/Table1[[#This Row],[Target Time (Hours)]] * Table1[[#This Row],[Downtime (Hours)]], "")</f>
        <v>0</v>
      </c>
      <c r="N1211" s="50">
        <f>IFERROR(Table1[[#This Row],[Running Time (hr)]]/Table1[Target Time (Hours)], "")</f>
        <v>1</v>
      </c>
      <c r="O1211" s="50">
        <f>IFERROR(Table1[[#This Row],[Actual Production (Kg)]]/Table1[Capacity (Kg)], "")</f>
        <v>0.7098888888888889</v>
      </c>
      <c r="P1211" s="50">
        <f>IFERROR(Table1[[#This Row],[Quality Pass Production]]/Table1[[#This Row],[Actual Production (Kg)]], "")</f>
        <v>1</v>
      </c>
      <c r="Q1211" s="50">
        <f>IFERROR(Table1[[#This Row],[Utilization %]]*Table1[[#This Row],[Efficiency %]]*Table1[[#This Row],[Quality %]], "")</f>
        <v>0.7098888888888889</v>
      </c>
    </row>
    <row r="1212" spans="1:18" ht="30" customHeight="1" x14ac:dyDescent="0.25">
      <c r="A1212" s="47">
        <v>46225</v>
      </c>
      <c r="B1212" s="48" t="s">
        <v>33</v>
      </c>
      <c r="C1212" s="48" t="s">
        <v>36</v>
      </c>
      <c r="D1212" s="48" t="s">
        <v>37</v>
      </c>
      <c r="E1212" s="49">
        <v>8000</v>
      </c>
      <c r="F1212" s="76">
        <v>6913</v>
      </c>
      <c r="G1212" s="49">
        <v>0</v>
      </c>
      <c r="H1212" s="50">
        <f>IFERROR(Table1[Re-process (Kg)]/Table1[Actual Production (Kg)], "")</f>
        <v>0</v>
      </c>
      <c r="I1212" s="49">
        <f>IFERROR(Table1[[#This Row],[Actual Production (Kg)]]-Table1[[#This Row],[Re-process (Kg)]], "")</f>
        <v>6913</v>
      </c>
      <c r="J1212" s="49">
        <v>22</v>
      </c>
      <c r="K1212" s="72">
        <v>1.5</v>
      </c>
      <c r="L1212" s="49">
        <f>IF(Table1[[#This Row],[Target Time (Hours)]]="","",Table1[[#This Row],[Target Time (Hours)]]-Table1[[#This Row],[Downtime (Hours)]])</f>
        <v>20.5</v>
      </c>
      <c r="M1212" s="49">
        <f>IFERROR(Table1[[#This Row],[Capacity (Kg)]]/Table1[[#This Row],[Target Time (Hours)]] * Table1[[#This Row],[Downtime (Hours)]], "")</f>
        <v>545.4545454545455</v>
      </c>
      <c r="N1212" s="50">
        <f>IFERROR(Table1[[#This Row],[Running Time (hr)]]/Table1[Target Time (Hours)], "")</f>
        <v>0.93181818181818177</v>
      </c>
      <c r="O1212" s="50">
        <f>IFERROR(Table1[[#This Row],[Actual Production (Kg)]]/Table1[Capacity (Kg)], "")</f>
        <v>0.86412500000000003</v>
      </c>
      <c r="P1212" s="50">
        <f>IFERROR(Table1[[#This Row],[Quality Pass Production]]/Table1[[#This Row],[Actual Production (Kg)]], "")</f>
        <v>1</v>
      </c>
      <c r="Q1212" s="50">
        <f>IFERROR(Table1[[#This Row],[Utilization %]]*Table1[[#This Row],[Efficiency %]]*Table1[[#This Row],[Quality %]], "")</f>
        <v>0.80520738636363631</v>
      </c>
      <c r="R1212" s="48" t="s">
        <v>319</v>
      </c>
    </row>
    <row r="1213" spans="1:18" ht="30" customHeight="1" x14ac:dyDescent="0.25">
      <c r="A1213" s="47">
        <v>46225</v>
      </c>
      <c r="B1213" s="48" t="s">
        <v>33</v>
      </c>
      <c r="C1213" s="48" t="s">
        <v>39</v>
      </c>
      <c r="D1213" s="48" t="s">
        <v>31</v>
      </c>
      <c r="E1213" s="49">
        <v>6000</v>
      </c>
      <c r="F1213" s="76">
        <v>2862</v>
      </c>
      <c r="G1213" s="49">
        <v>0</v>
      </c>
      <c r="H1213" s="50">
        <f>IFERROR(Table1[Re-process (Kg)]/Table1[Actual Production (Kg)], "")</f>
        <v>0</v>
      </c>
      <c r="I1213" s="49">
        <f>IFERROR(Table1[[#This Row],[Actual Production (Kg)]]-Table1[[#This Row],[Re-process (Kg)]], "")</f>
        <v>2862</v>
      </c>
      <c r="J1213" s="49">
        <v>22</v>
      </c>
      <c r="K1213" s="72"/>
      <c r="L1213" s="49">
        <f>IF(Table1[[#This Row],[Target Time (Hours)]]="","",Table1[[#This Row],[Target Time (Hours)]]-Table1[[#This Row],[Downtime (Hours)]])</f>
        <v>22</v>
      </c>
      <c r="M1213" s="49">
        <f>IFERROR(Table1[[#This Row],[Capacity (Kg)]]/Table1[[#This Row],[Target Time (Hours)]] * Table1[[#This Row],[Downtime (Hours)]], "")</f>
        <v>0</v>
      </c>
      <c r="N1213" s="50">
        <f>IFERROR(Table1[[#This Row],[Running Time (hr)]]/Table1[Target Time (Hours)], "")</f>
        <v>1</v>
      </c>
      <c r="O1213" s="50">
        <f>IFERROR(Table1[[#This Row],[Actual Production (Kg)]]/Table1[Capacity (Kg)], "")</f>
        <v>0.47699999999999998</v>
      </c>
      <c r="P1213" s="50">
        <f>IFERROR(Table1[[#This Row],[Quality Pass Production]]/Table1[[#This Row],[Actual Production (Kg)]], "")</f>
        <v>1</v>
      </c>
      <c r="Q1213" s="50">
        <f>IFERROR(Table1[[#This Row],[Utilization %]]*Table1[[#This Row],[Efficiency %]]*Table1[[#This Row],[Quality %]], "")</f>
        <v>0.47699999999999998</v>
      </c>
    </row>
    <row r="1214" spans="1:18" ht="45" customHeight="1" x14ac:dyDescent="0.25">
      <c r="A1214" s="54">
        <v>46225</v>
      </c>
      <c r="B1214" s="55" t="s">
        <v>33</v>
      </c>
      <c r="C1214" s="55" t="s">
        <v>40</v>
      </c>
      <c r="D1214" s="55" t="s">
        <v>31</v>
      </c>
      <c r="E1214" s="56">
        <v>5000</v>
      </c>
      <c r="F1214" s="56">
        <v>2649</v>
      </c>
      <c r="G1214" s="56">
        <v>0</v>
      </c>
      <c r="H1214" s="58">
        <f>IFERROR(Table1[Re-process (Kg)]/Table1[Actual Production (Kg)], "")</f>
        <v>0</v>
      </c>
      <c r="I1214" s="56">
        <f>IFERROR(Table1[[#This Row],[Actual Production (Kg)]]-Table1[[#This Row],[Re-process (Kg)]], "")</f>
        <v>2649</v>
      </c>
      <c r="J1214" s="56">
        <v>22</v>
      </c>
      <c r="K1214" s="55"/>
      <c r="L1214" s="56">
        <f>IF(Table1[[#This Row],[Target Time (Hours)]]="","",Table1[[#This Row],[Target Time (Hours)]]-Table1[[#This Row],[Downtime (Hours)]])</f>
        <v>22</v>
      </c>
      <c r="M1214" s="56">
        <f>IFERROR(Table1[[#This Row],[Capacity (Kg)]]/Table1[[#This Row],[Target Time (Hours)]] * Table1[[#This Row],[Downtime (Hours)]], "")</f>
        <v>0</v>
      </c>
      <c r="N1214" s="58">
        <f>IFERROR(Table1[[#This Row],[Running Time (hr)]]/Table1[Target Time (Hours)], "")</f>
        <v>1</v>
      </c>
      <c r="O1214" s="58">
        <f>IFERROR(Table1[[#This Row],[Actual Production (Kg)]]/Table1[Capacity (Kg)], "")</f>
        <v>0.52980000000000005</v>
      </c>
      <c r="P1214" s="58">
        <f>IFERROR(Table1[[#This Row],[Quality Pass Production]]/Table1[[#This Row],[Actual Production (Kg)]], "")</f>
        <v>1</v>
      </c>
      <c r="Q1214" s="58">
        <f>IFERROR(Table1[[#This Row],[Utilization %]]*Table1[[#This Row],[Efficiency %]]*Table1[[#This Row],[Quality %]], "")</f>
        <v>0.52980000000000005</v>
      </c>
      <c r="R1214" s="55"/>
    </row>
    <row r="1215" spans="1:18" ht="30" customHeight="1" x14ac:dyDescent="0.25">
      <c r="A1215" s="47">
        <v>46226</v>
      </c>
      <c r="B1215" s="48" t="s">
        <v>18</v>
      </c>
      <c r="C1215" s="48" t="s">
        <v>19</v>
      </c>
      <c r="D1215" s="48" t="s">
        <v>20</v>
      </c>
      <c r="E1215" s="49">
        <v>10000</v>
      </c>
      <c r="F1215" s="76">
        <v>9101</v>
      </c>
      <c r="G1215" s="49">
        <v>0</v>
      </c>
      <c r="H1215" s="50">
        <f>IFERROR(Table1[Re-process (Kg)]/Table1[Actual Production (Kg)], "")</f>
        <v>0</v>
      </c>
      <c r="I1215" s="49">
        <f>IFERROR(Table1[[#This Row],[Actual Production (Kg)]]-Table1[[#This Row],[Re-process (Kg)]], "")</f>
        <v>9101</v>
      </c>
      <c r="J1215" s="49">
        <v>22</v>
      </c>
      <c r="K1215" s="72"/>
      <c r="L1215" s="49">
        <f>IF(Table1[[#This Row],[Target Time (Hours)]]="","",Table1[[#This Row],[Target Time (Hours)]]-Table1[[#This Row],[Downtime (Hours)]])</f>
        <v>22</v>
      </c>
      <c r="M1215" s="49">
        <f>IFERROR(Table1[[#This Row],[Capacity (Kg)]]/Table1[[#This Row],[Target Time (Hours)]] * Table1[[#This Row],[Downtime (Hours)]], "")</f>
        <v>0</v>
      </c>
      <c r="N1215" s="50">
        <f>IFERROR(Table1[[#This Row],[Running Time (hr)]]/Table1[Target Time (Hours)], "")</f>
        <v>1</v>
      </c>
      <c r="O1215" s="50">
        <f>IFERROR(Table1[[#This Row],[Actual Production (Kg)]]/Table1[Capacity (Kg)], "")</f>
        <v>0.91010000000000002</v>
      </c>
      <c r="P1215" s="50">
        <f>IFERROR(Table1[[#This Row],[Quality Pass Production]]/Table1[[#This Row],[Actual Production (Kg)]], "")</f>
        <v>1</v>
      </c>
      <c r="Q1215" s="50">
        <f>IFERROR(Table1[[#This Row],[Utilization %]]*Table1[[#This Row],[Efficiency %]]*Table1[[#This Row],[Quality %]], "")</f>
        <v>0.91010000000000002</v>
      </c>
    </row>
    <row r="1216" spans="1:18" x14ac:dyDescent="0.25">
      <c r="A1216" s="51">
        <v>46226</v>
      </c>
      <c r="B1216" s="52" t="s">
        <v>18</v>
      </c>
      <c r="C1216" s="52" t="s">
        <v>238</v>
      </c>
      <c r="D1216" s="52" t="s">
        <v>20</v>
      </c>
      <c r="E1216" s="53">
        <v>10216</v>
      </c>
      <c r="F1216" s="53">
        <v>10216</v>
      </c>
      <c r="G1216" s="53">
        <v>0</v>
      </c>
      <c r="H1216" s="57">
        <f>IFERROR(Table1[Re-process (Kg)]/Table1[Actual Production (Kg)], "")</f>
        <v>0</v>
      </c>
      <c r="I1216" s="53">
        <f>IFERROR(Table1[[#This Row],[Actual Production (Kg)]]-Table1[[#This Row],[Re-process (Kg)]], "")</f>
        <v>10216</v>
      </c>
      <c r="J1216" s="53"/>
      <c r="K1216" s="52"/>
      <c r="L1216" s="53" t="str">
        <f>IF(Table1[[#This Row],[Target Time (Hours)]]="","",Table1[[#This Row],[Target Time (Hours)]]-Table1[[#This Row],[Downtime (Hours)]])</f>
        <v/>
      </c>
      <c r="M1216" s="53" t="str">
        <f>IFERROR(Table1[[#This Row],[Capacity (Kg)]]/Table1[[#This Row],[Target Time (Hours)]] * Table1[[#This Row],[Downtime (Hours)]], "")</f>
        <v/>
      </c>
      <c r="N1216" s="57" t="str">
        <f>IFERROR(Table1[[#This Row],[Running Time (hr)]]/Table1[Target Time (Hours)], "")</f>
        <v/>
      </c>
      <c r="O1216" s="57">
        <f>IFERROR(Table1[[#This Row],[Actual Production (Kg)]]/Table1[Capacity (Kg)], "")</f>
        <v>1</v>
      </c>
      <c r="P1216" s="57">
        <f>IFERROR(Table1[[#This Row],[Quality Pass Production]]/Table1[[#This Row],[Actual Production (Kg)]], "")</f>
        <v>1</v>
      </c>
      <c r="Q1216" s="57" t="str">
        <f>IFERROR(Table1[[#This Row],[Utilization %]]*Table1[[#This Row],[Efficiency %]]*Table1[[#This Row],[Quality %]], "")</f>
        <v/>
      </c>
      <c r="R1216" s="52"/>
    </row>
    <row r="1217" spans="1:18" x14ac:dyDescent="0.25">
      <c r="A1217" s="47">
        <v>46226</v>
      </c>
      <c r="B1217" s="48" t="s">
        <v>18</v>
      </c>
      <c r="C1217" s="48" t="s">
        <v>22</v>
      </c>
      <c r="D1217" s="48" t="s">
        <v>23</v>
      </c>
      <c r="E1217" s="49">
        <v>5000</v>
      </c>
      <c r="F1217" s="76">
        <v>716</v>
      </c>
      <c r="G1217" s="49">
        <v>0</v>
      </c>
      <c r="H1217" s="50">
        <f>IFERROR(Table1[Re-process (Kg)]/Table1[Actual Production (Kg)], "")</f>
        <v>0</v>
      </c>
      <c r="I1217" s="49">
        <f>IFERROR(Table1[[#This Row],[Actual Production (Kg)]]-Table1[[#This Row],[Re-process (Kg)]], "")</f>
        <v>716</v>
      </c>
      <c r="J1217" s="49">
        <v>22</v>
      </c>
      <c r="K1217" s="72"/>
      <c r="L1217" s="49">
        <f>IF(Table1[[#This Row],[Target Time (Hours)]]="","",Table1[[#This Row],[Target Time (Hours)]]-Table1[[#This Row],[Downtime (Hours)]])</f>
        <v>22</v>
      </c>
      <c r="M1217" s="49">
        <f>IFERROR(Table1[[#This Row],[Capacity (Kg)]]/Table1[[#This Row],[Target Time (Hours)]] * Table1[[#This Row],[Downtime (Hours)]], "")</f>
        <v>0</v>
      </c>
      <c r="N1217" s="50">
        <f>IFERROR(Table1[[#This Row],[Running Time (hr)]]/Table1[Target Time (Hours)], "")</f>
        <v>1</v>
      </c>
      <c r="O1217" s="50">
        <f>IFERROR(Table1[[#This Row],[Actual Production (Kg)]]/Table1[Capacity (Kg)], "")</f>
        <v>0.14319999999999999</v>
      </c>
      <c r="P1217" s="50">
        <f>IFERROR(Table1[[#This Row],[Quality Pass Production]]/Table1[[#This Row],[Actual Production (Kg)]], "")</f>
        <v>1</v>
      </c>
      <c r="Q1217" s="50">
        <f>IFERROR(Table1[[#This Row],[Utilization %]]*Table1[[#This Row],[Efficiency %]]*Table1[[#This Row],[Quality %]], "")</f>
        <v>0.14319999999999999</v>
      </c>
    </row>
    <row r="1218" spans="1:18" x14ac:dyDescent="0.25">
      <c r="A1218" s="47">
        <v>46226</v>
      </c>
      <c r="B1218" s="48" t="s">
        <v>18</v>
      </c>
      <c r="C1218" s="48" t="s">
        <v>22</v>
      </c>
      <c r="D1218" s="48" t="s">
        <v>25</v>
      </c>
      <c r="E1218" s="49">
        <v>4000</v>
      </c>
      <c r="F1218" s="76">
        <v>9809</v>
      </c>
      <c r="G1218" s="49">
        <v>0</v>
      </c>
      <c r="H1218" s="50">
        <f>IFERROR(Table1[Re-process (Kg)]/Table1[Actual Production (Kg)], "")</f>
        <v>0</v>
      </c>
      <c r="I1218" s="49">
        <f>IFERROR(Table1[[#This Row],[Actual Production (Kg)]]-Table1[[#This Row],[Re-process (Kg)]], "")</f>
        <v>9809</v>
      </c>
      <c r="J1218" s="49"/>
      <c r="K1218" s="72"/>
      <c r="L1218" s="49" t="str">
        <f>IF(Table1[[#This Row],[Target Time (Hours)]]="","",Table1[[#This Row],[Target Time (Hours)]]-Table1[[#This Row],[Downtime (Hours)]])</f>
        <v/>
      </c>
      <c r="M1218" s="49" t="str">
        <f>IFERROR(Table1[[#This Row],[Capacity (Kg)]]/Table1[[#This Row],[Target Time (Hours)]] * Table1[[#This Row],[Downtime (Hours)]], "")</f>
        <v/>
      </c>
      <c r="N1218" s="50" t="str">
        <f>IFERROR(Table1[[#This Row],[Running Time (hr)]]/Table1[Target Time (Hours)], "")</f>
        <v/>
      </c>
      <c r="O1218" s="50">
        <f>IFERROR(Table1[[#This Row],[Actual Production (Kg)]]/Table1[Capacity (Kg)], "")</f>
        <v>2.4522499999999998</v>
      </c>
      <c r="P1218" s="50">
        <f>IFERROR(Table1[[#This Row],[Quality Pass Production]]/Table1[[#This Row],[Actual Production (Kg)]], "")</f>
        <v>1</v>
      </c>
      <c r="Q1218" s="50" t="str">
        <f>IFERROR(Table1[[#This Row],[Utilization %]]*Table1[[#This Row],[Efficiency %]]*Table1[[#This Row],[Quality %]], "")</f>
        <v/>
      </c>
    </row>
    <row r="1219" spans="1:18" x14ac:dyDescent="0.25">
      <c r="A1219" s="47">
        <v>46226</v>
      </c>
      <c r="B1219" s="48" t="s">
        <v>18</v>
      </c>
      <c r="C1219" s="48" t="s">
        <v>26</v>
      </c>
      <c r="D1219" s="48" t="s">
        <v>25</v>
      </c>
      <c r="E1219" s="49">
        <v>7000</v>
      </c>
      <c r="F1219" s="76">
        <v>7481</v>
      </c>
      <c r="G1219" s="49">
        <v>0</v>
      </c>
      <c r="H1219" s="50">
        <f>IFERROR(Table1[Re-process (Kg)]/Table1[Actual Production (Kg)], "")</f>
        <v>0</v>
      </c>
      <c r="I1219" s="49">
        <f>IFERROR(Table1[[#This Row],[Actual Production (Kg)]]-Table1[[#This Row],[Re-process (Kg)]], "")</f>
        <v>7481</v>
      </c>
      <c r="J1219" s="49">
        <v>22</v>
      </c>
      <c r="K1219" s="72"/>
      <c r="L1219" s="49">
        <f>IF(Table1[[#This Row],[Target Time (Hours)]]="","",Table1[[#This Row],[Target Time (Hours)]]-Table1[[#This Row],[Downtime (Hours)]])</f>
        <v>22</v>
      </c>
      <c r="M1219" s="49">
        <f>IFERROR(Table1[[#This Row],[Capacity (Kg)]]/Table1[[#This Row],[Target Time (Hours)]] * Table1[[#This Row],[Downtime (Hours)]], "")</f>
        <v>0</v>
      </c>
      <c r="N1219" s="50">
        <f>IFERROR(Table1[[#This Row],[Running Time (hr)]]/Table1[Target Time (Hours)], "")</f>
        <v>1</v>
      </c>
      <c r="O1219" s="50">
        <f>IFERROR(Table1[[#This Row],[Actual Production (Kg)]]/Table1[Capacity (Kg)], "")</f>
        <v>1.0687142857142857</v>
      </c>
      <c r="P1219" s="50">
        <f>IFERROR(Table1[[#This Row],[Quality Pass Production]]/Table1[[#This Row],[Actual Production (Kg)]], "")</f>
        <v>1</v>
      </c>
      <c r="Q1219" s="50">
        <f>IFERROR(Table1[[#This Row],[Utilization %]]*Table1[[#This Row],[Efficiency %]]*Table1[[#This Row],[Quality %]], "")</f>
        <v>1.0687142857142857</v>
      </c>
    </row>
    <row r="1220" spans="1:18" ht="30" customHeight="1" x14ac:dyDescent="0.25">
      <c r="A1220" s="47">
        <v>46226</v>
      </c>
      <c r="B1220" s="48" t="s">
        <v>18</v>
      </c>
      <c r="C1220" s="48" t="s">
        <v>28</v>
      </c>
      <c r="D1220" s="48" t="s">
        <v>29</v>
      </c>
      <c r="E1220" s="49">
        <v>7800</v>
      </c>
      <c r="F1220" s="76">
        <v>3652</v>
      </c>
      <c r="G1220" s="49">
        <v>0</v>
      </c>
      <c r="H1220" s="50">
        <f>IFERROR(Table1[Re-process (Kg)]/Table1[Actual Production (Kg)], "")</f>
        <v>0</v>
      </c>
      <c r="I1220" s="49">
        <f>IFERROR(Table1[[#This Row],[Actual Production (Kg)]]-Table1[[#This Row],[Re-process (Kg)]], "")</f>
        <v>3652</v>
      </c>
      <c r="J1220" s="49">
        <v>22</v>
      </c>
      <c r="K1220" s="72">
        <v>4</v>
      </c>
      <c r="L1220" s="49">
        <f>IF(Table1[[#This Row],[Target Time (Hours)]]="","",Table1[[#This Row],[Target Time (Hours)]]-Table1[[#This Row],[Downtime (Hours)]])</f>
        <v>18</v>
      </c>
      <c r="M1220" s="49">
        <f>IFERROR(Table1[[#This Row],[Capacity (Kg)]]/Table1[[#This Row],[Target Time (Hours)]] * Table1[[#This Row],[Downtime (Hours)]], "")</f>
        <v>1418.1818181818182</v>
      </c>
      <c r="N1220" s="50">
        <f>IFERROR(Table1[[#This Row],[Running Time (hr)]]/Table1[Target Time (Hours)], "")</f>
        <v>0.81818181818181823</v>
      </c>
      <c r="O1220" s="50">
        <f>IFERROR(Table1[[#This Row],[Actual Production (Kg)]]/Table1[Capacity (Kg)], "")</f>
        <v>0.46820512820512822</v>
      </c>
      <c r="P1220" s="50">
        <f>IFERROR(Table1[[#This Row],[Quality Pass Production]]/Table1[[#This Row],[Actual Production (Kg)]], "")</f>
        <v>1</v>
      </c>
      <c r="Q1220" s="50">
        <f>IFERROR(Table1[[#This Row],[Utilization %]]*Table1[[#This Row],[Efficiency %]]*Table1[[#This Row],[Quality %]], "")</f>
        <v>0.38307692307692309</v>
      </c>
      <c r="R1220" s="48" t="s">
        <v>325</v>
      </c>
    </row>
    <row r="1221" spans="1:18" ht="30" customHeight="1" x14ac:dyDescent="0.25">
      <c r="A1221" s="51">
        <v>46226</v>
      </c>
      <c r="B1221" s="52" t="s">
        <v>18</v>
      </c>
      <c r="C1221" s="52" t="s">
        <v>135</v>
      </c>
      <c r="D1221" s="52" t="s">
        <v>29</v>
      </c>
      <c r="E1221" s="53"/>
      <c r="F1221" s="53"/>
      <c r="G1221" s="53"/>
      <c r="H1221" s="57" t="str">
        <f>IFERROR(Table1[Re-process (Kg)]/Table1[Actual Production (Kg)], "")</f>
        <v/>
      </c>
      <c r="I1221" s="53">
        <f>IFERROR(Table1[[#This Row],[Actual Production (Kg)]]-Table1[[#This Row],[Re-process (Kg)]], "")</f>
        <v>0</v>
      </c>
      <c r="J1221" s="53"/>
      <c r="K1221" s="52"/>
      <c r="L1221" s="53" t="str">
        <f>IF(Table1[[#This Row],[Target Time (Hours)]]="","",Table1[[#This Row],[Target Time (Hours)]]-Table1[[#This Row],[Downtime (Hours)]])</f>
        <v/>
      </c>
      <c r="M1221" s="53" t="str">
        <f>IFERROR(Table1[[#This Row],[Capacity (Kg)]]/Table1[[#This Row],[Target Time (Hours)]] * Table1[[#This Row],[Downtime (Hours)]], "")</f>
        <v/>
      </c>
      <c r="N1221" s="57" t="str">
        <f>IFERROR(Table1[[#This Row],[Running Time (hr)]]/Table1[Target Time (Hours)], "")</f>
        <v/>
      </c>
      <c r="O1221" s="57" t="str">
        <f>IFERROR(Table1[[#This Row],[Actual Production (Kg)]]/Table1[Capacity (Kg)], "")</f>
        <v/>
      </c>
      <c r="P1221" s="57" t="str">
        <f>IFERROR(Table1[[#This Row],[Quality Pass Production]]/Table1[[#This Row],[Actual Production (Kg)]], "")</f>
        <v/>
      </c>
      <c r="Q1221" s="57" t="str">
        <f>IFERROR(Table1[[#This Row],[Utilization %]]*Table1[[#This Row],[Efficiency %]]*Table1[[#This Row],[Quality %]], "")</f>
        <v/>
      </c>
      <c r="R1221" s="52"/>
    </row>
    <row r="1222" spans="1:18" ht="30" customHeight="1" x14ac:dyDescent="0.25">
      <c r="A1222" s="47">
        <v>46226</v>
      </c>
      <c r="B1222" s="48" t="s">
        <v>18</v>
      </c>
      <c r="C1222" s="48" t="s">
        <v>30</v>
      </c>
      <c r="D1222" s="48" t="s">
        <v>31</v>
      </c>
      <c r="E1222" s="49">
        <v>9000</v>
      </c>
      <c r="F1222" s="76">
        <v>7983</v>
      </c>
      <c r="G1222" s="49">
        <v>0</v>
      </c>
      <c r="H1222" s="50">
        <f>IFERROR(Table1[Re-process (Kg)]/Table1[Actual Production (Kg)], "")</f>
        <v>0</v>
      </c>
      <c r="I1222" s="49">
        <f>IFERROR(Table1[[#This Row],[Actual Production (Kg)]]-Table1[[#This Row],[Re-process (Kg)]], "")</f>
        <v>7983</v>
      </c>
      <c r="J1222" s="49">
        <v>22</v>
      </c>
      <c r="K1222" s="72"/>
      <c r="L1222" s="49">
        <f>IF(Table1[[#This Row],[Target Time (Hours)]]="","",Table1[[#This Row],[Target Time (Hours)]]-Table1[[#This Row],[Downtime (Hours)]])</f>
        <v>22</v>
      </c>
      <c r="M1222" s="49">
        <f>IFERROR(Table1[[#This Row],[Capacity (Kg)]]/Table1[[#This Row],[Target Time (Hours)]] * Table1[[#This Row],[Downtime (Hours)]], "")</f>
        <v>0</v>
      </c>
      <c r="N1222" s="50">
        <f>IFERROR(Table1[[#This Row],[Running Time (hr)]]/Table1[Target Time (Hours)], "")</f>
        <v>1</v>
      </c>
      <c r="O1222" s="50">
        <f>IFERROR(Table1[[#This Row],[Actual Production (Kg)]]/Table1[Capacity (Kg)], "")</f>
        <v>0.88700000000000001</v>
      </c>
      <c r="P1222" s="50">
        <f>IFERROR(Table1[[#This Row],[Quality Pass Production]]/Table1[[#This Row],[Actual Production (Kg)]], "")</f>
        <v>1</v>
      </c>
      <c r="Q1222" s="50">
        <f>IFERROR(Table1[[#This Row],[Utilization %]]*Table1[[#This Row],[Efficiency %]]*Table1[[#This Row],[Quality %]], "")</f>
        <v>0.88700000000000001</v>
      </c>
    </row>
    <row r="1223" spans="1:18" ht="30" customHeight="1" x14ac:dyDescent="0.25">
      <c r="A1223" s="51">
        <v>46226</v>
      </c>
      <c r="B1223" s="52" t="s">
        <v>18</v>
      </c>
      <c r="C1223" s="52" t="s">
        <v>32</v>
      </c>
      <c r="D1223" s="52" t="s">
        <v>31</v>
      </c>
      <c r="E1223" s="53">
        <v>1929</v>
      </c>
      <c r="F1223" s="53">
        <v>1929</v>
      </c>
      <c r="G1223" s="53"/>
      <c r="H1223" s="57">
        <f>IFERROR(Table1[Re-process (Kg)]/Table1[Actual Production (Kg)], "")</f>
        <v>0</v>
      </c>
      <c r="I1223" s="53">
        <f>IFERROR(Table1[[#This Row],[Actual Production (Kg)]]-Table1[[#This Row],[Re-process (Kg)]], "")</f>
        <v>1929</v>
      </c>
      <c r="J1223" s="53"/>
      <c r="K1223" s="52"/>
      <c r="L1223" s="53" t="str">
        <f>IF(Table1[[#This Row],[Target Time (Hours)]]="","",Table1[[#This Row],[Target Time (Hours)]]-Table1[[#This Row],[Downtime (Hours)]])</f>
        <v/>
      </c>
      <c r="M1223" s="53" t="str">
        <f>IFERROR(Table1[[#This Row],[Capacity (Kg)]]/Table1[[#This Row],[Target Time (Hours)]] * Table1[[#This Row],[Downtime (Hours)]], "")</f>
        <v/>
      </c>
      <c r="N1223" s="57" t="str">
        <f>IFERROR(Table1[[#This Row],[Running Time (hr)]]/Table1[Target Time (Hours)], "")</f>
        <v/>
      </c>
      <c r="O1223" s="57">
        <f>IFERROR(Table1[[#This Row],[Actual Production (Kg)]]/Table1[Capacity (Kg)], "")</f>
        <v>1</v>
      </c>
      <c r="P1223" s="57">
        <f>IFERROR(Table1[[#This Row],[Quality Pass Production]]/Table1[[#This Row],[Actual Production (Kg)]], "")</f>
        <v>1</v>
      </c>
      <c r="Q1223" s="57" t="str">
        <f>IFERROR(Table1[[#This Row],[Utilization %]]*Table1[[#This Row],[Efficiency %]]*Table1[[#This Row],[Quality %]], "")</f>
        <v/>
      </c>
      <c r="R1223" s="52"/>
    </row>
    <row r="1224" spans="1:18" ht="30" customHeight="1" x14ac:dyDescent="0.25">
      <c r="A1224" s="47">
        <v>46226</v>
      </c>
      <c r="B1224" s="48" t="s">
        <v>33</v>
      </c>
      <c r="C1224" s="48" t="s">
        <v>34</v>
      </c>
      <c r="D1224" s="48" t="s">
        <v>35</v>
      </c>
      <c r="E1224" s="49">
        <v>9000</v>
      </c>
      <c r="F1224" s="76">
        <v>4289</v>
      </c>
      <c r="G1224" s="49">
        <v>0</v>
      </c>
      <c r="H1224" s="50">
        <f>IFERROR(Table1[Re-process (Kg)]/Table1[Actual Production (Kg)], "")</f>
        <v>0</v>
      </c>
      <c r="I1224" s="49">
        <f>IFERROR(Table1[[#This Row],[Actual Production (Kg)]]-Table1[[#This Row],[Re-process (Kg)]], "")</f>
        <v>4289</v>
      </c>
      <c r="J1224" s="49">
        <v>22</v>
      </c>
      <c r="K1224" s="72"/>
      <c r="L1224" s="49">
        <f>IF(Table1[[#This Row],[Target Time (Hours)]]="","",Table1[[#This Row],[Target Time (Hours)]]-Table1[[#This Row],[Downtime (Hours)]])</f>
        <v>22</v>
      </c>
      <c r="M1224" s="49">
        <f>IFERROR(Table1[[#This Row],[Capacity (Kg)]]/Table1[[#This Row],[Target Time (Hours)]] * Table1[[#This Row],[Downtime (Hours)]], "")</f>
        <v>0</v>
      </c>
      <c r="N1224" s="50">
        <f>IFERROR(Table1[[#This Row],[Running Time (hr)]]/Table1[Target Time (Hours)], "")</f>
        <v>1</v>
      </c>
      <c r="O1224" s="50">
        <f>IFERROR(Table1[[#This Row],[Actual Production (Kg)]]/Table1[Capacity (Kg)], "")</f>
        <v>0.47655555555555557</v>
      </c>
      <c r="P1224" s="50">
        <f>IFERROR(Table1[[#This Row],[Quality Pass Production]]/Table1[[#This Row],[Actual Production (Kg)]], "")</f>
        <v>1</v>
      </c>
      <c r="Q1224" s="50">
        <f>IFERROR(Table1[[#This Row],[Utilization %]]*Table1[[#This Row],[Efficiency %]]*Table1[[#This Row],[Quality %]], "")</f>
        <v>0.47655555555555557</v>
      </c>
    </row>
    <row r="1225" spans="1:18" ht="30" customHeight="1" x14ac:dyDescent="0.25">
      <c r="A1225" s="47">
        <v>46226</v>
      </c>
      <c r="B1225" s="48" t="s">
        <v>33</v>
      </c>
      <c r="C1225" s="48" t="s">
        <v>36</v>
      </c>
      <c r="D1225" s="48" t="s">
        <v>37</v>
      </c>
      <c r="E1225" s="49">
        <v>8000</v>
      </c>
      <c r="F1225" s="76">
        <v>4290</v>
      </c>
      <c r="G1225" s="49">
        <v>0</v>
      </c>
      <c r="H1225" s="50">
        <f>IFERROR(Table1[Re-process (Kg)]/Table1[Actual Production (Kg)], "")</f>
        <v>0</v>
      </c>
      <c r="I1225" s="49">
        <f>IFERROR(Table1[[#This Row],[Actual Production (Kg)]]-Table1[[#This Row],[Re-process (Kg)]], "")</f>
        <v>4290</v>
      </c>
      <c r="J1225" s="49">
        <v>22</v>
      </c>
      <c r="K1225" s="72">
        <v>1.5</v>
      </c>
      <c r="L1225" s="49">
        <f>IF(Table1[[#This Row],[Target Time (Hours)]]="","",Table1[[#This Row],[Target Time (Hours)]]-Table1[[#This Row],[Downtime (Hours)]])</f>
        <v>20.5</v>
      </c>
      <c r="M1225" s="49">
        <f>IFERROR(Table1[[#This Row],[Capacity (Kg)]]/Table1[[#This Row],[Target Time (Hours)]] * Table1[[#This Row],[Downtime (Hours)]], "")</f>
        <v>545.4545454545455</v>
      </c>
      <c r="N1225" s="50">
        <f>IFERROR(Table1[[#This Row],[Running Time (hr)]]/Table1[Target Time (Hours)], "")</f>
        <v>0.93181818181818177</v>
      </c>
      <c r="O1225" s="50">
        <f>IFERROR(Table1[[#This Row],[Actual Production (Kg)]]/Table1[Capacity (Kg)], "")</f>
        <v>0.53625</v>
      </c>
      <c r="P1225" s="50">
        <f>IFERROR(Table1[[#This Row],[Quality Pass Production]]/Table1[[#This Row],[Actual Production (Kg)]], "")</f>
        <v>1</v>
      </c>
      <c r="Q1225" s="50">
        <f>IFERROR(Table1[[#This Row],[Utilization %]]*Table1[[#This Row],[Efficiency %]]*Table1[[#This Row],[Quality %]], "")</f>
        <v>0.49968749999999995</v>
      </c>
      <c r="R1225" s="48" t="s">
        <v>319</v>
      </c>
    </row>
    <row r="1226" spans="1:18" ht="30" customHeight="1" x14ac:dyDescent="0.25">
      <c r="A1226" s="47">
        <v>46226</v>
      </c>
      <c r="B1226" s="48" t="s">
        <v>33</v>
      </c>
      <c r="C1226" s="48" t="s">
        <v>39</v>
      </c>
      <c r="D1226" s="48" t="s">
        <v>31</v>
      </c>
      <c r="E1226" s="49">
        <v>6000</v>
      </c>
      <c r="F1226" s="76">
        <v>2200</v>
      </c>
      <c r="G1226" s="49">
        <v>0</v>
      </c>
      <c r="H1226" s="50">
        <f>IFERROR(Table1[Re-process (Kg)]/Table1[Actual Production (Kg)], "")</f>
        <v>0</v>
      </c>
      <c r="I1226" s="49">
        <f>IFERROR(Table1[[#This Row],[Actual Production (Kg)]]-Table1[[#This Row],[Re-process (Kg)]], "")</f>
        <v>2200</v>
      </c>
      <c r="J1226" s="49">
        <v>22</v>
      </c>
      <c r="K1226" s="72"/>
      <c r="L1226" s="49">
        <f>IF(Table1[[#This Row],[Target Time (Hours)]]="","",Table1[[#This Row],[Target Time (Hours)]]-Table1[[#This Row],[Downtime (Hours)]])</f>
        <v>22</v>
      </c>
      <c r="M1226" s="49">
        <f>IFERROR(Table1[[#This Row],[Capacity (Kg)]]/Table1[[#This Row],[Target Time (Hours)]] * Table1[[#This Row],[Downtime (Hours)]], "")</f>
        <v>0</v>
      </c>
      <c r="N1226" s="50">
        <f>IFERROR(Table1[[#This Row],[Running Time (hr)]]/Table1[Target Time (Hours)], "")</f>
        <v>1</v>
      </c>
      <c r="O1226" s="50">
        <f>IFERROR(Table1[[#This Row],[Actual Production (Kg)]]/Table1[Capacity (Kg)], "")</f>
        <v>0.36666666666666664</v>
      </c>
      <c r="P1226" s="50">
        <f>IFERROR(Table1[[#This Row],[Quality Pass Production]]/Table1[[#This Row],[Actual Production (Kg)]], "")</f>
        <v>1</v>
      </c>
      <c r="Q1226" s="50">
        <f>IFERROR(Table1[[#This Row],[Utilization %]]*Table1[[#This Row],[Efficiency %]]*Table1[[#This Row],[Quality %]], "")</f>
        <v>0.36666666666666664</v>
      </c>
      <c r="R1226" s="48" t="s">
        <v>312</v>
      </c>
    </row>
    <row r="1227" spans="1:18" ht="45" customHeight="1" x14ac:dyDescent="0.25">
      <c r="A1227" s="54">
        <v>46226</v>
      </c>
      <c r="B1227" s="55" t="s">
        <v>33</v>
      </c>
      <c r="C1227" s="55" t="s">
        <v>40</v>
      </c>
      <c r="D1227" s="55" t="s">
        <v>31</v>
      </c>
      <c r="E1227" s="56">
        <v>5000</v>
      </c>
      <c r="F1227" s="56">
        <v>1622</v>
      </c>
      <c r="G1227" s="56">
        <v>0</v>
      </c>
      <c r="H1227" s="58">
        <f>IFERROR(Table1[Re-process (Kg)]/Table1[Actual Production (Kg)], "")</f>
        <v>0</v>
      </c>
      <c r="I1227" s="56">
        <f>IFERROR(Table1[[#This Row],[Actual Production (Kg)]]-Table1[[#This Row],[Re-process (Kg)]], "")</f>
        <v>1622</v>
      </c>
      <c r="J1227" s="56">
        <v>22</v>
      </c>
      <c r="K1227" s="55"/>
      <c r="L1227" s="56">
        <f>IF(Table1[[#This Row],[Target Time (Hours)]]="","",Table1[[#This Row],[Target Time (Hours)]]-Table1[[#This Row],[Downtime (Hours)]])</f>
        <v>22</v>
      </c>
      <c r="M1227" s="56">
        <f>IFERROR(Table1[[#This Row],[Capacity (Kg)]]/Table1[[#This Row],[Target Time (Hours)]] * Table1[[#This Row],[Downtime (Hours)]], "")</f>
        <v>0</v>
      </c>
      <c r="N1227" s="58">
        <f>IFERROR(Table1[[#This Row],[Running Time (hr)]]/Table1[Target Time (Hours)], "")</f>
        <v>1</v>
      </c>
      <c r="O1227" s="58">
        <f>IFERROR(Table1[[#This Row],[Actual Production (Kg)]]/Table1[Capacity (Kg)], "")</f>
        <v>0.32440000000000002</v>
      </c>
      <c r="P1227" s="58">
        <f>IFERROR(Table1[[#This Row],[Quality Pass Production]]/Table1[[#This Row],[Actual Production (Kg)]], "")</f>
        <v>1</v>
      </c>
      <c r="Q1227" s="58">
        <f>IFERROR(Table1[[#This Row],[Utilization %]]*Table1[[#This Row],[Efficiency %]]*Table1[[#This Row],[Quality %]], "")</f>
        <v>0.32440000000000002</v>
      </c>
      <c r="R1227" s="55" t="s">
        <v>312</v>
      </c>
    </row>
    <row r="1228" spans="1:18" ht="30" customHeight="1" x14ac:dyDescent="0.25">
      <c r="A1228" s="47">
        <v>46228</v>
      </c>
      <c r="B1228" s="48" t="s">
        <v>18</v>
      </c>
      <c r="C1228" s="48" t="s">
        <v>19</v>
      </c>
      <c r="D1228" s="48" t="s">
        <v>20</v>
      </c>
      <c r="E1228" s="49">
        <v>10000</v>
      </c>
      <c r="F1228" s="76">
        <v>6310</v>
      </c>
      <c r="G1228" s="49">
        <v>0</v>
      </c>
      <c r="H1228" s="50">
        <f>IFERROR(Table1[Re-process (Kg)]/Table1[Actual Production (Kg)], "")</f>
        <v>0</v>
      </c>
      <c r="I1228" s="49">
        <f>IFERROR(Table1[[#This Row],[Actual Production (Kg)]]-Table1[[#This Row],[Re-process (Kg)]], "")</f>
        <v>6310</v>
      </c>
      <c r="J1228" s="49">
        <v>22</v>
      </c>
      <c r="K1228" s="72">
        <v>2.5</v>
      </c>
      <c r="L1228" s="49">
        <f>IF(Table1[[#This Row],[Target Time (Hours)]]="","",Table1[[#This Row],[Target Time (Hours)]]-Table1[[#This Row],[Downtime (Hours)]])</f>
        <v>19.5</v>
      </c>
      <c r="M1228" s="49">
        <f>IFERROR(Table1[[#This Row],[Capacity (Kg)]]/Table1[[#This Row],[Target Time (Hours)]] * Table1[[#This Row],[Downtime (Hours)]], "")</f>
        <v>1136.3636363636365</v>
      </c>
      <c r="N1228" s="50">
        <f>IFERROR(Table1[[#This Row],[Running Time (hr)]]/Table1[Target Time (Hours)], "")</f>
        <v>0.88636363636363635</v>
      </c>
      <c r="O1228" s="50">
        <f>IFERROR(Table1[[#This Row],[Actual Production (Kg)]]/Table1[Capacity (Kg)], "")</f>
        <v>0.63100000000000001</v>
      </c>
      <c r="P1228" s="50">
        <f>IFERROR(Table1[[#This Row],[Quality Pass Production]]/Table1[[#This Row],[Actual Production (Kg)]], "")</f>
        <v>1</v>
      </c>
      <c r="Q1228" s="50">
        <f>IFERROR(Table1[[#This Row],[Utilization %]]*Table1[[#This Row],[Efficiency %]]*Table1[[#This Row],[Quality %]], "")</f>
        <v>0.5592954545454546</v>
      </c>
      <c r="R1228" s="48" t="s">
        <v>326</v>
      </c>
    </row>
    <row r="1229" spans="1:18" x14ac:dyDescent="0.25">
      <c r="A1229" s="51">
        <v>46228</v>
      </c>
      <c r="B1229" s="52" t="s">
        <v>18</v>
      </c>
      <c r="C1229" s="52" t="s">
        <v>238</v>
      </c>
      <c r="D1229" s="52" t="s">
        <v>20</v>
      </c>
      <c r="E1229" s="53">
        <v>9014</v>
      </c>
      <c r="F1229" s="53">
        <v>9014</v>
      </c>
      <c r="G1229" s="53">
        <v>0</v>
      </c>
      <c r="H1229" s="57">
        <f>IFERROR(Table1[Re-process (Kg)]/Table1[Actual Production (Kg)], "")</f>
        <v>0</v>
      </c>
      <c r="I1229" s="53">
        <f>IFERROR(Table1[[#This Row],[Actual Production (Kg)]]-Table1[[#This Row],[Re-process (Kg)]], "")</f>
        <v>9014</v>
      </c>
      <c r="J1229" s="53"/>
      <c r="K1229" s="52"/>
      <c r="L1229" s="53" t="str">
        <f>IF(Table1[[#This Row],[Target Time (Hours)]]="","",Table1[[#This Row],[Target Time (Hours)]]-Table1[[#This Row],[Downtime (Hours)]])</f>
        <v/>
      </c>
      <c r="M1229" s="53" t="str">
        <f>IFERROR(Table1[[#This Row],[Capacity (Kg)]]/Table1[[#This Row],[Target Time (Hours)]] * Table1[[#This Row],[Downtime (Hours)]], "")</f>
        <v/>
      </c>
      <c r="N1229" s="57" t="str">
        <f>IFERROR(Table1[[#This Row],[Running Time (hr)]]/Table1[Target Time (Hours)], "")</f>
        <v/>
      </c>
      <c r="O1229" s="57">
        <f>IFERROR(Table1[[#This Row],[Actual Production (Kg)]]/Table1[Capacity (Kg)], "")</f>
        <v>1</v>
      </c>
      <c r="P1229" s="57">
        <f>IFERROR(Table1[[#This Row],[Quality Pass Production]]/Table1[[#This Row],[Actual Production (Kg)]], "")</f>
        <v>1</v>
      </c>
      <c r="Q1229" s="57" t="str">
        <f>IFERROR(Table1[[#This Row],[Utilization %]]*Table1[[#This Row],[Efficiency %]]*Table1[[#This Row],[Quality %]], "")</f>
        <v/>
      </c>
      <c r="R1229" s="52"/>
    </row>
    <row r="1230" spans="1:18" x14ac:dyDescent="0.25">
      <c r="A1230" s="47">
        <v>46228</v>
      </c>
      <c r="B1230" s="48" t="s">
        <v>18</v>
      </c>
      <c r="C1230" s="48" t="s">
        <v>22</v>
      </c>
      <c r="D1230" s="48" t="s">
        <v>23</v>
      </c>
      <c r="E1230" s="49">
        <v>5000</v>
      </c>
      <c r="F1230" s="76">
        <v>5591</v>
      </c>
      <c r="G1230" s="49">
        <v>0</v>
      </c>
      <c r="H1230" s="50">
        <f>IFERROR(Table1[Re-process (Kg)]/Table1[Actual Production (Kg)], "")</f>
        <v>0</v>
      </c>
      <c r="I1230" s="49">
        <f>IFERROR(Table1[[#This Row],[Actual Production (Kg)]]-Table1[[#This Row],[Re-process (Kg)]], "")</f>
        <v>5591</v>
      </c>
      <c r="J1230" s="49">
        <v>22</v>
      </c>
      <c r="K1230" s="72"/>
      <c r="L1230" s="49">
        <f>IF(Table1[[#This Row],[Target Time (Hours)]]="","",Table1[[#This Row],[Target Time (Hours)]]-Table1[[#This Row],[Downtime (Hours)]])</f>
        <v>22</v>
      </c>
      <c r="M1230" s="49">
        <f>IFERROR(Table1[[#This Row],[Capacity (Kg)]]/Table1[[#This Row],[Target Time (Hours)]] * Table1[[#This Row],[Downtime (Hours)]], "")</f>
        <v>0</v>
      </c>
      <c r="N1230" s="50">
        <f>IFERROR(Table1[[#This Row],[Running Time (hr)]]/Table1[Target Time (Hours)], "")</f>
        <v>1</v>
      </c>
      <c r="O1230" s="50">
        <f>IFERROR(Table1[[#This Row],[Actual Production (Kg)]]/Table1[Capacity (Kg)], "")</f>
        <v>1.1182000000000001</v>
      </c>
      <c r="P1230" s="50">
        <f>IFERROR(Table1[[#This Row],[Quality Pass Production]]/Table1[[#This Row],[Actual Production (Kg)]], "")</f>
        <v>1</v>
      </c>
      <c r="Q1230" s="50">
        <f>IFERROR(Table1[[#This Row],[Utilization %]]*Table1[[#This Row],[Efficiency %]]*Table1[[#This Row],[Quality %]], "")</f>
        <v>1.1182000000000001</v>
      </c>
    </row>
    <row r="1231" spans="1:18" ht="30" customHeight="1" x14ac:dyDescent="0.25">
      <c r="A1231" s="47">
        <v>46228</v>
      </c>
      <c r="B1231" s="48" t="s">
        <v>18</v>
      </c>
      <c r="C1231" s="48" t="s">
        <v>22</v>
      </c>
      <c r="D1231" s="48" t="s">
        <v>25</v>
      </c>
      <c r="E1231" s="49">
        <v>4000</v>
      </c>
      <c r="F1231" s="76">
        <v>1641</v>
      </c>
      <c r="G1231" s="49">
        <v>0</v>
      </c>
      <c r="H1231" s="50">
        <f>IFERROR(Table1[Re-process (Kg)]/Table1[Actual Production (Kg)], "")</f>
        <v>0</v>
      </c>
      <c r="I1231" s="49">
        <f>IFERROR(Table1[[#This Row],[Actual Production (Kg)]]-Table1[[#This Row],[Re-process (Kg)]], "")</f>
        <v>1641</v>
      </c>
      <c r="J1231" s="49"/>
      <c r="K1231" s="72">
        <v>3.15</v>
      </c>
      <c r="L1231" s="49" t="str">
        <f>IF(Table1[[#This Row],[Target Time (Hours)]]="","",Table1[[#This Row],[Target Time (Hours)]]-Table1[[#This Row],[Downtime (Hours)]])</f>
        <v/>
      </c>
      <c r="M1231" s="49" t="str">
        <f>IFERROR(Table1[[#This Row],[Capacity (Kg)]]/Table1[[#This Row],[Target Time (Hours)]] * Table1[[#This Row],[Downtime (Hours)]], "")</f>
        <v/>
      </c>
      <c r="N1231" s="50" t="str">
        <f>IFERROR(Table1[[#This Row],[Running Time (hr)]]/Table1[Target Time (Hours)], "")</f>
        <v/>
      </c>
      <c r="O1231" s="50">
        <f>IFERROR(Table1[[#This Row],[Actual Production (Kg)]]/Table1[Capacity (Kg)], "")</f>
        <v>0.41025</v>
      </c>
      <c r="P1231" s="50">
        <f>IFERROR(Table1[[#This Row],[Quality Pass Production]]/Table1[[#This Row],[Actual Production (Kg)]], "")</f>
        <v>1</v>
      </c>
      <c r="Q1231" s="50" t="str">
        <f>IFERROR(Table1[[#This Row],[Utilization %]]*Table1[[#This Row],[Efficiency %]]*Table1[[#This Row],[Quality %]], "")</f>
        <v/>
      </c>
      <c r="R1231" s="48" t="s">
        <v>327</v>
      </c>
    </row>
    <row r="1232" spans="1:18" ht="30" customHeight="1" x14ac:dyDescent="0.25">
      <c r="A1232" s="47">
        <v>46228</v>
      </c>
      <c r="B1232" s="48" t="s">
        <v>18</v>
      </c>
      <c r="C1232" s="48" t="s">
        <v>26</v>
      </c>
      <c r="D1232" s="48" t="s">
        <v>25</v>
      </c>
      <c r="E1232" s="49">
        <v>7000</v>
      </c>
      <c r="F1232" s="76">
        <v>4934</v>
      </c>
      <c r="G1232" s="49">
        <v>0</v>
      </c>
      <c r="H1232" s="50">
        <f>IFERROR(Table1[Re-process (Kg)]/Table1[Actual Production (Kg)], "")</f>
        <v>0</v>
      </c>
      <c r="I1232" s="49">
        <f>IFERROR(Table1[[#This Row],[Actual Production (Kg)]]-Table1[[#This Row],[Re-process (Kg)]], "")</f>
        <v>4934</v>
      </c>
      <c r="J1232" s="49">
        <v>22</v>
      </c>
      <c r="K1232" s="72">
        <v>8.5</v>
      </c>
      <c r="L1232" s="49">
        <f>IF(Table1[[#This Row],[Target Time (Hours)]]="","",Table1[[#This Row],[Target Time (Hours)]]-Table1[[#This Row],[Downtime (Hours)]])</f>
        <v>13.5</v>
      </c>
      <c r="M1232" s="49">
        <f>IFERROR(Table1[[#This Row],[Capacity (Kg)]]/Table1[[#This Row],[Target Time (Hours)]] * Table1[[#This Row],[Downtime (Hours)]], "")</f>
        <v>2704.5454545454545</v>
      </c>
      <c r="N1232" s="50">
        <f>IFERROR(Table1[[#This Row],[Running Time (hr)]]/Table1[Target Time (Hours)], "")</f>
        <v>0.61363636363636365</v>
      </c>
      <c r="O1232" s="50">
        <f>IFERROR(Table1[[#This Row],[Actual Production (Kg)]]/Table1[Capacity (Kg)], "")</f>
        <v>0.70485714285714285</v>
      </c>
      <c r="P1232" s="50">
        <f>IFERROR(Table1[[#This Row],[Quality Pass Production]]/Table1[[#This Row],[Actual Production (Kg)]], "")</f>
        <v>1</v>
      </c>
      <c r="Q1232" s="50">
        <f>IFERROR(Table1[[#This Row],[Utilization %]]*Table1[[#This Row],[Efficiency %]]*Table1[[#This Row],[Quality %]], "")</f>
        <v>0.43252597402597404</v>
      </c>
      <c r="R1232" s="48" t="s">
        <v>327</v>
      </c>
    </row>
    <row r="1233" spans="1:18" ht="30" customHeight="1" x14ac:dyDescent="0.25">
      <c r="A1233" s="47">
        <v>46228</v>
      </c>
      <c r="B1233" s="48" t="s">
        <v>18</v>
      </c>
      <c r="C1233" s="48" t="s">
        <v>28</v>
      </c>
      <c r="D1233" s="48" t="s">
        <v>29</v>
      </c>
      <c r="E1233" s="49">
        <v>7800</v>
      </c>
      <c r="F1233" s="76">
        <v>5063</v>
      </c>
      <c r="G1233" s="49">
        <v>0</v>
      </c>
      <c r="H1233" s="50">
        <f>IFERROR(Table1[Re-process (Kg)]/Table1[Actual Production (Kg)], "")</f>
        <v>0</v>
      </c>
      <c r="I1233" s="49">
        <f>IFERROR(Table1[[#This Row],[Actual Production (Kg)]]-Table1[[#This Row],[Re-process (Kg)]], "")</f>
        <v>5063</v>
      </c>
      <c r="J1233" s="49">
        <v>22</v>
      </c>
      <c r="K1233" s="72">
        <v>7</v>
      </c>
      <c r="L1233" s="49">
        <f>IF(Table1[[#This Row],[Target Time (Hours)]]="","",Table1[[#This Row],[Target Time (Hours)]]-Table1[[#This Row],[Downtime (Hours)]])</f>
        <v>15</v>
      </c>
      <c r="M1233" s="49">
        <f>IFERROR(Table1[[#This Row],[Capacity (Kg)]]/Table1[[#This Row],[Target Time (Hours)]] * Table1[[#This Row],[Downtime (Hours)]], "")</f>
        <v>2481.818181818182</v>
      </c>
      <c r="N1233" s="50">
        <f>IFERROR(Table1[[#This Row],[Running Time (hr)]]/Table1[Target Time (Hours)], "")</f>
        <v>0.68181818181818177</v>
      </c>
      <c r="O1233" s="50">
        <f>IFERROR(Table1[[#This Row],[Actual Production (Kg)]]/Table1[Capacity (Kg)], "")</f>
        <v>0.64910256410256406</v>
      </c>
      <c r="P1233" s="50">
        <f>IFERROR(Table1[[#This Row],[Quality Pass Production]]/Table1[[#This Row],[Actual Production (Kg)]], "")</f>
        <v>1</v>
      </c>
      <c r="Q1233" s="50">
        <f>IFERROR(Table1[[#This Row],[Utilization %]]*Table1[[#This Row],[Efficiency %]]*Table1[[#This Row],[Quality %]], "")</f>
        <v>0.44256993006993001</v>
      </c>
      <c r="R1233" s="48" t="s">
        <v>328</v>
      </c>
    </row>
    <row r="1234" spans="1:18" ht="30" customHeight="1" x14ac:dyDescent="0.25">
      <c r="A1234" s="51">
        <v>46228</v>
      </c>
      <c r="B1234" s="52" t="s">
        <v>18</v>
      </c>
      <c r="C1234" s="52" t="s">
        <v>135</v>
      </c>
      <c r="D1234" s="52" t="s">
        <v>29</v>
      </c>
      <c r="E1234" s="53"/>
      <c r="F1234" s="53"/>
      <c r="G1234" s="53"/>
      <c r="H1234" s="57" t="str">
        <f>IFERROR(Table1[Re-process (Kg)]/Table1[Actual Production (Kg)], "")</f>
        <v/>
      </c>
      <c r="I1234" s="53">
        <f>IFERROR(Table1[[#This Row],[Actual Production (Kg)]]-Table1[[#This Row],[Re-process (Kg)]], "")</f>
        <v>0</v>
      </c>
      <c r="J1234" s="53"/>
      <c r="K1234" s="52"/>
      <c r="L1234" s="53" t="str">
        <f>IF(Table1[[#This Row],[Target Time (Hours)]]="","",Table1[[#This Row],[Target Time (Hours)]]-Table1[[#This Row],[Downtime (Hours)]])</f>
        <v/>
      </c>
      <c r="M1234" s="53" t="str">
        <f>IFERROR(Table1[[#This Row],[Capacity (Kg)]]/Table1[[#This Row],[Target Time (Hours)]] * Table1[[#This Row],[Downtime (Hours)]], "")</f>
        <v/>
      </c>
      <c r="N1234" s="57" t="str">
        <f>IFERROR(Table1[[#This Row],[Running Time (hr)]]/Table1[Target Time (Hours)], "")</f>
        <v/>
      </c>
      <c r="O1234" s="57" t="str">
        <f>IFERROR(Table1[[#This Row],[Actual Production (Kg)]]/Table1[Capacity (Kg)], "")</f>
        <v/>
      </c>
      <c r="P1234" s="57" t="str">
        <f>IFERROR(Table1[[#This Row],[Quality Pass Production]]/Table1[[#This Row],[Actual Production (Kg)]], "")</f>
        <v/>
      </c>
      <c r="Q1234" s="57" t="str">
        <f>IFERROR(Table1[[#This Row],[Utilization %]]*Table1[[#This Row],[Efficiency %]]*Table1[[#This Row],[Quality %]], "")</f>
        <v/>
      </c>
      <c r="R1234" s="52"/>
    </row>
    <row r="1235" spans="1:18" ht="30" customHeight="1" x14ac:dyDescent="0.25">
      <c r="A1235" s="47">
        <v>46228</v>
      </c>
      <c r="B1235" s="48" t="s">
        <v>18</v>
      </c>
      <c r="C1235" s="48" t="s">
        <v>30</v>
      </c>
      <c r="D1235" s="48" t="s">
        <v>31</v>
      </c>
      <c r="E1235" s="49">
        <v>9000</v>
      </c>
      <c r="F1235" s="76">
        <v>6874</v>
      </c>
      <c r="G1235" s="49">
        <v>0</v>
      </c>
      <c r="H1235" s="50">
        <f>IFERROR(Table1[Re-process (Kg)]/Table1[Actual Production (Kg)], "")</f>
        <v>0</v>
      </c>
      <c r="I1235" s="49">
        <f>IFERROR(Table1[[#This Row],[Actual Production (Kg)]]-Table1[[#This Row],[Re-process (Kg)]], "")</f>
        <v>6874</v>
      </c>
      <c r="J1235" s="49">
        <v>22</v>
      </c>
      <c r="K1235" s="72"/>
      <c r="L1235" s="49">
        <f>IF(Table1[[#This Row],[Target Time (Hours)]]="","",Table1[[#This Row],[Target Time (Hours)]]-Table1[[#This Row],[Downtime (Hours)]])</f>
        <v>22</v>
      </c>
      <c r="M1235" s="49">
        <f>IFERROR(Table1[[#This Row],[Capacity (Kg)]]/Table1[[#This Row],[Target Time (Hours)]] * Table1[[#This Row],[Downtime (Hours)]], "")</f>
        <v>0</v>
      </c>
      <c r="N1235" s="50">
        <f>IFERROR(Table1[[#This Row],[Running Time (hr)]]/Table1[Target Time (Hours)], "")</f>
        <v>1</v>
      </c>
      <c r="O1235" s="50">
        <f>IFERROR(Table1[[#This Row],[Actual Production (Kg)]]/Table1[Capacity (Kg)], "")</f>
        <v>0.76377777777777778</v>
      </c>
      <c r="P1235" s="50">
        <f>IFERROR(Table1[[#This Row],[Quality Pass Production]]/Table1[[#This Row],[Actual Production (Kg)]], "")</f>
        <v>1</v>
      </c>
      <c r="Q1235" s="50">
        <f>IFERROR(Table1[[#This Row],[Utilization %]]*Table1[[#This Row],[Efficiency %]]*Table1[[#This Row],[Quality %]], "")</f>
        <v>0.76377777777777778</v>
      </c>
    </row>
    <row r="1236" spans="1:18" ht="30" customHeight="1" x14ac:dyDescent="0.25">
      <c r="A1236" s="51">
        <v>46228</v>
      </c>
      <c r="B1236" s="52" t="s">
        <v>18</v>
      </c>
      <c r="C1236" s="52" t="s">
        <v>32</v>
      </c>
      <c r="D1236" s="52" t="s">
        <v>31</v>
      </c>
      <c r="E1236" s="53">
        <v>1059</v>
      </c>
      <c r="F1236" s="53">
        <v>1059</v>
      </c>
      <c r="G1236" s="53"/>
      <c r="H1236" s="57">
        <f>IFERROR(Table1[Re-process (Kg)]/Table1[Actual Production (Kg)], "")</f>
        <v>0</v>
      </c>
      <c r="I1236" s="53">
        <f>IFERROR(Table1[[#This Row],[Actual Production (Kg)]]-Table1[[#This Row],[Re-process (Kg)]], "")</f>
        <v>1059</v>
      </c>
      <c r="J1236" s="53"/>
      <c r="K1236" s="52"/>
      <c r="L1236" s="53" t="str">
        <f>IF(Table1[[#This Row],[Target Time (Hours)]]="","",Table1[[#This Row],[Target Time (Hours)]]-Table1[[#This Row],[Downtime (Hours)]])</f>
        <v/>
      </c>
      <c r="M1236" s="53" t="str">
        <f>IFERROR(Table1[[#This Row],[Capacity (Kg)]]/Table1[[#This Row],[Target Time (Hours)]] * Table1[[#This Row],[Downtime (Hours)]], "")</f>
        <v/>
      </c>
      <c r="N1236" s="57" t="str">
        <f>IFERROR(Table1[[#This Row],[Running Time (hr)]]/Table1[Target Time (Hours)], "")</f>
        <v/>
      </c>
      <c r="O1236" s="57">
        <f>IFERROR(Table1[[#This Row],[Actual Production (Kg)]]/Table1[Capacity (Kg)], "")</f>
        <v>1</v>
      </c>
      <c r="P1236" s="57">
        <f>IFERROR(Table1[[#This Row],[Quality Pass Production]]/Table1[[#This Row],[Actual Production (Kg)]], "")</f>
        <v>1</v>
      </c>
      <c r="Q1236" s="57" t="str">
        <f>IFERROR(Table1[[#This Row],[Utilization %]]*Table1[[#This Row],[Efficiency %]]*Table1[[#This Row],[Quality %]], "")</f>
        <v/>
      </c>
      <c r="R1236" s="52"/>
    </row>
    <row r="1237" spans="1:18" ht="30" customHeight="1" x14ac:dyDescent="0.25">
      <c r="A1237" s="47">
        <v>46228</v>
      </c>
      <c r="B1237" s="48" t="s">
        <v>33</v>
      </c>
      <c r="C1237" s="48" t="s">
        <v>34</v>
      </c>
      <c r="D1237" s="48" t="s">
        <v>35</v>
      </c>
      <c r="E1237" s="49">
        <v>9000</v>
      </c>
      <c r="F1237" s="76">
        <v>7180</v>
      </c>
      <c r="G1237" s="49">
        <v>0</v>
      </c>
      <c r="H1237" s="50">
        <f>IFERROR(Table1[Re-process (Kg)]/Table1[Actual Production (Kg)], "")</f>
        <v>0</v>
      </c>
      <c r="I1237" s="49">
        <f>IFERROR(Table1[[#This Row],[Actual Production (Kg)]]-Table1[[#This Row],[Re-process (Kg)]], "")</f>
        <v>7180</v>
      </c>
      <c r="J1237" s="49">
        <v>22</v>
      </c>
      <c r="K1237" s="72"/>
      <c r="L1237" s="49">
        <f>IF(Table1[[#This Row],[Target Time (Hours)]]="","",Table1[[#This Row],[Target Time (Hours)]]-Table1[[#This Row],[Downtime (Hours)]])</f>
        <v>22</v>
      </c>
      <c r="M1237" s="49">
        <f>IFERROR(Table1[[#This Row],[Capacity (Kg)]]/Table1[[#This Row],[Target Time (Hours)]] * Table1[[#This Row],[Downtime (Hours)]], "")</f>
        <v>0</v>
      </c>
      <c r="N1237" s="50">
        <f>IFERROR(Table1[[#This Row],[Running Time (hr)]]/Table1[Target Time (Hours)], "")</f>
        <v>1</v>
      </c>
      <c r="O1237" s="50">
        <f>IFERROR(Table1[[#This Row],[Actual Production (Kg)]]/Table1[Capacity (Kg)], "")</f>
        <v>0.79777777777777781</v>
      </c>
      <c r="P1237" s="50">
        <f>IFERROR(Table1[[#This Row],[Quality Pass Production]]/Table1[[#This Row],[Actual Production (Kg)]], "")</f>
        <v>1</v>
      </c>
      <c r="Q1237" s="50">
        <f>IFERROR(Table1[[#This Row],[Utilization %]]*Table1[[#This Row],[Efficiency %]]*Table1[[#This Row],[Quality %]], "")</f>
        <v>0.79777777777777781</v>
      </c>
    </row>
    <row r="1238" spans="1:18" ht="60" customHeight="1" x14ac:dyDescent="0.25">
      <c r="A1238" s="47">
        <v>46228</v>
      </c>
      <c r="B1238" s="48" t="s">
        <v>33</v>
      </c>
      <c r="C1238" s="48" t="s">
        <v>36</v>
      </c>
      <c r="D1238" s="48" t="s">
        <v>37</v>
      </c>
      <c r="E1238" s="49">
        <v>8000</v>
      </c>
      <c r="F1238" s="76">
        <v>6553</v>
      </c>
      <c r="G1238" s="49">
        <v>0</v>
      </c>
      <c r="H1238" s="50">
        <f>IFERROR(Table1[Re-process (Kg)]/Table1[Actual Production (Kg)], "")</f>
        <v>0</v>
      </c>
      <c r="I1238" s="49">
        <f>IFERROR(Table1[[#This Row],[Actual Production (Kg)]]-Table1[[#This Row],[Re-process (Kg)]], "")</f>
        <v>6553</v>
      </c>
      <c r="J1238" s="49">
        <v>22</v>
      </c>
      <c r="K1238" s="72">
        <v>3.15</v>
      </c>
      <c r="L1238" s="49">
        <f>IF(Table1[[#This Row],[Target Time (Hours)]]="","",Table1[[#This Row],[Target Time (Hours)]]-Table1[[#This Row],[Downtime (Hours)]])</f>
        <v>18.850000000000001</v>
      </c>
      <c r="M1238" s="49">
        <f>IFERROR(Table1[[#This Row],[Capacity (Kg)]]/Table1[[#This Row],[Target Time (Hours)]] * Table1[[#This Row],[Downtime (Hours)]], "")</f>
        <v>1145.4545454545455</v>
      </c>
      <c r="N1238" s="50">
        <f>IFERROR(Table1[[#This Row],[Running Time (hr)]]/Table1[Target Time (Hours)], "")</f>
        <v>0.85681818181818192</v>
      </c>
      <c r="O1238" s="50">
        <f>IFERROR(Table1[[#This Row],[Actual Production (Kg)]]/Table1[Capacity (Kg)], "")</f>
        <v>0.81912499999999999</v>
      </c>
      <c r="P1238" s="50">
        <f>IFERROR(Table1[[#This Row],[Quality Pass Production]]/Table1[[#This Row],[Actual Production (Kg)]], "")</f>
        <v>1</v>
      </c>
      <c r="Q1238" s="50">
        <f>IFERROR(Table1[[#This Row],[Utilization %]]*Table1[[#This Row],[Efficiency %]]*Table1[[#This Row],[Quality %]], "")</f>
        <v>0.70184119318181826</v>
      </c>
      <c r="R1238" s="48" t="s">
        <v>329</v>
      </c>
    </row>
    <row r="1239" spans="1:18" ht="45" customHeight="1" x14ac:dyDescent="0.25">
      <c r="A1239" s="47">
        <v>46228</v>
      </c>
      <c r="B1239" s="48" t="s">
        <v>33</v>
      </c>
      <c r="C1239" s="48" t="s">
        <v>39</v>
      </c>
      <c r="D1239" s="48" t="s">
        <v>31</v>
      </c>
      <c r="E1239" s="49">
        <v>6000</v>
      </c>
      <c r="F1239" s="76">
        <v>3069</v>
      </c>
      <c r="G1239" s="49">
        <v>0</v>
      </c>
      <c r="H1239" s="50">
        <f>IFERROR(Table1[Re-process (Kg)]/Table1[Actual Production (Kg)], "")</f>
        <v>0</v>
      </c>
      <c r="I1239" s="49">
        <f>IFERROR(Table1[[#This Row],[Actual Production (Kg)]]-Table1[[#This Row],[Re-process (Kg)]], "")</f>
        <v>3069</v>
      </c>
      <c r="J1239" s="49">
        <v>22</v>
      </c>
      <c r="K1239" s="72">
        <v>3</v>
      </c>
      <c r="L1239" s="49">
        <f>IF(Table1[[#This Row],[Target Time (Hours)]]="","",Table1[[#This Row],[Target Time (Hours)]]-Table1[[#This Row],[Downtime (Hours)]])</f>
        <v>19</v>
      </c>
      <c r="M1239" s="49">
        <f>IFERROR(Table1[[#This Row],[Capacity (Kg)]]/Table1[[#This Row],[Target Time (Hours)]] * Table1[[#This Row],[Downtime (Hours)]], "")</f>
        <v>818.18181818181824</v>
      </c>
      <c r="N1239" s="50">
        <f>IFERROR(Table1[[#This Row],[Running Time (hr)]]/Table1[Target Time (Hours)], "")</f>
        <v>0.86363636363636365</v>
      </c>
      <c r="O1239" s="50">
        <f>IFERROR(Table1[[#This Row],[Actual Production (Kg)]]/Table1[Capacity (Kg)], "")</f>
        <v>0.51149999999999995</v>
      </c>
      <c r="P1239" s="50">
        <f>IFERROR(Table1[[#This Row],[Quality Pass Production]]/Table1[[#This Row],[Actual Production (Kg)]], "")</f>
        <v>1</v>
      </c>
      <c r="Q1239" s="50">
        <f>IFERROR(Table1[[#This Row],[Utilization %]]*Table1[[#This Row],[Efficiency %]]*Table1[[#This Row],[Quality %]], "")</f>
        <v>0.44174999999999998</v>
      </c>
      <c r="R1239" s="48" t="s">
        <v>330</v>
      </c>
    </row>
    <row r="1240" spans="1:18" ht="45" customHeight="1" x14ac:dyDescent="0.25">
      <c r="A1240" s="54">
        <v>46228</v>
      </c>
      <c r="B1240" s="55" t="s">
        <v>33</v>
      </c>
      <c r="C1240" s="55" t="s">
        <v>40</v>
      </c>
      <c r="D1240" s="55" t="s">
        <v>31</v>
      </c>
      <c r="E1240" s="56">
        <v>5000</v>
      </c>
      <c r="F1240" s="56">
        <v>3740</v>
      </c>
      <c r="G1240" s="56">
        <v>0</v>
      </c>
      <c r="H1240" s="58">
        <f>IFERROR(Table1[Re-process (Kg)]/Table1[Actual Production (Kg)], "")</f>
        <v>0</v>
      </c>
      <c r="I1240" s="56">
        <f>IFERROR(Table1[[#This Row],[Actual Production (Kg)]]-Table1[[#This Row],[Re-process (Kg)]], "")</f>
        <v>3740</v>
      </c>
      <c r="J1240" s="56">
        <v>22</v>
      </c>
      <c r="K1240" s="55"/>
      <c r="L1240" s="56">
        <f>IF(Table1[[#This Row],[Target Time (Hours)]]="","",Table1[[#This Row],[Target Time (Hours)]]-Table1[[#This Row],[Downtime (Hours)]])</f>
        <v>22</v>
      </c>
      <c r="M1240" s="56">
        <f>IFERROR(Table1[[#This Row],[Capacity (Kg)]]/Table1[[#This Row],[Target Time (Hours)]] * Table1[[#This Row],[Downtime (Hours)]], "")</f>
        <v>0</v>
      </c>
      <c r="N1240" s="58">
        <f>IFERROR(Table1[[#This Row],[Running Time (hr)]]/Table1[Target Time (Hours)], "")</f>
        <v>1</v>
      </c>
      <c r="O1240" s="58">
        <f>IFERROR(Table1[[#This Row],[Actual Production (Kg)]]/Table1[Capacity (Kg)], "")</f>
        <v>0.748</v>
      </c>
      <c r="P1240" s="58">
        <f>IFERROR(Table1[[#This Row],[Quality Pass Production]]/Table1[[#This Row],[Actual Production (Kg)]], "")</f>
        <v>1</v>
      </c>
      <c r="Q1240" s="58">
        <f>IFERROR(Table1[[#This Row],[Utilization %]]*Table1[[#This Row],[Efficiency %]]*Table1[[#This Row],[Quality %]], "")</f>
        <v>0.748</v>
      </c>
      <c r="R1240" s="55"/>
    </row>
    <row r="1241" spans="1:18" ht="60" customHeight="1" x14ac:dyDescent="0.25">
      <c r="A1241" s="47">
        <v>46229</v>
      </c>
      <c r="B1241" s="48" t="s">
        <v>18</v>
      </c>
      <c r="C1241" s="48" t="s">
        <v>19</v>
      </c>
      <c r="D1241" s="48" t="s">
        <v>20</v>
      </c>
      <c r="E1241" s="49">
        <v>10000</v>
      </c>
      <c r="F1241" s="76">
        <v>6529</v>
      </c>
      <c r="G1241" s="49">
        <v>0</v>
      </c>
      <c r="H1241" s="50">
        <f>IFERROR(Table1[Re-process (Kg)]/Table1[Actual Production (Kg)], "")</f>
        <v>0</v>
      </c>
      <c r="I1241" s="49">
        <f>IFERROR(Table1[[#This Row],[Actual Production (Kg)]]-Table1[[#This Row],[Re-process (Kg)]], "")</f>
        <v>6529</v>
      </c>
      <c r="J1241" s="49">
        <v>22</v>
      </c>
      <c r="K1241" s="72">
        <v>3</v>
      </c>
      <c r="L1241" s="49">
        <f>IF(Table1[[#This Row],[Target Time (Hours)]]="","",Table1[[#This Row],[Target Time (Hours)]]-Table1[[#This Row],[Downtime (Hours)]])</f>
        <v>19</v>
      </c>
      <c r="M1241" s="49">
        <f>IFERROR(Table1[[#This Row],[Capacity (Kg)]]/Table1[[#This Row],[Target Time (Hours)]] * Table1[[#This Row],[Downtime (Hours)]], "")</f>
        <v>1363.6363636363637</v>
      </c>
      <c r="N1241" s="50">
        <f>IFERROR(Table1[[#This Row],[Running Time (hr)]]/Table1[Target Time (Hours)], "")</f>
        <v>0.86363636363636365</v>
      </c>
      <c r="O1241" s="50">
        <f>IFERROR(Table1[[#This Row],[Actual Production (Kg)]]/Table1[Capacity (Kg)], "")</f>
        <v>0.65290000000000004</v>
      </c>
      <c r="P1241" s="50">
        <f>IFERROR(Table1[[#This Row],[Quality Pass Production]]/Table1[[#This Row],[Actual Production (Kg)]], "")</f>
        <v>1</v>
      </c>
      <c r="Q1241" s="50">
        <f>IFERROR(Table1[[#This Row],[Utilization %]]*Table1[[#This Row],[Efficiency %]]*Table1[[#This Row],[Quality %]], "")</f>
        <v>0.56386818181818188</v>
      </c>
      <c r="R1241" s="48" t="s">
        <v>331</v>
      </c>
    </row>
    <row r="1242" spans="1:18" x14ac:dyDescent="0.25">
      <c r="A1242" s="51">
        <v>46229</v>
      </c>
      <c r="B1242" s="52" t="s">
        <v>18</v>
      </c>
      <c r="C1242" s="52" t="s">
        <v>238</v>
      </c>
      <c r="D1242" s="52" t="s">
        <v>20</v>
      </c>
      <c r="E1242" s="53">
        <v>9933</v>
      </c>
      <c r="F1242" s="53">
        <v>9933</v>
      </c>
      <c r="G1242" s="53">
        <v>0</v>
      </c>
      <c r="H1242" s="57">
        <f>IFERROR(Table1[Re-process (Kg)]/Table1[Actual Production (Kg)], "")</f>
        <v>0</v>
      </c>
      <c r="I1242" s="53">
        <f>IFERROR(Table1[[#This Row],[Actual Production (Kg)]]-Table1[[#This Row],[Re-process (Kg)]], "")</f>
        <v>9933</v>
      </c>
      <c r="J1242" s="53"/>
      <c r="K1242" s="52"/>
      <c r="L1242" s="53" t="str">
        <f>IF(Table1[[#This Row],[Target Time (Hours)]]="","",Table1[[#This Row],[Target Time (Hours)]]-Table1[[#This Row],[Downtime (Hours)]])</f>
        <v/>
      </c>
      <c r="M1242" s="53" t="str">
        <f>IFERROR(Table1[[#This Row],[Capacity (Kg)]]/Table1[[#This Row],[Target Time (Hours)]] * Table1[[#This Row],[Downtime (Hours)]], "")</f>
        <v/>
      </c>
      <c r="N1242" s="57" t="str">
        <f>IFERROR(Table1[[#This Row],[Running Time (hr)]]/Table1[Target Time (Hours)], "")</f>
        <v/>
      </c>
      <c r="O1242" s="57">
        <f>IFERROR(Table1[[#This Row],[Actual Production (Kg)]]/Table1[Capacity (Kg)], "")</f>
        <v>1</v>
      </c>
      <c r="P1242" s="57">
        <f>IFERROR(Table1[[#This Row],[Quality Pass Production]]/Table1[[#This Row],[Actual Production (Kg)]], "")</f>
        <v>1</v>
      </c>
      <c r="Q1242" s="57" t="str">
        <f>IFERROR(Table1[[#This Row],[Utilization %]]*Table1[[#This Row],[Efficiency %]]*Table1[[#This Row],[Quality %]], "")</f>
        <v/>
      </c>
      <c r="R1242" s="52"/>
    </row>
    <row r="1243" spans="1:18" x14ac:dyDescent="0.25">
      <c r="A1243" s="47">
        <v>46229</v>
      </c>
      <c r="B1243" s="48" t="s">
        <v>18</v>
      </c>
      <c r="C1243" s="48" t="s">
        <v>22</v>
      </c>
      <c r="D1243" s="48" t="s">
        <v>23</v>
      </c>
      <c r="E1243" s="49">
        <v>5000</v>
      </c>
      <c r="F1243" s="76">
        <v>4253</v>
      </c>
      <c r="G1243" s="49">
        <v>0</v>
      </c>
      <c r="H1243" s="50">
        <f>IFERROR(Table1[Re-process (Kg)]/Table1[Actual Production (Kg)], "")</f>
        <v>0</v>
      </c>
      <c r="I1243" s="49">
        <f>IFERROR(Table1[[#This Row],[Actual Production (Kg)]]-Table1[[#This Row],[Re-process (Kg)]], "")</f>
        <v>4253</v>
      </c>
      <c r="J1243" s="49">
        <v>22</v>
      </c>
      <c r="K1243" s="72"/>
      <c r="L1243" s="49">
        <f>IF(Table1[[#This Row],[Target Time (Hours)]]="","",Table1[[#This Row],[Target Time (Hours)]]-Table1[[#This Row],[Downtime (Hours)]])</f>
        <v>22</v>
      </c>
      <c r="M1243" s="49">
        <f>IFERROR(Table1[[#This Row],[Capacity (Kg)]]/Table1[[#This Row],[Target Time (Hours)]] * Table1[[#This Row],[Downtime (Hours)]], "")</f>
        <v>0</v>
      </c>
      <c r="N1243" s="50">
        <f>IFERROR(Table1[[#This Row],[Running Time (hr)]]/Table1[Target Time (Hours)], "")</f>
        <v>1</v>
      </c>
      <c r="O1243" s="50">
        <f>IFERROR(Table1[[#This Row],[Actual Production (Kg)]]/Table1[Capacity (Kg)], "")</f>
        <v>0.85060000000000002</v>
      </c>
      <c r="P1243" s="50">
        <f>IFERROR(Table1[[#This Row],[Quality Pass Production]]/Table1[[#This Row],[Actual Production (Kg)]], "")</f>
        <v>1</v>
      </c>
      <c r="Q1243" s="50">
        <f>IFERROR(Table1[[#This Row],[Utilization %]]*Table1[[#This Row],[Efficiency %]]*Table1[[#This Row],[Quality %]], "")</f>
        <v>0.85060000000000002</v>
      </c>
    </row>
    <row r="1244" spans="1:18" x14ac:dyDescent="0.25">
      <c r="A1244" s="47">
        <v>46229</v>
      </c>
      <c r="B1244" s="48" t="s">
        <v>18</v>
      </c>
      <c r="C1244" s="48" t="s">
        <v>22</v>
      </c>
      <c r="D1244" s="48" t="s">
        <v>25</v>
      </c>
      <c r="E1244" s="49">
        <v>4000</v>
      </c>
      <c r="F1244" s="76">
        <v>4944</v>
      </c>
      <c r="G1244" s="49">
        <v>0</v>
      </c>
      <c r="H1244" s="50">
        <f>IFERROR(Table1[Re-process (Kg)]/Table1[Actual Production (Kg)], "")</f>
        <v>0</v>
      </c>
      <c r="I1244" s="49">
        <f>IFERROR(Table1[[#This Row],[Actual Production (Kg)]]-Table1[[#This Row],[Re-process (Kg)]], "")</f>
        <v>4944</v>
      </c>
      <c r="J1244" s="49"/>
      <c r="K1244" s="72"/>
      <c r="L1244" s="49" t="str">
        <f>IF(Table1[[#This Row],[Target Time (Hours)]]="","",Table1[[#This Row],[Target Time (Hours)]]-Table1[[#This Row],[Downtime (Hours)]])</f>
        <v/>
      </c>
      <c r="M1244" s="49" t="str">
        <f>IFERROR(Table1[[#This Row],[Capacity (Kg)]]/Table1[[#This Row],[Target Time (Hours)]] * Table1[[#This Row],[Downtime (Hours)]], "")</f>
        <v/>
      </c>
      <c r="N1244" s="50" t="str">
        <f>IFERROR(Table1[[#This Row],[Running Time (hr)]]/Table1[Target Time (Hours)], "")</f>
        <v/>
      </c>
      <c r="O1244" s="50">
        <f>IFERROR(Table1[[#This Row],[Actual Production (Kg)]]/Table1[Capacity (Kg)], "")</f>
        <v>1.236</v>
      </c>
      <c r="P1244" s="50">
        <f>IFERROR(Table1[[#This Row],[Quality Pass Production]]/Table1[[#This Row],[Actual Production (Kg)]], "")</f>
        <v>1</v>
      </c>
      <c r="Q1244" s="50" t="str">
        <f>IFERROR(Table1[[#This Row],[Utilization %]]*Table1[[#This Row],[Efficiency %]]*Table1[[#This Row],[Quality %]], "")</f>
        <v/>
      </c>
    </row>
    <row r="1245" spans="1:18" ht="30" customHeight="1" x14ac:dyDescent="0.25">
      <c r="A1245" s="47">
        <v>46229</v>
      </c>
      <c r="B1245" s="48" t="s">
        <v>18</v>
      </c>
      <c r="C1245" s="48" t="s">
        <v>26</v>
      </c>
      <c r="D1245" s="48" t="s">
        <v>25</v>
      </c>
      <c r="E1245" s="49">
        <v>7000</v>
      </c>
      <c r="F1245" s="76">
        <v>4890</v>
      </c>
      <c r="G1245" s="49">
        <v>0</v>
      </c>
      <c r="H1245" s="50">
        <f>IFERROR(Table1[Re-process (Kg)]/Table1[Actual Production (Kg)], "")</f>
        <v>0</v>
      </c>
      <c r="I1245" s="49">
        <f>IFERROR(Table1[[#This Row],[Actual Production (Kg)]]-Table1[[#This Row],[Re-process (Kg)]], "")</f>
        <v>4890</v>
      </c>
      <c r="J1245" s="49">
        <v>22</v>
      </c>
      <c r="K1245" s="72">
        <v>6</v>
      </c>
      <c r="L1245" s="49">
        <f>IF(Table1[[#This Row],[Target Time (Hours)]]="","",Table1[[#This Row],[Target Time (Hours)]]-Table1[[#This Row],[Downtime (Hours)]])</f>
        <v>16</v>
      </c>
      <c r="M1245" s="49">
        <f>IFERROR(Table1[[#This Row],[Capacity (Kg)]]/Table1[[#This Row],[Target Time (Hours)]] * Table1[[#This Row],[Downtime (Hours)]], "")</f>
        <v>1909.090909090909</v>
      </c>
      <c r="N1245" s="50">
        <f>IFERROR(Table1[[#This Row],[Running Time (hr)]]/Table1[Target Time (Hours)], "")</f>
        <v>0.72727272727272729</v>
      </c>
      <c r="O1245" s="50">
        <f>IFERROR(Table1[[#This Row],[Actual Production (Kg)]]/Table1[Capacity (Kg)], "")</f>
        <v>0.69857142857142862</v>
      </c>
      <c r="P1245" s="50">
        <f>IFERROR(Table1[[#This Row],[Quality Pass Production]]/Table1[[#This Row],[Actual Production (Kg)]], "")</f>
        <v>1</v>
      </c>
      <c r="Q1245" s="50">
        <f>IFERROR(Table1[[#This Row],[Utilization %]]*Table1[[#This Row],[Efficiency %]]*Table1[[#This Row],[Quality %]], "")</f>
        <v>0.50805194805194809</v>
      </c>
      <c r="R1245" s="48" t="s">
        <v>332</v>
      </c>
    </row>
    <row r="1246" spans="1:18" ht="30" customHeight="1" x14ac:dyDescent="0.25">
      <c r="A1246" s="47">
        <v>46229</v>
      </c>
      <c r="B1246" s="48" t="s">
        <v>18</v>
      </c>
      <c r="C1246" s="48" t="s">
        <v>28</v>
      </c>
      <c r="D1246" s="48" t="s">
        <v>29</v>
      </c>
      <c r="E1246" s="49">
        <v>7800</v>
      </c>
      <c r="F1246" s="76">
        <v>5082</v>
      </c>
      <c r="G1246" s="49">
        <v>0</v>
      </c>
      <c r="H1246" s="50">
        <f>IFERROR(Table1[Re-process (Kg)]/Table1[Actual Production (Kg)], "")</f>
        <v>0</v>
      </c>
      <c r="I1246" s="49">
        <f>IFERROR(Table1[[#This Row],[Actual Production (Kg)]]-Table1[[#This Row],[Re-process (Kg)]], "")</f>
        <v>5082</v>
      </c>
      <c r="J1246" s="49">
        <v>22</v>
      </c>
      <c r="K1246" s="72">
        <v>5</v>
      </c>
      <c r="L1246" s="49">
        <f>IF(Table1[[#This Row],[Target Time (Hours)]]="","",Table1[[#This Row],[Target Time (Hours)]]-Table1[[#This Row],[Downtime (Hours)]])</f>
        <v>17</v>
      </c>
      <c r="M1246" s="49">
        <f>IFERROR(Table1[[#This Row],[Capacity (Kg)]]/Table1[[#This Row],[Target Time (Hours)]] * Table1[[#This Row],[Downtime (Hours)]], "")</f>
        <v>1772.7272727272727</v>
      </c>
      <c r="N1246" s="50">
        <f>IFERROR(Table1[[#This Row],[Running Time (hr)]]/Table1[Target Time (Hours)], "")</f>
        <v>0.77272727272727271</v>
      </c>
      <c r="O1246" s="50">
        <f>IFERROR(Table1[[#This Row],[Actual Production (Kg)]]/Table1[Capacity (Kg)], "")</f>
        <v>0.65153846153846151</v>
      </c>
      <c r="P1246" s="50">
        <f>IFERROR(Table1[[#This Row],[Quality Pass Production]]/Table1[[#This Row],[Actual Production (Kg)]], "")</f>
        <v>1</v>
      </c>
      <c r="Q1246" s="50">
        <f>IFERROR(Table1[[#This Row],[Utilization %]]*Table1[[#This Row],[Efficiency %]]*Table1[[#This Row],[Quality %]], "")</f>
        <v>0.5034615384615384</v>
      </c>
      <c r="R1246" s="48" t="s">
        <v>333</v>
      </c>
    </row>
    <row r="1247" spans="1:18" ht="30" customHeight="1" x14ac:dyDescent="0.25">
      <c r="A1247" s="51">
        <v>46229</v>
      </c>
      <c r="B1247" s="52" t="s">
        <v>18</v>
      </c>
      <c r="C1247" s="52" t="s">
        <v>135</v>
      </c>
      <c r="D1247" s="52" t="s">
        <v>29</v>
      </c>
      <c r="E1247" s="53"/>
      <c r="F1247" s="53"/>
      <c r="G1247" s="53"/>
      <c r="H1247" s="57" t="str">
        <f>IFERROR(Table1[Re-process (Kg)]/Table1[Actual Production (Kg)], "")</f>
        <v/>
      </c>
      <c r="I1247" s="53">
        <f>IFERROR(Table1[[#This Row],[Actual Production (Kg)]]-Table1[[#This Row],[Re-process (Kg)]], "")</f>
        <v>0</v>
      </c>
      <c r="J1247" s="53"/>
      <c r="K1247" s="52"/>
      <c r="L1247" s="53" t="str">
        <f>IF(Table1[[#This Row],[Target Time (Hours)]]="","",Table1[[#This Row],[Target Time (Hours)]]-Table1[[#This Row],[Downtime (Hours)]])</f>
        <v/>
      </c>
      <c r="M1247" s="53" t="str">
        <f>IFERROR(Table1[[#This Row],[Capacity (Kg)]]/Table1[[#This Row],[Target Time (Hours)]] * Table1[[#This Row],[Downtime (Hours)]], "")</f>
        <v/>
      </c>
      <c r="N1247" s="57" t="str">
        <f>IFERROR(Table1[[#This Row],[Running Time (hr)]]/Table1[Target Time (Hours)], "")</f>
        <v/>
      </c>
      <c r="O1247" s="57" t="str">
        <f>IFERROR(Table1[[#This Row],[Actual Production (Kg)]]/Table1[Capacity (Kg)], "")</f>
        <v/>
      </c>
      <c r="P1247" s="57" t="str">
        <f>IFERROR(Table1[[#This Row],[Quality Pass Production]]/Table1[[#This Row],[Actual Production (Kg)]], "")</f>
        <v/>
      </c>
      <c r="Q1247" s="57" t="str">
        <f>IFERROR(Table1[[#This Row],[Utilization %]]*Table1[[#This Row],[Efficiency %]]*Table1[[#This Row],[Quality %]], "")</f>
        <v/>
      </c>
      <c r="R1247" s="52"/>
    </row>
    <row r="1248" spans="1:18" ht="30" customHeight="1" x14ac:dyDescent="0.25">
      <c r="A1248" s="47">
        <v>46229</v>
      </c>
      <c r="B1248" s="48" t="s">
        <v>18</v>
      </c>
      <c r="C1248" s="48" t="s">
        <v>30</v>
      </c>
      <c r="D1248" s="48" t="s">
        <v>31</v>
      </c>
      <c r="E1248" s="49">
        <v>9000</v>
      </c>
      <c r="F1248" s="76">
        <v>8038</v>
      </c>
      <c r="G1248" s="49">
        <v>0</v>
      </c>
      <c r="H1248" s="50">
        <f>IFERROR(Table1[Re-process (Kg)]/Table1[Actual Production (Kg)], "")</f>
        <v>0</v>
      </c>
      <c r="I1248" s="49">
        <f>IFERROR(Table1[[#This Row],[Actual Production (Kg)]]-Table1[[#This Row],[Re-process (Kg)]], "")</f>
        <v>8038</v>
      </c>
      <c r="J1248" s="49">
        <v>22</v>
      </c>
      <c r="K1248" s="72"/>
      <c r="L1248" s="49">
        <f>IF(Table1[[#This Row],[Target Time (Hours)]]="","",Table1[[#This Row],[Target Time (Hours)]]-Table1[[#This Row],[Downtime (Hours)]])</f>
        <v>22</v>
      </c>
      <c r="M1248" s="49">
        <f>IFERROR(Table1[[#This Row],[Capacity (Kg)]]/Table1[[#This Row],[Target Time (Hours)]] * Table1[[#This Row],[Downtime (Hours)]], "")</f>
        <v>0</v>
      </c>
      <c r="N1248" s="50">
        <f>IFERROR(Table1[[#This Row],[Running Time (hr)]]/Table1[Target Time (Hours)], "")</f>
        <v>1</v>
      </c>
      <c r="O1248" s="50">
        <f>IFERROR(Table1[[#This Row],[Actual Production (Kg)]]/Table1[Capacity (Kg)], "")</f>
        <v>0.89311111111111108</v>
      </c>
      <c r="P1248" s="50">
        <f>IFERROR(Table1[[#This Row],[Quality Pass Production]]/Table1[[#This Row],[Actual Production (Kg)]], "")</f>
        <v>1</v>
      </c>
      <c r="Q1248" s="50">
        <f>IFERROR(Table1[[#This Row],[Utilization %]]*Table1[[#This Row],[Efficiency %]]*Table1[[#This Row],[Quality %]], "")</f>
        <v>0.89311111111111108</v>
      </c>
    </row>
    <row r="1249" spans="1:18" ht="30" customHeight="1" x14ac:dyDescent="0.25">
      <c r="A1249" s="51">
        <v>46229</v>
      </c>
      <c r="B1249" s="52" t="s">
        <v>18</v>
      </c>
      <c r="C1249" s="52" t="s">
        <v>32</v>
      </c>
      <c r="D1249" s="52" t="s">
        <v>31</v>
      </c>
      <c r="E1249" s="53"/>
      <c r="F1249" s="53"/>
      <c r="G1249" s="53"/>
      <c r="H1249" s="57" t="str">
        <f>IFERROR(Table1[Re-process (Kg)]/Table1[Actual Production (Kg)], "")</f>
        <v/>
      </c>
      <c r="I1249" s="53">
        <f>IFERROR(Table1[[#This Row],[Actual Production (Kg)]]-Table1[[#This Row],[Re-process (Kg)]], "")</f>
        <v>0</v>
      </c>
      <c r="J1249" s="53"/>
      <c r="K1249" s="52"/>
      <c r="L1249" s="53" t="str">
        <f>IF(Table1[[#This Row],[Target Time (Hours)]]="","",Table1[[#This Row],[Target Time (Hours)]]-Table1[[#This Row],[Downtime (Hours)]])</f>
        <v/>
      </c>
      <c r="M1249" s="53" t="str">
        <f>IFERROR(Table1[[#This Row],[Capacity (Kg)]]/Table1[[#This Row],[Target Time (Hours)]] * Table1[[#This Row],[Downtime (Hours)]], "")</f>
        <v/>
      </c>
      <c r="N1249" s="57" t="str">
        <f>IFERROR(Table1[[#This Row],[Running Time (hr)]]/Table1[Target Time (Hours)], "")</f>
        <v/>
      </c>
      <c r="O1249" s="57" t="str">
        <f>IFERROR(Table1[[#This Row],[Actual Production (Kg)]]/Table1[Capacity (Kg)], "")</f>
        <v/>
      </c>
      <c r="P1249" s="57" t="str">
        <f>IFERROR(Table1[[#This Row],[Quality Pass Production]]/Table1[[#This Row],[Actual Production (Kg)]], "")</f>
        <v/>
      </c>
      <c r="Q1249" s="57" t="str">
        <f>IFERROR(Table1[[#This Row],[Utilization %]]*Table1[[#This Row],[Efficiency %]]*Table1[[#This Row],[Quality %]], "")</f>
        <v/>
      </c>
      <c r="R1249" s="52"/>
    </row>
    <row r="1250" spans="1:18" ht="30" customHeight="1" x14ac:dyDescent="0.25">
      <c r="A1250" s="47">
        <v>46229</v>
      </c>
      <c r="B1250" s="48" t="s">
        <v>33</v>
      </c>
      <c r="C1250" s="48" t="s">
        <v>34</v>
      </c>
      <c r="D1250" s="48" t="s">
        <v>35</v>
      </c>
      <c r="E1250" s="49">
        <v>9000</v>
      </c>
      <c r="F1250" s="76">
        <v>7764</v>
      </c>
      <c r="G1250" s="49">
        <v>0</v>
      </c>
      <c r="H1250" s="50">
        <f>IFERROR(Table1[Re-process (Kg)]/Table1[Actual Production (Kg)], "")</f>
        <v>0</v>
      </c>
      <c r="I1250" s="49">
        <f>IFERROR(Table1[[#This Row],[Actual Production (Kg)]]-Table1[[#This Row],[Re-process (Kg)]], "")</f>
        <v>7764</v>
      </c>
      <c r="J1250" s="49">
        <v>22</v>
      </c>
      <c r="K1250" s="72"/>
      <c r="L1250" s="49">
        <f>IF(Table1[[#This Row],[Target Time (Hours)]]="","",Table1[[#This Row],[Target Time (Hours)]]-Table1[[#This Row],[Downtime (Hours)]])</f>
        <v>22</v>
      </c>
      <c r="M1250" s="49">
        <f>IFERROR(Table1[[#This Row],[Capacity (Kg)]]/Table1[[#This Row],[Target Time (Hours)]] * Table1[[#This Row],[Downtime (Hours)]], "")</f>
        <v>0</v>
      </c>
      <c r="N1250" s="50">
        <f>IFERROR(Table1[[#This Row],[Running Time (hr)]]/Table1[Target Time (Hours)], "")</f>
        <v>1</v>
      </c>
      <c r="O1250" s="50">
        <f>IFERROR(Table1[[#This Row],[Actual Production (Kg)]]/Table1[Capacity (Kg)], "")</f>
        <v>0.86266666666666669</v>
      </c>
      <c r="P1250" s="50">
        <f>IFERROR(Table1[[#This Row],[Quality Pass Production]]/Table1[[#This Row],[Actual Production (Kg)]], "")</f>
        <v>1</v>
      </c>
      <c r="Q1250" s="50">
        <f>IFERROR(Table1[[#This Row],[Utilization %]]*Table1[[#This Row],[Efficiency %]]*Table1[[#This Row],[Quality %]], "")</f>
        <v>0.86266666666666669</v>
      </c>
    </row>
    <row r="1251" spans="1:18" ht="30" customHeight="1" x14ac:dyDescent="0.25">
      <c r="A1251" s="47">
        <v>46229</v>
      </c>
      <c r="B1251" s="48" t="s">
        <v>33</v>
      </c>
      <c r="C1251" s="48" t="s">
        <v>36</v>
      </c>
      <c r="D1251" s="48" t="s">
        <v>37</v>
      </c>
      <c r="E1251" s="49">
        <v>8000</v>
      </c>
      <c r="F1251" s="76">
        <v>7216</v>
      </c>
      <c r="G1251" s="49">
        <v>0</v>
      </c>
      <c r="H1251" s="50">
        <f>IFERROR(Table1[Re-process (Kg)]/Table1[Actual Production (Kg)], "")</f>
        <v>0</v>
      </c>
      <c r="I1251" s="49">
        <f>IFERROR(Table1[[#This Row],[Actual Production (Kg)]]-Table1[[#This Row],[Re-process (Kg)]], "")</f>
        <v>7216</v>
      </c>
      <c r="J1251" s="49">
        <v>22</v>
      </c>
      <c r="K1251" s="72">
        <v>1.5</v>
      </c>
      <c r="L1251" s="49">
        <f>IF(Table1[[#This Row],[Target Time (Hours)]]="","",Table1[[#This Row],[Target Time (Hours)]]-Table1[[#This Row],[Downtime (Hours)]])</f>
        <v>20.5</v>
      </c>
      <c r="M1251" s="49">
        <f>IFERROR(Table1[[#This Row],[Capacity (Kg)]]/Table1[[#This Row],[Target Time (Hours)]] * Table1[[#This Row],[Downtime (Hours)]], "")</f>
        <v>545.4545454545455</v>
      </c>
      <c r="N1251" s="50">
        <f>IFERROR(Table1[[#This Row],[Running Time (hr)]]/Table1[Target Time (Hours)], "")</f>
        <v>0.93181818181818177</v>
      </c>
      <c r="O1251" s="50">
        <f>IFERROR(Table1[[#This Row],[Actual Production (Kg)]]/Table1[Capacity (Kg)], "")</f>
        <v>0.90200000000000002</v>
      </c>
      <c r="P1251" s="50">
        <f>IFERROR(Table1[[#This Row],[Quality Pass Production]]/Table1[[#This Row],[Actual Production (Kg)]], "")</f>
        <v>1</v>
      </c>
      <c r="Q1251" s="50">
        <f>IFERROR(Table1[[#This Row],[Utilization %]]*Table1[[#This Row],[Efficiency %]]*Table1[[#This Row],[Quality %]], "")</f>
        <v>0.84050000000000002</v>
      </c>
      <c r="R1251" s="48" t="s">
        <v>334</v>
      </c>
    </row>
    <row r="1252" spans="1:18" ht="30" customHeight="1" x14ac:dyDescent="0.25">
      <c r="A1252" s="47">
        <v>46229</v>
      </c>
      <c r="B1252" s="48" t="s">
        <v>33</v>
      </c>
      <c r="C1252" s="48" t="s">
        <v>39</v>
      </c>
      <c r="D1252" s="48" t="s">
        <v>31</v>
      </c>
      <c r="E1252" s="49">
        <v>6000</v>
      </c>
      <c r="F1252" s="76">
        <v>2762</v>
      </c>
      <c r="G1252" s="49">
        <v>0</v>
      </c>
      <c r="H1252" s="50">
        <f>IFERROR(Table1[Re-process (Kg)]/Table1[Actual Production (Kg)], "")</f>
        <v>0</v>
      </c>
      <c r="I1252" s="49">
        <f>IFERROR(Table1[[#This Row],[Actual Production (Kg)]]-Table1[[#This Row],[Re-process (Kg)]], "")</f>
        <v>2762</v>
      </c>
      <c r="J1252" s="49">
        <v>22</v>
      </c>
      <c r="K1252" s="72"/>
      <c r="L1252" s="49">
        <f>IF(Table1[[#This Row],[Target Time (Hours)]]="","",Table1[[#This Row],[Target Time (Hours)]]-Table1[[#This Row],[Downtime (Hours)]])</f>
        <v>22</v>
      </c>
      <c r="M1252" s="49">
        <f>IFERROR(Table1[[#This Row],[Capacity (Kg)]]/Table1[[#This Row],[Target Time (Hours)]] * Table1[[#This Row],[Downtime (Hours)]], "")</f>
        <v>0</v>
      </c>
      <c r="N1252" s="50">
        <f>IFERROR(Table1[[#This Row],[Running Time (hr)]]/Table1[Target Time (Hours)], "")</f>
        <v>1</v>
      </c>
      <c r="O1252" s="50">
        <f>IFERROR(Table1[[#This Row],[Actual Production (Kg)]]/Table1[Capacity (Kg)], "")</f>
        <v>0.46033333333333332</v>
      </c>
      <c r="P1252" s="50">
        <f>IFERROR(Table1[[#This Row],[Quality Pass Production]]/Table1[[#This Row],[Actual Production (Kg)]], "")</f>
        <v>1</v>
      </c>
      <c r="Q1252" s="50">
        <f>IFERROR(Table1[[#This Row],[Utilization %]]*Table1[[#This Row],[Efficiency %]]*Table1[[#This Row],[Quality %]], "")</f>
        <v>0.46033333333333332</v>
      </c>
      <c r="R1252" s="48" t="s">
        <v>312</v>
      </c>
    </row>
    <row r="1253" spans="1:18" ht="45" customHeight="1" x14ac:dyDescent="0.25">
      <c r="A1253" s="54">
        <v>46229</v>
      </c>
      <c r="B1253" s="55" t="s">
        <v>33</v>
      </c>
      <c r="C1253" s="55" t="s">
        <v>40</v>
      </c>
      <c r="D1253" s="55" t="s">
        <v>31</v>
      </c>
      <c r="E1253" s="56">
        <v>5000</v>
      </c>
      <c r="F1253" s="56">
        <v>3289</v>
      </c>
      <c r="G1253" s="56">
        <v>0</v>
      </c>
      <c r="H1253" s="58">
        <f>IFERROR(Table1[Re-process (Kg)]/Table1[Actual Production (Kg)], "")</f>
        <v>0</v>
      </c>
      <c r="I1253" s="56">
        <f>IFERROR(Table1[[#This Row],[Actual Production (Kg)]]-Table1[[#This Row],[Re-process (Kg)]], "")</f>
        <v>3289</v>
      </c>
      <c r="J1253" s="56">
        <v>22</v>
      </c>
      <c r="K1253" s="55"/>
      <c r="L1253" s="56">
        <f>IF(Table1[[#This Row],[Target Time (Hours)]]="","",Table1[[#This Row],[Target Time (Hours)]]-Table1[[#This Row],[Downtime (Hours)]])</f>
        <v>22</v>
      </c>
      <c r="M1253" s="56">
        <f>IFERROR(Table1[[#This Row],[Capacity (Kg)]]/Table1[[#This Row],[Target Time (Hours)]] * Table1[[#This Row],[Downtime (Hours)]], "")</f>
        <v>0</v>
      </c>
      <c r="N1253" s="58">
        <f>IFERROR(Table1[[#This Row],[Running Time (hr)]]/Table1[Target Time (Hours)], "")</f>
        <v>1</v>
      </c>
      <c r="O1253" s="58">
        <f>IFERROR(Table1[[#This Row],[Actual Production (Kg)]]/Table1[Capacity (Kg)], "")</f>
        <v>0.65780000000000005</v>
      </c>
      <c r="P1253" s="58">
        <f>IFERROR(Table1[[#This Row],[Quality Pass Production]]/Table1[[#This Row],[Actual Production (Kg)]], "")</f>
        <v>1</v>
      </c>
      <c r="Q1253" s="58">
        <f>IFERROR(Table1[[#This Row],[Utilization %]]*Table1[[#This Row],[Efficiency %]]*Table1[[#This Row],[Quality %]], "")</f>
        <v>0.65780000000000005</v>
      </c>
      <c r="R1253" s="55"/>
    </row>
    <row r="1254" spans="1:18" ht="30" customHeight="1" x14ac:dyDescent="0.25">
      <c r="A1254" s="47">
        <v>46230</v>
      </c>
      <c r="B1254" s="48" t="s">
        <v>18</v>
      </c>
      <c r="C1254" s="48" t="s">
        <v>19</v>
      </c>
      <c r="D1254" s="48" t="s">
        <v>20</v>
      </c>
      <c r="E1254" s="49">
        <v>10000</v>
      </c>
      <c r="F1254" s="76">
        <v>8985</v>
      </c>
      <c r="G1254" s="49">
        <v>0</v>
      </c>
      <c r="H1254" s="50">
        <f>IFERROR(Table1[Re-process (Kg)]/Table1[Actual Production (Kg)], "")</f>
        <v>0</v>
      </c>
      <c r="I1254" s="49">
        <f>IFERROR(Table1[[#This Row],[Actual Production (Kg)]]-Table1[[#This Row],[Re-process (Kg)]], "")</f>
        <v>8985</v>
      </c>
      <c r="J1254" s="49">
        <v>22</v>
      </c>
      <c r="K1254" s="72"/>
      <c r="L1254" s="49">
        <f>IF(Table1[[#This Row],[Target Time (Hours)]]="","",Table1[[#This Row],[Target Time (Hours)]]-Table1[[#This Row],[Downtime (Hours)]])</f>
        <v>22</v>
      </c>
      <c r="M1254" s="49">
        <f>IFERROR(Table1[[#This Row],[Capacity (Kg)]]/Table1[[#This Row],[Target Time (Hours)]] * Table1[[#This Row],[Downtime (Hours)]], "")</f>
        <v>0</v>
      </c>
      <c r="N1254" s="50">
        <f>IFERROR(Table1[[#This Row],[Running Time (hr)]]/Table1[Target Time (Hours)], "")</f>
        <v>1</v>
      </c>
      <c r="O1254" s="50">
        <f>IFERROR(Table1[[#This Row],[Actual Production (Kg)]]/Table1[Capacity (Kg)], "")</f>
        <v>0.89849999999999997</v>
      </c>
      <c r="P1254" s="50">
        <f>IFERROR(Table1[[#This Row],[Quality Pass Production]]/Table1[[#This Row],[Actual Production (Kg)]], "")</f>
        <v>1</v>
      </c>
      <c r="Q1254" s="50">
        <f>IFERROR(Table1[[#This Row],[Utilization %]]*Table1[[#This Row],[Efficiency %]]*Table1[[#This Row],[Quality %]], "")</f>
        <v>0.89849999999999997</v>
      </c>
    </row>
    <row r="1255" spans="1:18" x14ac:dyDescent="0.25">
      <c r="A1255" s="51">
        <v>46230</v>
      </c>
      <c r="B1255" s="52" t="s">
        <v>18</v>
      </c>
      <c r="C1255" s="52" t="s">
        <v>238</v>
      </c>
      <c r="D1255" s="52" t="s">
        <v>20</v>
      </c>
      <c r="E1255" s="53">
        <v>8415</v>
      </c>
      <c r="F1255" s="53">
        <v>8415</v>
      </c>
      <c r="G1255" s="53">
        <v>0</v>
      </c>
      <c r="H1255" s="57">
        <f>IFERROR(Table1[Re-process (Kg)]/Table1[Actual Production (Kg)], "")</f>
        <v>0</v>
      </c>
      <c r="I1255" s="53">
        <f>IFERROR(Table1[[#This Row],[Actual Production (Kg)]]-Table1[[#This Row],[Re-process (Kg)]], "")</f>
        <v>8415</v>
      </c>
      <c r="J1255" s="53"/>
      <c r="K1255" s="52"/>
      <c r="L1255" s="53" t="str">
        <f>IF(Table1[[#This Row],[Target Time (Hours)]]="","",Table1[[#This Row],[Target Time (Hours)]]-Table1[[#This Row],[Downtime (Hours)]])</f>
        <v/>
      </c>
      <c r="M1255" s="53" t="str">
        <f>IFERROR(Table1[[#This Row],[Capacity (Kg)]]/Table1[[#This Row],[Target Time (Hours)]] * Table1[[#This Row],[Downtime (Hours)]], "")</f>
        <v/>
      </c>
      <c r="N1255" s="57" t="str">
        <f>IFERROR(Table1[[#This Row],[Running Time (hr)]]/Table1[Target Time (Hours)], "")</f>
        <v/>
      </c>
      <c r="O1255" s="57">
        <f>IFERROR(Table1[[#This Row],[Actual Production (Kg)]]/Table1[Capacity (Kg)], "")</f>
        <v>1</v>
      </c>
      <c r="P1255" s="57">
        <f>IFERROR(Table1[[#This Row],[Quality Pass Production]]/Table1[[#This Row],[Actual Production (Kg)]], "")</f>
        <v>1</v>
      </c>
      <c r="Q1255" s="57" t="str">
        <f>IFERROR(Table1[[#This Row],[Utilization %]]*Table1[[#This Row],[Efficiency %]]*Table1[[#This Row],[Quality %]], "")</f>
        <v/>
      </c>
      <c r="R1255" s="52"/>
    </row>
    <row r="1256" spans="1:18" x14ac:dyDescent="0.25">
      <c r="A1256" s="47">
        <v>46230</v>
      </c>
      <c r="B1256" s="48" t="s">
        <v>18</v>
      </c>
      <c r="C1256" s="48" t="s">
        <v>22</v>
      </c>
      <c r="D1256" s="48" t="s">
        <v>23</v>
      </c>
      <c r="E1256" s="49">
        <v>5000</v>
      </c>
      <c r="F1256" s="76">
        <v>5156</v>
      </c>
      <c r="G1256" s="49">
        <v>0</v>
      </c>
      <c r="H1256" s="50">
        <f>IFERROR(Table1[Re-process (Kg)]/Table1[Actual Production (Kg)], "")</f>
        <v>0</v>
      </c>
      <c r="I1256" s="49">
        <f>IFERROR(Table1[[#This Row],[Actual Production (Kg)]]-Table1[[#This Row],[Re-process (Kg)]], "")</f>
        <v>5156</v>
      </c>
      <c r="J1256" s="49">
        <v>22</v>
      </c>
      <c r="K1256" s="72"/>
      <c r="L1256" s="49">
        <f>IF(Table1[[#This Row],[Target Time (Hours)]]="","",Table1[[#This Row],[Target Time (Hours)]]-Table1[[#This Row],[Downtime (Hours)]])</f>
        <v>22</v>
      </c>
      <c r="M1256" s="49">
        <f>IFERROR(Table1[[#This Row],[Capacity (Kg)]]/Table1[[#This Row],[Target Time (Hours)]] * Table1[[#This Row],[Downtime (Hours)]], "")</f>
        <v>0</v>
      </c>
      <c r="N1256" s="50">
        <f>IFERROR(Table1[[#This Row],[Running Time (hr)]]/Table1[Target Time (Hours)], "")</f>
        <v>1</v>
      </c>
      <c r="O1256" s="50">
        <f>IFERROR(Table1[[#This Row],[Actual Production (Kg)]]/Table1[Capacity (Kg)], "")</f>
        <v>1.0311999999999999</v>
      </c>
      <c r="P1256" s="50">
        <f>IFERROR(Table1[[#This Row],[Quality Pass Production]]/Table1[[#This Row],[Actual Production (Kg)]], "")</f>
        <v>1</v>
      </c>
      <c r="Q1256" s="50">
        <f>IFERROR(Table1[[#This Row],[Utilization %]]*Table1[[#This Row],[Efficiency %]]*Table1[[#This Row],[Quality %]], "")</f>
        <v>1.0311999999999999</v>
      </c>
    </row>
    <row r="1257" spans="1:18" x14ac:dyDescent="0.25">
      <c r="A1257" s="47">
        <v>46230</v>
      </c>
      <c r="B1257" s="48" t="s">
        <v>18</v>
      </c>
      <c r="C1257" s="48" t="s">
        <v>22</v>
      </c>
      <c r="D1257" s="48" t="s">
        <v>25</v>
      </c>
      <c r="E1257" s="49">
        <v>4000</v>
      </c>
      <c r="F1257" s="76">
        <v>3707</v>
      </c>
      <c r="G1257" s="49">
        <v>0</v>
      </c>
      <c r="H1257" s="50">
        <f>IFERROR(Table1[Re-process (Kg)]/Table1[Actual Production (Kg)], "")</f>
        <v>0</v>
      </c>
      <c r="I1257" s="49">
        <f>IFERROR(Table1[[#This Row],[Actual Production (Kg)]]-Table1[[#This Row],[Re-process (Kg)]], "")</f>
        <v>3707</v>
      </c>
      <c r="J1257" s="49"/>
      <c r="K1257" s="72"/>
      <c r="L1257" s="49" t="str">
        <f>IF(Table1[[#This Row],[Target Time (Hours)]]="","",Table1[[#This Row],[Target Time (Hours)]]-Table1[[#This Row],[Downtime (Hours)]])</f>
        <v/>
      </c>
      <c r="M1257" s="49" t="str">
        <f>IFERROR(Table1[[#This Row],[Capacity (Kg)]]/Table1[[#This Row],[Target Time (Hours)]] * Table1[[#This Row],[Downtime (Hours)]], "")</f>
        <v/>
      </c>
      <c r="N1257" s="50" t="str">
        <f>IFERROR(Table1[[#This Row],[Running Time (hr)]]/Table1[Target Time (Hours)], "")</f>
        <v/>
      </c>
      <c r="O1257" s="50">
        <f>IFERROR(Table1[[#This Row],[Actual Production (Kg)]]/Table1[Capacity (Kg)], "")</f>
        <v>0.92674999999999996</v>
      </c>
      <c r="P1257" s="50">
        <f>IFERROR(Table1[[#This Row],[Quality Pass Production]]/Table1[[#This Row],[Actual Production (Kg)]], "")</f>
        <v>1</v>
      </c>
      <c r="Q1257" s="50" t="str">
        <f>IFERROR(Table1[[#This Row],[Utilization %]]*Table1[[#This Row],[Efficiency %]]*Table1[[#This Row],[Quality %]], "")</f>
        <v/>
      </c>
    </row>
    <row r="1258" spans="1:18" ht="30" customHeight="1" x14ac:dyDescent="0.25">
      <c r="A1258" s="47">
        <v>46230</v>
      </c>
      <c r="B1258" s="48" t="s">
        <v>18</v>
      </c>
      <c r="C1258" s="48" t="s">
        <v>26</v>
      </c>
      <c r="D1258" s="48" t="s">
        <v>25</v>
      </c>
      <c r="E1258" s="49">
        <v>7000</v>
      </c>
      <c r="F1258" s="76">
        <v>7465</v>
      </c>
      <c r="G1258" s="49">
        <v>0</v>
      </c>
      <c r="H1258" s="50">
        <f>IFERROR(Table1[Re-process (Kg)]/Table1[Actual Production (Kg)], "")</f>
        <v>0</v>
      </c>
      <c r="I1258" s="49">
        <f>IFERROR(Table1[[#This Row],[Actual Production (Kg)]]-Table1[[#This Row],[Re-process (Kg)]], "")</f>
        <v>7465</v>
      </c>
      <c r="J1258" s="49">
        <v>22</v>
      </c>
      <c r="K1258" s="72">
        <v>0.75</v>
      </c>
      <c r="L1258" s="49">
        <f>IF(Table1[[#This Row],[Target Time (Hours)]]="","",Table1[[#This Row],[Target Time (Hours)]]-Table1[[#This Row],[Downtime (Hours)]])</f>
        <v>21.25</v>
      </c>
      <c r="M1258" s="49">
        <f>IFERROR(Table1[[#This Row],[Capacity (Kg)]]/Table1[[#This Row],[Target Time (Hours)]] * Table1[[#This Row],[Downtime (Hours)]], "")</f>
        <v>238.63636363636363</v>
      </c>
      <c r="N1258" s="50">
        <f>IFERROR(Table1[[#This Row],[Running Time (hr)]]/Table1[Target Time (Hours)], "")</f>
        <v>0.96590909090909094</v>
      </c>
      <c r="O1258" s="50">
        <f>IFERROR(Table1[[#This Row],[Actual Production (Kg)]]/Table1[Capacity (Kg)], "")</f>
        <v>1.0664285714285715</v>
      </c>
      <c r="P1258" s="50">
        <f>IFERROR(Table1[[#This Row],[Quality Pass Production]]/Table1[[#This Row],[Actual Production (Kg)]], "")</f>
        <v>1</v>
      </c>
      <c r="Q1258" s="50">
        <f>IFERROR(Table1[[#This Row],[Utilization %]]*Table1[[#This Row],[Efficiency %]]*Table1[[#This Row],[Quality %]], "")</f>
        <v>1.0300730519480521</v>
      </c>
      <c r="R1258" s="48" t="s">
        <v>335</v>
      </c>
    </row>
    <row r="1259" spans="1:18" ht="30" customHeight="1" x14ac:dyDescent="0.25">
      <c r="A1259" s="47">
        <v>46230</v>
      </c>
      <c r="B1259" s="48" t="s">
        <v>18</v>
      </c>
      <c r="C1259" s="48" t="s">
        <v>28</v>
      </c>
      <c r="D1259" s="48" t="s">
        <v>29</v>
      </c>
      <c r="E1259" s="49">
        <v>7800</v>
      </c>
      <c r="F1259" s="76">
        <v>4450</v>
      </c>
      <c r="G1259" s="49">
        <v>0</v>
      </c>
      <c r="H1259" s="50">
        <f>IFERROR(Table1[Re-process (Kg)]/Table1[Actual Production (Kg)], "")</f>
        <v>0</v>
      </c>
      <c r="I1259" s="49">
        <f>IFERROR(Table1[[#This Row],[Actual Production (Kg)]]-Table1[[#This Row],[Re-process (Kg)]], "")</f>
        <v>4450</v>
      </c>
      <c r="J1259" s="49">
        <v>22</v>
      </c>
      <c r="K1259" s="72">
        <v>5</v>
      </c>
      <c r="L1259" s="49">
        <f>IF(Table1[[#This Row],[Target Time (Hours)]]="","",Table1[[#This Row],[Target Time (Hours)]]-Table1[[#This Row],[Downtime (Hours)]])</f>
        <v>17</v>
      </c>
      <c r="M1259" s="49">
        <f>IFERROR(Table1[[#This Row],[Capacity (Kg)]]/Table1[[#This Row],[Target Time (Hours)]] * Table1[[#This Row],[Downtime (Hours)]], "")</f>
        <v>1772.7272727272727</v>
      </c>
      <c r="N1259" s="50">
        <f>IFERROR(Table1[[#This Row],[Running Time (hr)]]/Table1[Target Time (Hours)], "")</f>
        <v>0.77272727272727271</v>
      </c>
      <c r="O1259" s="50">
        <f>IFERROR(Table1[[#This Row],[Actual Production (Kg)]]/Table1[Capacity (Kg)], "")</f>
        <v>0.57051282051282048</v>
      </c>
      <c r="P1259" s="50">
        <f>IFERROR(Table1[[#This Row],[Quality Pass Production]]/Table1[[#This Row],[Actual Production (Kg)]], "")</f>
        <v>1</v>
      </c>
      <c r="Q1259" s="50">
        <f>IFERROR(Table1[[#This Row],[Utilization %]]*Table1[[#This Row],[Efficiency %]]*Table1[[#This Row],[Quality %]], "")</f>
        <v>0.44085081585081581</v>
      </c>
      <c r="R1259" s="48" t="s">
        <v>333</v>
      </c>
    </row>
    <row r="1260" spans="1:18" ht="30" customHeight="1" x14ac:dyDescent="0.25">
      <c r="A1260" s="51">
        <v>46230</v>
      </c>
      <c r="B1260" s="52" t="s">
        <v>18</v>
      </c>
      <c r="C1260" s="52" t="s">
        <v>135</v>
      </c>
      <c r="D1260" s="52" t="s">
        <v>29</v>
      </c>
      <c r="E1260" s="53"/>
      <c r="F1260" s="53"/>
      <c r="G1260" s="53"/>
      <c r="H1260" s="57" t="str">
        <f>IFERROR(Table1[Re-process (Kg)]/Table1[Actual Production (Kg)], "")</f>
        <v/>
      </c>
      <c r="I1260" s="53">
        <f>IFERROR(Table1[[#This Row],[Actual Production (Kg)]]-Table1[[#This Row],[Re-process (Kg)]], "")</f>
        <v>0</v>
      </c>
      <c r="J1260" s="53"/>
      <c r="K1260" s="52"/>
      <c r="L1260" s="53" t="str">
        <f>IF(Table1[[#This Row],[Target Time (Hours)]]="","",Table1[[#This Row],[Target Time (Hours)]]-Table1[[#This Row],[Downtime (Hours)]])</f>
        <v/>
      </c>
      <c r="M1260" s="53" t="str">
        <f>IFERROR(Table1[[#This Row],[Capacity (Kg)]]/Table1[[#This Row],[Target Time (Hours)]] * Table1[[#This Row],[Downtime (Hours)]], "")</f>
        <v/>
      </c>
      <c r="N1260" s="57" t="str">
        <f>IFERROR(Table1[[#This Row],[Running Time (hr)]]/Table1[Target Time (Hours)], "")</f>
        <v/>
      </c>
      <c r="O1260" s="57" t="str">
        <f>IFERROR(Table1[[#This Row],[Actual Production (Kg)]]/Table1[Capacity (Kg)], "")</f>
        <v/>
      </c>
      <c r="P1260" s="57" t="str">
        <f>IFERROR(Table1[[#This Row],[Quality Pass Production]]/Table1[[#This Row],[Actual Production (Kg)]], "")</f>
        <v/>
      </c>
      <c r="Q1260" s="57" t="str">
        <f>IFERROR(Table1[[#This Row],[Utilization %]]*Table1[[#This Row],[Efficiency %]]*Table1[[#This Row],[Quality %]], "")</f>
        <v/>
      </c>
      <c r="R1260" s="52"/>
    </row>
    <row r="1261" spans="1:18" ht="30" customHeight="1" x14ac:dyDescent="0.25">
      <c r="A1261" s="47">
        <v>46230</v>
      </c>
      <c r="B1261" s="48" t="s">
        <v>18</v>
      </c>
      <c r="C1261" s="48" t="s">
        <v>30</v>
      </c>
      <c r="D1261" s="48" t="s">
        <v>31</v>
      </c>
      <c r="E1261" s="49">
        <v>9000</v>
      </c>
      <c r="F1261" s="76">
        <v>8435</v>
      </c>
      <c r="G1261" s="49">
        <v>0</v>
      </c>
      <c r="H1261" s="50">
        <f>IFERROR(Table1[Re-process (Kg)]/Table1[Actual Production (Kg)], "")</f>
        <v>0</v>
      </c>
      <c r="I1261" s="49">
        <f>IFERROR(Table1[[#This Row],[Actual Production (Kg)]]-Table1[[#This Row],[Re-process (Kg)]], "")</f>
        <v>8435</v>
      </c>
      <c r="J1261" s="49">
        <v>22</v>
      </c>
      <c r="K1261" s="72"/>
      <c r="L1261" s="49">
        <f>IF(Table1[[#This Row],[Target Time (Hours)]]="","",Table1[[#This Row],[Target Time (Hours)]]-Table1[[#This Row],[Downtime (Hours)]])</f>
        <v>22</v>
      </c>
      <c r="M1261" s="49">
        <f>IFERROR(Table1[[#This Row],[Capacity (Kg)]]/Table1[[#This Row],[Target Time (Hours)]] * Table1[[#This Row],[Downtime (Hours)]], "")</f>
        <v>0</v>
      </c>
      <c r="N1261" s="50">
        <f>IFERROR(Table1[[#This Row],[Running Time (hr)]]/Table1[Target Time (Hours)], "")</f>
        <v>1</v>
      </c>
      <c r="O1261" s="50">
        <f>IFERROR(Table1[[#This Row],[Actual Production (Kg)]]/Table1[Capacity (Kg)], "")</f>
        <v>0.93722222222222218</v>
      </c>
      <c r="P1261" s="50">
        <f>IFERROR(Table1[[#This Row],[Quality Pass Production]]/Table1[[#This Row],[Actual Production (Kg)]], "")</f>
        <v>1</v>
      </c>
      <c r="Q1261" s="50">
        <f>IFERROR(Table1[[#This Row],[Utilization %]]*Table1[[#This Row],[Efficiency %]]*Table1[[#This Row],[Quality %]], "")</f>
        <v>0.93722222222222218</v>
      </c>
    </row>
    <row r="1262" spans="1:18" ht="30" customHeight="1" x14ac:dyDescent="0.25">
      <c r="A1262" s="51">
        <v>46230</v>
      </c>
      <c r="B1262" s="52" t="s">
        <v>18</v>
      </c>
      <c r="C1262" s="52" t="s">
        <v>32</v>
      </c>
      <c r="D1262" s="52" t="s">
        <v>31</v>
      </c>
      <c r="E1262" s="53"/>
      <c r="F1262" s="53"/>
      <c r="G1262" s="53"/>
      <c r="H1262" s="57" t="str">
        <f>IFERROR(Table1[Re-process (Kg)]/Table1[Actual Production (Kg)], "")</f>
        <v/>
      </c>
      <c r="I1262" s="53">
        <f>IFERROR(Table1[[#This Row],[Actual Production (Kg)]]-Table1[[#This Row],[Re-process (Kg)]], "")</f>
        <v>0</v>
      </c>
      <c r="J1262" s="53"/>
      <c r="K1262" s="52"/>
      <c r="L1262" s="53" t="str">
        <f>IF(Table1[[#This Row],[Target Time (Hours)]]="","",Table1[[#This Row],[Target Time (Hours)]]-Table1[[#This Row],[Downtime (Hours)]])</f>
        <v/>
      </c>
      <c r="M1262" s="53" t="str">
        <f>IFERROR(Table1[[#This Row],[Capacity (Kg)]]/Table1[[#This Row],[Target Time (Hours)]] * Table1[[#This Row],[Downtime (Hours)]], "")</f>
        <v/>
      </c>
      <c r="N1262" s="57" t="str">
        <f>IFERROR(Table1[[#This Row],[Running Time (hr)]]/Table1[Target Time (Hours)], "")</f>
        <v/>
      </c>
      <c r="O1262" s="57" t="str">
        <f>IFERROR(Table1[[#This Row],[Actual Production (Kg)]]/Table1[Capacity (Kg)], "")</f>
        <v/>
      </c>
      <c r="P1262" s="57" t="str">
        <f>IFERROR(Table1[[#This Row],[Quality Pass Production]]/Table1[[#This Row],[Actual Production (Kg)]], "")</f>
        <v/>
      </c>
      <c r="Q1262" s="57" t="str">
        <f>IFERROR(Table1[[#This Row],[Utilization %]]*Table1[[#This Row],[Efficiency %]]*Table1[[#This Row],[Quality %]], "")</f>
        <v/>
      </c>
      <c r="R1262" s="52"/>
    </row>
    <row r="1263" spans="1:18" ht="30" customHeight="1" x14ac:dyDescent="0.25">
      <c r="A1263" s="47">
        <v>46230</v>
      </c>
      <c r="B1263" s="48" t="s">
        <v>33</v>
      </c>
      <c r="C1263" s="48" t="s">
        <v>34</v>
      </c>
      <c r="D1263" s="48" t="s">
        <v>35</v>
      </c>
      <c r="E1263" s="49">
        <v>9000</v>
      </c>
      <c r="F1263" s="76">
        <v>8568</v>
      </c>
      <c r="G1263" s="49">
        <v>0</v>
      </c>
      <c r="H1263" s="50">
        <f>IFERROR(Table1[Re-process (Kg)]/Table1[Actual Production (Kg)], "")</f>
        <v>0</v>
      </c>
      <c r="I1263" s="49">
        <f>IFERROR(Table1[[#This Row],[Actual Production (Kg)]]-Table1[[#This Row],[Re-process (Kg)]], "")</f>
        <v>8568</v>
      </c>
      <c r="J1263" s="49">
        <v>22</v>
      </c>
      <c r="K1263" s="72"/>
      <c r="L1263" s="49">
        <f>IF(Table1[[#This Row],[Target Time (Hours)]]="","",Table1[[#This Row],[Target Time (Hours)]]-Table1[[#This Row],[Downtime (Hours)]])</f>
        <v>22</v>
      </c>
      <c r="M1263" s="49">
        <f>IFERROR(Table1[[#This Row],[Capacity (Kg)]]/Table1[[#This Row],[Target Time (Hours)]] * Table1[[#This Row],[Downtime (Hours)]], "")</f>
        <v>0</v>
      </c>
      <c r="N1263" s="50">
        <f>IFERROR(Table1[[#This Row],[Running Time (hr)]]/Table1[Target Time (Hours)], "")</f>
        <v>1</v>
      </c>
      <c r="O1263" s="50">
        <f>IFERROR(Table1[[#This Row],[Actual Production (Kg)]]/Table1[Capacity (Kg)], "")</f>
        <v>0.95199999999999996</v>
      </c>
      <c r="P1263" s="50">
        <f>IFERROR(Table1[[#This Row],[Quality Pass Production]]/Table1[[#This Row],[Actual Production (Kg)]], "")</f>
        <v>1</v>
      </c>
      <c r="Q1263" s="50">
        <f>IFERROR(Table1[[#This Row],[Utilization %]]*Table1[[#This Row],[Efficiency %]]*Table1[[#This Row],[Quality %]], "")</f>
        <v>0.95199999999999996</v>
      </c>
    </row>
    <row r="1264" spans="1:18" ht="30" customHeight="1" x14ac:dyDescent="0.25">
      <c r="A1264" s="47">
        <v>46230</v>
      </c>
      <c r="B1264" s="48" t="s">
        <v>33</v>
      </c>
      <c r="C1264" s="48" t="s">
        <v>36</v>
      </c>
      <c r="D1264" s="48" t="s">
        <v>37</v>
      </c>
      <c r="E1264" s="49">
        <v>8000</v>
      </c>
      <c r="F1264" s="76">
        <v>7598</v>
      </c>
      <c r="G1264" s="49">
        <v>0</v>
      </c>
      <c r="H1264" s="50">
        <f>IFERROR(Table1[Re-process (Kg)]/Table1[Actual Production (Kg)], "")</f>
        <v>0</v>
      </c>
      <c r="I1264" s="49">
        <f>IFERROR(Table1[[#This Row],[Actual Production (Kg)]]-Table1[[#This Row],[Re-process (Kg)]], "")</f>
        <v>7598</v>
      </c>
      <c r="J1264" s="49">
        <v>22</v>
      </c>
      <c r="K1264" s="72">
        <v>1.5</v>
      </c>
      <c r="L1264" s="49">
        <f>IF(Table1[[#This Row],[Target Time (Hours)]]="","",Table1[[#This Row],[Target Time (Hours)]]-Table1[[#This Row],[Downtime (Hours)]])</f>
        <v>20.5</v>
      </c>
      <c r="M1264" s="49">
        <f>IFERROR(Table1[[#This Row],[Capacity (Kg)]]/Table1[[#This Row],[Target Time (Hours)]] * Table1[[#This Row],[Downtime (Hours)]], "")</f>
        <v>545.4545454545455</v>
      </c>
      <c r="N1264" s="50">
        <f>IFERROR(Table1[[#This Row],[Running Time (hr)]]/Table1[Target Time (Hours)], "")</f>
        <v>0.93181818181818177</v>
      </c>
      <c r="O1264" s="50">
        <f>IFERROR(Table1[[#This Row],[Actual Production (Kg)]]/Table1[Capacity (Kg)], "")</f>
        <v>0.94974999999999998</v>
      </c>
      <c r="P1264" s="50">
        <f>IFERROR(Table1[[#This Row],[Quality Pass Production]]/Table1[[#This Row],[Actual Production (Kg)]], "")</f>
        <v>1</v>
      </c>
      <c r="Q1264" s="50">
        <f>IFERROR(Table1[[#This Row],[Utilization %]]*Table1[[#This Row],[Efficiency %]]*Table1[[#This Row],[Quality %]], "")</f>
        <v>0.88499431818181806</v>
      </c>
      <c r="R1264" s="48" t="s">
        <v>334</v>
      </c>
    </row>
    <row r="1265" spans="1:18" ht="30" customHeight="1" x14ac:dyDescent="0.25">
      <c r="A1265" s="47">
        <v>46230</v>
      </c>
      <c r="B1265" s="48" t="s">
        <v>33</v>
      </c>
      <c r="C1265" s="48" t="s">
        <v>39</v>
      </c>
      <c r="D1265" s="48" t="s">
        <v>31</v>
      </c>
      <c r="E1265" s="49">
        <v>6000</v>
      </c>
      <c r="F1265" s="76">
        <v>3325</v>
      </c>
      <c r="G1265" s="49">
        <v>0</v>
      </c>
      <c r="H1265" s="50">
        <f>IFERROR(Table1[Re-process (Kg)]/Table1[Actual Production (Kg)], "")</f>
        <v>0</v>
      </c>
      <c r="I1265" s="49">
        <f>IFERROR(Table1[[#This Row],[Actual Production (Kg)]]-Table1[[#This Row],[Re-process (Kg)]], "")</f>
        <v>3325</v>
      </c>
      <c r="J1265" s="49">
        <v>22</v>
      </c>
      <c r="K1265" s="72"/>
      <c r="L1265" s="49">
        <f>IF(Table1[[#This Row],[Target Time (Hours)]]="","",Table1[[#This Row],[Target Time (Hours)]]-Table1[[#This Row],[Downtime (Hours)]])</f>
        <v>22</v>
      </c>
      <c r="M1265" s="49">
        <f>IFERROR(Table1[[#This Row],[Capacity (Kg)]]/Table1[[#This Row],[Target Time (Hours)]] * Table1[[#This Row],[Downtime (Hours)]], "")</f>
        <v>0</v>
      </c>
      <c r="N1265" s="50">
        <f>IFERROR(Table1[[#This Row],[Running Time (hr)]]/Table1[Target Time (Hours)], "")</f>
        <v>1</v>
      </c>
      <c r="O1265" s="50">
        <f>IFERROR(Table1[[#This Row],[Actual Production (Kg)]]/Table1[Capacity (Kg)], "")</f>
        <v>0.5541666666666667</v>
      </c>
      <c r="P1265" s="50">
        <f>IFERROR(Table1[[#This Row],[Quality Pass Production]]/Table1[[#This Row],[Actual Production (Kg)]], "")</f>
        <v>1</v>
      </c>
      <c r="Q1265" s="50">
        <f>IFERROR(Table1[[#This Row],[Utilization %]]*Table1[[#This Row],[Efficiency %]]*Table1[[#This Row],[Quality %]], "")</f>
        <v>0.5541666666666667</v>
      </c>
    </row>
    <row r="1266" spans="1:18" ht="45" customHeight="1" x14ac:dyDescent="0.25">
      <c r="A1266" s="54">
        <v>46230</v>
      </c>
      <c r="B1266" s="55" t="s">
        <v>33</v>
      </c>
      <c r="C1266" s="55" t="s">
        <v>40</v>
      </c>
      <c r="D1266" s="55" t="s">
        <v>31</v>
      </c>
      <c r="E1266" s="56">
        <v>5000</v>
      </c>
      <c r="F1266" s="56">
        <v>3474</v>
      </c>
      <c r="G1266" s="56">
        <v>0</v>
      </c>
      <c r="H1266" s="58">
        <f>IFERROR(Table1[Re-process (Kg)]/Table1[Actual Production (Kg)], "")</f>
        <v>0</v>
      </c>
      <c r="I1266" s="56">
        <f>IFERROR(Table1[[#This Row],[Actual Production (Kg)]]-Table1[[#This Row],[Re-process (Kg)]], "")</f>
        <v>3474</v>
      </c>
      <c r="J1266" s="56">
        <v>22</v>
      </c>
      <c r="K1266" s="55"/>
      <c r="L1266" s="56">
        <f>IF(Table1[[#This Row],[Target Time (Hours)]]="","",Table1[[#This Row],[Target Time (Hours)]]-Table1[[#This Row],[Downtime (Hours)]])</f>
        <v>22</v>
      </c>
      <c r="M1266" s="56">
        <f>IFERROR(Table1[[#This Row],[Capacity (Kg)]]/Table1[[#This Row],[Target Time (Hours)]] * Table1[[#This Row],[Downtime (Hours)]], "")</f>
        <v>0</v>
      </c>
      <c r="N1266" s="58">
        <f>IFERROR(Table1[[#This Row],[Running Time (hr)]]/Table1[Target Time (Hours)], "")</f>
        <v>1</v>
      </c>
      <c r="O1266" s="58">
        <f>IFERROR(Table1[[#This Row],[Actual Production (Kg)]]/Table1[Capacity (Kg)], "")</f>
        <v>0.69479999999999997</v>
      </c>
      <c r="P1266" s="58">
        <f>IFERROR(Table1[[#This Row],[Quality Pass Production]]/Table1[[#This Row],[Actual Production (Kg)]], "")</f>
        <v>1</v>
      </c>
      <c r="Q1266" s="58">
        <f>IFERROR(Table1[[#This Row],[Utilization %]]*Table1[[#This Row],[Efficiency %]]*Table1[[#This Row],[Quality %]], "")</f>
        <v>0.69479999999999997</v>
      </c>
      <c r="R1266" s="55"/>
    </row>
    <row r="1267" spans="1:18" ht="30" customHeight="1" x14ac:dyDescent="0.25">
      <c r="A1267" s="47">
        <v>46231</v>
      </c>
      <c r="B1267" s="48" t="s">
        <v>18</v>
      </c>
      <c r="C1267" s="48" t="s">
        <v>19</v>
      </c>
      <c r="D1267" s="48" t="s">
        <v>20</v>
      </c>
      <c r="E1267" s="49">
        <v>10000</v>
      </c>
      <c r="F1267" s="76">
        <v>8375</v>
      </c>
      <c r="G1267" s="49">
        <v>0</v>
      </c>
      <c r="H1267" s="50">
        <f>IFERROR(Table1[Re-process (Kg)]/Table1[Actual Production (Kg)], "")</f>
        <v>0</v>
      </c>
      <c r="I1267" s="49">
        <f>IFERROR(Table1[[#This Row],[Actual Production (Kg)]]-Table1[[#This Row],[Re-process (Kg)]], "")</f>
        <v>8375</v>
      </c>
      <c r="J1267" s="49">
        <v>22</v>
      </c>
      <c r="K1267" s="72"/>
      <c r="L1267" s="49">
        <f>IF(Table1[[#This Row],[Target Time (Hours)]]="","",Table1[[#This Row],[Target Time (Hours)]]-Table1[[#This Row],[Downtime (Hours)]])</f>
        <v>22</v>
      </c>
      <c r="M1267" s="49">
        <f>IFERROR(Table1[[#This Row],[Capacity (Kg)]]/Table1[[#This Row],[Target Time (Hours)]] * Table1[[#This Row],[Downtime (Hours)]], "")</f>
        <v>0</v>
      </c>
      <c r="N1267" s="50">
        <f>IFERROR(Table1[[#This Row],[Running Time (hr)]]/Table1[Target Time (Hours)], "")</f>
        <v>1</v>
      </c>
      <c r="O1267" s="50">
        <f>IFERROR(Table1[[#This Row],[Actual Production (Kg)]]/Table1[Capacity (Kg)], "")</f>
        <v>0.83750000000000002</v>
      </c>
      <c r="P1267" s="50">
        <f>IFERROR(Table1[[#This Row],[Quality Pass Production]]/Table1[[#This Row],[Actual Production (Kg)]], "")</f>
        <v>1</v>
      </c>
      <c r="Q1267" s="50">
        <f>IFERROR(Table1[[#This Row],[Utilization %]]*Table1[[#This Row],[Efficiency %]]*Table1[[#This Row],[Quality %]], "")</f>
        <v>0.83750000000000002</v>
      </c>
    </row>
    <row r="1268" spans="1:18" x14ac:dyDescent="0.25">
      <c r="A1268" s="51">
        <v>46231</v>
      </c>
      <c r="B1268" s="52" t="s">
        <v>18</v>
      </c>
      <c r="C1268" s="52" t="s">
        <v>238</v>
      </c>
      <c r="D1268" s="52" t="s">
        <v>20</v>
      </c>
      <c r="E1268" s="53">
        <v>9539</v>
      </c>
      <c r="F1268" s="53">
        <v>9539</v>
      </c>
      <c r="G1268" s="53">
        <v>0</v>
      </c>
      <c r="H1268" s="57">
        <f>IFERROR(Table1[Re-process (Kg)]/Table1[Actual Production (Kg)], "")</f>
        <v>0</v>
      </c>
      <c r="I1268" s="53">
        <f>IFERROR(Table1[[#This Row],[Actual Production (Kg)]]-Table1[[#This Row],[Re-process (Kg)]], "")</f>
        <v>9539</v>
      </c>
      <c r="J1268" s="53"/>
      <c r="K1268" s="52"/>
      <c r="L1268" s="53" t="str">
        <f>IF(Table1[[#This Row],[Target Time (Hours)]]="","",Table1[[#This Row],[Target Time (Hours)]]-Table1[[#This Row],[Downtime (Hours)]])</f>
        <v/>
      </c>
      <c r="M1268" s="53" t="str">
        <f>IFERROR(Table1[[#This Row],[Capacity (Kg)]]/Table1[[#This Row],[Target Time (Hours)]] * Table1[[#This Row],[Downtime (Hours)]], "")</f>
        <v/>
      </c>
      <c r="N1268" s="57" t="str">
        <f>IFERROR(Table1[[#This Row],[Running Time (hr)]]/Table1[Target Time (Hours)], "")</f>
        <v/>
      </c>
      <c r="O1268" s="57">
        <f>IFERROR(Table1[[#This Row],[Actual Production (Kg)]]/Table1[Capacity (Kg)], "")</f>
        <v>1</v>
      </c>
      <c r="P1268" s="57">
        <f>IFERROR(Table1[[#This Row],[Quality Pass Production]]/Table1[[#This Row],[Actual Production (Kg)]], "")</f>
        <v>1</v>
      </c>
      <c r="Q1268" s="57" t="str">
        <f>IFERROR(Table1[[#This Row],[Utilization %]]*Table1[[#This Row],[Efficiency %]]*Table1[[#This Row],[Quality %]], "")</f>
        <v/>
      </c>
      <c r="R1268" s="52"/>
    </row>
    <row r="1269" spans="1:18" x14ac:dyDescent="0.25">
      <c r="A1269" s="47">
        <v>46231</v>
      </c>
      <c r="B1269" s="48" t="s">
        <v>18</v>
      </c>
      <c r="C1269" s="48" t="s">
        <v>22</v>
      </c>
      <c r="D1269" s="48" t="s">
        <v>23</v>
      </c>
      <c r="E1269" s="49">
        <v>5000</v>
      </c>
      <c r="F1269" s="76">
        <v>4829</v>
      </c>
      <c r="G1269" s="49">
        <v>0</v>
      </c>
      <c r="H1269" s="50">
        <f>IFERROR(Table1[Re-process (Kg)]/Table1[Actual Production (Kg)], "")</f>
        <v>0</v>
      </c>
      <c r="I1269" s="49">
        <f>IFERROR(Table1[[#This Row],[Actual Production (Kg)]]-Table1[[#This Row],[Re-process (Kg)]], "")</f>
        <v>4829</v>
      </c>
      <c r="J1269" s="49">
        <v>22</v>
      </c>
      <c r="K1269" s="72"/>
      <c r="L1269" s="49">
        <f>IF(Table1[[#This Row],[Target Time (Hours)]]="","",Table1[[#This Row],[Target Time (Hours)]]-Table1[[#This Row],[Downtime (Hours)]])</f>
        <v>22</v>
      </c>
      <c r="M1269" s="49">
        <f>IFERROR(Table1[[#This Row],[Capacity (Kg)]]/Table1[[#This Row],[Target Time (Hours)]] * Table1[[#This Row],[Downtime (Hours)]], "")</f>
        <v>0</v>
      </c>
      <c r="N1269" s="50">
        <f>IFERROR(Table1[[#This Row],[Running Time (hr)]]/Table1[Target Time (Hours)], "")</f>
        <v>1</v>
      </c>
      <c r="O1269" s="50">
        <f>IFERROR(Table1[[#This Row],[Actual Production (Kg)]]/Table1[Capacity (Kg)], "")</f>
        <v>0.96579999999999999</v>
      </c>
      <c r="P1269" s="50">
        <f>IFERROR(Table1[[#This Row],[Quality Pass Production]]/Table1[[#This Row],[Actual Production (Kg)]], "")</f>
        <v>1</v>
      </c>
      <c r="Q1269" s="50">
        <f>IFERROR(Table1[[#This Row],[Utilization %]]*Table1[[#This Row],[Efficiency %]]*Table1[[#This Row],[Quality %]], "")</f>
        <v>0.96579999999999999</v>
      </c>
    </row>
    <row r="1270" spans="1:18" x14ac:dyDescent="0.25">
      <c r="A1270" s="47">
        <v>46231</v>
      </c>
      <c r="B1270" s="48" t="s">
        <v>18</v>
      </c>
      <c r="C1270" s="48" t="s">
        <v>22</v>
      </c>
      <c r="D1270" s="48" t="s">
        <v>25</v>
      </c>
      <c r="E1270" s="49">
        <v>4000</v>
      </c>
      <c r="F1270" s="76">
        <v>3576</v>
      </c>
      <c r="G1270" s="49">
        <v>0</v>
      </c>
      <c r="H1270" s="50">
        <f>IFERROR(Table1[Re-process (Kg)]/Table1[Actual Production (Kg)], "")</f>
        <v>0</v>
      </c>
      <c r="I1270" s="49">
        <f>IFERROR(Table1[[#This Row],[Actual Production (Kg)]]-Table1[[#This Row],[Re-process (Kg)]], "")</f>
        <v>3576</v>
      </c>
      <c r="J1270" s="49"/>
      <c r="K1270" s="72"/>
      <c r="L1270" s="49" t="str">
        <f>IF(Table1[[#This Row],[Target Time (Hours)]]="","",Table1[[#This Row],[Target Time (Hours)]]-Table1[[#This Row],[Downtime (Hours)]])</f>
        <v/>
      </c>
      <c r="M1270" s="49" t="str">
        <f>IFERROR(Table1[[#This Row],[Capacity (Kg)]]/Table1[[#This Row],[Target Time (Hours)]] * Table1[[#This Row],[Downtime (Hours)]], "")</f>
        <v/>
      </c>
      <c r="N1270" s="50" t="str">
        <f>IFERROR(Table1[[#This Row],[Running Time (hr)]]/Table1[Target Time (Hours)], "")</f>
        <v/>
      </c>
      <c r="O1270" s="50">
        <f>IFERROR(Table1[[#This Row],[Actual Production (Kg)]]/Table1[Capacity (Kg)], "")</f>
        <v>0.89400000000000002</v>
      </c>
      <c r="P1270" s="50">
        <f>IFERROR(Table1[[#This Row],[Quality Pass Production]]/Table1[[#This Row],[Actual Production (Kg)]], "")</f>
        <v>1</v>
      </c>
      <c r="Q1270" s="50" t="str">
        <f>IFERROR(Table1[[#This Row],[Utilization %]]*Table1[[#This Row],[Efficiency %]]*Table1[[#This Row],[Quality %]], "")</f>
        <v/>
      </c>
    </row>
    <row r="1271" spans="1:18" x14ac:dyDescent="0.25">
      <c r="A1271" s="47">
        <v>46231</v>
      </c>
      <c r="B1271" s="48" t="s">
        <v>18</v>
      </c>
      <c r="C1271" s="48" t="s">
        <v>26</v>
      </c>
      <c r="D1271" s="48" t="s">
        <v>25</v>
      </c>
      <c r="E1271" s="49">
        <v>7000</v>
      </c>
      <c r="F1271" s="76">
        <v>7976</v>
      </c>
      <c r="G1271" s="49">
        <v>0</v>
      </c>
      <c r="H1271" s="50">
        <f>IFERROR(Table1[Re-process (Kg)]/Table1[Actual Production (Kg)], "")</f>
        <v>0</v>
      </c>
      <c r="I1271" s="49">
        <f>IFERROR(Table1[[#This Row],[Actual Production (Kg)]]-Table1[[#This Row],[Re-process (Kg)]], "")</f>
        <v>7976</v>
      </c>
      <c r="J1271" s="49">
        <v>22</v>
      </c>
      <c r="K1271" s="72"/>
      <c r="L1271" s="49">
        <f>IF(Table1[[#This Row],[Target Time (Hours)]]="","",Table1[[#This Row],[Target Time (Hours)]]-Table1[[#This Row],[Downtime (Hours)]])</f>
        <v>22</v>
      </c>
      <c r="M1271" s="49">
        <f>IFERROR(Table1[[#This Row],[Capacity (Kg)]]/Table1[[#This Row],[Target Time (Hours)]] * Table1[[#This Row],[Downtime (Hours)]], "")</f>
        <v>0</v>
      </c>
      <c r="N1271" s="50">
        <f>IFERROR(Table1[[#This Row],[Running Time (hr)]]/Table1[Target Time (Hours)], "")</f>
        <v>1</v>
      </c>
      <c r="O1271" s="50">
        <f>IFERROR(Table1[[#This Row],[Actual Production (Kg)]]/Table1[Capacity (Kg)], "")</f>
        <v>1.1394285714285715</v>
      </c>
      <c r="P1271" s="50">
        <f>IFERROR(Table1[[#This Row],[Quality Pass Production]]/Table1[[#This Row],[Actual Production (Kg)]], "")</f>
        <v>1</v>
      </c>
      <c r="Q1271" s="50">
        <f>IFERROR(Table1[[#This Row],[Utilization %]]*Table1[[#This Row],[Efficiency %]]*Table1[[#This Row],[Quality %]], "")</f>
        <v>1.1394285714285715</v>
      </c>
    </row>
    <row r="1272" spans="1:18" ht="30" customHeight="1" x14ac:dyDescent="0.25">
      <c r="A1272" s="47">
        <v>46231</v>
      </c>
      <c r="B1272" s="48" t="s">
        <v>18</v>
      </c>
      <c r="C1272" s="48" t="s">
        <v>28</v>
      </c>
      <c r="D1272" s="48" t="s">
        <v>29</v>
      </c>
      <c r="E1272" s="49">
        <v>7800</v>
      </c>
      <c r="F1272" s="76">
        <v>6689</v>
      </c>
      <c r="G1272" s="49">
        <v>0</v>
      </c>
      <c r="H1272" s="50">
        <f>IFERROR(Table1[Re-process (Kg)]/Table1[Actual Production (Kg)], "")</f>
        <v>0</v>
      </c>
      <c r="I1272" s="49">
        <f>IFERROR(Table1[[#This Row],[Actual Production (Kg)]]-Table1[[#This Row],[Re-process (Kg)]], "")</f>
        <v>6689</v>
      </c>
      <c r="J1272" s="49">
        <v>22</v>
      </c>
      <c r="K1272" s="72">
        <v>2.5</v>
      </c>
      <c r="L1272" s="49">
        <f>IF(Table1[[#This Row],[Target Time (Hours)]]="","",Table1[[#This Row],[Target Time (Hours)]]-Table1[[#This Row],[Downtime (Hours)]])</f>
        <v>19.5</v>
      </c>
      <c r="M1272" s="49">
        <f>IFERROR(Table1[[#This Row],[Capacity (Kg)]]/Table1[[#This Row],[Target Time (Hours)]] * Table1[[#This Row],[Downtime (Hours)]], "")</f>
        <v>886.36363636363637</v>
      </c>
      <c r="N1272" s="50">
        <f>IFERROR(Table1[[#This Row],[Running Time (hr)]]/Table1[Target Time (Hours)], "")</f>
        <v>0.88636363636363635</v>
      </c>
      <c r="O1272" s="50">
        <f>IFERROR(Table1[[#This Row],[Actual Production (Kg)]]/Table1[Capacity (Kg)], "")</f>
        <v>0.85756410256410254</v>
      </c>
      <c r="P1272" s="50">
        <f>IFERROR(Table1[[#This Row],[Quality Pass Production]]/Table1[[#This Row],[Actual Production (Kg)]], "")</f>
        <v>1</v>
      </c>
      <c r="Q1272" s="50">
        <f>IFERROR(Table1[[#This Row],[Utilization %]]*Table1[[#This Row],[Efficiency %]]*Table1[[#This Row],[Quality %]], "")</f>
        <v>0.76011363636363638</v>
      </c>
      <c r="R1272" s="48" t="s">
        <v>336</v>
      </c>
    </row>
    <row r="1273" spans="1:18" ht="30" customHeight="1" x14ac:dyDescent="0.25">
      <c r="A1273" s="51">
        <v>46231</v>
      </c>
      <c r="B1273" s="52" t="s">
        <v>18</v>
      </c>
      <c r="C1273" s="52" t="s">
        <v>135</v>
      </c>
      <c r="D1273" s="52" t="s">
        <v>29</v>
      </c>
      <c r="E1273" s="53"/>
      <c r="F1273" s="53"/>
      <c r="G1273" s="53"/>
      <c r="H1273" s="57" t="str">
        <f>IFERROR(Table1[Re-process (Kg)]/Table1[Actual Production (Kg)], "")</f>
        <v/>
      </c>
      <c r="I1273" s="53">
        <f>IFERROR(Table1[[#This Row],[Actual Production (Kg)]]-Table1[[#This Row],[Re-process (Kg)]], "")</f>
        <v>0</v>
      </c>
      <c r="J1273" s="53"/>
      <c r="K1273" s="52"/>
      <c r="L1273" s="53" t="str">
        <f>IF(Table1[[#This Row],[Target Time (Hours)]]="","",Table1[[#This Row],[Target Time (Hours)]]-Table1[[#This Row],[Downtime (Hours)]])</f>
        <v/>
      </c>
      <c r="M1273" s="53" t="str">
        <f>IFERROR(Table1[[#This Row],[Capacity (Kg)]]/Table1[[#This Row],[Target Time (Hours)]] * Table1[[#This Row],[Downtime (Hours)]], "")</f>
        <v/>
      </c>
      <c r="N1273" s="57" t="str">
        <f>IFERROR(Table1[[#This Row],[Running Time (hr)]]/Table1[Target Time (Hours)], "")</f>
        <v/>
      </c>
      <c r="O1273" s="57" t="str">
        <f>IFERROR(Table1[[#This Row],[Actual Production (Kg)]]/Table1[Capacity (Kg)], "")</f>
        <v/>
      </c>
      <c r="P1273" s="57" t="str">
        <f>IFERROR(Table1[[#This Row],[Quality Pass Production]]/Table1[[#This Row],[Actual Production (Kg)]], "")</f>
        <v/>
      </c>
      <c r="Q1273" s="57" t="str">
        <f>IFERROR(Table1[[#This Row],[Utilization %]]*Table1[[#This Row],[Efficiency %]]*Table1[[#This Row],[Quality %]], "")</f>
        <v/>
      </c>
      <c r="R1273" s="52"/>
    </row>
    <row r="1274" spans="1:18" ht="30" customHeight="1" x14ac:dyDescent="0.25">
      <c r="A1274" s="47">
        <v>46231</v>
      </c>
      <c r="B1274" s="48" t="s">
        <v>18</v>
      </c>
      <c r="C1274" s="48" t="s">
        <v>30</v>
      </c>
      <c r="D1274" s="48" t="s">
        <v>31</v>
      </c>
      <c r="E1274" s="49">
        <v>9000</v>
      </c>
      <c r="F1274" s="76">
        <v>7890</v>
      </c>
      <c r="G1274" s="49">
        <v>0</v>
      </c>
      <c r="H1274" s="50">
        <f>IFERROR(Table1[Re-process (Kg)]/Table1[Actual Production (Kg)], "")</f>
        <v>0</v>
      </c>
      <c r="I1274" s="49">
        <f>IFERROR(Table1[[#This Row],[Actual Production (Kg)]]-Table1[[#This Row],[Re-process (Kg)]], "")</f>
        <v>7890</v>
      </c>
      <c r="J1274" s="49">
        <v>22</v>
      </c>
      <c r="K1274" s="72"/>
      <c r="L1274" s="49">
        <f>IF(Table1[[#This Row],[Target Time (Hours)]]="","",Table1[[#This Row],[Target Time (Hours)]]-Table1[[#This Row],[Downtime (Hours)]])</f>
        <v>22</v>
      </c>
      <c r="M1274" s="49">
        <f>IFERROR(Table1[[#This Row],[Capacity (Kg)]]/Table1[[#This Row],[Target Time (Hours)]] * Table1[[#This Row],[Downtime (Hours)]], "")</f>
        <v>0</v>
      </c>
      <c r="N1274" s="50">
        <f>IFERROR(Table1[[#This Row],[Running Time (hr)]]/Table1[Target Time (Hours)], "")</f>
        <v>1</v>
      </c>
      <c r="O1274" s="50">
        <f>IFERROR(Table1[[#This Row],[Actual Production (Kg)]]/Table1[Capacity (Kg)], "")</f>
        <v>0.87666666666666671</v>
      </c>
      <c r="P1274" s="50">
        <f>IFERROR(Table1[[#This Row],[Quality Pass Production]]/Table1[[#This Row],[Actual Production (Kg)]], "")</f>
        <v>1</v>
      </c>
      <c r="Q1274" s="50">
        <f>IFERROR(Table1[[#This Row],[Utilization %]]*Table1[[#This Row],[Efficiency %]]*Table1[[#This Row],[Quality %]], "")</f>
        <v>0.87666666666666671</v>
      </c>
    </row>
    <row r="1275" spans="1:18" ht="30" customHeight="1" x14ac:dyDescent="0.25">
      <c r="A1275" s="51">
        <v>46231</v>
      </c>
      <c r="B1275" s="52" t="s">
        <v>18</v>
      </c>
      <c r="C1275" s="52" t="s">
        <v>32</v>
      </c>
      <c r="D1275" s="52" t="s">
        <v>31</v>
      </c>
      <c r="E1275" s="53"/>
      <c r="F1275" s="53"/>
      <c r="G1275" s="53"/>
      <c r="H1275" s="57" t="str">
        <f>IFERROR(Table1[Re-process (Kg)]/Table1[Actual Production (Kg)], "")</f>
        <v/>
      </c>
      <c r="I1275" s="53">
        <f>IFERROR(Table1[[#This Row],[Actual Production (Kg)]]-Table1[[#This Row],[Re-process (Kg)]], "")</f>
        <v>0</v>
      </c>
      <c r="J1275" s="53"/>
      <c r="K1275" s="52"/>
      <c r="L1275" s="53" t="str">
        <f>IF(Table1[[#This Row],[Target Time (Hours)]]="","",Table1[[#This Row],[Target Time (Hours)]]-Table1[[#This Row],[Downtime (Hours)]])</f>
        <v/>
      </c>
      <c r="M1275" s="53" t="str">
        <f>IFERROR(Table1[[#This Row],[Capacity (Kg)]]/Table1[[#This Row],[Target Time (Hours)]] * Table1[[#This Row],[Downtime (Hours)]], "")</f>
        <v/>
      </c>
      <c r="N1275" s="57" t="str">
        <f>IFERROR(Table1[[#This Row],[Running Time (hr)]]/Table1[Target Time (Hours)], "")</f>
        <v/>
      </c>
      <c r="O1275" s="57" t="str">
        <f>IFERROR(Table1[[#This Row],[Actual Production (Kg)]]/Table1[Capacity (Kg)], "")</f>
        <v/>
      </c>
      <c r="P1275" s="57" t="str">
        <f>IFERROR(Table1[[#This Row],[Quality Pass Production]]/Table1[[#This Row],[Actual Production (Kg)]], "")</f>
        <v/>
      </c>
      <c r="Q1275" s="57" t="str">
        <f>IFERROR(Table1[[#This Row],[Utilization %]]*Table1[[#This Row],[Efficiency %]]*Table1[[#This Row],[Quality %]], "")</f>
        <v/>
      </c>
      <c r="R1275" s="52"/>
    </row>
    <row r="1276" spans="1:18" ht="30" customHeight="1" x14ac:dyDescent="0.25">
      <c r="A1276" s="47">
        <v>46231</v>
      </c>
      <c r="B1276" s="48" t="s">
        <v>33</v>
      </c>
      <c r="C1276" s="48" t="s">
        <v>34</v>
      </c>
      <c r="D1276" s="48" t="s">
        <v>35</v>
      </c>
      <c r="E1276" s="49">
        <v>9000</v>
      </c>
      <c r="F1276" s="76">
        <v>7088</v>
      </c>
      <c r="G1276" s="49">
        <v>0</v>
      </c>
      <c r="H1276" s="50">
        <f>IFERROR(Table1[Re-process (Kg)]/Table1[Actual Production (Kg)], "")</f>
        <v>0</v>
      </c>
      <c r="I1276" s="49">
        <f>IFERROR(Table1[[#This Row],[Actual Production (Kg)]]-Table1[[#This Row],[Re-process (Kg)]], "")</f>
        <v>7088</v>
      </c>
      <c r="J1276" s="49">
        <v>22</v>
      </c>
      <c r="K1276" s="72"/>
      <c r="L1276" s="49">
        <f>IF(Table1[[#This Row],[Target Time (Hours)]]="","",Table1[[#This Row],[Target Time (Hours)]]-Table1[[#This Row],[Downtime (Hours)]])</f>
        <v>22</v>
      </c>
      <c r="M1276" s="49">
        <f>IFERROR(Table1[[#This Row],[Capacity (Kg)]]/Table1[[#This Row],[Target Time (Hours)]] * Table1[[#This Row],[Downtime (Hours)]], "")</f>
        <v>0</v>
      </c>
      <c r="N1276" s="50">
        <f>IFERROR(Table1[[#This Row],[Running Time (hr)]]/Table1[Target Time (Hours)], "")</f>
        <v>1</v>
      </c>
      <c r="O1276" s="50">
        <f>IFERROR(Table1[[#This Row],[Actual Production (Kg)]]/Table1[Capacity (Kg)], "")</f>
        <v>0.78755555555555556</v>
      </c>
      <c r="P1276" s="50">
        <f>IFERROR(Table1[[#This Row],[Quality Pass Production]]/Table1[[#This Row],[Actual Production (Kg)]], "")</f>
        <v>1</v>
      </c>
      <c r="Q1276" s="50">
        <f>IFERROR(Table1[[#This Row],[Utilization %]]*Table1[[#This Row],[Efficiency %]]*Table1[[#This Row],[Quality %]], "")</f>
        <v>0.78755555555555556</v>
      </c>
    </row>
    <row r="1277" spans="1:18" ht="45" customHeight="1" x14ac:dyDescent="0.25">
      <c r="A1277" s="47">
        <v>46231</v>
      </c>
      <c r="B1277" s="48" t="s">
        <v>33</v>
      </c>
      <c r="C1277" s="48" t="s">
        <v>36</v>
      </c>
      <c r="D1277" s="48" t="s">
        <v>37</v>
      </c>
      <c r="E1277" s="49">
        <v>8000</v>
      </c>
      <c r="F1277" s="76">
        <v>7691</v>
      </c>
      <c r="G1277" s="49">
        <v>0</v>
      </c>
      <c r="H1277" s="50">
        <f>IFERROR(Table1[Re-process (Kg)]/Table1[Actual Production (Kg)], "")</f>
        <v>0</v>
      </c>
      <c r="I1277" s="49">
        <f>IFERROR(Table1[[#This Row],[Actual Production (Kg)]]-Table1[[#This Row],[Re-process (Kg)]], "")</f>
        <v>7691</v>
      </c>
      <c r="J1277" s="49">
        <v>22</v>
      </c>
      <c r="K1277" s="72">
        <v>2.85</v>
      </c>
      <c r="L1277" s="49">
        <f>IF(Table1[[#This Row],[Target Time (Hours)]]="","",Table1[[#This Row],[Target Time (Hours)]]-Table1[[#This Row],[Downtime (Hours)]])</f>
        <v>19.149999999999999</v>
      </c>
      <c r="M1277" s="49">
        <f>IFERROR(Table1[[#This Row],[Capacity (Kg)]]/Table1[[#This Row],[Target Time (Hours)]] * Table1[[#This Row],[Downtime (Hours)]], "")</f>
        <v>1036.3636363636363</v>
      </c>
      <c r="N1277" s="50">
        <f>IFERROR(Table1[[#This Row],[Running Time (hr)]]/Table1[Target Time (Hours)], "")</f>
        <v>0.87045454545454537</v>
      </c>
      <c r="O1277" s="50">
        <f>IFERROR(Table1[[#This Row],[Actual Production (Kg)]]/Table1[Capacity (Kg)], "")</f>
        <v>0.96137499999999998</v>
      </c>
      <c r="P1277" s="50">
        <f>IFERROR(Table1[[#This Row],[Quality Pass Production]]/Table1[[#This Row],[Actual Production (Kg)]], "")</f>
        <v>1</v>
      </c>
      <c r="Q1277" s="50">
        <f>IFERROR(Table1[[#This Row],[Utilization %]]*Table1[[#This Row],[Efficiency %]]*Table1[[#This Row],[Quality %]], "")</f>
        <v>0.8368332386363635</v>
      </c>
      <c r="R1277" s="48" t="s">
        <v>337</v>
      </c>
    </row>
    <row r="1278" spans="1:18" ht="30" customHeight="1" x14ac:dyDescent="0.25">
      <c r="A1278" s="47">
        <v>46231</v>
      </c>
      <c r="B1278" s="48" t="s">
        <v>33</v>
      </c>
      <c r="C1278" s="48" t="s">
        <v>39</v>
      </c>
      <c r="D1278" s="48" t="s">
        <v>31</v>
      </c>
      <c r="E1278" s="49">
        <v>6000</v>
      </c>
      <c r="F1278" s="76">
        <v>3550</v>
      </c>
      <c r="G1278" s="49">
        <v>0</v>
      </c>
      <c r="H1278" s="50">
        <f>IFERROR(Table1[Re-process (Kg)]/Table1[Actual Production (Kg)], "")</f>
        <v>0</v>
      </c>
      <c r="I1278" s="49">
        <f>IFERROR(Table1[[#This Row],[Actual Production (Kg)]]-Table1[[#This Row],[Re-process (Kg)]], "")</f>
        <v>3550</v>
      </c>
      <c r="J1278" s="49">
        <v>22</v>
      </c>
      <c r="K1278" s="72"/>
      <c r="L1278" s="49">
        <f>IF(Table1[[#This Row],[Target Time (Hours)]]="","",Table1[[#This Row],[Target Time (Hours)]]-Table1[[#This Row],[Downtime (Hours)]])</f>
        <v>22</v>
      </c>
      <c r="M1278" s="49">
        <f>IFERROR(Table1[[#This Row],[Capacity (Kg)]]/Table1[[#This Row],[Target Time (Hours)]] * Table1[[#This Row],[Downtime (Hours)]], "")</f>
        <v>0</v>
      </c>
      <c r="N1278" s="50">
        <f>IFERROR(Table1[[#This Row],[Running Time (hr)]]/Table1[Target Time (Hours)], "")</f>
        <v>1</v>
      </c>
      <c r="O1278" s="50">
        <f>IFERROR(Table1[[#This Row],[Actual Production (Kg)]]/Table1[Capacity (Kg)], "")</f>
        <v>0.59166666666666667</v>
      </c>
      <c r="P1278" s="50">
        <f>IFERROR(Table1[[#This Row],[Quality Pass Production]]/Table1[[#This Row],[Actual Production (Kg)]], "")</f>
        <v>1</v>
      </c>
      <c r="Q1278" s="50">
        <f>IFERROR(Table1[[#This Row],[Utilization %]]*Table1[[#This Row],[Efficiency %]]*Table1[[#This Row],[Quality %]], "")</f>
        <v>0.59166666666666667</v>
      </c>
    </row>
    <row r="1279" spans="1:18" ht="45" customHeight="1" x14ac:dyDescent="0.25">
      <c r="A1279" s="54">
        <v>46231</v>
      </c>
      <c r="B1279" s="55" t="s">
        <v>33</v>
      </c>
      <c r="C1279" s="55" t="s">
        <v>40</v>
      </c>
      <c r="D1279" s="55" t="s">
        <v>31</v>
      </c>
      <c r="E1279" s="56">
        <v>5000</v>
      </c>
      <c r="F1279" s="56">
        <v>3474</v>
      </c>
      <c r="G1279" s="56">
        <v>0</v>
      </c>
      <c r="H1279" s="58">
        <f>IFERROR(Table1[Re-process (Kg)]/Table1[Actual Production (Kg)], "")</f>
        <v>0</v>
      </c>
      <c r="I1279" s="56">
        <f>IFERROR(Table1[[#This Row],[Actual Production (Kg)]]-Table1[[#This Row],[Re-process (Kg)]], "")</f>
        <v>3474</v>
      </c>
      <c r="J1279" s="56">
        <v>22</v>
      </c>
      <c r="K1279" s="55"/>
      <c r="L1279" s="56">
        <f>IF(Table1[[#This Row],[Target Time (Hours)]]="","",Table1[[#This Row],[Target Time (Hours)]]-Table1[[#This Row],[Downtime (Hours)]])</f>
        <v>22</v>
      </c>
      <c r="M1279" s="56">
        <f>IFERROR(Table1[[#This Row],[Capacity (Kg)]]/Table1[[#This Row],[Target Time (Hours)]] * Table1[[#This Row],[Downtime (Hours)]], "")</f>
        <v>0</v>
      </c>
      <c r="N1279" s="58">
        <f>IFERROR(Table1[[#This Row],[Running Time (hr)]]/Table1[Target Time (Hours)], "")</f>
        <v>1</v>
      </c>
      <c r="O1279" s="58">
        <f>IFERROR(Table1[[#This Row],[Actual Production (Kg)]]/Table1[Capacity (Kg)], "")</f>
        <v>0.69479999999999997</v>
      </c>
      <c r="P1279" s="58">
        <f>IFERROR(Table1[[#This Row],[Quality Pass Production]]/Table1[[#This Row],[Actual Production (Kg)]], "")</f>
        <v>1</v>
      </c>
      <c r="Q1279" s="58">
        <f>IFERROR(Table1[[#This Row],[Utilization %]]*Table1[[#This Row],[Efficiency %]]*Table1[[#This Row],[Quality %]], "")</f>
        <v>0.69479999999999997</v>
      </c>
      <c r="R1279" s="55"/>
    </row>
    <row r="1280" spans="1:18" ht="30" customHeight="1" x14ac:dyDescent="0.25">
      <c r="A1280" s="47">
        <v>46232</v>
      </c>
      <c r="B1280" s="48" t="s">
        <v>18</v>
      </c>
      <c r="C1280" s="48" t="s">
        <v>19</v>
      </c>
      <c r="D1280" s="48" t="s">
        <v>20</v>
      </c>
      <c r="E1280" s="49">
        <v>10000</v>
      </c>
      <c r="F1280" s="76">
        <v>8407</v>
      </c>
      <c r="G1280" s="49">
        <v>0</v>
      </c>
      <c r="H1280" s="50">
        <f>IFERROR(Table1[Re-process (Kg)]/Table1[Actual Production (Kg)], "")</f>
        <v>0</v>
      </c>
      <c r="I1280" s="49">
        <f>IFERROR(Table1[[#This Row],[Actual Production (Kg)]]-Table1[[#This Row],[Re-process (Kg)]], "")</f>
        <v>8407</v>
      </c>
      <c r="J1280" s="49">
        <v>22</v>
      </c>
      <c r="K1280" s="72">
        <v>1.17</v>
      </c>
      <c r="L1280" s="49">
        <f>IF(Table1[[#This Row],[Target Time (Hours)]]="","",Table1[[#This Row],[Target Time (Hours)]]-Table1[[#This Row],[Downtime (Hours)]])</f>
        <v>20.83</v>
      </c>
      <c r="M1280" s="49">
        <f>IFERROR(Table1[[#This Row],[Capacity (Kg)]]/Table1[[#This Row],[Target Time (Hours)]] * Table1[[#This Row],[Downtime (Hours)]], "")</f>
        <v>531.81818181818176</v>
      </c>
      <c r="N1280" s="50">
        <f>IFERROR(Table1[[#This Row],[Running Time (hr)]]/Table1[Target Time (Hours)], "")</f>
        <v>0.94681818181818178</v>
      </c>
      <c r="O1280" s="50">
        <f>IFERROR(Table1[[#This Row],[Actual Production (Kg)]]/Table1[Capacity (Kg)], "")</f>
        <v>0.8407</v>
      </c>
      <c r="P1280" s="50">
        <f>IFERROR(Table1[[#This Row],[Quality Pass Production]]/Table1[[#This Row],[Actual Production (Kg)]], "")</f>
        <v>1</v>
      </c>
      <c r="Q1280" s="50">
        <f>IFERROR(Table1[[#This Row],[Utilization %]]*Table1[[#This Row],[Efficiency %]]*Table1[[#This Row],[Quality %]], "")</f>
        <v>0.79599004545454544</v>
      </c>
      <c r="R1280" s="48" t="s">
        <v>338</v>
      </c>
    </row>
    <row r="1281" spans="1:18" x14ac:dyDescent="0.25">
      <c r="A1281" s="51">
        <v>46232</v>
      </c>
      <c r="B1281" s="52" t="s">
        <v>18</v>
      </c>
      <c r="C1281" s="52" t="s">
        <v>238</v>
      </c>
      <c r="D1281" s="52" t="s">
        <v>20</v>
      </c>
      <c r="E1281" s="53">
        <v>10163</v>
      </c>
      <c r="F1281" s="53">
        <v>10163</v>
      </c>
      <c r="G1281" s="53">
        <v>0</v>
      </c>
      <c r="H1281" s="57">
        <f>IFERROR(Table1[Re-process (Kg)]/Table1[Actual Production (Kg)], "")</f>
        <v>0</v>
      </c>
      <c r="I1281" s="53">
        <f>IFERROR(Table1[[#This Row],[Actual Production (Kg)]]-Table1[[#This Row],[Re-process (Kg)]], "")</f>
        <v>10163</v>
      </c>
      <c r="J1281" s="53"/>
      <c r="K1281" s="52"/>
      <c r="L1281" s="53" t="str">
        <f>IF(Table1[[#This Row],[Target Time (Hours)]]="","",Table1[[#This Row],[Target Time (Hours)]]-Table1[[#This Row],[Downtime (Hours)]])</f>
        <v/>
      </c>
      <c r="M1281" s="53" t="str">
        <f>IFERROR(Table1[[#This Row],[Capacity (Kg)]]/Table1[[#This Row],[Target Time (Hours)]] * Table1[[#This Row],[Downtime (Hours)]], "")</f>
        <v/>
      </c>
      <c r="N1281" s="57" t="str">
        <f>IFERROR(Table1[[#This Row],[Running Time (hr)]]/Table1[Target Time (Hours)], "")</f>
        <v/>
      </c>
      <c r="O1281" s="57">
        <f>IFERROR(Table1[[#This Row],[Actual Production (Kg)]]/Table1[Capacity (Kg)], "")</f>
        <v>1</v>
      </c>
      <c r="P1281" s="57">
        <f>IFERROR(Table1[[#This Row],[Quality Pass Production]]/Table1[[#This Row],[Actual Production (Kg)]], "")</f>
        <v>1</v>
      </c>
      <c r="Q1281" s="57" t="str">
        <f>IFERROR(Table1[[#This Row],[Utilization %]]*Table1[[#This Row],[Efficiency %]]*Table1[[#This Row],[Quality %]], "")</f>
        <v/>
      </c>
      <c r="R1281" s="52"/>
    </row>
    <row r="1282" spans="1:18" x14ac:dyDescent="0.25">
      <c r="A1282" s="47">
        <v>46232</v>
      </c>
      <c r="B1282" s="48" t="s">
        <v>18</v>
      </c>
      <c r="C1282" s="48" t="s">
        <v>22</v>
      </c>
      <c r="D1282" s="48" t="s">
        <v>23</v>
      </c>
      <c r="E1282" s="49">
        <v>5000</v>
      </c>
      <c r="F1282" s="76">
        <v>5469</v>
      </c>
      <c r="G1282" s="49">
        <v>0</v>
      </c>
      <c r="H1282" s="50">
        <f>IFERROR(Table1[Re-process (Kg)]/Table1[Actual Production (Kg)], "")</f>
        <v>0</v>
      </c>
      <c r="I1282" s="49">
        <f>IFERROR(Table1[[#This Row],[Actual Production (Kg)]]-Table1[[#This Row],[Re-process (Kg)]], "")</f>
        <v>5469</v>
      </c>
      <c r="J1282" s="49">
        <v>22</v>
      </c>
      <c r="K1282" s="72"/>
      <c r="L1282" s="49">
        <f>IF(Table1[[#This Row],[Target Time (Hours)]]="","",Table1[[#This Row],[Target Time (Hours)]]-Table1[[#This Row],[Downtime (Hours)]])</f>
        <v>22</v>
      </c>
      <c r="M1282" s="49">
        <f>IFERROR(Table1[[#This Row],[Capacity (Kg)]]/Table1[[#This Row],[Target Time (Hours)]] * Table1[[#This Row],[Downtime (Hours)]], "")</f>
        <v>0</v>
      </c>
      <c r="N1282" s="50">
        <f>IFERROR(Table1[[#This Row],[Running Time (hr)]]/Table1[Target Time (Hours)], "")</f>
        <v>1</v>
      </c>
      <c r="O1282" s="50">
        <f>IFERROR(Table1[[#This Row],[Actual Production (Kg)]]/Table1[Capacity (Kg)], "")</f>
        <v>1.0938000000000001</v>
      </c>
      <c r="P1282" s="50">
        <f>IFERROR(Table1[[#This Row],[Quality Pass Production]]/Table1[[#This Row],[Actual Production (Kg)]], "")</f>
        <v>1</v>
      </c>
      <c r="Q1282" s="50">
        <f>IFERROR(Table1[[#This Row],[Utilization %]]*Table1[[#This Row],[Efficiency %]]*Table1[[#This Row],[Quality %]], "")</f>
        <v>1.0938000000000001</v>
      </c>
    </row>
    <row r="1283" spans="1:18" x14ac:dyDescent="0.25">
      <c r="A1283" s="47">
        <v>46232</v>
      </c>
      <c r="B1283" s="48" t="s">
        <v>18</v>
      </c>
      <c r="C1283" s="48" t="s">
        <v>22</v>
      </c>
      <c r="D1283" s="48" t="s">
        <v>25</v>
      </c>
      <c r="E1283" s="49">
        <v>4000</v>
      </c>
      <c r="F1283" s="76">
        <v>3597</v>
      </c>
      <c r="G1283" s="49">
        <v>0</v>
      </c>
      <c r="H1283" s="50">
        <f>IFERROR(Table1[Re-process (Kg)]/Table1[Actual Production (Kg)], "")</f>
        <v>0</v>
      </c>
      <c r="I1283" s="49">
        <f>IFERROR(Table1[[#This Row],[Actual Production (Kg)]]-Table1[[#This Row],[Re-process (Kg)]], "")</f>
        <v>3597</v>
      </c>
      <c r="J1283" s="49"/>
      <c r="K1283" s="72"/>
      <c r="L1283" s="49" t="str">
        <f>IF(Table1[[#This Row],[Target Time (Hours)]]="","",Table1[[#This Row],[Target Time (Hours)]]-Table1[[#This Row],[Downtime (Hours)]])</f>
        <v/>
      </c>
      <c r="M1283" s="49" t="str">
        <f>IFERROR(Table1[[#This Row],[Capacity (Kg)]]/Table1[[#This Row],[Target Time (Hours)]] * Table1[[#This Row],[Downtime (Hours)]], "")</f>
        <v/>
      </c>
      <c r="N1283" s="50" t="str">
        <f>IFERROR(Table1[[#This Row],[Running Time (hr)]]/Table1[Target Time (Hours)], "")</f>
        <v/>
      </c>
      <c r="O1283" s="50">
        <f>IFERROR(Table1[[#This Row],[Actual Production (Kg)]]/Table1[Capacity (Kg)], "")</f>
        <v>0.89924999999999999</v>
      </c>
      <c r="P1283" s="50">
        <f>IFERROR(Table1[[#This Row],[Quality Pass Production]]/Table1[[#This Row],[Actual Production (Kg)]], "")</f>
        <v>1</v>
      </c>
      <c r="Q1283" s="50" t="str">
        <f>IFERROR(Table1[[#This Row],[Utilization %]]*Table1[[#This Row],[Efficiency %]]*Table1[[#This Row],[Quality %]], "")</f>
        <v/>
      </c>
    </row>
    <row r="1284" spans="1:18" x14ac:dyDescent="0.25">
      <c r="A1284" s="47">
        <v>46232</v>
      </c>
      <c r="B1284" s="48" t="s">
        <v>18</v>
      </c>
      <c r="C1284" s="48" t="s">
        <v>26</v>
      </c>
      <c r="D1284" s="48" t="s">
        <v>25</v>
      </c>
      <c r="E1284" s="49">
        <v>7000</v>
      </c>
      <c r="F1284" s="76">
        <v>7441</v>
      </c>
      <c r="G1284" s="49">
        <v>0</v>
      </c>
      <c r="H1284" s="50">
        <f>IFERROR(Table1[Re-process (Kg)]/Table1[Actual Production (Kg)], "")</f>
        <v>0</v>
      </c>
      <c r="I1284" s="49">
        <f>IFERROR(Table1[[#This Row],[Actual Production (Kg)]]-Table1[[#This Row],[Re-process (Kg)]], "")</f>
        <v>7441</v>
      </c>
      <c r="J1284" s="49">
        <v>22</v>
      </c>
      <c r="K1284" s="72"/>
      <c r="L1284" s="49">
        <f>IF(Table1[[#This Row],[Target Time (Hours)]]="","",Table1[[#This Row],[Target Time (Hours)]]-Table1[[#This Row],[Downtime (Hours)]])</f>
        <v>22</v>
      </c>
      <c r="M1284" s="49">
        <f>IFERROR(Table1[[#This Row],[Capacity (Kg)]]/Table1[[#This Row],[Target Time (Hours)]] * Table1[[#This Row],[Downtime (Hours)]], "")</f>
        <v>0</v>
      </c>
      <c r="N1284" s="50">
        <f>IFERROR(Table1[[#This Row],[Running Time (hr)]]/Table1[Target Time (Hours)], "")</f>
        <v>1</v>
      </c>
      <c r="O1284" s="50">
        <f>IFERROR(Table1[[#This Row],[Actual Production (Kg)]]/Table1[Capacity (Kg)], "")</f>
        <v>1.0629999999999999</v>
      </c>
      <c r="P1284" s="50">
        <f>IFERROR(Table1[[#This Row],[Quality Pass Production]]/Table1[[#This Row],[Actual Production (Kg)]], "")</f>
        <v>1</v>
      </c>
      <c r="Q1284" s="50">
        <f>IFERROR(Table1[[#This Row],[Utilization %]]*Table1[[#This Row],[Efficiency %]]*Table1[[#This Row],[Quality %]], "")</f>
        <v>1.0629999999999999</v>
      </c>
    </row>
    <row r="1285" spans="1:18" ht="30" customHeight="1" x14ac:dyDescent="0.25">
      <c r="A1285" s="47">
        <v>46232</v>
      </c>
      <c r="B1285" s="48" t="s">
        <v>18</v>
      </c>
      <c r="C1285" s="48" t="s">
        <v>28</v>
      </c>
      <c r="D1285" s="48" t="s">
        <v>29</v>
      </c>
      <c r="E1285" s="49">
        <v>7800</v>
      </c>
      <c r="F1285" s="76">
        <v>7746</v>
      </c>
      <c r="G1285" s="49">
        <v>0</v>
      </c>
      <c r="H1285" s="50">
        <f>IFERROR(Table1[Re-process (Kg)]/Table1[Actual Production (Kg)], "")</f>
        <v>0</v>
      </c>
      <c r="I1285" s="49">
        <f>IFERROR(Table1[[#This Row],[Actual Production (Kg)]]-Table1[[#This Row],[Re-process (Kg)]], "")</f>
        <v>7746</v>
      </c>
      <c r="J1285" s="49">
        <v>22</v>
      </c>
      <c r="K1285" s="72"/>
      <c r="L1285" s="49">
        <f>IF(Table1[[#This Row],[Target Time (Hours)]]="","",Table1[[#This Row],[Target Time (Hours)]]-Table1[[#This Row],[Downtime (Hours)]])</f>
        <v>22</v>
      </c>
      <c r="M1285" s="49">
        <f>IFERROR(Table1[[#This Row],[Capacity (Kg)]]/Table1[[#This Row],[Target Time (Hours)]] * Table1[[#This Row],[Downtime (Hours)]], "")</f>
        <v>0</v>
      </c>
      <c r="N1285" s="50">
        <f>IFERROR(Table1[[#This Row],[Running Time (hr)]]/Table1[Target Time (Hours)], "")</f>
        <v>1</v>
      </c>
      <c r="O1285" s="50">
        <f>IFERROR(Table1[[#This Row],[Actual Production (Kg)]]/Table1[Capacity (Kg)], "")</f>
        <v>0.99307692307692308</v>
      </c>
      <c r="P1285" s="50">
        <f>IFERROR(Table1[[#This Row],[Quality Pass Production]]/Table1[[#This Row],[Actual Production (Kg)]], "")</f>
        <v>1</v>
      </c>
      <c r="Q1285" s="50">
        <f>IFERROR(Table1[[#This Row],[Utilization %]]*Table1[[#This Row],[Efficiency %]]*Table1[[#This Row],[Quality %]], "")</f>
        <v>0.99307692307692308</v>
      </c>
    </row>
    <row r="1286" spans="1:18" ht="30" customHeight="1" x14ac:dyDescent="0.25">
      <c r="A1286" s="51">
        <v>46232</v>
      </c>
      <c r="B1286" s="52" t="s">
        <v>18</v>
      </c>
      <c r="C1286" s="52" t="s">
        <v>135</v>
      </c>
      <c r="D1286" s="52" t="s">
        <v>29</v>
      </c>
      <c r="E1286" s="53"/>
      <c r="F1286" s="53"/>
      <c r="G1286" s="53"/>
      <c r="H1286" s="57" t="str">
        <f>IFERROR(Table1[Re-process (Kg)]/Table1[Actual Production (Kg)], "")</f>
        <v/>
      </c>
      <c r="I1286" s="53">
        <f>IFERROR(Table1[[#This Row],[Actual Production (Kg)]]-Table1[[#This Row],[Re-process (Kg)]], "")</f>
        <v>0</v>
      </c>
      <c r="J1286" s="53"/>
      <c r="K1286" s="52"/>
      <c r="L1286" s="53" t="str">
        <f>IF(Table1[[#This Row],[Target Time (Hours)]]="","",Table1[[#This Row],[Target Time (Hours)]]-Table1[[#This Row],[Downtime (Hours)]])</f>
        <v/>
      </c>
      <c r="M1286" s="53" t="str">
        <f>IFERROR(Table1[[#This Row],[Capacity (Kg)]]/Table1[[#This Row],[Target Time (Hours)]] * Table1[[#This Row],[Downtime (Hours)]], "")</f>
        <v/>
      </c>
      <c r="N1286" s="57" t="str">
        <f>IFERROR(Table1[[#This Row],[Running Time (hr)]]/Table1[Target Time (Hours)], "")</f>
        <v/>
      </c>
      <c r="O1286" s="57" t="str">
        <f>IFERROR(Table1[[#This Row],[Actual Production (Kg)]]/Table1[Capacity (Kg)], "")</f>
        <v/>
      </c>
      <c r="P1286" s="57" t="str">
        <f>IFERROR(Table1[[#This Row],[Quality Pass Production]]/Table1[[#This Row],[Actual Production (Kg)]], "")</f>
        <v/>
      </c>
      <c r="Q1286" s="57" t="str">
        <f>IFERROR(Table1[[#This Row],[Utilization %]]*Table1[[#This Row],[Efficiency %]]*Table1[[#This Row],[Quality %]], "")</f>
        <v/>
      </c>
      <c r="R1286" s="52"/>
    </row>
    <row r="1287" spans="1:18" ht="30" customHeight="1" x14ac:dyDescent="0.25">
      <c r="A1287" s="47">
        <v>46232</v>
      </c>
      <c r="B1287" s="48" t="s">
        <v>18</v>
      </c>
      <c r="C1287" s="48" t="s">
        <v>30</v>
      </c>
      <c r="D1287" s="48" t="s">
        <v>31</v>
      </c>
      <c r="E1287" s="49">
        <v>9000</v>
      </c>
      <c r="F1287" s="76">
        <v>5428</v>
      </c>
      <c r="G1287" s="49">
        <v>0</v>
      </c>
      <c r="H1287" s="50">
        <f>IFERROR(Table1[Re-process (Kg)]/Table1[Actual Production (Kg)], "")</f>
        <v>0</v>
      </c>
      <c r="I1287" s="49">
        <f>IFERROR(Table1[[#This Row],[Actual Production (Kg)]]-Table1[[#This Row],[Re-process (Kg)]], "")</f>
        <v>5428</v>
      </c>
      <c r="J1287" s="49">
        <v>22</v>
      </c>
      <c r="K1287" s="72"/>
      <c r="L1287" s="49">
        <f>IF(Table1[[#This Row],[Target Time (Hours)]]="","",Table1[[#This Row],[Target Time (Hours)]]-Table1[[#This Row],[Downtime (Hours)]])</f>
        <v>22</v>
      </c>
      <c r="M1287" s="49">
        <f>IFERROR(Table1[[#This Row],[Capacity (Kg)]]/Table1[[#This Row],[Target Time (Hours)]] * Table1[[#This Row],[Downtime (Hours)]], "")</f>
        <v>0</v>
      </c>
      <c r="N1287" s="50">
        <f>IFERROR(Table1[[#This Row],[Running Time (hr)]]/Table1[Target Time (Hours)], "")</f>
        <v>1</v>
      </c>
      <c r="O1287" s="50">
        <f>IFERROR(Table1[[#This Row],[Actual Production (Kg)]]/Table1[Capacity (Kg)], "")</f>
        <v>0.60311111111111115</v>
      </c>
      <c r="P1287" s="50">
        <f>IFERROR(Table1[[#This Row],[Quality Pass Production]]/Table1[[#This Row],[Actual Production (Kg)]], "")</f>
        <v>1</v>
      </c>
      <c r="Q1287" s="50">
        <f>IFERROR(Table1[[#This Row],[Utilization %]]*Table1[[#This Row],[Efficiency %]]*Table1[[#This Row],[Quality %]], "")</f>
        <v>0.60311111111111115</v>
      </c>
    </row>
    <row r="1288" spans="1:18" ht="30" customHeight="1" x14ac:dyDescent="0.25">
      <c r="A1288" s="51">
        <v>46232</v>
      </c>
      <c r="B1288" s="52" t="s">
        <v>18</v>
      </c>
      <c r="C1288" s="52" t="s">
        <v>32</v>
      </c>
      <c r="D1288" s="52" t="s">
        <v>31</v>
      </c>
      <c r="E1288" s="53"/>
      <c r="F1288" s="53"/>
      <c r="G1288" s="53"/>
      <c r="H1288" s="57" t="str">
        <f>IFERROR(Table1[Re-process (Kg)]/Table1[Actual Production (Kg)], "")</f>
        <v/>
      </c>
      <c r="I1288" s="53">
        <f>IFERROR(Table1[[#This Row],[Actual Production (Kg)]]-Table1[[#This Row],[Re-process (Kg)]], "")</f>
        <v>0</v>
      </c>
      <c r="J1288" s="53"/>
      <c r="K1288" s="52"/>
      <c r="L1288" s="53" t="str">
        <f>IF(Table1[[#This Row],[Target Time (Hours)]]="","",Table1[[#This Row],[Target Time (Hours)]]-Table1[[#This Row],[Downtime (Hours)]])</f>
        <v/>
      </c>
      <c r="M1288" s="53" t="str">
        <f>IFERROR(Table1[[#This Row],[Capacity (Kg)]]/Table1[[#This Row],[Target Time (Hours)]] * Table1[[#This Row],[Downtime (Hours)]], "")</f>
        <v/>
      </c>
      <c r="N1288" s="57" t="str">
        <f>IFERROR(Table1[[#This Row],[Running Time (hr)]]/Table1[Target Time (Hours)], "")</f>
        <v/>
      </c>
      <c r="O1288" s="57" t="str">
        <f>IFERROR(Table1[[#This Row],[Actual Production (Kg)]]/Table1[Capacity (Kg)], "")</f>
        <v/>
      </c>
      <c r="P1288" s="57" t="str">
        <f>IFERROR(Table1[[#This Row],[Quality Pass Production]]/Table1[[#This Row],[Actual Production (Kg)]], "")</f>
        <v/>
      </c>
      <c r="Q1288" s="57" t="str">
        <f>IFERROR(Table1[[#This Row],[Utilization %]]*Table1[[#This Row],[Efficiency %]]*Table1[[#This Row],[Quality %]], "")</f>
        <v/>
      </c>
      <c r="R1288" s="52"/>
    </row>
    <row r="1289" spans="1:18" ht="30" customHeight="1" x14ac:dyDescent="0.25">
      <c r="A1289" s="47">
        <v>46232</v>
      </c>
      <c r="B1289" s="48" t="s">
        <v>33</v>
      </c>
      <c r="C1289" s="48" t="s">
        <v>34</v>
      </c>
      <c r="D1289" s="48" t="s">
        <v>35</v>
      </c>
      <c r="E1289" s="49">
        <v>9000</v>
      </c>
      <c r="F1289" s="76">
        <v>6942</v>
      </c>
      <c r="G1289" s="49">
        <v>0</v>
      </c>
      <c r="H1289" s="50">
        <f>IFERROR(Table1[Re-process (Kg)]/Table1[Actual Production (Kg)], "")</f>
        <v>0</v>
      </c>
      <c r="I1289" s="49">
        <f>IFERROR(Table1[[#This Row],[Actual Production (Kg)]]-Table1[[#This Row],[Re-process (Kg)]], "")</f>
        <v>6942</v>
      </c>
      <c r="J1289" s="49">
        <v>22</v>
      </c>
      <c r="K1289" s="72"/>
      <c r="L1289" s="49">
        <f>IF(Table1[[#This Row],[Target Time (Hours)]]="","",Table1[[#This Row],[Target Time (Hours)]]-Table1[[#This Row],[Downtime (Hours)]])</f>
        <v>22</v>
      </c>
      <c r="M1289" s="49">
        <f>IFERROR(Table1[[#This Row],[Capacity (Kg)]]/Table1[[#This Row],[Target Time (Hours)]] * Table1[[#This Row],[Downtime (Hours)]], "")</f>
        <v>0</v>
      </c>
      <c r="N1289" s="50">
        <f>IFERROR(Table1[[#This Row],[Running Time (hr)]]/Table1[Target Time (Hours)], "")</f>
        <v>1</v>
      </c>
      <c r="O1289" s="50">
        <f>IFERROR(Table1[[#This Row],[Actual Production (Kg)]]/Table1[Capacity (Kg)], "")</f>
        <v>0.77133333333333332</v>
      </c>
      <c r="P1289" s="50">
        <f>IFERROR(Table1[[#This Row],[Quality Pass Production]]/Table1[[#This Row],[Actual Production (Kg)]], "")</f>
        <v>1</v>
      </c>
      <c r="Q1289" s="50">
        <f>IFERROR(Table1[[#This Row],[Utilization %]]*Table1[[#This Row],[Efficiency %]]*Table1[[#This Row],[Quality %]], "")</f>
        <v>0.77133333333333332</v>
      </c>
    </row>
    <row r="1290" spans="1:18" ht="45" customHeight="1" x14ac:dyDescent="0.25">
      <c r="A1290" s="47">
        <v>46232</v>
      </c>
      <c r="B1290" s="48" t="s">
        <v>33</v>
      </c>
      <c r="C1290" s="48" t="s">
        <v>36</v>
      </c>
      <c r="D1290" s="48" t="s">
        <v>37</v>
      </c>
      <c r="E1290" s="49">
        <v>8000</v>
      </c>
      <c r="F1290" s="76">
        <v>7768</v>
      </c>
      <c r="G1290" s="49">
        <v>0</v>
      </c>
      <c r="H1290" s="50">
        <f>IFERROR(Table1[Re-process (Kg)]/Table1[Actual Production (Kg)], "")</f>
        <v>0</v>
      </c>
      <c r="I1290" s="49">
        <f>IFERROR(Table1[[#This Row],[Actual Production (Kg)]]-Table1[[#This Row],[Re-process (Kg)]], "")</f>
        <v>7768</v>
      </c>
      <c r="J1290" s="49">
        <v>22</v>
      </c>
      <c r="K1290" s="72">
        <v>4.45</v>
      </c>
      <c r="L1290" s="49">
        <f>IF(Table1[[#This Row],[Target Time (Hours)]]="","",Table1[[#This Row],[Target Time (Hours)]]-Table1[[#This Row],[Downtime (Hours)]])</f>
        <v>17.55</v>
      </c>
      <c r="M1290" s="49">
        <f>IFERROR(Table1[[#This Row],[Capacity (Kg)]]/Table1[[#This Row],[Target Time (Hours)]] * Table1[[#This Row],[Downtime (Hours)]], "")</f>
        <v>1618.1818181818182</v>
      </c>
      <c r="N1290" s="50">
        <f>IFERROR(Table1[[#This Row],[Running Time (hr)]]/Table1[Target Time (Hours)], "")</f>
        <v>0.79772727272727273</v>
      </c>
      <c r="O1290" s="50">
        <f>IFERROR(Table1[[#This Row],[Actual Production (Kg)]]/Table1[Capacity (Kg)], "")</f>
        <v>0.97099999999999997</v>
      </c>
      <c r="P1290" s="50">
        <f>IFERROR(Table1[[#This Row],[Quality Pass Production]]/Table1[[#This Row],[Actual Production (Kg)]], "")</f>
        <v>1</v>
      </c>
      <c r="Q1290" s="50">
        <f>IFERROR(Table1[[#This Row],[Utilization %]]*Table1[[#This Row],[Efficiency %]]*Table1[[#This Row],[Quality %]], "")</f>
        <v>0.77459318181818182</v>
      </c>
      <c r="R1290" s="48" t="s">
        <v>339</v>
      </c>
    </row>
    <row r="1291" spans="1:18" ht="30" customHeight="1" x14ac:dyDescent="0.25">
      <c r="A1291" s="47">
        <v>46232</v>
      </c>
      <c r="B1291" s="48" t="s">
        <v>33</v>
      </c>
      <c r="C1291" s="48" t="s">
        <v>39</v>
      </c>
      <c r="D1291" s="48" t="s">
        <v>31</v>
      </c>
      <c r="E1291" s="49">
        <v>6000</v>
      </c>
      <c r="F1291" s="76">
        <v>2715</v>
      </c>
      <c r="G1291" s="49">
        <v>0</v>
      </c>
      <c r="H1291" s="50">
        <f>IFERROR(Table1[Re-process (Kg)]/Table1[Actual Production (Kg)], "")</f>
        <v>0</v>
      </c>
      <c r="I1291" s="49">
        <f>IFERROR(Table1[[#This Row],[Actual Production (Kg)]]-Table1[[#This Row],[Re-process (Kg)]], "")</f>
        <v>2715</v>
      </c>
      <c r="J1291" s="49">
        <v>22</v>
      </c>
      <c r="K1291" s="72"/>
      <c r="L1291" s="49">
        <f>IF(Table1[[#This Row],[Target Time (Hours)]]="","",Table1[[#This Row],[Target Time (Hours)]]-Table1[[#This Row],[Downtime (Hours)]])</f>
        <v>22</v>
      </c>
      <c r="M1291" s="49">
        <f>IFERROR(Table1[[#This Row],[Capacity (Kg)]]/Table1[[#This Row],[Target Time (Hours)]] * Table1[[#This Row],[Downtime (Hours)]], "")</f>
        <v>0</v>
      </c>
      <c r="N1291" s="50">
        <f>IFERROR(Table1[[#This Row],[Running Time (hr)]]/Table1[Target Time (Hours)], "")</f>
        <v>1</v>
      </c>
      <c r="O1291" s="50">
        <f>IFERROR(Table1[[#This Row],[Actual Production (Kg)]]/Table1[Capacity (Kg)], "")</f>
        <v>0.45250000000000001</v>
      </c>
      <c r="P1291" s="50">
        <f>IFERROR(Table1[[#This Row],[Quality Pass Production]]/Table1[[#This Row],[Actual Production (Kg)]], "")</f>
        <v>1</v>
      </c>
      <c r="Q1291" s="50">
        <f>IFERROR(Table1[[#This Row],[Utilization %]]*Table1[[#This Row],[Efficiency %]]*Table1[[#This Row],[Quality %]], "")</f>
        <v>0.45250000000000001</v>
      </c>
      <c r="R1291" s="48" t="s">
        <v>340</v>
      </c>
    </row>
    <row r="1292" spans="1:18" ht="45" customHeight="1" x14ac:dyDescent="0.25">
      <c r="A1292" s="54">
        <v>46232</v>
      </c>
      <c r="B1292" s="55" t="s">
        <v>33</v>
      </c>
      <c r="C1292" s="55" t="s">
        <v>40</v>
      </c>
      <c r="D1292" s="55" t="s">
        <v>31</v>
      </c>
      <c r="E1292" s="56">
        <v>5000</v>
      </c>
      <c r="F1292" s="56">
        <v>4494</v>
      </c>
      <c r="G1292" s="56">
        <v>0</v>
      </c>
      <c r="H1292" s="58">
        <f>IFERROR(Table1[Re-process (Kg)]/Table1[Actual Production (Kg)], "")</f>
        <v>0</v>
      </c>
      <c r="I1292" s="56">
        <f>IFERROR(Table1[[#This Row],[Actual Production (Kg)]]-Table1[[#This Row],[Re-process (Kg)]], "")</f>
        <v>4494</v>
      </c>
      <c r="J1292" s="56">
        <v>22</v>
      </c>
      <c r="K1292" s="55"/>
      <c r="L1292" s="56">
        <f>IF(Table1[[#This Row],[Target Time (Hours)]]="","",Table1[[#This Row],[Target Time (Hours)]]-Table1[[#This Row],[Downtime (Hours)]])</f>
        <v>22</v>
      </c>
      <c r="M1292" s="56">
        <f>IFERROR(Table1[[#This Row],[Capacity (Kg)]]/Table1[[#This Row],[Target Time (Hours)]] * Table1[[#This Row],[Downtime (Hours)]], "")</f>
        <v>0</v>
      </c>
      <c r="N1292" s="58">
        <f>IFERROR(Table1[[#This Row],[Running Time (hr)]]/Table1[Target Time (Hours)], "")</f>
        <v>1</v>
      </c>
      <c r="O1292" s="58">
        <f>IFERROR(Table1[[#This Row],[Actual Production (Kg)]]/Table1[Capacity (Kg)], "")</f>
        <v>0.89880000000000004</v>
      </c>
      <c r="P1292" s="58">
        <f>IFERROR(Table1[[#This Row],[Quality Pass Production]]/Table1[[#This Row],[Actual Production (Kg)]], "")</f>
        <v>1</v>
      </c>
      <c r="Q1292" s="58">
        <f>IFERROR(Table1[[#This Row],[Utilization %]]*Table1[[#This Row],[Efficiency %]]*Table1[[#This Row],[Quality %]], "")</f>
        <v>0.89880000000000004</v>
      </c>
      <c r="R1292" s="55"/>
    </row>
    <row r="1293" spans="1:18" ht="30" customHeight="1" x14ac:dyDescent="0.25">
      <c r="A1293" s="47">
        <v>46233</v>
      </c>
      <c r="B1293" s="48" t="s">
        <v>18</v>
      </c>
      <c r="C1293" s="48" t="s">
        <v>19</v>
      </c>
      <c r="D1293" s="48" t="s">
        <v>20</v>
      </c>
      <c r="E1293" s="49">
        <v>10000</v>
      </c>
      <c r="F1293" s="76">
        <v>9059</v>
      </c>
      <c r="G1293" s="49">
        <v>0</v>
      </c>
      <c r="H1293" s="50">
        <f>IFERROR(Table1[Re-process (Kg)]/Table1[Actual Production (Kg)], "")</f>
        <v>0</v>
      </c>
      <c r="I1293" s="49">
        <f>IFERROR(Table1[[#This Row],[Actual Production (Kg)]]-Table1[[#This Row],[Re-process (Kg)]], "")</f>
        <v>9059</v>
      </c>
      <c r="J1293" s="49">
        <v>20</v>
      </c>
      <c r="K1293" s="72"/>
      <c r="L1293" s="49">
        <f>IF(Table1[[#This Row],[Target Time (Hours)]]="","",Table1[[#This Row],[Target Time (Hours)]]-Table1[[#This Row],[Downtime (Hours)]])</f>
        <v>20</v>
      </c>
      <c r="M1293" s="49">
        <f>IFERROR(Table1[[#This Row],[Capacity (Kg)]]/Table1[[#This Row],[Target Time (Hours)]] * Table1[[#This Row],[Downtime (Hours)]], "")</f>
        <v>0</v>
      </c>
      <c r="N1293" s="50">
        <f>IFERROR(Table1[[#This Row],[Running Time (hr)]]/Table1[Target Time (Hours)], "")</f>
        <v>1</v>
      </c>
      <c r="O1293" s="50">
        <f>IFERROR(Table1[[#This Row],[Actual Production (Kg)]]/Table1[Capacity (Kg)], "")</f>
        <v>0.90590000000000004</v>
      </c>
      <c r="P1293" s="50">
        <f>IFERROR(Table1[[#This Row],[Quality Pass Production]]/Table1[[#This Row],[Actual Production (Kg)]], "")</f>
        <v>1</v>
      </c>
      <c r="Q1293" s="50">
        <f>IFERROR(Table1[[#This Row],[Utilization %]]*Table1[[#This Row],[Efficiency %]]*Table1[[#This Row],[Quality %]], "")</f>
        <v>0.90590000000000004</v>
      </c>
    </row>
    <row r="1294" spans="1:18" x14ac:dyDescent="0.25">
      <c r="A1294" s="51">
        <v>46233</v>
      </c>
      <c r="B1294" s="52" t="s">
        <v>18</v>
      </c>
      <c r="C1294" s="52" t="s">
        <v>238</v>
      </c>
      <c r="D1294" s="52" t="s">
        <v>20</v>
      </c>
      <c r="E1294" s="53">
        <v>8864</v>
      </c>
      <c r="F1294" s="53">
        <v>8864</v>
      </c>
      <c r="G1294" s="53">
        <v>0</v>
      </c>
      <c r="H1294" s="57">
        <f>IFERROR(Table1[Re-process (Kg)]/Table1[Actual Production (Kg)], "")</f>
        <v>0</v>
      </c>
      <c r="I1294" s="53">
        <f>IFERROR(Table1[[#This Row],[Actual Production (Kg)]]-Table1[[#This Row],[Re-process (Kg)]], "")</f>
        <v>8864</v>
      </c>
      <c r="J1294" s="53"/>
      <c r="K1294" s="52"/>
      <c r="L1294" s="53" t="str">
        <f>IF(Table1[[#This Row],[Target Time (Hours)]]="","",Table1[[#This Row],[Target Time (Hours)]]-Table1[[#This Row],[Downtime (Hours)]])</f>
        <v/>
      </c>
      <c r="M1294" s="53" t="str">
        <f>IFERROR(Table1[[#This Row],[Capacity (Kg)]]/Table1[[#This Row],[Target Time (Hours)]] * Table1[[#This Row],[Downtime (Hours)]], "")</f>
        <v/>
      </c>
      <c r="N1294" s="57" t="str">
        <f>IFERROR(Table1[[#This Row],[Running Time (hr)]]/Table1[Target Time (Hours)], "")</f>
        <v/>
      </c>
      <c r="O1294" s="57">
        <f>IFERROR(Table1[[#This Row],[Actual Production (Kg)]]/Table1[Capacity (Kg)], "")</f>
        <v>1</v>
      </c>
      <c r="P1294" s="57">
        <f>IFERROR(Table1[[#This Row],[Quality Pass Production]]/Table1[[#This Row],[Actual Production (Kg)]], "")</f>
        <v>1</v>
      </c>
      <c r="Q1294" s="57" t="str">
        <f>IFERROR(Table1[[#This Row],[Utilization %]]*Table1[[#This Row],[Efficiency %]]*Table1[[#This Row],[Quality %]], "")</f>
        <v/>
      </c>
      <c r="R1294" s="52"/>
    </row>
    <row r="1295" spans="1:18" x14ac:dyDescent="0.25">
      <c r="A1295" s="47">
        <v>46233</v>
      </c>
      <c r="B1295" s="48" t="s">
        <v>18</v>
      </c>
      <c r="C1295" s="48" t="s">
        <v>22</v>
      </c>
      <c r="D1295" s="48" t="s">
        <v>23</v>
      </c>
      <c r="E1295" s="49">
        <v>5000</v>
      </c>
      <c r="F1295" s="76">
        <v>5363</v>
      </c>
      <c r="G1295" s="49">
        <v>0</v>
      </c>
      <c r="H1295" s="50">
        <f>IFERROR(Table1[Re-process (Kg)]/Table1[Actual Production (Kg)], "")</f>
        <v>0</v>
      </c>
      <c r="I1295" s="49">
        <f>IFERROR(Table1[[#This Row],[Actual Production (Kg)]]-Table1[[#This Row],[Re-process (Kg)]], "")</f>
        <v>5363</v>
      </c>
      <c r="J1295" s="49">
        <v>20</v>
      </c>
      <c r="K1295" s="72"/>
      <c r="L1295" s="49">
        <f>IF(Table1[[#This Row],[Target Time (Hours)]]="","",Table1[[#This Row],[Target Time (Hours)]]-Table1[[#This Row],[Downtime (Hours)]])</f>
        <v>20</v>
      </c>
      <c r="M1295" s="49">
        <f>IFERROR(Table1[[#This Row],[Capacity (Kg)]]/Table1[[#This Row],[Target Time (Hours)]] * Table1[[#This Row],[Downtime (Hours)]], "")</f>
        <v>0</v>
      </c>
      <c r="N1295" s="50">
        <f>IFERROR(Table1[[#This Row],[Running Time (hr)]]/Table1[Target Time (Hours)], "")</f>
        <v>1</v>
      </c>
      <c r="O1295" s="50">
        <f>IFERROR(Table1[[#This Row],[Actual Production (Kg)]]/Table1[Capacity (Kg)], "")</f>
        <v>1.0726</v>
      </c>
      <c r="P1295" s="50">
        <f>IFERROR(Table1[[#This Row],[Quality Pass Production]]/Table1[[#This Row],[Actual Production (Kg)]], "")</f>
        <v>1</v>
      </c>
      <c r="Q1295" s="50">
        <f>IFERROR(Table1[[#This Row],[Utilization %]]*Table1[[#This Row],[Efficiency %]]*Table1[[#This Row],[Quality %]], "")</f>
        <v>1.0726</v>
      </c>
    </row>
    <row r="1296" spans="1:18" x14ac:dyDescent="0.25">
      <c r="A1296" s="47">
        <v>46233</v>
      </c>
      <c r="B1296" s="48" t="s">
        <v>18</v>
      </c>
      <c r="C1296" s="48" t="s">
        <v>22</v>
      </c>
      <c r="D1296" s="48" t="s">
        <v>25</v>
      </c>
      <c r="E1296" s="49">
        <v>4000</v>
      </c>
      <c r="F1296" s="76">
        <v>3852</v>
      </c>
      <c r="G1296" s="49">
        <v>0</v>
      </c>
      <c r="H1296" s="50">
        <f>IFERROR(Table1[Re-process (Kg)]/Table1[Actual Production (Kg)], "")</f>
        <v>0</v>
      </c>
      <c r="I1296" s="49">
        <f>IFERROR(Table1[[#This Row],[Actual Production (Kg)]]-Table1[[#This Row],[Re-process (Kg)]], "")</f>
        <v>3852</v>
      </c>
      <c r="J1296" s="49"/>
      <c r="K1296" s="72"/>
      <c r="L1296" s="49" t="str">
        <f>IF(Table1[[#This Row],[Target Time (Hours)]]="","",Table1[[#This Row],[Target Time (Hours)]]-Table1[[#This Row],[Downtime (Hours)]])</f>
        <v/>
      </c>
      <c r="M1296" s="49" t="str">
        <f>IFERROR(Table1[[#This Row],[Capacity (Kg)]]/Table1[[#This Row],[Target Time (Hours)]] * Table1[[#This Row],[Downtime (Hours)]], "")</f>
        <v/>
      </c>
      <c r="N1296" s="50" t="str">
        <f>IFERROR(Table1[[#This Row],[Running Time (hr)]]/Table1[Target Time (Hours)], "")</f>
        <v/>
      </c>
      <c r="O1296" s="50">
        <f>IFERROR(Table1[[#This Row],[Actual Production (Kg)]]/Table1[Capacity (Kg)], "")</f>
        <v>0.96299999999999997</v>
      </c>
      <c r="P1296" s="50">
        <f>IFERROR(Table1[[#This Row],[Quality Pass Production]]/Table1[[#This Row],[Actual Production (Kg)]], "")</f>
        <v>1</v>
      </c>
      <c r="Q1296" s="50" t="str">
        <f>IFERROR(Table1[[#This Row],[Utilization %]]*Table1[[#This Row],[Efficiency %]]*Table1[[#This Row],[Quality %]], "")</f>
        <v/>
      </c>
    </row>
    <row r="1297" spans="1:18" x14ac:dyDescent="0.25">
      <c r="A1297" s="47">
        <v>46233</v>
      </c>
      <c r="B1297" s="48" t="s">
        <v>18</v>
      </c>
      <c r="C1297" s="48" t="s">
        <v>26</v>
      </c>
      <c r="D1297" s="48" t="s">
        <v>25</v>
      </c>
      <c r="E1297" s="49">
        <v>7000</v>
      </c>
      <c r="F1297" s="76">
        <v>7276</v>
      </c>
      <c r="G1297" s="49">
        <v>0</v>
      </c>
      <c r="H1297" s="50">
        <f>IFERROR(Table1[Re-process (Kg)]/Table1[Actual Production (Kg)], "")</f>
        <v>0</v>
      </c>
      <c r="I1297" s="49">
        <f>IFERROR(Table1[[#This Row],[Actual Production (Kg)]]-Table1[[#This Row],[Re-process (Kg)]], "")</f>
        <v>7276</v>
      </c>
      <c r="J1297" s="49">
        <v>20</v>
      </c>
      <c r="K1297" s="72"/>
      <c r="L1297" s="49">
        <f>IF(Table1[[#This Row],[Target Time (Hours)]]="","",Table1[[#This Row],[Target Time (Hours)]]-Table1[[#This Row],[Downtime (Hours)]])</f>
        <v>20</v>
      </c>
      <c r="M1297" s="49">
        <f>IFERROR(Table1[[#This Row],[Capacity (Kg)]]/Table1[[#This Row],[Target Time (Hours)]] * Table1[[#This Row],[Downtime (Hours)]], "")</f>
        <v>0</v>
      </c>
      <c r="N1297" s="50">
        <f>IFERROR(Table1[[#This Row],[Running Time (hr)]]/Table1[Target Time (Hours)], "")</f>
        <v>1</v>
      </c>
      <c r="O1297" s="50">
        <f>IFERROR(Table1[[#This Row],[Actual Production (Kg)]]/Table1[Capacity (Kg)], "")</f>
        <v>1.0394285714285714</v>
      </c>
      <c r="P1297" s="50">
        <f>IFERROR(Table1[[#This Row],[Quality Pass Production]]/Table1[[#This Row],[Actual Production (Kg)]], "")</f>
        <v>1</v>
      </c>
      <c r="Q1297" s="50">
        <f>IFERROR(Table1[[#This Row],[Utilization %]]*Table1[[#This Row],[Efficiency %]]*Table1[[#This Row],[Quality %]], "")</f>
        <v>1.0394285714285714</v>
      </c>
    </row>
    <row r="1298" spans="1:18" ht="30" customHeight="1" x14ac:dyDescent="0.25">
      <c r="A1298" s="47">
        <v>46233</v>
      </c>
      <c r="B1298" s="48" t="s">
        <v>18</v>
      </c>
      <c r="C1298" s="48" t="s">
        <v>28</v>
      </c>
      <c r="D1298" s="48" t="s">
        <v>29</v>
      </c>
      <c r="E1298" s="49">
        <v>7800</v>
      </c>
      <c r="F1298" s="76">
        <v>5291</v>
      </c>
      <c r="G1298" s="49">
        <v>0</v>
      </c>
      <c r="H1298" s="50">
        <f>IFERROR(Table1[Re-process (Kg)]/Table1[Actual Production (Kg)], "")</f>
        <v>0</v>
      </c>
      <c r="I1298" s="49">
        <f>IFERROR(Table1[[#This Row],[Actual Production (Kg)]]-Table1[[#This Row],[Re-process (Kg)]], "")</f>
        <v>5291</v>
      </c>
      <c r="J1298" s="49">
        <v>20</v>
      </c>
      <c r="K1298" s="72">
        <v>2.5</v>
      </c>
      <c r="L1298" s="49">
        <f>IF(Table1[[#This Row],[Target Time (Hours)]]="","",Table1[[#This Row],[Target Time (Hours)]]-Table1[[#This Row],[Downtime (Hours)]])</f>
        <v>17.5</v>
      </c>
      <c r="M1298" s="49">
        <f>IFERROR(Table1[[#This Row],[Capacity (Kg)]]/Table1[[#This Row],[Target Time (Hours)]] * Table1[[#This Row],[Downtime (Hours)]], "")</f>
        <v>975</v>
      </c>
      <c r="N1298" s="50">
        <f>IFERROR(Table1[[#This Row],[Running Time (hr)]]/Table1[Target Time (Hours)], "")</f>
        <v>0.875</v>
      </c>
      <c r="O1298" s="50">
        <f>IFERROR(Table1[[#This Row],[Actual Production (Kg)]]/Table1[Capacity (Kg)], "")</f>
        <v>0.67833333333333334</v>
      </c>
      <c r="P1298" s="50">
        <f>IFERROR(Table1[[#This Row],[Quality Pass Production]]/Table1[[#This Row],[Actual Production (Kg)]], "")</f>
        <v>1</v>
      </c>
      <c r="Q1298" s="50">
        <f>IFERROR(Table1[[#This Row],[Utilization %]]*Table1[[#This Row],[Efficiency %]]*Table1[[#This Row],[Quality %]], "")</f>
        <v>0.59354166666666663</v>
      </c>
      <c r="R1298" s="48" t="s">
        <v>336</v>
      </c>
    </row>
    <row r="1299" spans="1:18" ht="30" customHeight="1" x14ac:dyDescent="0.25">
      <c r="A1299" s="51">
        <v>46233</v>
      </c>
      <c r="B1299" s="52" t="s">
        <v>18</v>
      </c>
      <c r="C1299" s="52" t="s">
        <v>135</v>
      </c>
      <c r="D1299" s="52" t="s">
        <v>29</v>
      </c>
      <c r="E1299" s="53"/>
      <c r="F1299" s="53"/>
      <c r="G1299" s="53"/>
      <c r="H1299" s="57" t="str">
        <f>IFERROR(Table1[Re-process (Kg)]/Table1[Actual Production (Kg)], "")</f>
        <v/>
      </c>
      <c r="I1299" s="53">
        <f>IFERROR(Table1[[#This Row],[Actual Production (Kg)]]-Table1[[#This Row],[Re-process (Kg)]], "")</f>
        <v>0</v>
      </c>
      <c r="J1299" s="53"/>
      <c r="K1299" s="52"/>
      <c r="L1299" s="53" t="str">
        <f>IF(Table1[[#This Row],[Target Time (Hours)]]="","",Table1[[#This Row],[Target Time (Hours)]]-Table1[[#This Row],[Downtime (Hours)]])</f>
        <v/>
      </c>
      <c r="M1299" s="53" t="str">
        <f>IFERROR(Table1[[#This Row],[Capacity (Kg)]]/Table1[[#This Row],[Target Time (Hours)]] * Table1[[#This Row],[Downtime (Hours)]], "")</f>
        <v/>
      </c>
      <c r="N1299" s="57" t="str">
        <f>IFERROR(Table1[[#This Row],[Running Time (hr)]]/Table1[Target Time (Hours)], "")</f>
        <v/>
      </c>
      <c r="O1299" s="57" t="str">
        <f>IFERROR(Table1[[#This Row],[Actual Production (Kg)]]/Table1[Capacity (Kg)], "")</f>
        <v/>
      </c>
      <c r="P1299" s="57" t="str">
        <f>IFERROR(Table1[[#This Row],[Quality Pass Production]]/Table1[[#This Row],[Actual Production (Kg)]], "")</f>
        <v/>
      </c>
      <c r="Q1299" s="57" t="str">
        <f>IFERROR(Table1[[#This Row],[Utilization %]]*Table1[[#This Row],[Efficiency %]]*Table1[[#This Row],[Quality %]], "")</f>
        <v/>
      </c>
      <c r="R1299" s="52"/>
    </row>
    <row r="1300" spans="1:18" ht="30" customHeight="1" x14ac:dyDescent="0.25">
      <c r="A1300" s="47">
        <v>46233</v>
      </c>
      <c r="B1300" s="48" t="s">
        <v>18</v>
      </c>
      <c r="C1300" s="48" t="s">
        <v>30</v>
      </c>
      <c r="D1300" s="48" t="s">
        <v>31</v>
      </c>
      <c r="E1300" s="49">
        <v>9000</v>
      </c>
      <c r="F1300" s="76">
        <v>7435</v>
      </c>
      <c r="G1300" s="49">
        <v>0</v>
      </c>
      <c r="H1300" s="50">
        <f>IFERROR(Table1[Re-process (Kg)]/Table1[Actual Production (Kg)], "")</f>
        <v>0</v>
      </c>
      <c r="I1300" s="49">
        <f>IFERROR(Table1[[#This Row],[Actual Production (Kg)]]-Table1[[#This Row],[Re-process (Kg)]], "")</f>
        <v>7435</v>
      </c>
      <c r="J1300" s="49">
        <v>20</v>
      </c>
      <c r="K1300" s="72"/>
      <c r="L1300" s="49">
        <f>IF(Table1[[#This Row],[Target Time (Hours)]]="","",Table1[[#This Row],[Target Time (Hours)]]-Table1[[#This Row],[Downtime (Hours)]])</f>
        <v>20</v>
      </c>
      <c r="M1300" s="49">
        <f>IFERROR(Table1[[#This Row],[Capacity (Kg)]]/Table1[[#This Row],[Target Time (Hours)]] * Table1[[#This Row],[Downtime (Hours)]], "")</f>
        <v>0</v>
      </c>
      <c r="N1300" s="50">
        <f>IFERROR(Table1[[#This Row],[Running Time (hr)]]/Table1[Target Time (Hours)], "")</f>
        <v>1</v>
      </c>
      <c r="O1300" s="50">
        <f>IFERROR(Table1[[#This Row],[Actual Production (Kg)]]/Table1[Capacity (Kg)], "")</f>
        <v>0.82611111111111113</v>
      </c>
      <c r="P1300" s="50">
        <f>IFERROR(Table1[[#This Row],[Quality Pass Production]]/Table1[[#This Row],[Actual Production (Kg)]], "")</f>
        <v>1</v>
      </c>
      <c r="Q1300" s="50">
        <f>IFERROR(Table1[[#This Row],[Utilization %]]*Table1[[#This Row],[Efficiency %]]*Table1[[#This Row],[Quality %]], "")</f>
        <v>0.82611111111111113</v>
      </c>
    </row>
    <row r="1301" spans="1:18" ht="30" customHeight="1" x14ac:dyDescent="0.25">
      <c r="A1301" s="51">
        <v>46233</v>
      </c>
      <c r="B1301" s="52" t="s">
        <v>18</v>
      </c>
      <c r="C1301" s="52" t="s">
        <v>32</v>
      </c>
      <c r="D1301" s="52" t="s">
        <v>31</v>
      </c>
      <c r="E1301" s="53"/>
      <c r="F1301" s="53"/>
      <c r="G1301" s="53"/>
      <c r="H1301" s="57" t="str">
        <f>IFERROR(Table1[Re-process (Kg)]/Table1[Actual Production (Kg)], "")</f>
        <v/>
      </c>
      <c r="I1301" s="53">
        <f>IFERROR(Table1[[#This Row],[Actual Production (Kg)]]-Table1[[#This Row],[Re-process (Kg)]], "")</f>
        <v>0</v>
      </c>
      <c r="J1301" s="53"/>
      <c r="K1301" s="52"/>
      <c r="L1301" s="53" t="str">
        <f>IF(Table1[[#This Row],[Target Time (Hours)]]="","",Table1[[#This Row],[Target Time (Hours)]]-Table1[[#This Row],[Downtime (Hours)]])</f>
        <v/>
      </c>
      <c r="M1301" s="53" t="str">
        <f>IFERROR(Table1[[#This Row],[Capacity (Kg)]]/Table1[[#This Row],[Target Time (Hours)]] * Table1[[#This Row],[Downtime (Hours)]], "")</f>
        <v/>
      </c>
      <c r="N1301" s="57" t="str">
        <f>IFERROR(Table1[[#This Row],[Running Time (hr)]]/Table1[Target Time (Hours)], "")</f>
        <v/>
      </c>
      <c r="O1301" s="57" t="str">
        <f>IFERROR(Table1[[#This Row],[Actual Production (Kg)]]/Table1[Capacity (Kg)], "")</f>
        <v/>
      </c>
      <c r="P1301" s="57" t="str">
        <f>IFERROR(Table1[[#This Row],[Quality Pass Production]]/Table1[[#This Row],[Actual Production (Kg)]], "")</f>
        <v/>
      </c>
      <c r="Q1301" s="57" t="str">
        <f>IFERROR(Table1[[#This Row],[Utilization %]]*Table1[[#This Row],[Efficiency %]]*Table1[[#This Row],[Quality %]], "")</f>
        <v/>
      </c>
      <c r="R1301" s="52"/>
    </row>
    <row r="1302" spans="1:18" ht="30" customHeight="1" x14ac:dyDescent="0.25">
      <c r="A1302" s="47">
        <v>46233</v>
      </c>
      <c r="B1302" s="48" t="s">
        <v>33</v>
      </c>
      <c r="C1302" s="48" t="s">
        <v>34</v>
      </c>
      <c r="D1302" s="48" t="s">
        <v>35</v>
      </c>
      <c r="E1302" s="49">
        <v>9000</v>
      </c>
      <c r="F1302" s="76">
        <v>4661</v>
      </c>
      <c r="G1302" s="49">
        <v>0</v>
      </c>
      <c r="H1302" s="50">
        <f>IFERROR(Table1[Re-process (Kg)]/Table1[Actual Production (Kg)], "")</f>
        <v>0</v>
      </c>
      <c r="I1302" s="49">
        <f>IFERROR(Table1[[#This Row],[Actual Production (Kg)]]-Table1[[#This Row],[Re-process (Kg)]], "")</f>
        <v>4661</v>
      </c>
      <c r="J1302" s="49">
        <v>20</v>
      </c>
      <c r="K1302" s="72"/>
      <c r="L1302" s="49">
        <f>IF(Table1[[#This Row],[Target Time (Hours)]]="","",Table1[[#This Row],[Target Time (Hours)]]-Table1[[#This Row],[Downtime (Hours)]])</f>
        <v>20</v>
      </c>
      <c r="M1302" s="49">
        <f>IFERROR(Table1[[#This Row],[Capacity (Kg)]]/Table1[[#This Row],[Target Time (Hours)]] * Table1[[#This Row],[Downtime (Hours)]], "")</f>
        <v>0</v>
      </c>
      <c r="N1302" s="50">
        <f>IFERROR(Table1[[#This Row],[Running Time (hr)]]/Table1[Target Time (Hours)], "")</f>
        <v>1</v>
      </c>
      <c r="O1302" s="50">
        <f>IFERROR(Table1[[#This Row],[Actual Production (Kg)]]/Table1[Capacity (Kg)], "")</f>
        <v>0.51788888888888884</v>
      </c>
      <c r="P1302" s="50">
        <f>IFERROR(Table1[[#This Row],[Quality Pass Production]]/Table1[[#This Row],[Actual Production (Kg)]], "")</f>
        <v>1</v>
      </c>
      <c r="Q1302" s="50">
        <f>IFERROR(Table1[[#This Row],[Utilization %]]*Table1[[#This Row],[Efficiency %]]*Table1[[#This Row],[Quality %]], "")</f>
        <v>0.51788888888888884</v>
      </c>
    </row>
    <row r="1303" spans="1:18" ht="30" customHeight="1" x14ac:dyDescent="0.25">
      <c r="A1303" s="47">
        <v>46233</v>
      </c>
      <c r="B1303" s="48" t="s">
        <v>33</v>
      </c>
      <c r="C1303" s="48" t="s">
        <v>36</v>
      </c>
      <c r="D1303" s="48" t="s">
        <v>37</v>
      </c>
      <c r="E1303" s="49">
        <v>8000</v>
      </c>
      <c r="F1303" s="76">
        <v>4829</v>
      </c>
      <c r="G1303" s="49">
        <v>0</v>
      </c>
      <c r="H1303" s="50">
        <f>IFERROR(Table1[Re-process (Kg)]/Table1[Actual Production (Kg)], "")</f>
        <v>0</v>
      </c>
      <c r="I1303" s="49">
        <f>IFERROR(Table1[[#This Row],[Actual Production (Kg)]]-Table1[[#This Row],[Re-process (Kg)]], "")</f>
        <v>4829</v>
      </c>
      <c r="J1303" s="49">
        <v>20</v>
      </c>
      <c r="K1303" s="72">
        <v>1.5</v>
      </c>
      <c r="L1303" s="49">
        <f>IF(Table1[[#This Row],[Target Time (Hours)]]="","",Table1[[#This Row],[Target Time (Hours)]]-Table1[[#This Row],[Downtime (Hours)]])</f>
        <v>18.5</v>
      </c>
      <c r="M1303" s="49">
        <f>IFERROR(Table1[[#This Row],[Capacity (Kg)]]/Table1[[#This Row],[Target Time (Hours)]] * Table1[[#This Row],[Downtime (Hours)]], "")</f>
        <v>600</v>
      </c>
      <c r="N1303" s="50">
        <f>IFERROR(Table1[[#This Row],[Running Time (hr)]]/Table1[Target Time (Hours)], "")</f>
        <v>0.92500000000000004</v>
      </c>
      <c r="O1303" s="50">
        <f>IFERROR(Table1[[#This Row],[Actual Production (Kg)]]/Table1[Capacity (Kg)], "")</f>
        <v>0.60362499999999997</v>
      </c>
      <c r="P1303" s="50">
        <f>IFERROR(Table1[[#This Row],[Quality Pass Production]]/Table1[[#This Row],[Actual Production (Kg)]], "")</f>
        <v>1</v>
      </c>
      <c r="Q1303" s="50">
        <f>IFERROR(Table1[[#This Row],[Utilization %]]*Table1[[#This Row],[Efficiency %]]*Table1[[#This Row],[Quality %]], "")</f>
        <v>0.55835312500000001</v>
      </c>
      <c r="R1303" s="48" t="s">
        <v>341</v>
      </c>
    </row>
    <row r="1304" spans="1:18" ht="30" customHeight="1" x14ac:dyDescent="0.25">
      <c r="A1304" s="47">
        <v>46233</v>
      </c>
      <c r="B1304" s="48" t="s">
        <v>33</v>
      </c>
      <c r="C1304" s="48" t="s">
        <v>39</v>
      </c>
      <c r="D1304" s="48" t="s">
        <v>31</v>
      </c>
      <c r="E1304" s="49">
        <v>6000</v>
      </c>
      <c r="F1304" s="76">
        <v>2607</v>
      </c>
      <c r="G1304" s="49">
        <v>0</v>
      </c>
      <c r="H1304" s="50">
        <f>IFERROR(Table1[Re-process (Kg)]/Table1[Actual Production (Kg)], "")</f>
        <v>0</v>
      </c>
      <c r="I1304" s="49">
        <f>IFERROR(Table1[[#This Row],[Actual Production (Kg)]]-Table1[[#This Row],[Re-process (Kg)]], "")</f>
        <v>2607</v>
      </c>
      <c r="J1304" s="49">
        <v>20</v>
      </c>
      <c r="K1304" s="72"/>
      <c r="L1304" s="49">
        <f>IF(Table1[[#This Row],[Target Time (Hours)]]="","",Table1[[#This Row],[Target Time (Hours)]]-Table1[[#This Row],[Downtime (Hours)]])</f>
        <v>20</v>
      </c>
      <c r="M1304" s="49">
        <f>IFERROR(Table1[[#This Row],[Capacity (Kg)]]/Table1[[#This Row],[Target Time (Hours)]] * Table1[[#This Row],[Downtime (Hours)]], "")</f>
        <v>0</v>
      </c>
      <c r="N1304" s="50">
        <f>IFERROR(Table1[[#This Row],[Running Time (hr)]]/Table1[Target Time (Hours)], "")</f>
        <v>1</v>
      </c>
      <c r="O1304" s="50">
        <f>IFERROR(Table1[[#This Row],[Actual Production (Kg)]]/Table1[Capacity (Kg)], "")</f>
        <v>0.4345</v>
      </c>
      <c r="P1304" s="50">
        <f>IFERROR(Table1[[#This Row],[Quality Pass Production]]/Table1[[#This Row],[Actual Production (Kg)]], "")</f>
        <v>1</v>
      </c>
      <c r="Q1304" s="50">
        <f>IFERROR(Table1[[#This Row],[Utilization %]]*Table1[[#This Row],[Efficiency %]]*Table1[[#This Row],[Quality %]], "")</f>
        <v>0.4345</v>
      </c>
      <c r="R1304" s="48" t="s">
        <v>316</v>
      </c>
    </row>
    <row r="1305" spans="1:18" ht="45" customHeight="1" x14ac:dyDescent="0.25">
      <c r="A1305" s="54">
        <v>46233</v>
      </c>
      <c r="B1305" s="55" t="s">
        <v>33</v>
      </c>
      <c r="C1305" s="55" t="s">
        <v>40</v>
      </c>
      <c r="D1305" s="55" t="s">
        <v>31</v>
      </c>
      <c r="E1305" s="56">
        <v>5000</v>
      </c>
      <c r="F1305" s="56">
        <v>2096</v>
      </c>
      <c r="G1305" s="56">
        <v>0</v>
      </c>
      <c r="H1305" s="58">
        <f>IFERROR(Table1[Re-process (Kg)]/Table1[Actual Production (Kg)], "")</f>
        <v>0</v>
      </c>
      <c r="I1305" s="56">
        <f>IFERROR(Table1[[#This Row],[Actual Production (Kg)]]-Table1[[#This Row],[Re-process (Kg)]], "")</f>
        <v>2096</v>
      </c>
      <c r="J1305" s="56">
        <v>20</v>
      </c>
      <c r="K1305" s="55"/>
      <c r="L1305" s="56">
        <f>IF(Table1[[#This Row],[Target Time (Hours)]]="","",Table1[[#This Row],[Target Time (Hours)]]-Table1[[#This Row],[Downtime (Hours)]])</f>
        <v>20</v>
      </c>
      <c r="M1305" s="56">
        <f>IFERROR(Table1[[#This Row],[Capacity (Kg)]]/Table1[[#This Row],[Target Time (Hours)]] * Table1[[#This Row],[Downtime (Hours)]], "")</f>
        <v>0</v>
      </c>
      <c r="N1305" s="58">
        <f>IFERROR(Table1[[#This Row],[Running Time (hr)]]/Table1[Target Time (Hours)], "")</f>
        <v>1</v>
      </c>
      <c r="O1305" s="58">
        <f>IFERROR(Table1[[#This Row],[Actual Production (Kg)]]/Table1[Capacity (Kg)], "")</f>
        <v>0.41920000000000002</v>
      </c>
      <c r="P1305" s="58">
        <f>IFERROR(Table1[[#This Row],[Quality Pass Production]]/Table1[[#This Row],[Actual Production (Kg)]], "")</f>
        <v>1</v>
      </c>
      <c r="Q1305" s="58">
        <f>IFERROR(Table1[[#This Row],[Utilization %]]*Table1[[#This Row],[Efficiency %]]*Table1[[#This Row],[Quality %]], "")</f>
        <v>0.41920000000000002</v>
      </c>
      <c r="R1305" s="55" t="s">
        <v>316</v>
      </c>
    </row>
    <row r="1306" spans="1:18" ht="30" customHeight="1" x14ac:dyDescent="0.25">
      <c r="A1306" s="47">
        <v>46235</v>
      </c>
      <c r="B1306" s="48" t="s">
        <v>18</v>
      </c>
      <c r="C1306" s="48" t="s">
        <v>19</v>
      </c>
      <c r="D1306" s="48" t="s">
        <v>20</v>
      </c>
      <c r="E1306" s="34">
        <v>13000</v>
      </c>
      <c r="F1306" s="76">
        <f>7508+4781</f>
        <v>12289</v>
      </c>
      <c r="G1306" s="49">
        <v>0</v>
      </c>
      <c r="H1306" s="50">
        <f>IFERROR(Table1[Re-process (Kg)]/Table1[Actual Production (Kg)], "")</f>
        <v>0</v>
      </c>
      <c r="I1306" s="49">
        <f>IFERROR(Table1[[#This Row],[Actual Production (Kg)]]-Table1[[#This Row],[Re-process (Kg)]], "")</f>
        <v>12289</v>
      </c>
      <c r="J1306" s="49">
        <v>22</v>
      </c>
      <c r="K1306" s="72">
        <v>2.5</v>
      </c>
      <c r="L1306" s="49">
        <f>IF(Table1[[#This Row],[Target Time (Hours)]]="","",Table1[[#This Row],[Target Time (Hours)]]-Table1[[#This Row],[Downtime (Hours)]])</f>
        <v>19.5</v>
      </c>
      <c r="M1306" s="49">
        <f>IFERROR(Table1[[#This Row],[Capacity (Kg)]]/Table1[[#This Row],[Target Time (Hours)]] * Table1[[#This Row],[Downtime (Hours)]], "")</f>
        <v>1477.2727272727273</v>
      </c>
      <c r="N1306" s="50">
        <f>IFERROR(Table1[[#This Row],[Running Time (hr)]]/Table1[Target Time (Hours)], "")</f>
        <v>0.88636363636363635</v>
      </c>
      <c r="O1306" s="50">
        <f>IFERROR(Table1[[#This Row],[Actual Production (Kg)]]/Table1[Capacity (Kg)], "")</f>
        <v>0.94530769230769229</v>
      </c>
      <c r="P1306" s="50">
        <f>IFERROR(Table1[[#This Row],[Quality Pass Production]]/Table1[[#This Row],[Actual Production (Kg)]], "")</f>
        <v>1</v>
      </c>
      <c r="Q1306" s="50">
        <f>IFERROR(Table1[[#This Row],[Utilization %]]*Table1[[#This Row],[Efficiency %]]*Table1[[#This Row],[Quality %]], "")</f>
        <v>0.8378863636363636</v>
      </c>
      <c r="R1306" s="48" t="s">
        <v>342</v>
      </c>
    </row>
    <row r="1307" spans="1:18" x14ac:dyDescent="0.25">
      <c r="A1307" s="51">
        <v>46235</v>
      </c>
      <c r="B1307" s="52" t="s">
        <v>18</v>
      </c>
      <c r="C1307" s="52" t="s">
        <v>238</v>
      </c>
      <c r="D1307" s="52" t="s">
        <v>20</v>
      </c>
      <c r="E1307" s="79">
        <f>Table1[[#This Row],[Actual Production (Kg)]]</f>
        <v>12325</v>
      </c>
      <c r="F1307" s="53">
        <f>9195+3130</f>
        <v>12325</v>
      </c>
      <c r="G1307" s="53">
        <v>0</v>
      </c>
      <c r="H1307" s="57">
        <f>IFERROR(Table1[Re-process (Kg)]/Table1[Actual Production (Kg)], "")</f>
        <v>0</v>
      </c>
      <c r="I1307" s="53">
        <f>IFERROR(Table1[[#This Row],[Actual Production (Kg)]]-Table1[[#This Row],[Re-process (Kg)]], "")</f>
        <v>12325</v>
      </c>
      <c r="J1307" s="53"/>
      <c r="K1307" s="52"/>
      <c r="L1307" s="53" t="str">
        <f>IF(Table1[[#This Row],[Target Time (Hours)]]="","",Table1[[#This Row],[Target Time (Hours)]]-Table1[[#This Row],[Downtime (Hours)]])</f>
        <v/>
      </c>
      <c r="M1307" s="53" t="str">
        <f>IFERROR(Table1[[#This Row],[Capacity (Kg)]]/Table1[[#This Row],[Target Time (Hours)]] * Table1[[#This Row],[Downtime (Hours)]], "")</f>
        <v/>
      </c>
      <c r="N1307" s="57" t="str">
        <f>IFERROR(Table1[[#This Row],[Running Time (hr)]]/Table1[Target Time (Hours)], "")</f>
        <v/>
      </c>
      <c r="O1307" s="57">
        <f>IFERROR(Table1[[#This Row],[Actual Production (Kg)]]/Table1[Capacity (Kg)], "")</f>
        <v>1</v>
      </c>
      <c r="P1307" s="57">
        <f>IFERROR(Table1[[#This Row],[Quality Pass Production]]/Table1[[#This Row],[Actual Production (Kg)]], "")</f>
        <v>1</v>
      </c>
      <c r="Q1307" s="57" t="str">
        <f>IFERROR(Table1[[#This Row],[Utilization %]]*Table1[[#This Row],[Efficiency %]]*Table1[[#This Row],[Quality %]], "")</f>
        <v/>
      </c>
      <c r="R1307" s="52"/>
    </row>
    <row r="1308" spans="1:18" ht="30" customHeight="1" x14ac:dyDescent="0.25">
      <c r="A1308" s="47">
        <v>46235</v>
      </c>
      <c r="B1308" s="48" t="s">
        <v>18</v>
      </c>
      <c r="C1308" s="48" t="s">
        <v>22</v>
      </c>
      <c r="D1308" s="48" t="s">
        <v>23</v>
      </c>
      <c r="E1308" s="34">
        <v>10000</v>
      </c>
      <c r="F1308" s="76">
        <f>6750+3424</f>
        <v>10174</v>
      </c>
      <c r="G1308" s="49">
        <v>0</v>
      </c>
      <c r="H1308" s="50">
        <f>IFERROR(Table1[Re-process (Kg)]/Table1[Actual Production (Kg)], "")</f>
        <v>0</v>
      </c>
      <c r="I1308" s="49">
        <f>IFERROR(Table1[[#This Row],[Actual Production (Kg)]]-Table1[[#This Row],[Re-process (Kg)]], "")</f>
        <v>10174</v>
      </c>
      <c r="J1308" s="49">
        <v>22</v>
      </c>
      <c r="K1308" s="72">
        <v>1.67</v>
      </c>
      <c r="L1308" s="49">
        <f>IF(Table1[[#This Row],[Target Time (Hours)]]="","",Table1[[#This Row],[Target Time (Hours)]]-Table1[[#This Row],[Downtime (Hours)]])</f>
        <v>20.329999999999998</v>
      </c>
      <c r="M1308" s="49">
        <f>IFERROR(Table1[[#This Row],[Capacity (Kg)]]/Table1[[#This Row],[Target Time (Hours)]] * Table1[[#This Row],[Downtime (Hours)]], "")</f>
        <v>759.09090909090912</v>
      </c>
      <c r="N1308" s="50">
        <f>IFERROR(Table1[[#This Row],[Running Time (hr)]]/Table1[Target Time (Hours)], "")</f>
        <v>0.92409090909090896</v>
      </c>
      <c r="O1308" s="50">
        <f>IFERROR(Table1[[#This Row],[Actual Production (Kg)]]/Table1[Capacity (Kg)], "")</f>
        <v>1.0174000000000001</v>
      </c>
      <c r="P1308" s="50">
        <f>IFERROR(Table1[[#This Row],[Quality Pass Production]]/Table1[[#This Row],[Actual Production (Kg)]], "")</f>
        <v>1</v>
      </c>
      <c r="Q1308" s="50">
        <f>IFERROR(Table1[[#This Row],[Utilization %]]*Table1[[#This Row],[Efficiency %]]*Table1[[#This Row],[Quality %]], "")</f>
        <v>0.94017009090909087</v>
      </c>
      <c r="R1308" s="48" t="s">
        <v>343</v>
      </c>
    </row>
    <row r="1309" spans="1:18" x14ac:dyDescent="0.25">
      <c r="A1309" s="47">
        <v>46235</v>
      </c>
      <c r="B1309" s="48" t="s">
        <v>18</v>
      </c>
      <c r="C1309" s="48" t="s">
        <v>22</v>
      </c>
      <c r="D1309" s="48" t="s">
        <v>25</v>
      </c>
      <c r="E1309" s="30">
        <v>5000</v>
      </c>
      <c r="F1309" s="76">
        <f>1591+2530</f>
        <v>4121</v>
      </c>
      <c r="G1309" s="49">
        <v>0</v>
      </c>
      <c r="H1309" s="50">
        <f>IFERROR(Table1[Re-process (Kg)]/Table1[Actual Production (Kg)], "")</f>
        <v>0</v>
      </c>
      <c r="I1309" s="49">
        <f>IFERROR(Table1[[#This Row],[Actual Production (Kg)]]-Table1[[#This Row],[Re-process (Kg)]], "")</f>
        <v>4121</v>
      </c>
      <c r="J1309" s="49"/>
      <c r="K1309" s="72"/>
      <c r="L1309" s="49" t="str">
        <f>IF(Table1[[#This Row],[Target Time (Hours)]]="","",Table1[[#This Row],[Target Time (Hours)]]-Table1[[#This Row],[Downtime (Hours)]])</f>
        <v/>
      </c>
      <c r="M1309" s="49" t="str">
        <f>IFERROR(Table1[[#This Row],[Capacity (Kg)]]/Table1[[#This Row],[Target Time (Hours)]] * Table1[[#This Row],[Downtime (Hours)]], "")</f>
        <v/>
      </c>
      <c r="N1309" s="50" t="str">
        <f>IFERROR(Table1[[#This Row],[Running Time (hr)]]/Table1[Target Time (Hours)], "")</f>
        <v/>
      </c>
      <c r="O1309" s="50">
        <f>IFERROR(Table1[[#This Row],[Actual Production (Kg)]]/Table1[Capacity (Kg)], "")</f>
        <v>0.82420000000000004</v>
      </c>
      <c r="P1309" s="50">
        <f>IFERROR(Table1[[#This Row],[Quality Pass Production]]/Table1[[#This Row],[Actual Production (Kg)]], "")</f>
        <v>1</v>
      </c>
      <c r="Q1309" s="50" t="str">
        <f>IFERROR(Table1[[#This Row],[Utilization %]]*Table1[[#This Row],[Efficiency %]]*Table1[[#This Row],[Quality %]], "")</f>
        <v/>
      </c>
    </row>
    <row r="1310" spans="1:18" x14ac:dyDescent="0.25">
      <c r="A1310" s="47">
        <v>46235</v>
      </c>
      <c r="B1310" s="48" t="s">
        <v>18</v>
      </c>
      <c r="C1310" s="48" t="s">
        <v>26</v>
      </c>
      <c r="D1310" s="48" t="s">
        <v>25</v>
      </c>
      <c r="E1310" s="34">
        <v>9500</v>
      </c>
      <c r="F1310" s="76">
        <v>7443</v>
      </c>
      <c r="G1310" s="49">
        <v>0</v>
      </c>
      <c r="H1310" s="50">
        <f>IFERROR(Table1[Re-process (Kg)]/Table1[Actual Production (Kg)], "")</f>
        <v>0</v>
      </c>
      <c r="I1310" s="49">
        <f>IFERROR(Table1[[#This Row],[Actual Production (Kg)]]-Table1[[#This Row],[Re-process (Kg)]], "")</f>
        <v>7443</v>
      </c>
      <c r="J1310" s="49">
        <v>22</v>
      </c>
      <c r="K1310" s="72"/>
      <c r="L1310" s="49">
        <f>IF(Table1[[#This Row],[Target Time (Hours)]]="","",Table1[[#This Row],[Target Time (Hours)]]-Table1[[#This Row],[Downtime (Hours)]])</f>
        <v>22</v>
      </c>
      <c r="M1310" s="49">
        <f>IFERROR(Table1[[#This Row],[Capacity (Kg)]]/Table1[[#This Row],[Target Time (Hours)]] * Table1[[#This Row],[Downtime (Hours)]], "")</f>
        <v>0</v>
      </c>
      <c r="N1310" s="50">
        <f>IFERROR(Table1[[#This Row],[Running Time (hr)]]/Table1[Target Time (Hours)], "")</f>
        <v>1</v>
      </c>
      <c r="O1310" s="50">
        <f>IFERROR(Table1[[#This Row],[Actual Production (Kg)]]/Table1[Capacity (Kg)], "")</f>
        <v>0.78347368421052632</v>
      </c>
      <c r="P1310" s="50">
        <f>IFERROR(Table1[[#This Row],[Quality Pass Production]]/Table1[[#This Row],[Actual Production (Kg)]], "")</f>
        <v>1</v>
      </c>
      <c r="Q1310" s="50">
        <f>IFERROR(Table1[[#This Row],[Utilization %]]*Table1[[#This Row],[Efficiency %]]*Table1[[#This Row],[Quality %]], "")</f>
        <v>0.78347368421052632</v>
      </c>
    </row>
    <row r="1311" spans="1:18" ht="30" customHeight="1" x14ac:dyDescent="0.25">
      <c r="A1311" s="47">
        <v>46235</v>
      </c>
      <c r="B1311" s="48" t="s">
        <v>18</v>
      </c>
      <c r="C1311" s="48" t="s">
        <v>28</v>
      </c>
      <c r="D1311" s="48" t="s">
        <v>29</v>
      </c>
      <c r="E1311" s="30">
        <v>11700</v>
      </c>
      <c r="F1311" s="76">
        <f>7683+5350</f>
        <v>13033</v>
      </c>
      <c r="G1311" s="49">
        <v>0</v>
      </c>
      <c r="H1311" s="50">
        <f>IFERROR(Table1[Re-process (Kg)]/Table1[Actual Production (Kg)], "")</f>
        <v>0</v>
      </c>
      <c r="I1311" s="49">
        <f>IFERROR(Table1[[#This Row],[Actual Production (Kg)]]-Table1[[#This Row],[Re-process (Kg)]], "")</f>
        <v>13033</v>
      </c>
      <c r="J1311" s="49">
        <v>22</v>
      </c>
      <c r="K1311" s="72"/>
      <c r="L1311" s="49">
        <f>IF(Table1[[#This Row],[Target Time (Hours)]]="","",Table1[[#This Row],[Target Time (Hours)]]-Table1[[#This Row],[Downtime (Hours)]])</f>
        <v>22</v>
      </c>
      <c r="M1311" s="49">
        <f>IFERROR(Table1[[#This Row],[Capacity (Kg)]]/Table1[[#This Row],[Target Time (Hours)]] * Table1[[#This Row],[Downtime (Hours)]], "")</f>
        <v>0</v>
      </c>
      <c r="N1311" s="50">
        <f>IFERROR(Table1[[#This Row],[Running Time (hr)]]/Table1[Target Time (Hours)], "")</f>
        <v>1</v>
      </c>
      <c r="O1311" s="50">
        <f>IFERROR(Table1[[#This Row],[Actual Production (Kg)]]/Table1[Capacity (Kg)], "")</f>
        <v>1.1139316239316239</v>
      </c>
      <c r="P1311" s="50">
        <f>IFERROR(Table1[[#This Row],[Quality Pass Production]]/Table1[[#This Row],[Actual Production (Kg)]], "")</f>
        <v>1</v>
      </c>
      <c r="Q1311" s="50">
        <f>IFERROR(Table1[[#This Row],[Utilization %]]*Table1[[#This Row],[Efficiency %]]*Table1[[#This Row],[Quality %]], "")</f>
        <v>1.1139316239316239</v>
      </c>
    </row>
    <row r="1312" spans="1:18" ht="30" customHeight="1" x14ac:dyDescent="0.25">
      <c r="A1312" s="51">
        <v>46235</v>
      </c>
      <c r="B1312" s="52" t="s">
        <v>18</v>
      </c>
      <c r="C1312" s="52" t="s">
        <v>135</v>
      </c>
      <c r="D1312" s="52" t="s">
        <v>29</v>
      </c>
      <c r="E1312" s="38"/>
      <c r="F1312" s="53"/>
      <c r="G1312" s="53"/>
      <c r="H1312" s="57" t="str">
        <f>IFERROR(Table1[Re-process (Kg)]/Table1[Actual Production (Kg)], "")</f>
        <v/>
      </c>
      <c r="I1312" s="53">
        <f>IFERROR(Table1[[#This Row],[Actual Production (Kg)]]-Table1[[#This Row],[Re-process (Kg)]], "")</f>
        <v>0</v>
      </c>
      <c r="J1312" s="53"/>
      <c r="K1312" s="52"/>
      <c r="L1312" s="53" t="str">
        <f>IF(Table1[[#This Row],[Target Time (Hours)]]="","",Table1[[#This Row],[Target Time (Hours)]]-Table1[[#This Row],[Downtime (Hours)]])</f>
        <v/>
      </c>
      <c r="M1312" s="53" t="str">
        <f>IFERROR(Table1[[#This Row],[Capacity (Kg)]]/Table1[[#This Row],[Target Time (Hours)]] * Table1[[#This Row],[Downtime (Hours)]], "")</f>
        <v/>
      </c>
      <c r="N1312" s="57" t="str">
        <f>IFERROR(Table1[[#This Row],[Running Time (hr)]]/Table1[Target Time (Hours)], "")</f>
        <v/>
      </c>
      <c r="O1312" s="57" t="str">
        <f>IFERROR(Table1[[#This Row],[Actual Production (Kg)]]/Table1[Capacity (Kg)], "")</f>
        <v/>
      </c>
      <c r="P1312" s="57" t="str">
        <f>IFERROR(Table1[[#This Row],[Quality Pass Production]]/Table1[[#This Row],[Actual Production (Kg)]], "")</f>
        <v/>
      </c>
      <c r="Q1312" s="57" t="str">
        <f>IFERROR(Table1[[#This Row],[Utilization %]]*Table1[[#This Row],[Efficiency %]]*Table1[[#This Row],[Quality %]], "")</f>
        <v/>
      </c>
      <c r="R1312" s="52"/>
    </row>
    <row r="1313" spans="1:18" ht="30" customHeight="1" x14ac:dyDescent="0.25">
      <c r="A1313" s="47">
        <v>46235</v>
      </c>
      <c r="B1313" s="48" t="s">
        <v>18</v>
      </c>
      <c r="C1313" s="48" t="s">
        <v>30</v>
      </c>
      <c r="D1313" s="48" t="s">
        <v>31</v>
      </c>
      <c r="E1313" s="30">
        <v>13500</v>
      </c>
      <c r="F1313" s="76">
        <f>8154+4264</f>
        <v>12418</v>
      </c>
      <c r="G1313" s="49">
        <v>0</v>
      </c>
      <c r="H1313" s="50">
        <f>IFERROR(Table1[Re-process (Kg)]/Table1[Actual Production (Kg)], "")</f>
        <v>0</v>
      </c>
      <c r="I1313" s="49">
        <f>IFERROR(Table1[[#This Row],[Actual Production (Kg)]]-Table1[[#This Row],[Re-process (Kg)]], "")</f>
        <v>12418</v>
      </c>
      <c r="J1313" s="49">
        <v>22</v>
      </c>
      <c r="K1313" s="72"/>
      <c r="L1313" s="49">
        <f>IF(Table1[[#This Row],[Target Time (Hours)]]="","",Table1[[#This Row],[Target Time (Hours)]]-Table1[[#This Row],[Downtime (Hours)]])</f>
        <v>22</v>
      </c>
      <c r="M1313" s="49">
        <f>IFERROR(Table1[[#This Row],[Capacity (Kg)]]/Table1[[#This Row],[Target Time (Hours)]] * Table1[[#This Row],[Downtime (Hours)]], "")</f>
        <v>0</v>
      </c>
      <c r="N1313" s="50">
        <f>IFERROR(Table1[[#This Row],[Running Time (hr)]]/Table1[Target Time (Hours)], "")</f>
        <v>1</v>
      </c>
      <c r="O1313" s="50">
        <f>IFERROR(Table1[[#This Row],[Actual Production (Kg)]]/Table1[Capacity (Kg)], "")</f>
        <v>0.91985185185185181</v>
      </c>
      <c r="P1313" s="50">
        <f>IFERROR(Table1[[#This Row],[Quality Pass Production]]/Table1[[#This Row],[Actual Production (Kg)]], "")</f>
        <v>1</v>
      </c>
      <c r="Q1313" s="50">
        <f>IFERROR(Table1[[#This Row],[Utilization %]]*Table1[[#This Row],[Efficiency %]]*Table1[[#This Row],[Quality %]], "")</f>
        <v>0.91985185185185181</v>
      </c>
    </row>
    <row r="1314" spans="1:18" ht="30" customHeight="1" x14ac:dyDescent="0.25">
      <c r="A1314" s="51">
        <v>46235</v>
      </c>
      <c r="B1314" s="52" t="s">
        <v>18</v>
      </c>
      <c r="C1314" s="52" t="s">
        <v>32</v>
      </c>
      <c r="D1314" s="52" t="s">
        <v>31</v>
      </c>
      <c r="E1314" s="79"/>
      <c r="F1314" s="53"/>
      <c r="G1314" s="53"/>
      <c r="H1314" s="57" t="str">
        <f>IFERROR(Table1[Re-process (Kg)]/Table1[Actual Production (Kg)], "")</f>
        <v/>
      </c>
      <c r="I1314" s="53"/>
      <c r="J1314" s="53"/>
      <c r="K1314" s="52"/>
      <c r="L1314" s="53" t="str">
        <f>IF(Table1[[#This Row],[Target Time (Hours)]]="","",Table1[[#This Row],[Target Time (Hours)]]-Table1[[#This Row],[Downtime (Hours)]])</f>
        <v/>
      </c>
      <c r="M1314" s="53" t="str">
        <f>IFERROR(Table1[[#This Row],[Capacity (Kg)]]/Table1[[#This Row],[Target Time (Hours)]] * Table1[[#This Row],[Downtime (Hours)]], "")</f>
        <v/>
      </c>
      <c r="N1314" s="57" t="str">
        <f>IFERROR(Table1[[#This Row],[Running Time (hr)]]/Table1[Target Time (Hours)], "")</f>
        <v/>
      </c>
      <c r="O1314" s="57" t="str">
        <f>IFERROR(Table1[[#This Row],[Actual Production (Kg)]]/Table1[Capacity (Kg)], "")</f>
        <v/>
      </c>
      <c r="P1314" s="57" t="str">
        <f>IFERROR(Table1[[#This Row],[Quality Pass Production]]/Table1[[#This Row],[Actual Production (Kg)]], "")</f>
        <v/>
      </c>
      <c r="Q1314" s="57" t="str">
        <f>IFERROR(Table1[[#This Row],[Utilization %]]*Table1[[#This Row],[Efficiency %]]*Table1[[#This Row],[Quality %]], "")</f>
        <v/>
      </c>
      <c r="R1314" s="52"/>
    </row>
    <row r="1315" spans="1:18" ht="30" customHeight="1" x14ac:dyDescent="0.25">
      <c r="A1315" s="47">
        <v>46235</v>
      </c>
      <c r="B1315" s="48" t="s">
        <v>33</v>
      </c>
      <c r="C1315" s="48" t="s">
        <v>34</v>
      </c>
      <c r="D1315" s="48" t="s">
        <v>35</v>
      </c>
      <c r="E1315" s="30">
        <v>13500</v>
      </c>
      <c r="F1315" s="76">
        <f>8360+4804</f>
        <v>13164</v>
      </c>
      <c r="G1315" s="49">
        <v>0</v>
      </c>
      <c r="H1315" s="50">
        <f>IFERROR(Table1[Re-process (Kg)]/Table1[Actual Production (Kg)], "")</f>
        <v>0</v>
      </c>
      <c r="I1315" s="49">
        <f>IFERROR(Table1[[#This Row],[Actual Production (Kg)]]-Table1[[#This Row],[Re-process (Kg)]], "")</f>
        <v>13164</v>
      </c>
      <c r="J1315" s="49">
        <v>22</v>
      </c>
      <c r="K1315" s="72"/>
      <c r="L1315" s="49">
        <f>IF(Table1[[#This Row],[Target Time (Hours)]]="","",Table1[[#This Row],[Target Time (Hours)]]-Table1[[#This Row],[Downtime (Hours)]])</f>
        <v>22</v>
      </c>
      <c r="M1315" s="49">
        <f>IFERROR(Table1[[#This Row],[Capacity (Kg)]]/Table1[[#This Row],[Target Time (Hours)]] * Table1[[#This Row],[Downtime (Hours)]], "")</f>
        <v>0</v>
      </c>
      <c r="N1315" s="50">
        <f>IFERROR(Table1[[#This Row],[Running Time (hr)]]/Table1[Target Time (Hours)], "")</f>
        <v>1</v>
      </c>
      <c r="O1315" s="50">
        <f>IFERROR(Table1[[#This Row],[Actual Production (Kg)]]/Table1[Capacity (Kg)], "")</f>
        <v>0.97511111111111115</v>
      </c>
      <c r="P1315" s="50">
        <f>IFERROR(Table1[[#This Row],[Quality Pass Production]]/Table1[[#This Row],[Actual Production (Kg)]], "")</f>
        <v>1</v>
      </c>
      <c r="Q1315" s="50">
        <f>IFERROR(Table1[[#This Row],[Utilization %]]*Table1[[#This Row],[Efficiency %]]*Table1[[#This Row],[Quality %]], "")</f>
        <v>0.97511111111111115</v>
      </c>
    </row>
    <row r="1316" spans="1:18" ht="30" customHeight="1" x14ac:dyDescent="0.25">
      <c r="A1316" s="47">
        <v>46235</v>
      </c>
      <c r="B1316" s="48" t="s">
        <v>33</v>
      </c>
      <c r="C1316" s="48" t="s">
        <v>36</v>
      </c>
      <c r="D1316" s="48" t="s">
        <v>37</v>
      </c>
      <c r="E1316" s="34">
        <v>12000</v>
      </c>
      <c r="F1316" s="76">
        <f>7177+4802</f>
        <v>11979</v>
      </c>
      <c r="G1316" s="49">
        <v>0</v>
      </c>
      <c r="H1316" s="50">
        <f>IFERROR(Table1[Re-process (Kg)]/Table1[Actual Production (Kg)], "")</f>
        <v>0</v>
      </c>
      <c r="I1316" s="49">
        <f>IFERROR(Table1[[#This Row],[Actual Production (Kg)]]-Table1[[#This Row],[Re-process (Kg)]], "")</f>
        <v>11979</v>
      </c>
      <c r="J1316" s="49">
        <v>22</v>
      </c>
      <c r="K1316" s="72">
        <f>2.5+0.45</f>
        <v>2.95</v>
      </c>
      <c r="L1316" s="49">
        <f>IF(Table1[[#This Row],[Target Time (Hours)]]="","",Table1[[#This Row],[Target Time (Hours)]]-Table1[[#This Row],[Downtime (Hours)]])</f>
        <v>19.05</v>
      </c>
      <c r="M1316" s="49">
        <f>IFERROR(Table1[[#This Row],[Capacity (Kg)]]/Table1[[#This Row],[Target Time (Hours)]] * Table1[[#This Row],[Downtime (Hours)]], "")</f>
        <v>1609.0909090909092</v>
      </c>
      <c r="N1316" s="50">
        <f>IFERROR(Table1[[#This Row],[Running Time (hr)]]/Table1[Target Time (Hours)], "")</f>
        <v>0.86590909090909096</v>
      </c>
      <c r="O1316" s="50">
        <f>IFERROR(Table1[[#This Row],[Actual Production (Kg)]]/Table1[Capacity (Kg)], "")</f>
        <v>0.99824999999999997</v>
      </c>
      <c r="P1316" s="50">
        <f>IFERROR(Table1[[#This Row],[Quality Pass Production]]/Table1[[#This Row],[Actual Production (Kg)]], "")</f>
        <v>1</v>
      </c>
      <c r="Q1316" s="50">
        <f>IFERROR(Table1[[#This Row],[Utilization %]]*Table1[[#This Row],[Efficiency %]]*Table1[[#This Row],[Quality %]], "")</f>
        <v>0.86439375000000007</v>
      </c>
      <c r="R1316" s="48" t="s">
        <v>344</v>
      </c>
    </row>
    <row r="1317" spans="1:18" ht="30" customHeight="1" x14ac:dyDescent="0.25">
      <c r="A1317" s="47">
        <v>46235</v>
      </c>
      <c r="B1317" s="48" t="s">
        <v>33</v>
      </c>
      <c r="C1317" s="48" t="s">
        <v>39</v>
      </c>
      <c r="D1317" s="48" t="s">
        <v>31</v>
      </c>
      <c r="E1317" s="30">
        <v>9000</v>
      </c>
      <c r="F1317" s="76">
        <f>4584+2060</f>
        <v>6644</v>
      </c>
      <c r="G1317" s="49">
        <v>0</v>
      </c>
      <c r="H1317" s="50">
        <f>IFERROR(Table1[Re-process (Kg)]/Table1[Actual Production (Kg)], "")</f>
        <v>0</v>
      </c>
      <c r="I1317" s="49">
        <f>IFERROR(Table1[[#This Row],[Actual Production (Kg)]]-Table1[[#This Row],[Re-process (Kg)]], "")</f>
        <v>6644</v>
      </c>
      <c r="J1317" s="49">
        <v>22</v>
      </c>
      <c r="K1317" s="72"/>
      <c r="L1317" s="49">
        <f>IF(Table1[[#This Row],[Target Time (Hours)]]="","",Table1[[#This Row],[Target Time (Hours)]]-Table1[[#This Row],[Downtime (Hours)]])</f>
        <v>22</v>
      </c>
      <c r="M1317" s="49">
        <f>IFERROR(Table1[[#This Row],[Capacity (Kg)]]/Table1[[#This Row],[Target Time (Hours)]] * Table1[[#This Row],[Downtime (Hours)]], "")</f>
        <v>0</v>
      </c>
      <c r="N1317" s="50">
        <f>IFERROR(Table1[[#This Row],[Running Time (hr)]]/Table1[Target Time (Hours)], "")</f>
        <v>1</v>
      </c>
      <c r="O1317" s="50">
        <f>IFERROR(Table1[[#This Row],[Actual Production (Kg)]]/Table1[Capacity (Kg)], "")</f>
        <v>0.73822222222222222</v>
      </c>
      <c r="P1317" s="50">
        <f>IFERROR(Table1[[#This Row],[Quality Pass Production]]/Table1[[#This Row],[Actual Production (Kg)]], "")</f>
        <v>1</v>
      </c>
      <c r="Q1317" s="50">
        <f>IFERROR(Table1[[#This Row],[Utilization %]]*Table1[[#This Row],[Efficiency %]]*Table1[[#This Row],[Quality %]], "")</f>
        <v>0.73822222222222222</v>
      </c>
    </row>
    <row r="1318" spans="1:18" ht="45" customHeight="1" x14ac:dyDescent="0.25">
      <c r="A1318" s="54">
        <v>46235</v>
      </c>
      <c r="B1318" s="55" t="s">
        <v>33</v>
      </c>
      <c r="C1318" s="55" t="s">
        <v>40</v>
      </c>
      <c r="D1318" s="55" t="s">
        <v>31</v>
      </c>
      <c r="E1318" s="43">
        <v>7500</v>
      </c>
      <c r="F1318" s="56">
        <f>4134+3220</f>
        <v>7354</v>
      </c>
      <c r="G1318" s="56">
        <v>0</v>
      </c>
      <c r="H1318" s="58">
        <f>IFERROR(Table1[Re-process (Kg)]/Table1[Actual Production (Kg)], "")</f>
        <v>0</v>
      </c>
      <c r="I1318" s="56">
        <f>IFERROR(Table1[[#This Row],[Actual Production (Kg)]]-Table1[[#This Row],[Re-process (Kg)]], "")</f>
        <v>7354</v>
      </c>
      <c r="J1318" s="56">
        <v>22</v>
      </c>
      <c r="K1318" s="55"/>
      <c r="L1318" s="56">
        <f>IF(Table1[[#This Row],[Target Time (Hours)]]="","",Table1[[#This Row],[Target Time (Hours)]]-Table1[[#This Row],[Downtime (Hours)]])</f>
        <v>22</v>
      </c>
      <c r="M1318" s="56">
        <f>IFERROR(Table1[[#This Row],[Capacity (Kg)]]/Table1[[#This Row],[Target Time (Hours)]] * Table1[[#This Row],[Downtime (Hours)]], "")</f>
        <v>0</v>
      </c>
      <c r="N1318" s="58">
        <f>IFERROR(Table1[[#This Row],[Running Time (hr)]]/Table1[Target Time (Hours)], "")</f>
        <v>1</v>
      </c>
      <c r="O1318" s="58">
        <f>IFERROR(Table1[[#This Row],[Actual Production (Kg)]]/Table1[Capacity (Kg)], "")</f>
        <v>0.98053333333333337</v>
      </c>
      <c r="P1318" s="58">
        <f>IFERROR(Table1[[#This Row],[Quality Pass Production]]/Table1[[#This Row],[Actual Production (Kg)]], "")</f>
        <v>1</v>
      </c>
      <c r="Q1318" s="58">
        <f>IFERROR(Table1[[#This Row],[Utilization %]]*Table1[[#This Row],[Efficiency %]]*Table1[[#This Row],[Quality %]], "")</f>
        <v>0.98053333333333337</v>
      </c>
      <c r="R1318" s="55"/>
    </row>
    <row r="1319" spans="1:18" ht="30" customHeight="1" x14ac:dyDescent="0.25">
      <c r="A1319" s="47">
        <v>46236</v>
      </c>
      <c r="B1319" s="48" t="s">
        <v>18</v>
      </c>
      <c r="C1319" s="48" t="s">
        <v>19</v>
      </c>
      <c r="D1319" s="48" t="s">
        <v>20</v>
      </c>
      <c r="E1319" s="49">
        <v>10000</v>
      </c>
      <c r="F1319" s="76">
        <v>7285</v>
      </c>
      <c r="G1319" s="49">
        <v>0</v>
      </c>
      <c r="H1319" s="50">
        <f>IFERROR(Table1[Re-process (Kg)]/Table1[Actual Production (Kg)], "")</f>
        <v>0</v>
      </c>
      <c r="I1319" s="49">
        <f>IFERROR(Table1[[#This Row],[Actual Production (Kg)]]-Table1[[#This Row],[Re-process (Kg)]], "")</f>
        <v>7285</v>
      </c>
      <c r="J1319" s="49">
        <v>22</v>
      </c>
      <c r="K1319" s="72">
        <v>2</v>
      </c>
      <c r="L1319" s="49">
        <f>IF(Table1[[#This Row],[Target Time (Hours)]]="","",Table1[[#This Row],[Target Time (Hours)]]-Table1[[#This Row],[Downtime (Hours)]])</f>
        <v>20</v>
      </c>
      <c r="M1319" s="49">
        <f>IFERROR(Table1[[#This Row],[Capacity (Kg)]]/Table1[[#This Row],[Target Time (Hours)]] * Table1[[#This Row],[Downtime (Hours)]], "")</f>
        <v>909.09090909090912</v>
      </c>
      <c r="N1319" s="50">
        <f>IFERROR(Table1[[#This Row],[Running Time (hr)]]/Table1[Target Time (Hours)], "")</f>
        <v>0.90909090909090906</v>
      </c>
      <c r="O1319" s="50">
        <f>IFERROR(Table1[[#This Row],[Actual Production (Kg)]]/Table1[Capacity (Kg)], "")</f>
        <v>0.72850000000000004</v>
      </c>
      <c r="P1319" s="50">
        <f>IFERROR(Table1[[#This Row],[Quality Pass Production]]/Table1[[#This Row],[Actual Production (Kg)]], "")</f>
        <v>1</v>
      </c>
      <c r="Q1319" s="50">
        <f>IFERROR(Table1[[#This Row],[Utilization %]]*Table1[[#This Row],[Efficiency %]]*Table1[[#This Row],[Quality %]], "")</f>
        <v>0.66227272727272724</v>
      </c>
      <c r="R1319" s="48" t="s">
        <v>345</v>
      </c>
    </row>
    <row r="1320" spans="1:18" x14ac:dyDescent="0.25">
      <c r="A1320" s="51">
        <v>46236</v>
      </c>
      <c r="B1320" s="52" t="s">
        <v>18</v>
      </c>
      <c r="C1320" s="52" t="s">
        <v>238</v>
      </c>
      <c r="D1320" s="52" t="s">
        <v>20</v>
      </c>
      <c r="E1320" s="53">
        <v>8864</v>
      </c>
      <c r="F1320" s="53">
        <v>9616</v>
      </c>
      <c r="G1320" s="53">
        <v>0</v>
      </c>
      <c r="H1320" s="57">
        <f>IFERROR(Table1[Re-process (Kg)]/Table1[Actual Production (Kg)], "")</f>
        <v>0</v>
      </c>
      <c r="I1320" s="53">
        <f>IFERROR(Table1[[#This Row],[Actual Production (Kg)]]-Table1[[#This Row],[Re-process (Kg)]], "")</f>
        <v>9616</v>
      </c>
      <c r="J1320" s="53"/>
      <c r="K1320" s="52"/>
      <c r="L1320" s="53" t="str">
        <f>IF(Table1[[#This Row],[Target Time (Hours)]]="","",Table1[[#This Row],[Target Time (Hours)]]-Table1[[#This Row],[Downtime (Hours)]])</f>
        <v/>
      </c>
      <c r="M1320" s="53" t="str">
        <f>IFERROR(Table1[[#This Row],[Capacity (Kg)]]/Table1[[#This Row],[Target Time (Hours)]] * Table1[[#This Row],[Downtime (Hours)]], "")</f>
        <v/>
      </c>
      <c r="N1320" s="57" t="str">
        <f>IFERROR(Table1[[#This Row],[Running Time (hr)]]/Table1[Target Time (Hours)], "")</f>
        <v/>
      </c>
      <c r="O1320" s="57">
        <f>IFERROR(Table1[[#This Row],[Actual Production (Kg)]]/Table1[Capacity (Kg)], "")</f>
        <v>1.0848375451263539</v>
      </c>
      <c r="P1320" s="57">
        <f>IFERROR(Table1[[#This Row],[Quality Pass Production]]/Table1[[#This Row],[Actual Production (Kg)]], "")</f>
        <v>1</v>
      </c>
      <c r="Q1320" s="57" t="str">
        <f>IFERROR(Table1[[#This Row],[Utilization %]]*Table1[[#This Row],[Efficiency %]]*Table1[[#This Row],[Quality %]], "")</f>
        <v/>
      </c>
      <c r="R1320" s="52"/>
    </row>
    <row r="1321" spans="1:18" x14ac:dyDescent="0.25">
      <c r="A1321" s="47">
        <v>46236</v>
      </c>
      <c r="B1321" s="48" t="s">
        <v>18</v>
      </c>
      <c r="C1321" s="48" t="s">
        <v>22</v>
      </c>
      <c r="D1321" s="48" t="s">
        <v>23</v>
      </c>
      <c r="E1321" s="49">
        <v>5000</v>
      </c>
      <c r="F1321" s="76">
        <v>5854</v>
      </c>
      <c r="G1321" s="49">
        <v>0</v>
      </c>
      <c r="H1321" s="50">
        <f>IFERROR(Table1[Re-process (Kg)]/Table1[Actual Production (Kg)], "")</f>
        <v>0</v>
      </c>
      <c r="I1321" s="49">
        <f>IFERROR(Table1[[#This Row],[Actual Production (Kg)]]-Table1[[#This Row],[Re-process (Kg)]], "")</f>
        <v>5854</v>
      </c>
      <c r="J1321" s="49">
        <v>22</v>
      </c>
      <c r="K1321" s="72"/>
      <c r="L1321" s="49">
        <f>IF(Table1[[#This Row],[Target Time (Hours)]]="","",Table1[[#This Row],[Target Time (Hours)]]-Table1[[#This Row],[Downtime (Hours)]])</f>
        <v>22</v>
      </c>
      <c r="M1321" s="49">
        <f>IFERROR(Table1[[#This Row],[Capacity (Kg)]]/Table1[[#This Row],[Target Time (Hours)]] * Table1[[#This Row],[Downtime (Hours)]], "")</f>
        <v>0</v>
      </c>
      <c r="N1321" s="50">
        <f>IFERROR(Table1[[#This Row],[Running Time (hr)]]/Table1[Target Time (Hours)], "")</f>
        <v>1</v>
      </c>
      <c r="O1321" s="50">
        <f>IFERROR(Table1[[#This Row],[Actual Production (Kg)]]/Table1[Capacity (Kg)], "")</f>
        <v>1.1708000000000001</v>
      </c>
      <c r="P1321" s="50">
        <f>IFERROR(Table1[[#This Row],[Quality Pass Production]]/Table1[[#This Row],[Actual Production (Kg)]], "")</f>
        <v>1</v>
      </c>
      <c r="Q1321" s="50">
        <f>IFERROR(Table1[[#This Row],[Utilization %]]*Table1[[#This Row],[Efficiency %]]*Table1[[#This Row],[Quality %]], "")</f>
        <v>1.1708000000000001</v>
      </c>
    </row>
    <row r="1322" spans="1:18" x14ac:dyDescent="0.25">
      <c r="A1322" s="47">
        <v>46236</v>
      </c>
      <c r="B1322" s="48" t="s">
        <v>18</v>
      </c>
      <c r="C1322" s="48" t="s">
        <v>22</v>
      </c>
      <c r="D1322" s="48" t="s">
        <v>25</v>
      </c>
      <c r="E1322" s="49">
        <v>4000</v>
      </c>
      <c r="F1322" s="76">
        <v>1759</v>
      </c>
      <c r="G1322" s="49">
        <v>0</v>
      </c>
      <c r="H1322" s="50">
        <f>IFERROR(Table1[Re-process (Kg)]/Table1[Actual Production (Kg)], "")</f>
        <v>0</v>
      </c>
      <c r="I1322" s="49">
        <f>IFERROR(Table1[[#This Row],[Actual Production (Kg)]]-Table1[[#This Row],[Re-process (Kg)]], "")</f>
        <v>1759</v>
      </c>
      <c r="J1322" s="49"/>
      <c r="K1322" s="72">
        <v>3</v>
      </c>
      <c r="L1322" s="49" t="str">
        <f>IF(Table1[[#This Row],[Target Time (Hours)]]="","",Table1[[#This Row],[Target Time (Hours)]]-Table1[[#This Row],[Downtime (Hours)]])</f>
        <v/>
      </c>
      <c r="M1322" s="49" t="str">
        <f>IFERROR(Table1[[#This Row],[Capacity (Kg)]]/Table1[[#This Row],[Target Time (Hours)]] * Table1[[#This Row],[Downtime (Hours)]], "")</f>
        <v/>
      </c>
      <c r="N1322" s="50" t="str">
        <f>IFERROR(Table1[[#This Row],[Running Time (hr)]]/Table1[Target Time (Hours)], "")</f>
        <v/>
      </c>
      <c r="O1322" s="50">
        <f>IFERROR(Table1[[#This Row],[Actual Production (Kg)]]/Table1[Capacity (Kg)], "")</f>
        <v>0.43974999999999997</v>
      </c>
      <c r="P1322" s="50">
        <f>IFERROR(Table1[[#This Row],[Quality Pass Production]]/Table1[[#This Row],[Actual Production (Kg)]], "")</f>
        <v>1</v>
      </c>
      <c r="Q1322" s="50" t="str">
        <f>IFERROR(Table1[[#This Row],[Utilization %]]*Table1[[#This Row],[Efficiency %]]*Table1[[#This Row],[Quality %]], "")</f>
        <v/>
      </c>
      <c r="R1322" s="48" t="s">
        <v>346</v>
      </c>
    </row>
    <row r="1323" spans="1:18" ht="60" customHeight="1" x14ac:dyDescent="0.25">
      <c r="A1323" s="47">
        <v>46236</v>
      </c>
      <c r="B1323" s="48" t="s">
        <v>18</v>
      </c>
      <c r="C1323" s="48" t="s">
        <v>26</v>
      </c>
      <c r="D1323" s="48" t="s">
        <v>25</v>
      </c>
      <c r="E1323" s="49">
        <v>7000</v>
      </c>
      <c r="F1323" s="76">
        <v>6156</v>
      </c>
      <c r="G1323" s="49">
        <v>0</v>
      </c>
      <c r="H1323" s="50">
        <f>IFERROR(Table1[Re-process (Kg)]/Table1[Actual Production (Kg)], "")</f>
        <v>0</v>
      </c>
      <c r="I1323" s="49">
        <f>IFERROR(Table1[[#This Row],[Actual Production (Kg)]]-Table1[[#This Row],[Re-process (Kg)]], "")</f>
        <v>6156</v>
      </c>
      <c r="J1323" s="49">
        <v>22</v>
      </c>
      <c r="K1323" s="72">
        <v>0.5</v>
      </c>
      <c r="L1323" s="49">
        <f>IF(Table1[[#This Row],[Target Time (Hours)]]="","",Table1[[#This Row],[Target Time (Hours)]]-Table1[[#This Row],[Downtime (Hours)]])</f>
        <v>21.5</v>
      </c>
      <c r="M1323" s="49">
        <f>IFERROR(Table1[[#This Row],[Capacity (Kg)]]/Table1[[#This Row],[Target Time (Hours)]] * Table1[[#This Row],[Downtime (Hours)]], "")</f>
        <v>159.09090909090909</v>
      </c>
      <c r="N1323" s="50">
        <f>IFERROR(Table1[[#This Row],[Running Time (hr)]]/Table1[Target Time (Hours)], "")</f>
        <v>0.97727272727272729</v>
      </c>
      <c r="O1323" s="50">
        <f>IFERROR(Table1[[#This Row],[Actual Production (Kg)]]/Table1[Capacity (Kg)], "")</f>
        <v>0.87942857142857145</v>
      </c>
      <c r="P1323" s="50">
        <f>IFERROR(Table1[[#This Row],[Quality Pass Production]]/Table1[[#This Row],[Actual Production (Kg)]], "")</f>
        <v>1</v>
      </c>
      <c r="Q1323" s="50">
        <f>IFERROR(Table1[[#This Row],[Utilization %]]*Table1[[#This Row],[Efficiency %]]*Table1[[#This Row],[Quality %]], "")</f>
        <v>0.85944155844155845</v>
      </c>
      <c r="R1323" s="48" t="s">
        <v>347</v>
      </c>
    </row>
    <row r="1324" spans="1:18" ht="30" customHeight="1" x14ac:dyDescent="0.25">
      <c r="A1324" s="47">
        <v>46236</v>
      </c>
      <c r="B1324" s="48" t="s">
        <v>18</v>
      </c>
      <c r="C1324" s="48" t="s">
        <v>28</v>
      </c>
      <c r="D1324" s="48" t="s">
        <v>29</v>
      </c>
      <c r="E1324" s="49">
        <v>7800</v>
      </c>
      <c r="F1324" s="76">
        <v>7650</v>
      </c>
      <c r="G1324" s="49">
        <v>0</v>
      </c>
      <c r="H1324" s="50">
        <f>IFERROR(Table1[Re-process (Kg)]/Table1[Actual Production (Kg)], "")</f>
        <v>0</v>
      </c>
      <c r="I1324" s="49">
        <f>IFERROR(Table1[[#This Row],[Actual Production (Kg)]]-Table1[[#This Row],[Re-process (Kg)]], "")</f>
        <v>7650</v>
      </c>
      <c r="J1324" s="49">
        <v>22</v>
      </c>
      <c r="K1324" s="72"/>
      <c r="L1324" s="49">
        <f>IF(Table1[[#This Row],[Target Time (Hours)]]="","",Table1[[#This Row],[Target Time (Hours)]]-Table1[[#This Row],[Downtime (Hours)]])</f>
        <v>22</v>
      </c>
      <c r="M1324" s="49">
        <f>IFERROR(Table1[[#This Row],[Capacity (Kg)]]/Table1[[#This Row],[Target Time (Hours)]] * Table1[[#This Row],[Downtime (Hours)]], "")</f>
        <v>0</v>
      </c>
      <c r="N1324" s="50">
        <f>IFERROR(Table1[[#This Row],[Running Time (hr)]]/Table1[Target Time (Hours)], "")</f>
        <v>1</v>
      </c>
      <c r="O1324" s="50">
        <f>IFERROR(Table1[[#This Row],[Actual Production (Kg)]]/Table1[Capacity (Kg)], "")</f>
        <v>0.98076923076923073</v>
      </c>
      <c r="P1324" s="50">
        <f>IFERROR(Table1[[#This Row],[Quality Pass Production]]/Table1[[#This Row],[Actual Production (Kg)]], "")</f>
        <v>1</v>
      </c>
      <c r="Q1324" s="50">
        <f>IFERROR(Table1[[#This Row],[Utilization %]]*Table1[[#This Row],[Efficiency %]]*Table1[[#This Row],[Quality %]], "")</f>
        <v>0.98076923076923073</v>
      </c>
    </row>
    <row r="1325" spans="1:18" ht="30" customHeight="1" x14ac:dyDescent="0.25">
      <c r="A1325" s="51">
        <v>46236</v>
      </c>
      <c r="B1325" s="52" t="s">
        <v>18</v>
      </c>
      <c r="C1325" s="52" t="s">
        <v>135</v>
      </c>
      <c r="D1325" s="52" t="s">
        <v>29</v>
      </c>
      <c r="E1325" s="53"/>
      <c r="F1325" s="53"/>
      <c r="G1325" s="53"/>
      <c r="H1325" s="57" t="str">
        <f>IFERROR(Table1[Re-process (Kg)]/Table1[Actual Production (Kg)], "")</f>
        <v/>
      </c>
      <c r="I1325" s="53">
        <f>IFERROR(Table1[[#This Row],[Actual Production (Kg)]]-Table1[[#This Row],[Re-process (Kg)]], "")</f>
        <v>0</v>
      </c>
      <c r="J1325" s="53"/>
      <c r="K1325" s="52"/>
      <c r="L1325" s="53" t="str">
        <f>IF(Table1[[#This Row],[Target Time (Hours)]]="","",Table1[[#This Row],[Target Time (Hours)]]-Table1[[#This Row],[Downtime (Hours)]])</f>
        <v/>
      </c>
      <c r="M1325" s="53" t="str">
        <f>IFERROR(Table1[[#This Row],[Capacity (Kg)]]/Table1[[#This Row],[Target Time (Hours)]] * Table1[[#This Row],[Downtime (Hours)]], "")</f>
        <v/>
      </c>
      <c r="N1325" s="57" t="str">
        <f>IFERROR(Table1[[#This Row],[Running Time (hr)]]/Table1[Target Time (Hours)], "")</f>
        <v/>
      </c>
      <c r="O1325" s="57" t="str">
        <f>IFERROR(Table1[[#This Row],[Actual Production (Kg)]]/Table1[Capacity (Kg)], "")</f>
        <v/>
      </c>
      <c r="P1325" s="57" t="str">
        <f>IFERROR(Table1[[#This Row],[Quality Pass Production]]/Table1[[#This Row],[Actual Production (Kg)]], "")</f>
        <v/>
      </c>
      <c r="Q1325" s="57" t="str">
        <f>IFERROR(Table1[[#This Row],[Utilization %]]*Table1[[#This Row],[Efficiency %]]*Table1[[#This Row],[Quality %]], "")</f>
        <v/>
      </c>
      <c r="R1325" s="52"/>
    </row>
    <row r="1326" spans="1:18" ht="45" customHeight="1" x14ac:dyDescent="0.25">
      <c r="A1326" s="47">
        <v>46236</v>
      </c>
      <c r="B1326" s="48" t="s">
        <v>18</v>
      </c>
      <c r="C1326" s="48" t="s">
        <v>30</v>
      </c>
      <c r="D1326" s="48" t="s">
        <v>31</v>
      </c>
      <c r="E1326" s="49">
        <v>9000</v>
      </c>
      <c r="F1326" s="76">
        <v>6551</v>
      </c>
      <c r="G1326" s="49">
        <v>0</v>
      </c>
      <c r="H1326" s="50">
        <f>IFERROR(Table1[Re-process (Kg)]/Table1[Actual Production (Kg)], "")</f>
        <v>0</v>
      </c>
      <c r="I1326" s="49">
        <f>IFERROR(Table1[[#This Row],[Actual Production (Kg)]]-Table1[[#This Row],[Re-process (Kg)]], "")</f>
        <v>6551</v>
      </c>
      <c r="J1326" s="49">
        <v>22</v>
      </c>
      <c r="K1326" s="72">
        <v>3.45</v>
      </c>
      <c r="L1326" s="49">
        <f>IF(Table1[[#This Row],[Target Time (Hours)]]="","",Table1[[#This Row],[Target Time (Hours)]]-Table1[[#This Row],[Downtime (Hours)]])</f>
        <v>18.55</v>
      </c>
      <c r="M1326" s="49">
        <f>IFERROR(Table1[[#This Row],[Capacity (Kg)]]/Table1[[#This Row],[Target Time (Hours)]] * Table1[[#This Row],[Downtime (Hours)]], "")</f>
        <v>1411.3636363636363</v>
      </c>
      <c r="N1326" s="50">
        <f>IFERROR(Table1[[#This Row],[Running Time (hr)]]/Table1[Target Time (Hours)], "")</f>
        <v>0.84318181818181825</v>
      </c>
      <c r="O1326" s="50">
        <f>IFERROR(Table1[[#This Row],[Actual Production (Kg)]]/Table1[Capacity (Kg)], "")</f>
        <v>0.72788888888888892</v>
      </c>
      <c r="P1326" s="50">
        <f>IFERROR(Table1[[#This Row],[Quality Pass Production]]/Table1[[#This Row],[Actual Production (Kg)]], "")</f>
        <v>1</v>
      </c>
      <c r="Q1326" s="50">
        <f>IFERROR(Table1[[#This Row],[Utilization %]]*Table1[[#This Row],[Efficiency %]]*Table1[[#This Row],[Quality %]], "")</f>
        <v>0.6137426767676768</v>
      </c>
      <c r="R1326" s="48" t="s">
        <v>348</v>
      </c>
    </row>
    <row r="1327" spans="1:18" ht="30" customHeight="1" x14ac:dyDescent="0.25">
      <c r="A1327" s="51">
        <v>46236</v>
      </c>
      <c r="B1327" s="52" t="s">
        <v>18</v>
      </c>
      <c r="C1327" s="52" t="s">
        <v>32</v>
      </c>
      <c r="D1327" s="52" t="s">
        <v>31</v>
      </c>
      <c r="E1327" s="53"/>
      <c r="F1327" s="53"/>
      <c r="G1327" s="53"/>
      <c r="H1327" s="57" t="str">
        <f>IFERROR(Table1[Re-process (Kg)]/Table1[Actual Production (Kg)], "")</f>
        <v/>
      </c>
      <c r="I1327" s="53">
        <f>IFERROR(Table1[[#This Row],[Actual Production (Kg)]]-Table1[[#This Row],[Re-process (Kg)]], "")</f>
        <v>0</v>
      </c>
      <c r="J1327" s="53"/>
      <c r="K1327" s="52"/>
      <c r="L1327" s="53" t="str">
        <f>IF(Table1[[#This Row],[Target Time (Hours)]]="","",Table1[[#This Row],[Target Time (Hours)]]-Table1[[#This Row],[Downtime (Hours)]])</f>
        <v/>
      </c>
      <c r="M1327" s="53" t="str">
        <f>IFERROR(Table1[[#This Row],[Capacity (Kg)]]/Table1[[#This Row],[Target Time (Hours)]] * Table1[[#This Row],[Downtime (Hours)]], "")</f>
        <v/>
      </c>
      <c r="N1327" s="57" t="str">
        <f>IFERROR(Table1[[#This Row],[Running Time (hr)]]/Table1[Target Time (Hours)], "")</f>
        <v/>
      </c>
      <c r="O1327" s="57" t="str">
        <f>IFERROR(Table1[[#This Row],[Actual Production (Kg)]]/Table1[Capacity (Kg)], "")</f>
        <v/>
      </c>
      <c r="P1327" s="57" t="str">
        <f>IFERROR(Table1[[#This Row],[Quality Pass Production]]/Table1[[#This Row],[Actual Production (Kg)]], "")</f>
        <v/>
      </c>
      <c r="Q1327" s="57" t="str">
        <f>IFERROR(Table1[[#This Row],[Utilization %]]*Table1[[#This Row],[Efficiency %]]*Table1[[#This Row],[Quality %]], "")</f>
        <v/>
      </c>
      <c r="R1327" s="52"/>
    </row>
    <row r="1328" spans="1:18" ht="30" customHeight="1" x14ac:dyDescent="0.25">
      <c r="A1328" s="47">
        <v>46236</v>
      </c>
      <c r="B1328" s="48" t="s">
        <v>33</v>
      </c>
      <c r="C1328" s="48" t="s">
        <v>34</v>
      </c>
      <c r="D1328" s="48" t="s">
        <v>35</v>
      </c>
      <c r="E1328" s="49">
        <v>9000</v>
      </c>
      <c r="F1328" s="76">
        <v>6526</v>
      </c>
      <c r="G1328" s="49">
        <v>0</v>
      </c>
      <c r="H1328" s="50">
        <f>IFERROR(Table1[Re-process (Kg)]/Table1[Actual Production (Kg)], "")</f>
        <v>0</v>
      </c>
      <c r="I1328" s="49">
        <f>IFERROR(Table1[[#This Row],[Actual Production (Kg)]]-Table1[[#This Row],[Re-process (Kg)]], "")</f>
        <v>6526</v>
      </c>
      <c r="J1328" s="49">
        <v>22</v>
      </c>
      <c r="K1328" s="72"/>
      <c r="L1328" s="49">
        <f>IF(Table1[[#This Row],[Target Time (Hours)]]="","",Table1[[#This Row],[Target Time (Hours)]]-Table1[[#This Row],[Downtime (Hours)]])</f>
        <v>22</v>
      </c>
      <c r="M1328" s="49">
        <f>IFERROR(Table1[[#This Row],[Capacity (Kg)]]/Table1[[#This Row],[Target Time (Hours)]] * Table1[[#This Row],[Downtime (Hours)]], "")</f>
        <v>0</v>
      </c>
      <c r="N1328" s="50">
        <f>IFERROR(Table1[[#This Row],[Running Time (hr)]]/Table1[Target Time (Hours)], "")</f>
        <v>1</v>
      </c>
      <c r="O1328" s="50">
        <f>IFERROR(Table1[[#This Row],[Actual Production (Kg)]]/Table1[Capacity (Kg)], "")</f>
        <v>0.72511111111111115</v>
      </c>
      <c r="P1328" s="50">
        <f>IFERROR(Table1[[#This Row],[Quality Pass Production]]/Table1[[#This Row],[Actual Production (Kg)]], "")</f>
        <v>1</v>
      </c>
      <c r="Q1328" s="50">
        <f>IFERROR(Table1[[#This Row],[Utilization %]]*Table1[[#This Row],[Efficiency %]]*Table1[[#This Row],[Quality %]], "")</f>
        <v>0.72511111111111115</v>
      </c>
      <c r="R1328" s="48" t="s">
        <v>349</v>
      </c>
    </row>
    <row r="1329" spans="1:18" ht="30" customHeight="1" x14ac:dyDescent="0.25">
      <c r="A1329" s="47">
        <v>46236</v>
      </c>
      <c r="B1329" s="48" t="s">
        <v>33</v>
      </c>
      <c r="C1329" s="48" t="s">
        <v>36</v>
      </c>
      <c r="D1329" s="48" t="s">
        <v>37</v>
      </c>
      <c r="E1329" s="49">
        <v>8000</v>
      </c>
      <c r="F1329" s="76">
        <v>6513</v>
      </c>
      <c r="G1329" s="49">
        <v>0</v>
      </c>
      <c r="H1329" s="50">
        <f>IFERROR(Table1[Re-process (Kg)]/Table1[Actual Production (Kg)], "")</f>
        <v>0</v>
      </c>
      <c r="I1329" s="49">
        <f>IFERROR(Table1[[#This Row],[Actual Production (Kg)]]-Table1[[#This Row],[Re-process (Kg)]], "")</f>
        <v>6513</v>
      </c>
      <c r="J1329" s="49">
        <v>22</v>
      </c>
      <c r="K1329" s="72">
        <v>3.15</v>
      </c>
      <c r="L1329" s="49">
        <f>IF(Table1[[#This Row],[Target Time (Hours)]]="","",Table1[[#This Row],[Target Time (Hours)]]-Table1[[#This Row],[Downtime (Hours)]])</f>
        <v>18.850000000000001</v>
      </c>
      <c r="M1329" s="49">
        <f>IFERROR(Table1[[#This Row],[Capacity (Kg)]]/Table1[[#This Row],[Target Time (Hours)]] * Table1[[#This Row],[Downtime (Hours)]], "")</f>
        <v>1145.4545454545455</v>
      </c>
      <c r="N1329" s="50">
        <f>IFERROR(Table1[[#This Row],[Running Time (hr)]]/Table1[Target Time (Hours)], "")</f>
        <v>0.85681818181818192</v>
      </c>
      <c r="O1329" s="50">
        <f>IFERROR(Table1[[#This Row],[Actual Production (Kg)]]/Table1[Capacity (Kg)], "")</f>
        <v>0.81412499999999999</v>
      </c>
      <c r="P1329" s="50">
        <f>IFERROR(Table1[[#This Row],[Quality Pass Production]]/Table1[[#This Row],[Actual Production (Kg)]], "")</f>
        <v>1</v>
      </c>
      <c r="Q1329" s="50">
        <f>IFERROR(Table1[[#This Row],[Utilization %]]*Table1[[#This Row],[Efficiency %]]*Table1[[#This Row],[Quality %]], "")</f>
        <v>0.69755710227272738</v>
      </c>
      <c r="R1329" s="48" t="s">
        <v>350</v>
      </c>
    </row>
    <row r="1330" spans="1:18" ht="30" customHeight="1" x14ac:dyDescent="0.25">
      <c r="A1330" s="47">
        <v>46236</v>
      </c>
      <c r="B1330" s="48" t="s">
        <v>33</v>
      </c>
      <c r="C1330" s="48" t="s">
        <v>39</v>
      </c>
      <c r="D1330" s="48" t="s">
        <v>31</v>
      </c>
      <c r="E1330" s="49">
        <v>6000</v>
      </c>
      <c r="F1330" s="76">
        <v>3257</v>
      </c>
      <c r="G1330" s="49">
        <v>0</v>
      </c>
      <c r="H1330" s="50">
        <f>IFERROR(Table1[Re-process (Kg)]/Table1[Actual Production (Kg)], "")</f>
        <v>0</v>
      </c>
      <c r="I1330" s="49">
        <f>IFERROR(Table1[[#This Row],[Actual Production (Kg)]]-Table1[[#This Row],[Re-process (Kg)]], "")</f>
        <v>3257</v>
      </c>
      <c r="J1330" s="49">
        <v>22</v>
      </c>
      <c r="K1330" s="72"/>
      <c r="L1330" s="49">
        <f>IF(Table1[[#This Row],[Target Time (Hours)]]="","",Table1[[#This Row],[Target Time (Hours)]]-Table1[[#This Row],[Downtime (Hours)]])</f>
        <v>22</v>
      </c>
      <c r="M1330" s="49">
        <f>IFERROR(Table1[[#This Row],[Capacity (Kg)]]/Table1[[#This Row],[Target Time (Hours)]] * Table1[[#This Row],[Downtime (Hours)]], "")</f>
        <v>0</v>
      </c>
      <c r="N1330" s="50">
        <f>IFERROR(Table1[[#This Row],[Running Time (hr)]]/Table1[Target Time (Hours)], "")</f>
        <v>1</v>
      </c>
      <c r="O1330" s="50">
        <f>IFERROR(Table1[[#This Row],[Actual Production (Kg)]]/Table1[Capacity (Kg)], "")</f>
        <v>0.54283333333333328</v>
      </c>
      <c r="P1330" s="50">
        <f>IFERROR(Table1[[#This Row],[Quality Pass Production]]/Table1[[#This Row],[Actual Production (Kg)]], "")</f>
        <v>1</v>
      </c>
      <c r="Q1330" s="50">
        <f>IFERROR(Table1[[#This Row],[Utilization %]]*Table1[[#This Row],[Efficiency %]]*Table1[[#This Row],[Quality %]], "")</f>
        <v>0.54283333333333328</v>
      </c>
      <c r="R1330" s="48" t="s">
        <v>349</v>
      </c>
    </row>
    <row r="1331" spans="1:18" ht="45" customHeight="1" x14ac:dyDescent="0.25">
      <c r="A1331" s="54">
        <v>46236</v>
      </c>
      <c r="B1331" s="55" t="s">
        <v>33</v>
      </c>
      <c r="C1331" s="55" t="s">
        <v>40</v>
      </c>
      <c r="D1331" s="55" t="s">
        <v>31</v>
      </c>
      <c r="E1331" s="56">
        <v>5000</v>
      </c>
      <c r="F1331" s="56">
        <v>3368</v>
      </c>
      <c r="G1331" s="56">
        <v>0</v>
      </c>
      <c r="H1331" s="58">
        <f>IFERROR(Table1[Re-process (Kg)]/Table1[Actual Production (Kg)], "")</f>
        <v>0</v>
      </c>
      <c r="I1331" s="56">
        <f>IFERROR(Table1[[#This Row],[Actual Production (Kg)]]-Table1[[#This Row],[Re-process (Kg)]], "")</f>
        <v>3368</v>
      </c>
      <c r="J1331" s="56">
        <v>22</v>
      </c>
      <c r="K1331" s="55"/>
      <c r="L1331" s="56">
        <f>IF(Table1[[#This Row],[Target Time (Hours)]]="","",Table1[[#This Row],[Target Time (Hours)]]-Table1[[#This Row],[Downtime (Hours)]])</f>
        <v>22</v>
      </c>
      <c r="M1331" s="56">
        <f>IFERROR(Table1[[#This Row],[Capacity (Kg)]]/Table1[[#This Row],[Target Time (Hours)]] * Table1[[#This Row],[Downtime (Hours)]], "")</f>
        <v>0</v>
      </c>
      <c r="N1331" s="58">
        <f>IFERROR(Table1[[#This Row],[Running Time (hr)]]/Table1[Target Time (Hours)], "")</f>
        <v>1</v>
      </c>
      <c r="O1331" s="58">
        <f>IFERROR(Table1[[#This Row],[Actual Production (Kg)]]/Table1[Capacity (Kg)], "")</f>
        <v>0.67359999999999998</v>
      </c>
      <c r="P1331" s="58">
        <f>IFERROR(Table1[[#This Row],[Quality Pass Production]]/Table1[[#This Row],[Actual Production (Kg)]], "")</f>
        <v>1</v>
      </c>
      <c r="Q1331" s="58">
        <f>IFERROR(Table1[[#This Row],[Utilization %]]*Table1[[#This Row],[Efficiency %]]*Table1[[#This Row],[Quality %]], "")</f>
        <v>0.67359999999999998</v>
      </c>
      <c r="R1331" s="55" t="s">
        <v>349</v>
      </c>
    </row>
    <row r="1332" spans="1:18" ht="45" customHeight="1" x14ac:dyDescent="0.25">
      <c r="A1332" s="47">
        <v>46237</v>
      </c>
      <c r="B1332" s="48" t="s">
        <v>18</v>
      </c>
      <c r="C1332" s="48" t="s">
        <v>19</v>
      </c>
      <c r="D1332" s="48" t="s">
        <v>20</v>
      </c>
      <c r="E1332" s="49">
        <v>10000</v>
      </c>
      <c r="F1332" s="76">
        <v>8264</v>
      </c>
      <c r="G1332" s="49">
        <v>0</v>
      </c>
      <c r="H1332" s="50">
        <f>IFERROR(Table1[Re-process (Kg)]/Table1[Actual Production (Kg)], "")</f>
        <v>0</v>
      </c>
      <c r="I1332" s="49">
        <f>IFERROR(Table1[[#This Row],[Actual Production (Kg)]]-Table1[[#This Row],[Re-process (Kg)]], "")</f>
        <v>8264</v>
      </c>
      <c r="J1332" s="49">
        <v>22</v>
      </c>
      <c r="K1332" s="72">
        <v>0.67</v>
      </c>
      <c r="L1332" s="49">
        <f>IF(Table1[[#This Row],[Target Time (Hours)]]="","",Table1[[#This Row],[Target Time (Hours)]]-Table1[[#This Row],[Downtime (Hours)]])</f>
        <v>21.33</v>
      </c>
      <c r="M1332" s="49">
        <f>IFERROR(Table1[[#This Row],[Capacity (Kg)]]/Table1[[#This Row],[Target Time (Hours)]] * Table1[[#This Row],[Downtime (Hours)]], "")</f>
        <v>304.54545454545456</v>
      </c>
      <c r="N1332" s="50">
        <f>IFERROR(Table1[[#This Row],[Running Time (hr)]]/Table1[Target Time (Hours)], "")</f>
        <v>0.96954545454545449</v>
      </c>
      <c r="O1332" s="50">
        <f>IFERROR(Table1[[#This Row],[Actual Production (Kg)]]/Table1[Capacity (Kg)], "")</f>
        <v>0.82640000000000002</v>
      </c>
      <c r="P1332" s="50">
        <f>IFERROR(Table1[[#This Row],[Quality Pass Production]]/Table1[[#This Row],[Actual Production (Kg)]], "")</f>
        <v>1</v>
      </c>
      <c r="Q1332" s="50">
        <f>IFERROR(Table1[[#This Row],[Utilization %]]*Table1[[#This Row],[Efficiency %]]*Table1[[#This Row],[Quality %]], "")</f>
        <v>0.80123236363636363</v>
      </c>
      <c r="R1332" s="48" t="s">
        <v>351</v>
      </c>
    </row>
    <row r="1333" spans="1:18" x14ac:dyDescent="0.25">
      <c r="A1333" s="51">
        <v>46237</v>
      </c>
      <c r="B1333" s="52" t="s">
        <v>18</v>
      </c>
      <c r="C1333" s="52" t="s">
        <v>238</v>
      </c>
      <c r="D1333" s="52" t="s">
        <v>20</v>
      </c>
      <c r="E1333" s="53">
        <v>8795</v>
      </c>
      <c r="F1333" s="53">
        <v>8795</v>
      </c>
      <c r="G1333" s="53">
        <v>0</v>
      </c>
      <c r="H1333" s="57">
        <f>IFERROR(Table1[Re-process (Kg)]/Table1[Actual Production (Kg)], "")</f>
        <v>0</v>
      </c>
      <c r="I1333" s="53">
        <f>IFERROR(Table1[[#This Row],[Actual Production (Kg)]]-Table1[[#This Row],[Re-process (Kg)]], "")</f>
        <v>8795</v>
      </c>
      <c r="J1333" s="53"/>
      <c r="K1333" s="52"/>
      <c r="L1333" s="53" t="str">
        <f>IF(Table1[[#This Row],[Target Time (Hours)]]="","",Table1[[#This Row],[Target Time (Hours)]]-Table1[[#This Row],[Downtime (Hours)]])</f>
        <v/>
      </c>
      <c r="M1333" s="53" t="str">
        <f>IFERROR(Table1[[#This Row],[Capacity (Kg)]]/Table1[[#This Row],[Target Time (Hours)]] * Table1[[#This Row],[Downtime (Hours)]], "")</f>
        <v/>
      </c>
      <c r="N1333" s="57" t="str">
        <f>IFERROR(Table1[[#This Row],[Running Time (hr)]]/Table1[Target Time (Hours)], "")</f>
        <v/>
      </c>
      <c r="O1333" s="57">
        <f>IFERROR(Table1[[#This Row],[Actual Production (Kg)]]/Table1[Capacity (Kg)], "")</f>
        <v>1</v>
      </c>
      <c r="P1333" s="57">
        <f>IFERROR(Table1[[#This Row],[Quality Pass Production]]/Table1[[#This Row],[Actual Production (Kg)]], "")</f>
        <v>1</v>
      </c>
      <c r="Q1333" s="57" t="str">
        <f>IFERROR(Table1[[#This Row],[Utilization %]]*Table1[[#This Row],[Efficiency %]]*Table1[[#This Row],[Quality %]], "")</f>
        <v/>
      </c>
      <c r="R1333" s="52"/>
    </row>
    <row r="1334" spans="1:18" x14ac:dyDescent="0.25">
      <c r="A1334" s="47">
        <v>46237</v>
      </c>
      <c r="B1334" s="48" t="s">
        <v>18</v>
      </c>
      <c r="C1334" s="48" t="s">
        <v>22</v>
      </c>
      <c r="D1334" s="48" t="s">
        <v>23</v>
      </c>
      <c r="E1334" s="49">
        <v>5000</v>
      </c>
      <c r="F1334" s="76">
        <v>5818</v>
      </c>
      <c r="G1334" s="49">
        <v>0</v>
      </c>
      <c r="H1334" s="50">
        <f>IFERROR(Table1[Re-process (Kg)]/Table1[Actual Production (Kg)], "")</f>
        <v>0</v>
      </c>
      <c r="I1334" s="49">
        <f>IFERROR(Table1[[#This Row],[Actual Production (Kg)]]-Table1[[#This Row],[Re-process (Kg)]], "")</f>
        <v>5818</v>
      </c>
      <c r="J1334" s="49">
        <v>22</v>
      </c>
      <c r="K1334" s="72"/>
      <c r="L1334" s="49">
        <f>IF(Table1[[#This Row],[Target Time (Hours)]]="","",Table1[[#This Row],[Target Time (Hours)]]-Table1[[#This Row],[Downtime (Hours)]])</f>
        <v>22</v>
      </c>
      <c r="M1334" s="49">
        <f>IFERROR(Table1[[#This Row],[Capacity (Kg)]]/Table1[[#This Row],[Target Time (Hours)]] * Table1[[#This Row],[Downtime (Hours)]], "")</f>
        <v>0</v>
      </c>
      <c r="N1334" s="50">
        <f>IFERROR(Table1[[#This Row],[Running Time (hr)]]/Table1[Target Time (Hours)], "")</f>
        <v>1</v>
      </c>
      <c r="O1334" s="50">
        <f>IFERROR(Table1[[#This Row],[Actual Production (Kg)]]/Table1[Capacity (Kg)], "")</f>
        <v>1.1636</v>
      </c>
      <c r="P1334" s="50">
        <f>IFERROR(Table1[[#This Row],[Quality Pass Production]]/Table1[[#This Row],[Actual Production (Kg)]], "")</f>
        <v>1</v>
      </c>
      <c r="Q1334" s="50">
        <f>IFERROR(Table1[[#This Row],[Utilization %]]*Table1[[#This Row],[Efficiency %]]*Table1[[#This Row],[Quality %]], "")</f>
        <v>1.1636</v>
      </c>
    </row>
    <row r="1335" spans="1:18" ht="45" customHeight="1" x14ac:dyDescent="0.25">
      <c r="A1335" s="47">
        <v>46237</v>
      </c>
      <c r="B1335" s="48" t="s">
        <v>18</v>
      </c>
      <c r="C1335" s="48" t="s">
        <v>22</v>
      </c>
      <c r="D1335" s="48" t="s">
        <v>25</v>
      </c>
      <c r="E1335" s="49">
        <v>4000</v>
      </c>
      <c r="F1335" s="76">
        <v>2670</v>
      </c>
      <c r="G1335" s="49">
        <v>0</v>
      </c>
      <c r="H1335" s="50">
        <f>IFERROR(Table1[Re-process (Kg)]/Table1[Actual Production (Kg)], "")</f>
        <v>0</v>
      </c>
      <c r="I1335" s="49">
        <f>IFERROR(Table1[[#This Row],[Actual Production (Kg)]]-Table1[[#This Row],[Re-process (Kg)]], "")</f>
        <v>2670</v>
      </c>
      <c r="J1335" s="49"/>
      <c r="K1335" s="72">
        <v>0.67</v>
      </c>
      <c r="L1335" s="49" t="str">
        <f>IF(Table1[[#This Row],[Target Time (Hours)]]="","",Table1[[#This Row],[Target Time (Hours)]]-Table1[[#This Row],[Downtime (Hours)]])</f>
        <v/>
      </c>
      <c r="M1335" s="49" t="str">
        <f>IFERROR(Table1[[#This Row],[Capacity (Kg)]]/Table1[[#This Row],[Target Time (Hours)]] * Table1[[#This Row],[Downtime (Hours)]], "")</f>
        <v/>
      </c>
      <c r="N1335" s="50" t="str">
        <f>IFERROR(Table1[[#This Row],[Running Time (hr)]]/Table1[Target Time (Hours)], "")</f>
        <v/>
      </c>
      <c r="O1335" s="50">
        <f>IFERROR(Table1[[#This Row],[Actual Production (Kg)]]/Table1[Capacity (Kg)], "")</f>
        <v>0.66749999999999998</v>
      </c>
      <c r="P1335" s="50">
        <f>IFERROR(Table1[[#This Row],[Quality Pass Production]]/Table1[[#This Row],[Actual Production (Kg)]], "")</f>
        <v>1</v>
      </c>
      <c r="Q1335" s="50" t="str">
        <f>IFERROR(Table1[[#This Row],[Utilization %]]*Table1[[#This Row],[Efficiency %]]*Table1[[#This Row],[Quality %]], "")</f>
        <v/>
      </c>
      <c r="R1335" s="48" t="s">
        <v>351</v>
      </c>
    </row>
    <row r="1336" spans="1:18" ht="45" customHeight="1" x14ac:dyDescent="0.25">
      <c r="A1336" s="47">
        <v>46237</v>
      </c>
      <c r="B1336" s="48" t="s">
        <v>18</v>
      </c>
      <c r="C1336" s="48" t="s">
        <v>26</v>
      </c>
      <c r="D1336" s="48" t="s">
        <v>25</v>
      </c>
      <c r="E1336" s="49">
        <v>7000</v>
      </c>
      <c r="F1336" s="76">
        <v>7255</v>
      </c>
      <c r="G1336" s="49">
        <v>0</v>
      </c>
      <c r="H1336" s="50">
        <f>IFERROR(Table1[Re-process (Kg)]/Table1[Actual Production (Kg)], "")</f>
        <v>0</v>
      </c>
      <c r="I1336" s="49">
        <f>IFERROR(Table1[[#This Row],[Actual Production (Kg)]]-Table1[[#This Row],[Re-process (Kg)]], "")</f>
        <v>7255</v>
      </c>
      <c r="J1336" s="49">
        <v>22</v>
      </c>
      <c r="K1336" s="72">
        <v>0.67</v>
      </c>
      <c r="L1336" s="49">
        <f>IF(Table1[[#This Row],[Target Time (Hours)]]="","",Table1[[#This Row],[Target Time (Hours)]]-Table1[[#This Row],[Downtime (Hours)]])</f>
        <v>21.33</v>
      </c>
      <c r="M1336" s="49">
        <f>IFERROR(Table1[[#This Row],[Capacity (Kg)]]/Table1[[#This Row],[Target Time (Hours)]] * Table1[[#This Row],[Downtime (Hours)]], "")</f>
        <v>213.18181818181819</v>
      </c>
      <c r="N1336" s="50">
        <f>IFERROR(Table1[[#This Row],[Running Time (hr)]]/Table1[Target Time (Hours)], "")</f>
        <v>0.96954545454545449</v>
      </c>
      <c r="O1336" s="50">
        <f>IFERROR(Table1[[#This Row],[Actual Production (Kg)]]/Table1[Capacity (Kg)], "")</f>
        <v>1.0364285714285715</v>
      </c>
      <c r="P1336" s="50">
        <f>IFERROR(Table1[[#This Row],[Quality Pass Production]]/Table1[[#This Row],[Actual Production (Kg)]], "")</f>
        <v>1</v>
      </c>
      <c r="Q1336" s="50">
        <f>IFERROR(Table1[[#This Row],[Utilization %]]*Table1[[#This Row],[Efficiency %]]*Table1[[#This Row],[Quality %]], "")</f>
        <v>1.0048646103896104</v>
      </c>
      <c r="R1336" s="48" t="s">
        <v>351</v>
      </c>
    </row>
    <row r="1337" spans="1:18" ht="30" customHeight="1" x14ac:dyDescent="0.25">
      <c r="A1337" s="47">
        <v>46237</v>
      </c>
      <c r="B1337" s="48" t="s">
        <v>18</v>
      </c>
      <c r="C1337" s="48" t="s">
        <v>28</v>
      </c>
      <c r="D1337" s="48" t="s">
        <v>29</v>
      </c>
      <c r="E1337" s="49">
        <v>7800</v>
      </c>
      <c r="F1337" s="76">
        <v>6139</v>
      </c>
      <c r="G1337" s="49">
        <v>0</v>
      </c>
      <c r="H1337" s="50">
        <f>IFERROR(Table1[Re-process (Kg)]/Table1[Actual Production (Kg)], "")</f>
        <v>0</v>
      </c>
      <c r="I1337" s="49">
        <f>IFERROR(Table1[[#This Row],[Actual Production (Kg)]]-Table1[[#This Row],[Re-process (Kg)]], "")</f>
        <v>6139</v>
      </c>
      <c r="J1337" s="49">
        <v>22</v>
      </c>
      <c r="K1337" s="72">
        <v>3.5</v>
      </c>
      <c r="L1337" s="49">
        <f>IF(Table1[[#This Row],[Target Time (Hours)]]="","",Table1[[#This Row],[Target Time (Hours)]]-Table1[[#This Row],[Downtime (Hours)]])</f>
        <v>18.5</v>
      </c>
      <c r="M1337" s="49">
        <f>IFERROR(Table1[[#This Row],[Capacity (Kg)]]/Table1[[#This Row],[Target Time (Hours)]] * Table1[[#This Row],[Downtime (Hours)]], "")</f>
        <v>1240.909090909091</v>
      </c>
      <c r="N1337" s="50">
        <f>IFERROR(Table1[[#This Row],[Running Time (hr)]]/Table1[Target Time (Hours)], "")</f>
        <v>0.84090909090909094</v>
      </c>
      <c r="O1337" s="50">
        <f>IFERROR(Table1[[#This Row],[Actual Production (Kg)]]/Table1[Capacity (Kg)], "")</f>
        <v>0.78705128205128205</v>
      </c>
      <c r="P1337" s="50">
        <f>IFERROR(Table1[[#This Row],[Quality Pass Production]]/Table1[[#This Row],[Actual Production (Kg)]], "")</f>
        <v>1</v>
      </c>
      <c r="Q1337" s="50">
        <f>IFERROR(Table1[[#This Row],[Utilization %]]*Table1[[#This Row],[Efficiency %]]*Table1[[#This Row],[Quality %]], "")</f>
        <v>0.66183857808857816</v>
      </c>
      <c r="R1337" s="48" t="s">
        <v>352</v>
      </c>
    </row>
    <row r="1338" spans="1:18" ht="30" customHeight="1" x14ac:dyDescent="0.25">
      <c r="A1338" s="51">
        <v>46237</v>
      </c>
      <c r="B1338" s="52" t="s">
        <v>18</v>
      </c>
      <c r="C1338" s="52" t="s">
        <v>135</v>
      </c>
      <c r="D1338" s="52" t="s">
        <v>29</v>
      </c>
      <c r="E1338" s="53"/>
      <c r="F1338" s="53"/>
      <c r="G1338" s="53"/>
      <c r="H1338" s="57" t="str">
        <f>IFERROR(Table1[Re-process (Kg)]/Table1[Actual Production (Kg)], "")</f>
        <v/>
      </c>
      <c r="I1338" s="53">
        <f>IFERROR(Table1[[#This Row],[Actual Production (Kg)]]-Table1[[#This Row],[Re-process (Kg)]], "")</f>
        <v>0</v>
      </c>
      <c r="J1338" s="53"/>
      <c r="K1338" s="52"/>
      <c r="L1338" s="53" t="str">
        <f>IF(Table1[[#This Row],[Target Time (Hours)]]="","",Table1[[#This Row],[Target Time (Hours)]]-Table1[[#This Row],[Downtime (Hours)]])</f>
        <v/>
      </c>
      <c r="M1338" s="53" t="str">
        <f>IFERROR(Table1[[#This Row],[Capacity (Kg)]]/Table1[[#This Row],[Target Time (Hours)]] * Table1[[#This Row],[Downtime (Hours)]], "")</f>
        <v/>
      </c>
      <c r="N1338" s="57" t="str">
        <f>IFERROR(Table1[[#This Row],[Running Time (hr)]]/Table1[Target Time (Hours)], "")</f>
        <v/>
      </c>
      <c r="O1338" s="57" t="str">
        <f>IFERROR(Table1[[#This Row],[Actual Production (Kg)]]/Table1[Capacity (Kg)], "")</f>
        <v/>
      </c>
      <c r="P1338" s="57" t="str">
        <f>IFERROR(Table1[[#This Row],[Quality Pass Production]]/Table1[[#This Row],[Actual Production (Kg)]], "")</f>
        <v/>
      </c>
      <c r="Q1338" s="57" t="str">
        <f>IFERROR(Table1[[#This Row],[Utilization %]]*Table1[[#This Row],[Efficiency %]]*Table1[[#This Row],[Quality %]], "")</f>
        <v/>
      </c>
      <c r="R1338" s="52"/>
    </row>
    <row r="1339" spans="1:18" ht="45" customHeight="1" x14ac:dyDescent="0.25">
      <c r="A1339" s="47">
        <v>46237</v>
      </c>
      <c r="B1339" s="48" t="s">
        <v>18</v>
      </c>
      <c r="C1339" s="48" t="s">
        <v>30</v>
      </c>
      <c r="D1339" s="48" t="s">
        <v>31</v>
      </c>
      <c r="E1339" s="49">
        <v>9000</v>
      </c>
      <c r="F1339" s="76">
        <v>6029</v>
      </c>
      <c r="G1339" s="49">
        <v>0</v>
      </c>
      <c r="H1339" s="50">
        <f>IFERROR(Table1[Re-process (Kg)]/Table1[Actual Production (Kg)], "")</f>
        <v>0</v>
      </c>
      <c r="I1339" s="49">
        <f>IFERROR(Table1[[#This Row],[Actual Production (Kg)]]-Table1[[#This Row],[Re-process (Kg)]], "")</f>
        <v>6029</v>
      </c>
      <c r="J1339" s="49">
        <v>22</v>
      </c>
      <c r="K1339" s="72">
        <v>2.08</v>
      </c>
      <c r="L1339" s="49">
        <f>IF(Table1[[#This Row],[Target Time (Hours)]]="","",Table1[[#This Row],[Target Time (Hours)]]-Table1[[#This Row],[Downtime (Hours)]])</f>
        <v>19.920000000000002</v>
      </c>
      <c r="M1339" s="49">
        <f>IFERROR(Table1[[#This Row],[Capacity (Kg)]]/Table1[[#This Row],[Target Time (Hours)]] * Table1[[#This Row],[Downtime (Hours)]], "")</f>
        <v>850.90909090909088</v>
      </c>
      <c r="N1339" s="50">
        <f>IFERROR(Table1[[#This Row],[Running Time (hr)]]/Table1[Target Time (Hours)], "")</f>
        <v>0.90545454545454551</v>
      </c>
      <c r="O1339" s="50">
        <f>IFERROR(Table1[[#This Row],[Actual Production (Kg)]]/Table1[Capacity (Kg)], "")</f>
        <v>0.66988888888888887</v>
      </c>
      <c r="P1339" s="50">
        <f>IFERROR(Table1[[#This Row],[Quality Pass Production]]/Table1[[#This Row],[Actual Production (Kg)]], "")</f>
        <v>1</v>
      </c>
      <c r="Q1339" s="50">
        <f>IFERROR(Table1[[#This Row],[Utilization %]]*Table1[[#This Row],[Efficiency %]]*Table1[[#This Row],[Quality %]], "")</f>
        <v>0.60655393939393942</v>
      </c>
      <c r="R1339" s="48" t="s">
        <v>353</v>
      </c>
    </row>
    <row r="1340" spans="1:18" ht="30" customHeight="1" x14ac:dyDescent="0.25">
      <c r="A1340" s="51">
        <v>46237</v>
      </c>
      <c r="B1340" s="52" t="s">
        <v>18</v>
      </c>
      <c r="C1340" s="52" t="s">
        <v>32</v>
      </c>
      <c r="D1340" s="52" t="s">
        <v>31</v>
      </c>
      <c r="E1340" s="53"/>
      <c r="F1340" s="53"/>
      <c r="G1340" s="53"/>
      <c r="H1340" s="57" t="str">
        <f>IFERROR(Table1[Re-process (Kg)]/Table1[Actual Production (Kg)], "")</f>
        <v/>
      </c>
      <c r="I1340" s="53"/>
      <c r="J1340" s="53"/>
      <c r="K1340" s="52"/>
      <c r="L1340" s="53" t="str">
        <f>IF(Table1[[#This Row],[Target Time (Hours)]]="","",Table1[[#This Row],[Target Time (Hours)]]-Table1[[#This Row],[Downtime (Hours)]])</f>
        <v/>
      </c>
      <c r="M1340" s="53" t="str">
        <f>IFERROR(Table1[[#This Row],[Capacity (Kg)]]/Table1[[#This Row],[Target Time (Hours)]] * Table1[[#This Row],[Downtime (Hours)]], "")</f>
        <v/>
      </c>
      <c r="N1340" s="57" t="str">
        <f>IFERROR(Table1[[#This Row],[Running Time (hr)]]/Table1[Target Time (Hours)], "")</f>
        <v/>
      </c>
      <c r="O1340" s="57" t="str">
        <f>IFERROR(Table1[[#This Row],[Actual Production (Kg)]]/Table1[Capacity (Kg)], "")</f>
        <v/>
      </c>
      <c r="P1340" s="57" t="str">
        <f>IFERROR(Table1[[#This Row],[Quality Pass Production]]/Table1[[#This Row],[Actual Production (Kg)]], "")</f>
        <v/>
      </c>
      <c r="Q1340" s="57" t="str">
        <f>IFERROR(Table1[[#This Row],[Utilization %]]*Table1[[#This Row],[Efficiency %]]*Table1[[#This Row],[Quality %]], "")</f>
        <v/>
      </c>
      <c r="R1340" s="52"/>
    </row>
    <row r="1341" spans="1:18" ht="45" customHeight="1" x14ac:dyDescent="0.25">
      <c r="A1341" s="47">
        <v>46237</v>
      </c>
      <c r="B1341" s="48" t="s">
        <v>33</v>
      </c>
      <c r="C1341" s="48" t="s">
        <v>34</v>
      </c>
      <c r="D1341" s="48" t="s">
        <v>35</v>
      </c>
      <c r="E1341" s="49">
        <v>9000</v>
      </c>
      <c r="F1341" s="76">
        <v>7322</v>
      </c>
      <c r="G1341" s="49">
        <v>0</v>
      </c>
      <c r="H1341" s="50">
        <f>IFERROR(Table1[Re-process (Kg)]/Table1[Actual Production (Kg)], "")</f>
        <v>0</v>
      </c>
      <c r="I1341" s="49">
        <f>IFERROR(Table1[[#This Row],[Actual Production (Kg)]]-Table1[[#This Row],[Re-process (Kg)]], "")</f>
        <v>7322</v>
      </c>
      <c r="J1341" s="49">
        <v>22</v>
      </c>
      <c r="K1341" s="72">
        <v>0.67</v>
      </c>
      <c r="L1341" s="49">
        <f>IF(Table1[[#This Row],[Target Time (Hours)]]="","",Table1[[#This Row],[Target Time (Hours)]]-Table1[[#This Row],[Downtime (Hours)]])</f>
        <v>21.33</v>
      </c>
      <c r="M1341" s="49">
        <f>IFERROR(Table1[[#This Row],[Capacity (Kg)]]/Table1[[#This Row],[Target Time (Hours)]] * Table1[[#This Row],[Downtime (Hours)]], "")</f>
        <v>274.09090909090907</v>
      </c>
      <c r="N1341" s="50">
        <f>IFERROR(Table1[[#This Row],[Running Time (hr)]]/Table1[Target Time (Hours)], "")</f>
        <v>0.96954545454545449</v>
      </c>
      <c r="O1341" s="50">
        <f>IFERROR(Table1[[#This Row],[Actual Production (Kg)]]/Table1[Capacity (Kg)], "")</f>
        <v>0.81355555555555559</v>
      </c>
      <c r="P1341" s="50">
        <f>IFERROR(Table1[[#This Row],[Quality Pass Production]]/Table1[[#This Row],[Actual Production (Kg)]], "")</f>
        <v>1</v>
      </c>
      <c r="Q1341" s="50">
        <f>IFERROR(Table1[[#This Row],[Utilization %]]*Table1[[#This Row],[Efficiency %]]*Table1[[#This Row],[Quality %]], "")</f>
        <v>0.78877909090909093</v>
      </c>
      <c r="R1341" s="48" t="s">
        <v>351</v>
      </c>
    </row>
    <row r="1342" spans="1:18" ht="45" customHeight="1" x14ac:dyDescent="0.25">
      <c r="A1342" s="47">
        <v>46237</v>
      </c>
      <c r="B1342" s="48" t="s">
        <v>33</v>
      </c>
      <c r="C1342" s="48" t="s">
        <v>36</v>
      </c>
      <c r="D1342" s="48" t="s">
        <v>37</v>
      </c>
      <c r="E1342" s="49">
        <v>8000</v>
      </c>
      <c r="F1342" s="76">
        <v>7330</v>
      </c>
      <c r="G1342" s="49">
        <v>0</v>
      </c>
      <c r="H1342" s="50">
        <f>IFERROR(Table1[Re-process (Kg)]/Table1[Actual Production (Kg)], "")</f>
        <v>0</v>
      </c>
      <c r="I1342" s="49">
        <f>IFERROR(Table1[[#This Row],[Actual Production (Kg)]]-Table1[[#This Row],[Re-process (Kg)]], "")</f>
        <v>7330</v>
      </c>
      <c r="J1342" s="49">
        <v>22</v>
      </c>
      <c r="K1342" s="72">
        <v>0.67</v>
      </c>
      <c r="L1342" s="49">
        <f>IF(Table1[[#This Row],[Target Time (Hours)]]="","",Table1[[#This Row],[Target Time (Hours)]]-Table1[[#This Row],[Downtime (Hours)]])</f>
        <v>21.33</v>
      </c>
      <c r="M1342" s="49">
        <f>IFERROR(Table1[[#This Row],[Capacity (Kg)]]/Table1[[#This Row],[Target Time (Hours)]] * Table1[[#This Row],[Downtime (Hours)]], "")</f>
        <v>243.63636363636365</v>
      </c>
      <c r="N1342" s="50">
        <f>IFERROR(Table1[[#This Row],[Running Time (hr)]]/Table1[Target Time (Hours)], "")</f>
        <v>0.96954545454545449</v>
      </c>
      <c r="O1342" s="50">
        <f>IFERROR(Table1[[#This Row],[Actual Production (Kg)]]/Table1[Capacity (Kg)], "")</f>
        <v>0.91625000000000001</v>
      </c>
      <c r="P1342" s="50">
        <f>IFERROR(Table1[[#This Row],[Quality Pass Production]]/Table1[[#This Row],[Actual Production (Kg)]], "")</f>
        <v>1</v>
      </c>
      <c r="Q1342" s="50">
        <f>IFERROR(Table1[[#This Row],[Utilization %]]*Table1[[#This Row],[Efficiency %]]*Table1[[#This Row],[Quality %]], "")</f>
        <v>0.8883460227272727</v>
      </c>
      <c r="R1342" s="48" t="s">
        <v>351</v>
      </c>
    </row>
    <row r="1343" spans="1:18" ht="45" customHeight="1" x14ac:dyDescent="0.25">
      <c r="A1343" s="47">
        <v>46237</v>
      </c>
      <c r="B1343" s="48" t="s">
        <v>33</v>
      </c>
      <c r="C1343" s="48" t="s">
        <v>39</v>
      </c>
      <c r="D1343" s="48" t="s">
        <v>31</v>
      </c>
      <c r="E1343" s="49">
        <v>6000</v>
      </c>
      <c r="F1343" s="76">
        <v>3749</v>
      </c>
      <c r="G1343" s="49">
        <v>0</v>
      </c>
      <c r="H1343" s="50">
        <f>IFERROR(Table1[Re-process (Kg)]/Table1[Actual Production (Kg)], "")</f>
        <v>0</v>
      </c>
      <c r="I1343" s="49">
        <f>IFERROR(Table1[[#This Row],[Actual Production (Kg)]]-Table1[[#This Row],[Re-process (Kg)]], "")</f>
        <v>3749</v>
      </c>
      <c r="J1343" s="49">
        <v>22</v>
      </c>
      <c r="K1343" s="72">
        <v>0.67</v>
      </c>
      <c r="L1343" s="49">
        <f>IF(Table1[[#This Row],[Target Time (Hours)]]="","",Table1[[#This Row],[Target Time (Hours)]]-Table1[[#This Row],[Downtime (Hours)]])</f>
        <v>21.33</v>
      </c>
      <c r="M1343" s="49">
        <f>IFERROR(Table1[[#This Row],[Capacity (Kg)]]/Table1[[#This Row],[Target Time (Hours)]] * Table1[[#This Row],[Downtime (Hours)]], "")</f>
        <v>182.72727272727275</v>
      </c>
      <c r="N1343" s="50">
        <f>IFERROR(Table1[[#This Row],[Running Time (hr)]]/Table1[Target Time (Hours)], "")</f>
        <v>0.96954545454545449</v>
      </c>
      <c r="O1343" s="50">
        <f>IFERROR(Table1[[#This Row],[Actual Production (Kg)]]/Table1[Capacity (Kg)], "")</f>
        <v>0.62483333333333335</v>
      </c>
      <c r="P1343" s="50">
        <f>IFERROR(Table1[[#This Row],[Quality Pass Production]]/Table1[[#This Row],[Actual Production (Kg)]], "")</f>
        <v>1</v>
      </c>
      <c r="Q1343" s="50">
        <f>IFERROR(Table1[[#This Row],[Utilization %]]*Table1[[#This Row],[Efficiency %]]*Table1[[#This Row],[Quality %]], "")</f>
        <v>0.60580431818181812</v>
      </c>
      <c r="R1343" s="48" t="s">
        <v>351</v>
      </c>
    </row>
    <row r="1344" spans="1:18" ht="45" customHeight="1" x14ac:dyDescent="0.25">
      <c r="A1344" s="54">
        <v>46237</v>
      </c>
      <c r="B1344" s="55" t="s">
        <v>33</v>
      </c>
      <c r="C1344" s="55" t="s">
        <v>40</v>
      </c>
      <c r="D1344" s="55" t="s">
        <v>31</v>
      </c>
      <c r="E1344" s="56">
        <v>5000</v>
      </c>
      <c r="F1344" s="56">
        <v>4031</v>
      </c>
      <c r="G1344" s="56">
        <v>0</v>
      </c>
      <c r="H1344" s="58">
        <f>IFERROR(Table1[Re-process (Kg)]/Table1[Actual Production (Kg)], "")</f>
        <v>0</v>
      </c>
      <c r="I1344" s="56">
        <f>IFERROR(Table1[[#This Row],[Actual Production (Kg)]]-Table1[[#This Row],[Re-process (Kg)]], "")</f>
        <v>4031</v>
      </c>
      <c r="J1344" s="56">
        <v>22</v>
      </c>
      <c r="K1344" s="55">
        <v>0.67</v>
      </c>
      <c r="L1344" s="56">
        <f>IF(Table1[[#This Row],[Target Time (Hours)]]="","",Table1[[#This Row],[Target Time (Hours)]]-Table1[[#This Row],[Downtime (Hours)]])</f>
        <v>21.33</v>
      </c>
      <c r="M1344" s="56">
        <f>IFERROR(Table1[[#This Row],[Capacity (Kg)]]/Table1[[#This Row],[Target Time (Hours)]] * Table1[[#This Row],[Downtime (Hours)]], "")</f>
        <v>152.27272727272728</v>
      </c>
      <c r="N1344" s="58">
        <f>IFERROR(Table1[[#This Row],[Running Time (hr)]]/Table1[Target Time (Hours)], "")</f>
        <v>0.96954545454545449</v>
      </c>
      <c r="O1344" s="58">
        <f>IFERROR(Table1[[#This Row],[Actual Production (Kg)]]/Table1[Capacity (Kg)], "")</f>
        <v>0.80620000000000003</v>
      </c>
      <c r="P1344" s="58">
        <f>IFERROR(Table1[[#This Row],[Quality Pass Production]]/Table1[[#This Row],[Actual Production (Kg)]], "")</f>
        <v>1</v>
      </c>
      <c r="Q1344" s="58">
        <f>IFERROR(Table1[[#This Row],[Utilization %]]*Table1[[#This Row],[Efficiency %]]*Table1[[#This Row],[Quality %]], "")</f>
        <v>0.7816475454545454</v>
      </c>
      <c r="R1344" s="55" t="s">
        <v>351</v>
      </c>
    </row>
    <row r="1345" spans="1:18" ht="30" customHeight="1" x14ac:dyDescent="0.25">
      <c r="A1345" s="47">
        <v>46238</v>
      </c>
      <c r="B1345" s="48" t="s">
        <v>18</v>
      </c>
      <c r="C1345" s="48" t="s">
        <v>19</v>
      </c>
      <c r="D1345" s="48" t="s">
        <v>20</v>
      </c>
      <c r="E1345" s="49">
        <v>10000</v>
      </c>
      <c r="F1345" s="76">
        <v>6499</v>
      </c>
      <c r="G1345" s="49">
        <v>0</v>
      </c>
      <c r="H1345" s="50">
        <f>IFERROR(Table1[Re-process (Kg)]/Table1[Actual Production (Kg)], "")</f>
        <v>0</v>
      </c>
      <c r="I1345" s="49">
        <f>IFERROR(Table1[[#This Row],[Actual Production (Kg)]]-Table1[[#This Row],[Re-process (Kg)]], "")</f>
        <v>6499</v>
      </c>
      <c r="J1345" s="49">
        <v>22</v>
      </c>
      <c r="K1345" s="72"/>
      <c r="L1345" s="49">
        <f>IF(Table1[[#This Row],[Target Time (Hours)]]="","",Table1[[#This Row],[Target Time (Hours)]]-Table1[[#This Row],[Downtime (Hours)]])</f>
        <v>22</v>
      </c>
      <c r="M1345" s="49">
        <f>IFERROR(Table1[[#This Row],[Capacity (Kg)]]/Table1[[#This Row],[Target Time (Hours)]] * Table1[[#This Row],[Downtime (Hours)]], "")</f>
        <v>0</v>
      </c>
      <c r="N1345" s="50">
        <f>IFERROR(Table1[[#This Row],[Running Time (hr)]]/Table1[Target Time (Hours)], "")</f>
        <v>1</v>
      </c>
      <c r="O1345" s="50">
        <f>IFERROR(Table1[[#This Row],[Actual Production (Kg)]]/Table1[Capacity (Kg)], "")</f>
        <v>0.64990000000000003</v>
      </c>
      <c r="P1345" s="50">
        <f>IFERROR(Table1[[#This Row],[Quality Pass Production]]/Table1[[#This Row],[Actual Production (Kg)]], "")</f>
        <v>1</v>
      </c>
      <c r="Q1345" s="50">
        <f>IFERROR(Table1[[#This Row],[Utilization %]]*Table1[[#This Row],[Efficiency %]]*Table1[[#This Row],[Quality %]], "")</f>
        <v>0.64990000000000003</v>
      </c>
    </row>
    <row r="1346" spans="1:18" x14ac:dyDescent="0.25">
      <c r="A1346" s="51">
        <v>46238</v>
      </c>
      <c r="B1346" s="52" t="s">
        <v>18</v>
      </c>
      <c r="C1346" s="52" t="s">
        <v>238</v>
      </c>
      <c r="D1346" s="52" t="s">
        <v>20</v>
      </c>
      <c r="E1346" s="53">
        <v>8043</v>
      </c>
      <c r="F1346" s="53">
        <v>8043</v>
      </c>
      <c r="G1346" s="53">
        <v>0</v>
      </c>
      <c r="H1346" s="57">
        <f>IFERROR(Table1[Re-process (Kg)]/Table1[Actual Production (Kg)], "")</f>
        <v>0</v>
      </c>
      <c r="I1346" s="53">
        <f>IFERROR(Table1[[#This Row],[Actual Production (Kg)]]-Table1[[#This Row],[Re-process (Kg)]], "")</f>
        <v>8043</v>
      </c>
      <c r="J1346" s="53"/>
      <c r="K1346" s="52"/>
      <c r="L1346" s="53" t="str">
        <f>IF(Table1[[#This Row],[Target Time (Hours)]]="","",Table1[[#This Row],[Target Time (Hours)]]-Table1[[#This Row],[Downtime (Hours)]])</f>
        <v/>
      </c>
      <c r="M1346" s="53" t="str">
        <f>IFERROR(Table1[[#This Row],[Capacity (Kg)]]/Table1[[#This Row],[Target Time (Hours)]] * Table1[[#This Row],[Downtime (Hours)]], "")</f>
        <v/>
      </c>
      <c r="N1346" s="57" t="str">
        <f>IFERROR(Table1[[#This Row],[Running Time (hr)]]/Table1[Target Time (Hours)], "")</f>
        <v/>
      </c>
      <c r="O1346" s="57">
        <f>IFERROR(Table1[[#This Row],[Actual Production (Kg)]]/Table1[Capacity (Kg)], "")</f>
        <v>1</v>
      </c>
      <c r="P1346" s="57">
        <f>IFERROR(Table1[[#This Row],[Quality Pass Production]]/Table1[[#This Row],[Actual Production (Kg)]], "")</f>
        <v>1</v>
      </c>
      <c r="Q1346" s="57" t="str">
        <f>IFERROR(Table1[[#This Row],[Utilization %]]*Table1[[#This Row],[Efficiency %]]*Table1[[#This Row],[Quality %]], "")</f>
        <v/>
      </c>
      <c r="R1346" s="52"/>
    </row>
    <row r="1347" spans="1:18" x14ac:dyDescent="0.25">
      <c r="A1347" s="47">
        <v>46238</v>
      </c>
      <c r="B1347" s="48" t="s">
        <v>18</v>
      </c>
      <c r="C1347" s="48" t="s">
        <v>22</v>
      </c>
      <c r="D1347" s="48" t="s">
        <v>23</v>
      </c>
      <c r="E1347" s="49">
        <v>4000</v>
      </c>
      <c r="F1347" s="76">
        <v>3582</v>
      </c>
      <c r="G1347" s="49">
        <v>0</v>
      </c>
      <c r="H1347" s="50">
        <f>IFERROR(Table1[Re-process (Kg)]/Table1[Actual Production (Kg)], "")</f>
        <v>0</v>
      </c>
      <c r="I1347" s="49">
        <f>IFERROR(Table1[[#This Row],[Actual Production (Kg)]]-Table1[[#This Row],[Re-process (Kg)]], "")</f>
        <v>3582</v>
      </c>
      <c r="J1347" s="49">
        <v>22</v>
      </c>
      <c r="K1347" s="72"/>
      <c r="L1347" s="49">
        <f>IF(Table1[[#This Row],[Target Time (Hours)]]="","",Table1[[#This Row],[Target Time (Hours)]]-Table1[[#This Row],[Downtime (Hours)]])</f>
        <v>22</v>
      </c>
      <c r="M1347" s="49">
        <f>IFERROR(Table1[[#This Row],[Capacity (Kg)]]/Table1[[#This Row],[Target Time (Hours)]] * Table1[[#This Row],[Downtime (Hours)]], "")</f>
        <v>0</v>
      </c>
      <c r="N1347" s="50">
        <f>IFERROR(Table1[[#This Row],[Running Time (hr)]]/Table1[Target Time (Hours)], "")</f>
        <v>1</v>
      </c>
      <c r="O1347" s="50">
        <f>IFERROR(Table1[[#This Row],[Actual Production (Kg)]]/Table1[Capacity (Kg)], "")</f>
        <v>0.89549999999999996</v>
      </c>
      <c r="P1347" s="50">
        <f>IFERROR(Table1[[#This Row],[Quality Pass Production]]/Table1[[#This Row],[Actual Production (Kg)]], "")</f>
        <v>1</v>
      </c>
      <c r="Q1347" s="50">
        <f>IFERROR(Table1[[#This Row],[Utilization %]]*Table1[[#This Row],[Efficiency %]]*Table1[[#This Row],[Quality %]], "")</f>
        <v>0.89549999999999996</v>
      </c>
    </row>
    <row r="1348" spans="1:18" x14ac:dyDescent="0.25">
      <c r="A1348" s="47">
        <v>46238</v>
      </c>
      <c r="B1348" s="48" t="s">
        <v>18</v>
      </c>
      <c r="C1348" s="48" t="s">
        <v>22</v>
      </c>
      <c r="D1348" s="48" t="s">
        <v>25</v>
      </c>
      <c r="E1348" s="49">
        <v>5000</v>
      </c>
      <c r="F1348" s="76">
        <v>5176</v>
      </c>
      <c r="G1348" s="49">
        <v>0</v>
      </c>
      <c r="H1348" s="50">
        <f>IFERROR(Table1[Re-process (Kg)]/Table1[Actual Production (Kg)], "")</f>
        <v>0</v>
      </c>
      <c r="I1348" s="49">
        <f>IFERROR(Table1[[#This Row],[Actual Production (Kg)]]-Table1[[#This Row],[Re-process (Kg)]], "")</f>
        <v>5176</v>
      </c>
      <c r="J1348" s="49"/>
      <c r="K1348" s="72"/>
      <c r="L1348" s="49" t="str">
        <f>IF(Table1[[#This Row],[Target Time (Hours)]]="","",Table1[[#This Row],[Target Time (Hours)]]-Table1[[#This Row],[Downtime (Hours)]])</f>
        <v/>
      </c>
      <c r="M1348" s="49" t="str">
        <f>IFERROR(Table1[[#This Row],[Capacity (Kg)]]/Table1[[#This Row],[Target Time (Hours)]] * Table1[[#This Row],[Downtime (Hours)]], "")</f>
        <v/>
      </c>
      <c r="N1348" s="50" t="str">
        <f>IFERROR(Table1[[#This Row],[Running Time (hr)]]/Table1[Target Time (Hours)], "")</f>
        <v/>
      </c>
      <c r="O1348" s="50">
        <f>IFERROR(Table1[[#This Row],[Actual Production (Kg)]]/Table1[Capacity (Kg)], "")</f>
        <v>1.0351999999999999</v>
      </c>
      <c r="P1348" s="50">
        <f>IFERROR(Table1[[#This Row],[Quality Pass Production]]/Table1[[#This Row],[Actual Production (Kg)]], "")</f>
        <v>1</v>
      </c>
      <c r="Q1348" s="50" t="str">
        <f>IFERROR(Table1[[#This Row],[Utilization %]]*Table1[[#This Row],[Efficiency %]]*Table1[[#This Row],[Quality %]], "")</f>
        <v/>
      </c>
    </row>
    <row r="1349" spans="1:18" x14ac:dyDescent="0.25">
      <c r="A1349" s="47">
        <v>46238</v>
      </c>
      <c r="B1349" s="48" t="s">
        <v>18</v>
      </c>
      <c r="C1349" s="48" t="s">
        <v>26</v>
      </c>
      <c r="D1349" s="48" t="s">
        <v>25</v>
      </c>
      <c r="E1349" s="49">
        <v>7000</v>
      </c>
      <c r="F1349" s="76">
        <v>6613</v>
      </c>
      <c r="G1349" s="49">
        <v>0</v>
      </c>
      <c r="H1349" s="50">
        <f>IFERROR(Table1[Re-process (Kg)]/Table1[Actual Production (Kg)], "")</f>
        <v>0</v>
      </c>
      <c r="I1349" s="49">
        <f>IFERROR(Table1[[#This Row],[Actual Production (Kg)]]-Table1[[#This Row],[Re-process (Kg)]], "")</f>
        <v>6613</v>
      </c>
      <c r="J1349" s="49">
        <v>22</v>
      </c>
      <c r="K1349" s="72"/>
      <c r="L1349" s="49">
        <f>IF(Table1[[#This Row],[Target Time (Hours)]]="","",Table1[[#This Row],[Target Time (Hours)]]-Table1[[#This Row],[Downtime (Hours)]])</f>
        <v>22</v>
      </c>
      <c r="M1349" s="49">
        <f>IFERROR(Table1[[#This Row],[Capacity (Kg)]]/Table1[[#This Row],[Target Time (Hours)]] * Table1[[#This Row],[Downtime (Hours)]], "")</f>
        <v>0</v>
      </c>
      <c r="N1349" s="50">
        <f>IFERROR(Table1[[#This Row],[Running Time (hr)]]/Table1[Target Time (Hours)], "")</f>
        <v>1</v>
      </c>
      <c r="O1349" s="50">
        <f>IFERROR(Table1[[#This Row],[Actual Production (Kg)]]/Table1[Capacity (Kg)], "")</f>
        <v>0.94471428571428573</v>
      </c>
      <c r="P1349" s="50">
        <f>IFERROR(Table1[[#This Row],[Quality Pass Production]]/Table1[[#This Row],[Actual Production (Kg)]], "")</f>
        <v>1</v>
      </c>
      <c r="Q1349" s="50">
        <f>IFERROR(Table1[[#This Row],[Utilization %]]*Table1[[#This Row],[Efficiency %]]*Table1[[#This Row],[Quality %]], "")</f>
        <v>0.94471428571428573</v>
      </c>
    </row>
    <row r="1350" spans="1:18" ht="30" customHeight="1" x14ac:dyDescent="0.25">
      <c r="A1350" s="47">
        <v>46238</v>
      </c>
      <c r="B1350" s="48" t="s">
        <v>18</v>
      </c>
      <c r="C1350" s="48" t="s">
        <v>28</v>
      </c>
      <c r="D1350" s="48" t="s">
        <v>29</v>
      </c>
      <c r="E1350" s="49">
        <v>7800</v>
      </c>
      <c r="F1350" s="76">
        <v>4329</v>
      </c>
      <c r="G1350" s="49">
        <v>0</v>
      </c>
      <c r="H1350" s="50">
        <f>IFERROR(Table1[Re-process (Kg)]/Table1[Actual Production (Kg)], "")</f>
        <v>0</v>
      </c>
      <c r="I1350" s="49">
        <f>IFERROR(Table1[[#This Row],[Actual Production (Kg)]]-Table1[[#This Row],[Re-process (Kg)]], "")</f>
        <v>4329</v>
      </c>
      <c r="J1350" s="49">
        <v>22</v>
      </c>
      <c r="K1350" s="72"/>
      <c r="L1350" s="49">
        <f>IF(Table1[[#This Row],[Target Time (Hours)]]="","",Table1[[#This Row],[Target Time (Hours)]]-Table1[[#This Row],[Downtime (Hours)]])</f>
        <v>22</v>
      </c>
      <c r="M1350" s="49">
        <f>IFERROR(Table1[[#This Row],[Capacity (Kg)]]/Table1[[#This Row],[Target Time (Hours)]] * Table1[[#This Row],[Downtime (Hours)]], "")</f>
        <v>0</v>
      </c>
      <c r="N1350" s="50">
        <f>IFERROR(Table1[[#This Row],[Running Time (hr)]]/Table1[Target Time (Hours)], "")</f>
        <v>1</v>
      </c>
      <c r="O1350" s="50">
        <f>IFERROR(Table1[[#This Row],[Actual Production (Kg)]]/Table1[Capacity (Kg)], "")</f>
        <v>0.55500000000000005</v>
      </c>
      <c r="P1350" s="50">
        <f>IFERROR(Table1[[#This Row],[Quality Pass Production]]/Table1[[#This Row],[Actual Production (Kg)]], "")</f>
        <v>1</v>
      </c>
      <c r="Q1350" s="50">
        <f>IFERROR(Table1[[#This Row],[Utilization %]]*Table1[[#This Row],[Efficiency %]]*Table1[[#This Row],[Quality %]], "")</f>
        <v>0.55500000000000005</v>
      </c>
      <c r="R1350" s="48" t="s">
        <v>354</v>
      </c>
    </row>
    <row r="1351" spans="1:18" ht="30" customHeight="1" x14ac:dyDescent="0.25">
      <c r="A1351" s="51">
        <v>46238</v>
      </c>
      <c r="B1351" s="52" t="s">
        <v>18</v>
      </c>
      <c r="C1351" s="52" t="s">
        <v>135</v>
      </c>
      <c r="D1351" s="52" t="s">
        <v>29</v>
      </c>
      <c r="E1351" s="53"/>
      <c r="F1351" s="53"/>
      <c r="G1351" s="53"/>
      <c r="H1351" s="57" t="str">
        <f>IFERROR(Table1[Re-process (Kg)]/Table1[Actual Production (Kg)], "")</f>
        <v/>
      </c>
      <c r="I1351" s="53">
        <f>IFERROR(Table1[[#This Row],[Actual Production (Kg)]]-Table1[[#This Row],[Re-process (Kg)]], "")</f>
        <v>0</v>
      </c>
      <c r="J1351" s="53"/>
      <c r="K1351" s="52"/>
      <c r="L1351" s="53" t="str">
        <f>IF(Table1[[#This Row],[Target Time (Hours)]]="","",Table1[[#This Row],[Target Time (Hours)]]-Table1[[#This Row],[Downtime (Hours)]])</f>
        <v/>
      </c>
      <c r="M1351" s="53" t="str">
        <f>IFERROR(Table1[[#This Row],[Capacity (Kg)]]/Table1[[#This Row],[Target Time (Hours)]] * Table1[[#This Row],[Downtime (Hours)]], "")</f>
        <v/>
      </c>
      <c r="N1351" s="57" t="str">
        <f>IFERROR(Table1[[#This Row],[Running Time (hr)]]/Table1[Target Time (Hours)], "")</f>
        <v/>
      </c>
      <c r="O1351" s="57" t="str">
        <f>IFERROR(Table1[[#This Row],[Actual Production (Kg)]]/Table1[Capacity (Kg)], "")</f>
        <v/>
      </c>
      <c r="P1351" s="57" t="str">
        <f>IFERROR(Table1[[#This Row],[Quality Pass Production]]/Table1[[#This Row],[Actual Production (Kg)]], "")</f>
        <v/>
      </c>
      <c r="Q1351" s="57" t="str">
        <f>IFERROR(Table1[[#This Row],[Utilization %]]*Table1[[#This Row],[Efficiency %]]*Table1[[#This Row],[Quality %]], "")</f>
        <v/>
      </c>
      <c r="R1351" s="52"/>
    </row>
    <row r="1352" spans="1:18" ht="30" customHeight="1" x14ac:dyDescent="0.25">
      <c r="A1352" s="47">
        <v>46238</v>
      </c>
      <c r="B1352" s="48" t="s">
        <v>18</v>
      </c>
      <c r="C1352" s="48" t="s">
        <v>30</v>
      </c>
      <c r="D1352" s="48" t="s">
        <v>31</v>
      </c>
      <c r="E1352" s="49">
        <v>9000</v>
      </c>
      <c r="F1352" s="76">
        <v>7755</v>
      </c>
      <c r="G1352" s="49">
        <v>0</v>
      </c>
      <c r="H1352" s="50">
        <f>IFERROR(Table1[Re-process (Kg)]/Table1[Actual Production (Kg)], "")</f>
        <v>0</v>
      </c>
      <c r="I1352" s="49">
        <f>IFERROR(Table1[[#This Row],[Actual Production (Kg)]]-Table1[[#This Row],[Re-process (Kg)]], "")</f>
        <v>7755</v>
      </c>
      <c r="J1352" s="49">
        <v>22</v>
      </c>
      <c r="K1352" s="72"/>
      <c r="L1352" s="49">
        <f>IF(Table1[[#This Row],[Target Time (Hours)]]="","",Table1[[#This Row],[Target Time (Hours)]]-Table1[[#This Row],[Downtime (Hours)]])</f>
        <v>22</v>
      </c>
      <c r="M1352" s="49">
        <f>IFERROR(Table1[[#This Row],[Capacity (Kg)]]/Table1[[#This Row],[Target Time (Hours)]] * Table1[[#This Row],[Downtime (Hours)]], "")</f>
        <v>0</v>
      </c>
      <c r="N1352" s="50">
        <f>IFERROR(Table1[[#This Row],[Running Time (hr)]]/Table1[Target Time (Hours)], "")</f>
        <v>1</v>
      </c>
      <c r="O1352" s="50">
        <f>IFERROR(Table1[[#This Row],[Actual Production (Kg)]]/Table1[Capacity (Kg)], "")</f>
        <v>0.86166666666666669</v>
      </c>
      <c r="P1352" s="50">
        <f>IFERROR(Table1[[#This Row],[Quality Pass Production]]/Table1[[#This Row],[Actual Production (Kg)]], "")</f>
        <v>1</v>
      </c>
      <c r="Q1352" s="50">
        <f>IFERROR(Table1[[#This Row],[Utilization %]]*Table1[[#This Row],[Efficiency %]]*Table1[[#This Row],[Quality %]], "")</f>
        <v>0.86166666666666669</v>
      </c>
    </row>
    <row r="1353" spans="1:18" ht="30" customHeight="1" x14ac:dyDescent="0.25">
      <c r="A1353" s="51">
        <v>46238</v>
      </c>
      <c r="B1353" s="52" t="s">
        <v>18</v>
      </c>
      <c r="C1353" s="52" t="s">
        <v>32</v>
      </c>
      <c r="D1353" s="52" t="s">
        <v>31</v>
      </c>
      <c r="E1353" s="53"/>
      <c r="F1353" s="53"/>
      <c r="G1353" s="53"/>
      <c r="H1353" s="57" t="str">
        <f>IFERROR(Table1[Re-process (Kg)]/Table1[Actual Production (Kg)], "")</f>
        <v/>
      </c>
      <c r="I1353" s="53">
        <f>IFERROR(Table1[[#This Row],[Actual Production (Kg)]]-Table1[[#This Row],[Re-process (Kg)]], "")</f>
        <v>0</v>
      </c>
      <c r="J1353" s="53"/>
      <c r="K1353" s="52"/>
      <c r="L1353" s="53" t="str">
        <f>IF(Table1[[#This Row],[Target Time (Hours)]]="","",Table1[[#This Row],[Target Time (Hours)]]-Table1[[#This Row],[Downtime (Hours)]])</f>
        <v/>
      </c>
      <c r="M1353" s="53" t="str">
        <f>IFERROR(Table1[[#This Row],[Capacity (Kg)]]/Table1[[#This Row],[Target Time (Hours)]] * Table1[[#This Row],[Downtime (Hours)]], "")</f>
        <v/>
      </c>
      <c r="N1353" s="57" t="str">
        <f>IFERROR(Table1[[#This Row],[Running Time (hr)]]/Table1[Target Time (Hours)], "")</f>
        <v/>
      </c>
      <c r="O1353" s="57" t="str">
        <f>IFERROR(Table1[[#This Row],[Actual Production (Kg)]]/Table1[Capacity (Kg)], "")</f>
        <v/>
      </c>
      <c r="P1353" s="57" t="str">
        <f>IFERROR(Table1[[#This Row],[Quality Pass Production]]/Table1[[#This Row],[Actual Production (Kg)]], "")</f>
        <v/>
      </c>
      <c r="Q1353" s="57" t="str">
        <f>IFERROR(Table1[[#This Row],[Utilization %]]*Table1[[#This Row],[Efficiency %]]*Table1[[#This Row],[Quality %]], "")</f>
        <v/>
      </c>
      <c r="R1353" s="52"/>
    </row>
    <row r="1354" spans="1:18" ht="30" customHeight="1" x14ac:dyDescent="0.25">
      <c r="A1354" s="47">
        <v>46238</v>
      </c>
      <c r="B1354" s="48" t="s">
        <v>33</v>
      </c>
      <c r="C1354" s="48" t="s">
        <v>34</v>
      </c>
      <c r="D1354" s="48" t="s">
        <v>35</v>
      </c>
      <c r="E1354" s="49">
        <v>9000</v>
      </c>
      <c r="F1354" s="76">
        <v>7305</v>
      </c>
      <c r="G1354" s="49">
        <v>0</v>
      </c>
      <c r="H1354" s="50">
        <f>IFERROR(Table1[Re-process (Kg)]/Table1[Actual Production (Kg)], "")</f>
        <v>0</v>
      </c>
      <c r="I1354" s="49">
        <f>IFERROR(Table1[[#This Row],[Actual Production (Kg)]]-Table1[[#This Row],[Re-process (Kg)]], "")</f>
        <v>7305</v>
      </c>
      <c r="J1354" s="49">
        <v>22</v>
      </c>
      <c r="K1354" s="72"/>
      <c r="L1354" s="49">
        <f>IF(Table1[[#This Row],[Target Time (Hours)]]="","",Table1[[#This Row],[Target Time (Hours)]]-Table1[[#This Row],[Downtime (Hours)]])</f>
        <v>22</v>
      </c>
      <c r="M1354" s="49">
        <f>IFERROR(Table1[[#This Row],[Capacity (Kg)]]/Table1[[#This Row],[Target Time (Hours)]] * Table1[[#This Row],[Downtime (Hours)]], "")</f>
        <v>0</v>
      </c>
      <c r="N1354" s="50">
        <f>IFERROR(Table1[[#This Row],[Running Time (hr)]]/Table1[Target Time (Hours)], "")</f>
        <v>1</v>
      </c>
      <c r="O1354" s="50">
        <f>IFERROR(Table1[[#This Row],[Actual Production (Kg)]]/Table1[Capacity (Kg)], "")</f>
        <v>0.81166666666666665</v>
      </c>
      <c r="P1354" s="50">
        <f>IFERROR(Table1[[#This Row],[Quality Pass Production]]/Table1[[#This Row],[Actual Production (Kg)]], "")</f>
        <v>1</v>
      </c>
      <c r="Q1354" s="50">
        <f>IFERROR(Table1[[#This Row],[Utilization %]]*Table1[[#This Row],[Efficiency %]]*Table1[[#This Row],[Quality %]], "")</f>
        <v>0.81166666666666665</v>
      </c>
    </row>
    <row r="1355" spans="1:18" ht="30" customHeight="1" x14ac:dyDescent="0.25">
      <c r="A1355" s="47">
        <v>46238</v>
      </c>
      <c r="B1355" s="48" t="s">
        <v>33</v>
      </c>
      <c r="C1355" s="48" t="s">
        <v>36</v>
      </c>
      <c r="D1355" s="48" t="s">
        <v>37</v>
      </c>
      <c r="E1355" s="49">
        <v>8000</v>
      </c>
      <c r="F1355" s="76">
        <v>8543</v>
      </c>
      <c r="G1355" s="49">
        <v>0</v>
      </c>
      <c r="H1355" s="50">
        <f>IFERROR(Table1[Re-process (Kg)]/Table1[Actual Production (Kg)], "")</f>
        <v>0</v>
      </c>
      <c r="I1355" s="49">
        <f>IFERROR(Table1[[#This Row],[Actual Production (Kg)]]-Table1[[#This Row],[Re-process (Kg)]], "")</f>
        <v>8543</v>
      </c>
      <c r="J1355" s="49">
        <v>22</v>
      </c>
      <c r="K1355" s="72">
        <v>1.67</v>
      </c>
      <c r="L1355" s="49">
        <f>IF(Table1[[#This Row],[Target Time (Hours)]]="","",Table1[[#This Row],[Target Time (Hours)]]-Table1[[#This Row],[Downtime (Hours)]])</f>
        <v>20.329999999999998</v>
      </c>
      <c r="M1355" s="49">
        <f>IFERROR(Table1[[#This Row],[Capacity (Kg)]]/Table1[[#This Row],[Target Time (Hours)]] * Table1[[#This Row],[Downtime (Hours)]], "")</f>
        <v>607.27272727272725</v>
      </c>
      <c r="N1355" s="50">
        <f>IFERROR(Table1[[#This Row],[Running Time (hr)]]/Table1[Target Time (Hours)], "")</f>
        <v>0.92409090909090896</v>
      </c>
      <c r="O1355" s="50">
        <f>IFERROR(Table1[[#This Row],[Actual Production (Kg)]]/Table1[Capacity (Kg)], "")</f>
        <v>1.0678749999999999</v>
      </c>
      <c r="P1355" s="50">
        <f>IFERROR(Table1[[#This Row],[Quality Pass Production]]/Table1[[#This Row],[Actual Production (Kg)]], "")</f>
        <v>1</v>
      </c>
      <c r="Q1355" s="50">
        <f>IFERROR(Table1[[#This Row],[Utilization %]]*Table1[[#This Row],[Efficiency %]]*Table1[[#This Row],[Quality %]], "")</f>
        <v>0.98681357954545434</v>
      </c>
      <c r="R1355" s="48" t="s">
        <v>355</v>
      </c>
    </row>
    <row r="1356" spans="1:18" ht="30" customHeight="1" x14ac:dyDescent="0.25">
      <c r="A1356" s="47">
        <v>46238</v>
      </c>
      <c r="B1356" s="48" t="s">
        <v>33</v>
      </c>
      <c r="C1356" s="48" t="s">
        <v>39</v>
      </c>
      <c r="D1356" s="48" t="s">
        <v>31</v>
      </c>
      <c r="E1356" s="49">
        <v>6000</v>
      </c>
      <c r="F1356" s="76">
        <v>3113</v>
      </c>
      <c r="G1356" s="49">
        <v>0</v>
      </c>
      <c r="H1356" s="50">
        <f>IFERROR(Table1[Re-process (Kg)]/Table1[Actual Production (Kg)], "")</f>
        <v>0</v>
      </c>
      <c r="I1356" s="49">
        <f>IFERROR(Table1[[#This Row],[Actual Production (Kg)]]-Table1[[#This Row],[Re-process (Kg)]], "")</f>
        <v>3113</v>
      </c>
      <c r="J1356" s="49">
        <v>22</v>
      </c>
      <c r="K1356" s="72"/>
      <c r="L1356" s="49">
        <f>IF(Table1[[#This Row],[Target Time (Hours)]]="","",Table1[[#This Row],[Target Time (Hours)]]-Table1[[#This Row],[Downtime (Hours)]])</f>
        <v>22</v>
      </c>
      <c r="M1356" s="49">
        <f>IFERROR(Table1[[#This Row],[Capacity (Kg)]]/Table1[[#This Row],[Target Time (Hours)]] * Table1[[#This Row],[Downtime (Hours)]], "")</f>
        <v>0</v>
      </c>
      <c r="N1356" s="50">
        <f>IFERROR(Table1[[#This Row],[Running Time (hr)]]/Table1[Target Time (Hours)], "")</f>
        <v>1</v>
      </c>
      <c r="O1356" s="50">
        <f>IFERROR(Table1[[#This Row],[Actual Production (Kg)]]/Table1[Capacity (Kg)], "")</f>
        <v>0.51883333333333337</v>
      </c>
      <c r="P1356" s="50">
        <f>IFERROR(Table1[[#This Row],[Quality Pass Production]]/Table1[[#This Row],[Actual Production (Kg)]], "")</f>
        <v>1</v>
      </c>
      <c r="Q1356" s="50">
        <f>IFERROR(Table1[[#This Row],[Utilization %]]*Table1[[#This Row],[Efficiency %]]*Table1[[#This Row],[Quality %]], "")</f>
        <v>0.51883333333333337</v>
      </c>
    </row>
    <row r="1357" spans="1:18" ht="45" customHeight="1" x14ac:dyDescent="0.25">
      <c r="A1357" s="54">
        <v>46238</v>
      </c>
      <c r="B1357" s="55" t="s">
        <v>33</v>
      </c>
      <c r="C1357" s="55" t="s">
        <v>40</v>
      </c>
      <c r="D1357" s="55" t="s">
        <v>31</v>
      </c>
      <c r="E1357" s="56">
        <v>5000</v>
      </c>
      <c r="F1357" s="56">
        <v>3073</v>
      </c>
      <c r="G1357" s="56">
        <v>0</v>
      </c>
      <c r="H1357" s="58">
        <f>IFERROR(Table1[Re-process (Kg)]/Table1[Actual Production (Kg)], "")</f>
        <v>0</v>
      </c>
      <c r="I1357" s="56">
        <f>IFERROR(Table1[[#This Row],[Actual Production (Kg)]]-Table1[[#This Row],[Re-process (Kg)]], "")</f>
        <v>3073</v>
      </c>
      <c r="J1357" s="56">
        <v>22</v>
      </c>
      <c r="K1357" s="55"/>
      <c r="L1357" s="56">
        <f>IF(Table1[[#This Row],[Target Time (Hours)]]="","",Table1[[#This Row],[Target Time (Hours)]]-Table1[[#This Row],[Downtime (Hours)]])</f>
        <v>22</v>
      </c>
      <c r="M1357" s="56">
        <f>IFERROR(Table1[[#This Row],[Capacity (Kg)]]/Table1[[#This Row],[Target Time (Hours)]] * Table1[[#This Row],[Downtime (Hours)]], "")</f>
        <v>0</v>
      </c>
      <c r="N1357" s="58">
        <f>IFERROR(Table1[[#This Row],[Running Time (hr)]]/Table1[Target Time (Hours)], "")</f>
        <v>1</v>
      </c>
      <c r="O1357" s="58">
        <f>IFERROR(Table1[[#This Row],[Actual Production (Kg)]]/Table1[Capacity (Kg)], "")</f>
        <v>0.61460000000000004</v>
      </c>
      <c r="P1357" s="58">
        <f>IFERROR(Table1[[#This Row],[Quality Pass Production]]/Table1[[#This Row],[Actual Production (Kg)]], "")</f>
        <v>1</v>
      </c>
      <c r="Q1357" s="58">
        <f>IFERROR(Table1[[#This Row],[Utilization %]]*Table1[[#This Row],[Efficiency %]]*Table1[[#This Row],[Quality %]], "")</f>
        <v>0.61460000000000004</v>
      </c>
      <c r="R1357" s="55"/>
    </row>
    <row r="1358" spans="1:18" ht="45" customHeight="1" x14ac:dyDescent="0.25">
      <c r="A1358" s="47">
        <v>46242</v>
      </c>
      <c r="B1358" s="48" t="s">
        <v>18</v>
      </c>
      <c r="C1358" s="48" t="s">
        <v>19</v>
      </c>
      <c r="D1358" s="48" t="s">
        <v>20</v>
      </c>
      <c r="E1358" s="49">
        <v>10000</v>
      </c>
      <c r="F1358" s="76">
        <v>4285</v>
      </c>
      <c r="G1358" s="49">
        <v>0</v>
      </c>
      <c r="H1358" s="50">
        <f>IFERROR(Table1[Re-process (Kg)]/Table1[Actual Production (Kg)], "")</f>
        <v>0</v>
      </c>
      <c r="I1358" s="49">
        <f>IFERROR(Table1[[#This Row],[Actual Production (Kg)]]-Table1[[#This Row],[Re-process (Kg)]], "")</f>
        <v>4285</v>
      </c>
      <c r="J1358" s="49">
        <v>22</v>
      </c>
      <c r="K1358" s="72">
        <v>4.5</v>
      </c>
      <c r="L1358" s="49">
        <f>IF(Table1[[#This Row],[Target Time (Hours)]]="","",Table1[[#This Row],[Target Time (Hours)]]-Table1[[#This Row],[Downtime (Hours)]])</f>
        <v>17.5</v>
      </c>
      <c r="M1358" s="49">
        <f>IFERROR(Table1[[#This Row],[Capacity (Kg)]]/Table1[[#This Row],[Target Time (Hours)]] * Table1[[#This Row],[Downtime (Hours)]], "")</f>
        <v>2045.4545454545455</v>
      </c>
      <c r="N1358" s="50">
        <f>IFERROR(Table1[[#This Row],[Running Time (hr)]]/Table1[Target Time (Hours)], "")</f>
        <v>0.79545454545454541</v>
      </c>
      <c r="O1358" s="50">
        <f>IFERROR(Table1[[#This Row],[Actual Production (Kg)]]/Table1[Capacity (Kg)], "")</f>
        <v>0.42849999999999999</v>
      </c>
      <c r="P1358" s="50">
        <f>IFERROR(Table1[[#This Row],[Quality Pass Production]]/Table1[[#This Row],[Actual Production (Kg)]], "")</f>
        <v>1</v>
      </c>
      <c r="Q1358" s="50">
        <f>IFERROR(Table1[[#This Row],[Utilization %]]*Table1[[#This Row],[Efficiency %]]*Table1[[#This Row],[Quality %]], "")</f>
        <v>0.3408522727272727</v>
      </c>
      <c r="R1358" s="48" t="s">
        <v>356</v>
      </c>
    </row>
    <row r="1359" spans="1:18" ht="30" customHeight="1" x14ac:dyDescent="0.25">
      <c r="A1359" s="51">
        <v>46242</v>
      </c>
      <c r="B1359" s="52" t="s">
        <v>18</v>
      </c>
      <c r="C1359" s="52" t="s">
        <v>238</v>
      </c>
      <c r="D1359" s="52" t="s">
        <v>20</v>
      </c>
      <c r="E1359" s="53">
        <v>6791</v>
      </c>
      <c r="F1359" s="53">
        <v>6791</v>
      </c>
      <c r="G1359" s="53">
        <v>0</v>
      </c>
      <c r="H1359" s="57">
        <f>IFERROR(Table1[Re-process (Kg)]/Table1[Actual Production (Kg)], "")</f>
        <v>0</v>
      </c>
      <c r="I1359" s="53">
        <f>IFERROR(Table1[[#This Row],[Actual Production (Kg)]]-Table1[[#This Row],[Re-process (Kg)]], "")</f>
        <v>6791</v>
      </c>
      <c r="J1359" s="53"/>
      <c r="K1359" s="52">
        <v>0.5</v>
      </c>
      <c r="L1359" s="53" t="str">
        <f>IF(Table1[[#This Row],[Target Time (Hours)]]="","",Table1[[#This Row],[Target Time (Hours)]]-Table1[[#This Row],[Downtime (Hours)]])</f>
        <v/>
      </c>
      <c r="M1359" s="53" t="str">
        <f>IFERROR(Table1[[#This Row],[Capacity (Kg)]]/Table1[[#This Row],[Target Time (Hours)]] * Table1[[#This Row],[Downtime (Hours)]], "")</f>
        <v/>
      </c>
      <c r="N1359" s="57" t="str">
        <f>IFERROR(Table1[[#This Row],[Running Time (hr)]]/Table1[Target Time (Hours)], "")</f>
        <v/>
      </c>
      <c r="O1359" s="57">
        <f>IFERROR(Table1[[#This Row],[Actual Production (Kg)]]/Table1[Capacity (Kg)], "")</f>
        <v>1</v>
      </c>
      <c r="P1359" s="57">
        <f>IFERROR(Table1[[#This Row],[Quality Pass Production]]/Table1[[#This Row],[Actual Production (Kg)]], "")</f>
        <v>1</v>
      </c>
      <c r="Q1359" s="57" t="str">
        <f>IFERROR(Table1[[#This Row],[Utilization %]]*Table1[[#This Row],[Efficiency %]]*Table1[[#This Row],[Quality %]], "")</f>
        <v/>
      </c>
      <c r="R1359" s="52" t="s">
        <v>357</v>
      </c>
    </row>
    <row r="1360" spans="1:18" ht="30" customHeight="1" x14ac:dyDescent="0.25">
      <c r="A1360" s="47">
        <v>46242</v>
      </c>
      <c r="B1360" s="48" t="s">
        <v>18</v>
      </c>
      <c r="C1360" s="48" t="s">
        <v>22</v>
      </c>
      <c r="D1360" s="48" t="s">
        <v>23</v>
      </c>
      <c r="E1360" s="49">
        <v>4000</v>
      </c>
      <c r="F1360" s="76">
        <v>7378</v>
      </c>
      <c r="G1360" s="49">
        <v>0</v>
      </c>
      <c r="H1360" s="50">
        <f>IFERROR(Table1[Re-process (Kg)]/Table1[Actual Production (Kg)], "")</f>
        <v>0</v>
      </c>
      <c r="I1360" s="49">
        <f>IFERROR(Table1[[#This Row],[Actual Production (Kg)]]-Table1[[#This Row],[Re-process (Kg)]], "")</f>
        <v>7378</v>
      </c>
      <c r="J1360" s="49">
        <v>22</v>
      </c>
      <c r="K1360" s="72">
        <v>2.5</v>
      </c>
      <c r="L1360" s="49">
        <f>IF(Table1[[#This Row],[Target Time (Hours)]]="","",Table1[[#This Row],[Target Time (Hours)]]-Table1[[#This Row],[Downtime (Hours)]])</f>
        <v>19.5</v>
      </c>
      <c r="M1360" s="49">
        <f>IFERROR(Table1[[#This Row],[Capacity (Kg)]]/Table1[[#This Row],[Target Time (Hours)]] * Table1[[#This Row],[Downtime (Hours)]], "")</f>
        <v>454.5454545454545</v>
      </c>
      <c r="N1360" s="50">
        <f>IFERROR(Table1[[#This Row],[Running Time (hr)]]/Table1[Target Time (Hours)], "")</f>
        <v>0.88636363636363635</v>
      </c>
      <c r="O1360" s="50">
        <f>IFERROR(Table1[[#This Row],[Actual Production (Kg)]]/Table1[Capacity (Kg)], "")</f>
        <v>1.8445</v>
      </c>
      <c r="P1360" s="50">
        <f>IFERROR(Table1[[#This Row],[Quality Pass Production]]/Table1[[#This Row],[Actual Production (Kg)]], "")</f>
        <v>1</v>
      </c>
      <c r="Q1360" s="50">
        <f>IFERROR(Table1[[#This Row],[Utilization %]]*Table1[[#This Row],[Efficiency %]]*Table1[[#This Row],[Quality %]], "")</f>
        <v>1.6348977272727272</v>
      </c>
      <c r="R1360" s="48" t="s">
        <v>342</v>
      </c>
    </row>
    <row r="1361" spans="1:18" x14ac:dyDescent="0.25">
      <c r="A1361" s="47">
        <v>46242</v>
      </c>
      <c r="B1361" s="48" t="s">
        <v>18</v>
      </c>
      <c r="C1361" s="48" t="s">
        <v>22</v>
      </c>
      <c r="D1361" s="48" t="s">
        <v>25</v>
      </c>
      <c r="E1361" s="49">
        <v>5000</v>
      </c>
      <c r="F1361" s="76"/>
      <c r="G1361" s="49">
        <v>0</v>
      </c>
      <c r="H1361" s="50" t="str">
        <f>IFERROR(Table1[Re-process (Kg)]/Table1[Actual Production (Kg)], "")</f>
        <v/>
      </c>
      <c r="I1361" s="49">
        <f>IFERROR(Table1[[#This Row],[Actual Production (Kg)]]-Table1[[#This Row],[Re-process (Kg)]], "")</f>
        <v>0</v>
      </c>
      <c r="J1361" s="49"/>
      <c r="K1361" s="72"/>
      <c r="L1361" s="49" t="str">
        <f>IF(Table1[[#This Row],[Target Time (Hours)]]="","",Table1[[#This Row],[Target Time (Hours)]]-Table1[[#This Row],[Downtime (Hours)]])</f>
        <v/>
      </c>
      <c r="M1361" s="49" t="str">
        <f>IFERROR(Table1[[#This Row],[Capacity (Kg)]]/Table1[[#This Row],[Target Time (Hours)]] * Table1[[#This Row],[Downtime (Hours)]], "")</f>
        <v/>
      </c>
      <c r="N1361" s="50" t="str">
        <f>IFERROR(Table1[[#This Row],[Running Time (hr)]]/Table1[Target Time (Hours)], "")</f>
        <v/>
      </c>
      <c r="O1361" s="50">
        <f>IFERROR(Table1[[#This Row],[Actual Production (Kg)]]/Table1[Capacity (Kg)], "")</f>
        <v>0</v>
      </c>
      <c r="P1361" s="50" t="str">
        <f>IFERROR(Table1[[#This Row],[Quality Pass Production]]/Table1[[#This Row],[Actual Production (Kg)]], "")</f>
        <v/>
      </c>
      <c r="Q1361" s="50" t="str">
        <f>IFERROR(Table1[[#This Row],[Utilization %]]*Table1[[#This Row],[Efficiency %]]*Table1[[#This Row],[Quality %]], "")</f>
        <v/>
      </c>
    </row>
    <row r="1362" spans="1:18" ht="45" customHeight="1" x14ac:dyDescent="0.25">
      <c r="A1362" s="47">
        <v>46242</v>
      </c>
      <c r="B1362" s="48" t="s">
        <v>18</v>
      </c>
      <c r="C1362" s="48" t="s">
        <v>26</v>
      </c>
      <c r="D1362" s="48" t="s">
        <v>25</v>
      </c>
      <c r="E1362" s="49">
        <v>7000</v>
      </c>
      <c r="F1362" s="76">
        <v>6694</v>
      </c>
      <c r="G1362" s="49">
        <v>0</v>
      </c>
      <c r="H1362" s="50">
        <f>IFERROR(Table1[Re-process (Kg)]/Table1[Actual Production (Kg)], "")</f>
        <v>0</v>
      </c>
      <c r="I1362" s="49">
        <f>IFERROR(Table1[[#This Row],[Actual Production (Kg)]]-Table1[[#This Row],[Re-process (Kg)]], "")</f>
        <v>6694</v>
      </c>
      <c r="J1362" s="49">
        <v>22</v>
      </c>
      <c r="K1362" s="72">
        <v>3</v>
      </c>
      <c r="L1362" s="49">
        <f>IF(Table1[[#This Row],[Target Time (Hours)]]="","",Table1[[#This Row],[Target Time (Hours)]]-Table1[[#This Row],[Downtime (Hours)]])</f>
        <v>19</v>
      </c>
      <c r="M1362" s="49">
        <f>IFERROR(Table1[[#This Row],[Capacity (Kg)]]/Table1[[#This Row],[Target Time (Hours)]] * Table1[[#This Row],[Downtime (Hours)]], "")</f>
        <v>954.5454545454545</v>
      </c>
      <c r="N1362" s="50">
        <f>IFERROR(Table1[[#This Row],[Running Time (hr)]]/Table1[Target Time (Hours)], "")</f>
        <v>0.86363636363636365</v>
      </c>
      <c r="O1362" s="50">
        <f>IFERROR(Table1[[#This Row],[Actual Production (Kg)]]/Table1[Capacity (Kg)], "")</f>
        <v>0.95628571428571429</v>
      </c>
      <c r="P1362" s="50">
        <f>IFERROR(Table1[[#This Row],[Quality Pass Production]]/Table1[[#This Row],[Actual Production (Kg)]], "")</f>
        <v>1</v>
      </c>
      <c r="Q1362" s="50">
        <f>IFERROR(Table1[[#This Row],[Utilization %]]*Table1[[#This Row],[Efficiency %]]*Table1[[#This Row],[Quality %]], "")</f>
        <v>0.82588311688311689</v>
      </c>
      <c r="R1362" s="48" t="s">
        <v>358</v>
      </c>
    </row>
    <row r="1363" spans="1:18" ht="30" customHeight="1" x14ac:dyDescent="0.25">
      <c r="A1363" s="47">
        <v>46242</v>
      </c>
      <c r="B1363" s="48" t="s">
        <v>18</v>
      </c>
      <c r="C1363" s="48" t="s">
        <v>28</v>
      </c>
      <c r="D1363" s="48" t="s">
        <v>29</v>
      </c>
      <c r="E1363" s="49">
        <v>7800</v>
      </c>
      <c r="F1363" s="76">
        <v>5890</v>
      </c>
      <c r="G1363" s="49">
        <v>0</v>
      </c>
      <c r="H1363" s="50">
        <f>IFERROR(Table1[Re-process (Kg)]/Table1[Actual Production (Kg)], "")</f>
        <v>0</v>
      </c>
      <c r="I1363" s="49">
        <f>IFERROR(Table1[[#This Row],[Actual Production (Kg)]]-Table1[[#This Row],[Re-process (Kg)]], "")</f>
        <v>5890</v>
      </c>
      <c r="J1363" s="49">
        <v>22</v>
      </c>
      <c r="K1363" s="72"/>
      <c r="L1363" s="49">
        <f>IF(Table1[[#This Row],[Target Time (Hours)]]="","",Table1[[#This Row],[Target Time (Hours)]]-Table1[[#This Row],[Downtime (Hours)]])</f>
        <v>22</v>
      </c>
      <c r="M1363" s="49">
        <f>IFERROR(Table1[[#This Row],[Capacity (Kg)]]/Table1[[#This Row],[Target Time (Hours)]] * Table1[[#This Row],[Downtime (Hours)]], "")</f>
        <v>0</v>
      </c>
      <c r="N1363" s="50">
        <f>IFERROR(Table1[[#This Row],[Running Time (hr)]]/Table1[Target Time (Hours)], "")</f>
        <v>1</v>
      </c>
      <c r="O1363" s="50">
        <f>IFERROR(Table1[[#This Row],[Actual Production (Kg)]]/Table1[Capacity (Kg)], "")</f>
        <v>0.75512820512820511</v>
      </c>
      <c r="P1363" s="50">
        <f>IFERROR(Table1[[#This Row],[Quality Pass Production]]/Table1[[#This Row],[Actual Production (Kg)]], "")</f>
        <v>1</v>
      </c>
      <c r="Q1363" s="50">
        <f>IFERROR(Table1[[#This Row],[Utilization %]]*Table1[[#This Row],[Efficiency %]]*Table1[[#This Row],[Quality %]], "")</f>
        <v>0.75512820512820511</v>
      </c>
    </row>
    <row r="1364" spans="1:18" ht="30" customHeight="1" x14ac:dyDescent="0.25">
      <c r="A1364" s="51">
        <v>46242</v>
      </c>
      <c r="B1364" s="52" t="s">
        <v>18</v>
      </c>
      <c r="C1364" s="52" t="s">
        <v>135</v>
      </c>
      <c r="D1364" s="52" t="s">
        <v>29</v>
      </c>
      <c r="E1364" s="53"/>
      <c r="F1364" s="53"/>
      <c r="G1364" s="53"/>
      <c r="H1364" s="57" t="str">
        <f>IFERROR(Table1[Re-process (Kg)]/Table1[Actual Production (Kg)], "")</f>
        <v/>
      </c>
      <c r="I1364" s="53">
        <f>IFERROR(Table1[[#This Row],[Actual Production (Kg)]]-Table1[[#This Row],[Re-process (Kg)]], "")</f>
        <v>0</v>
      </c>
      <c r="J1364" s="53"/>
      <c r="K1364" s="52"/>
      <c r="L1364" s="53" t="str">
        <f>IF(Table1[[#This Row],[Target Time (Hours)]]="","",Table1[[#This Row],[Target Time (Hours)]]-Table1[[#This Row],[Downtime (Hours)]])</f>
        <v/>
      </c>
      <c r="M1364" s="53" t="str">
        <f>IFERROR(Table1[[#This Row],[Capacity (Kg)]]/Table1[[#This Row],[Target Time (Hours)]] * Table1[[#This Row],[Downtime (Hours)]], "")</f>
        <v/>
      </c>
      <c r="N1364" s="57" t="str">
        <f>IFERROR(Table1[[#This Row],[Running Time (hr)]]/Table1[Target Time (Hours)], "")</f>
        <v/>
      </c>
      <c r="O1364" s="57" t="str">
        <f>IFERROR(Table1[[#This Row],[Actual Production (Kg)]]/Table1[Capacity (Kg)], "")</f>
        <v/>
      </c>
      <c r="P1364" s="57" t="str">
        <f>IFERROR(Table1[[#This Row],[Quality Pass Production]]/Table1[[#This Row],[Actual Production (Kg)]], "")</f>
        <v/>
      </c>
      <c r="Q1364" s="57" t="str">
        <f>IFERROR(Table1[[#This Row],[Utilization %]]*Table1[[#This Row],[Efficiency %]]*Table1[[#This Row],[Quality %]], "")</f>
        <v/>
      </c>
      <c r="R1364" s="52"/>
    </row>
    <row r="1365" spans="1:18" ht="30" customHeight="1" x14ac:dyDescent="0.25">
      <c r="A1365" s="47">
        <v>46242</v>
      </c>
      <c r="B1365" s="48" t="s">
        <v>18</v>
      </c>
      <c r="C1365" s="48" t="s">
        <v>30</v>
      </c>
      <c r="D1365" s="48" t="s">
        <v>31</v>
      </c>
      <c r="E1365" s="49">
        <v>9000</v>
      </c>
      <c r="F1365" s="76">
        <v>7259</v>
      </c>
      <c r="G1365" s="49">
        <v>0</v>
      </c>
      <c r="H1365" s="50">
        <f>IFERROR(Table1[Re-process (Kg)]/Table1[Actual Production (Kg)], "")</f>
        <v>0</v>
      </c>
      <c r="I1365" s="49">
        <f>IFERROR(Table1[[#This Row],[Actual Production (Kg)]]-Table1[[#This Row],[Re-process (Kg)]], "")</f>
        <v>7259</v>
      </c>
      <c r="J1365" s="49">
        <v>22</v>
      </c>
      <c r="K1365" s="72">
        <v>1</v>
      </c>
      <c r="L1365" s="49">
        <f>IF(Table1[[#This Row],[Target Time (Hours)]]="","",Table1[[#This Row],[Target Time (Hours)]]-Table1[[#This Row],[Downtime (Hours)]])</f>
        <v>21</v>
      </c>
      <c r="M1365" s="49">
        <f>IFERROR(Table1[[#This Row],[Capacity (Kg)]]/Table1[[#This Row],[Target Time (Hours)]] * Table1[[#This Row],[Downtime (Hours)]], "")</f>
        <v>409.09090909090907</v>
      </c>
      <c r="N1365" s="50">
        <f>IFERROR(Table1[[#This Row],[Running Time (hr)]]/Table1[Target Time (Hours)], "")</f>
        <v>0.95454545454545459</v>
      </c>
      <c r="O1365" s="50">
        <f>IFERROR(Table1[[#This Row],[Actual Production (Kg)]]/Table1[Capacity (Kg)], "")</f>
        <v>0.80655555555555558</v>
      </c>
      <c r="P1365" s="50">
        <f>IFERROR(Table1[[#This Row],[Quality Pass Production]]/Table1[[#This Row],[Actual Production (Kg)]], "")</f>
        <v>1</v>
      </c>
      <c r="Q1365" s="50">
        <f>IFERROR(Table1[[#This Row],[Utilization %]]*Table1[[#This Row],[Efficiency %]]*Table1[[#This Row],[Quality %]], "")</f>
        <v>0.76989393939393946</v>
      </c>
      <c r="R1365" s="48" t="s">
        <v>359</v>
      </c>
    </row>
    <row r="1366" spans="1:18" ht="30" customHeight="1" x14ac:dyDescent="0.25">
      <c r="A1366" s="51">
        <v>46242</v>
      </c>
      <c r="B1366" s="52" t="s">
        <v>18</v>
      </c>
      <c r="C1366" s="52" t="s">
        <v>32</v>
      </c>
      <c r="D1366" s="52" t="s">
        <v>31</v>
      </c>
      <c r="E1366" s="53"/>
      <c r="F1366" s="53"/>
      <c r="G1366" s="53"/>
      <c r="H1366" s="57" t="str">
        <f>IFERROR(Table1[Re-process (Kg)]/Table1[Actual Production (Kg)], "")</f>
        <v/>
      </c>
      <c r="I1366" s="53">
        <f>IFERROR(Table1[[#This Row],[Actual Production (Kg)]]-Table1[[#This Row],[Re-process (Kg)]], "")</f>
        <v>0</v>
      </c>
      <c r="J1366" s="53"/>
      <c r="K1366" s="52"/>
      <c r="L1366" s="53" t="str">
        <f>IF(Table1[[#This Row],[Target Time (Hours)]]="","",Table1[[#This Row],[Target Time (Hours)]]-Table1[[#This Row],[Downtime (Hours)]])</f>
        <v/>
      </c>
      <c r="M1366" s="53" t="str">
        <f>IFERROR(Table1[[#This Row],[Capacity (Kg)]]/Table1[[#This Row],[Target Time (Hours)]] * Table1[[#This Row],[Downtime (Hours)]], "")</f>
        <v/>
      </c>
      <c r="N1366" s="57" t="str">
        <f>IFERROR(Table1[[#This Row],[Running Time (hr)]]/Table1[Target Time (Hours)], "")</f>
        <v/>
      </c>
      <c r="O1366" s="57" t="str">
        <f>IFERROR(Table1[[#This Row],[Actual Production (Kg)]]/Table1[Capacity (Kg)], "")</f>
        <v/>
      </c>
      <c r="P1366" s="57" t="str">
        <f>IFERROR(Table1[[#This Row],[Quality Pass Production]]/Table1[[#This Row],[Actual Production (Kg)]], "")</f>
        <v/>
      </c>
      <c r="Q1366" s="57" t="str">
        <f>IFERROR(Table1[[#This Row],[Utilization %]]*Table1[[#This Row],[Efficiency %]]*Table1[[#This Row],[Quality %]], "")</f>
        <v/>
      </c>
      <c r="R1366" s="52"/>
    </row>
    <row r="1367" spans="1:18" ht="30" customHeight="1" x14ac:dyDescent="0.25">
      <c r="A1367" s="47">
        <v>46242</v>
      </c>
      <c r="B1367" s="48" t="s">
        <v>33</v>
      </c>
      <c r="C1367" s="48" t="s">
        <v>34</v>
      </c>
      <c r="D1367" s="48" t="s">
        <v>35</v>
      </c>
      <c r="E1367" s="49">
        <v>9000</v>
      </c>
      <c r="F1367" s="76">
        <v>5401</v>
      </c>
      <c r="G1367" s="49">
        <v>0</v>
      </c>
      <c r="H1367" s="50">
        <f>IFERROR(Table1[Re-process (Kg)]/Table1[Actual Production (Kg)], "")</f>
        <v>0</v>
      </c>
      <c r="I1367" s="49">
        <f>IFERROR(Table1[[#This Row],[Actual Production (Kg)]]-Table1[[#This Row],[Re-process (Kg)]], "")</f>
        <v>5401</v>
      </c>
      <c r="J1367" s="49">
        <v>22</v>
      </c>
      <c r="K1367" s="72"/>
      <c r="L1367" s="49">
        <f>IF(Table1[[#This Row],[Target Time (Hours)]]="","",Table1[[#This Row],[Target Time (Hours)]]-Table1[[#This Row],[Downtime (Hours)]])</f>
        <v>22</v>
      </c>
      <c r="M1367" s="49">
        <f>IFERROR(Table1[[#This Row],[Capacity (Kg)]]/Table1[[#This Row],[Target Time (Hours)]] * Table1[[#This Row],[Downtime (Hours)]], "")</f>
        <v>0</v>
      </c>
      <c r="N1367" s="50">
        <f>IFERROR(Table1[[#This Row],[Running Time (hr)]]/Table1[Target Time (Hours)], "")</f>
        <v>1</v>
      </c>
      <c r="O1367" s="50">
        <f>IFERROR(Table1[[#This Row],[Actual Production (Kg)]]/Table1[Capacity (Kg)], "")</f>
        <v>0.60011111111111115</v>
      </c>
      <c r="P1367" s="50">
        <f>IFERROR(Table1[[#This Row],[Quality Pass Production]]/Table1[[#This Row],[Actual Production (Kg)]], "")</f>
        <v>1</v>
      </c>
      <c r="Q1367" s="50">
        <f>IFERROR(Table1[[#This Row],[Utilization %]]*Table1[[#This Row],[Efficiency %]]*Table1[[#This Row],[Quality %]], "")</f>
        <v>0.60011111111111115</v>
      </c>
    </row>
    <row r="1368" spans="1:18" ht="30" customHeight="1" x14ac:dyDescent="0.25">
      <c r="A1368" s="47">
        <v>46242</v>
      </c>
      <c r="B1368" s="48" t="s">
        <v>33</v>
      </c>
      <c r="C1368" s="48" t="s">
        <v>36</v>
      </c>
      <c r="D1368" s="48" t="s">
        <v>37</v>
      </c>
      <c r="E1368" s="49">
        <v>8000</v>
      </c>
      <c r="F1368" s="76">
        <v>4059</v>
      </c>
      <c r="G1368" s="49">
        <v>0</v>
      </c>
      <c r="H1368" s="50">
        <f>IFERROR(Table1[Re-process (Kg)]/Table1[Actual Production (Kg)], "")</f>
        <v>0</v>
      </c>
      <c r="I1368" s="49">
        <f>IFERROR(Table1[[#This Row],[Actual Production (Kg)]]-Table1[[#This Row],[Re-process (Kg)]], "")</f>
        <v>4059</v>
      </c>
      <c r="J1368" s="49">
        <v>22</v>
      </c>
      <c r="K1368" s="72">
        <v>7</v>
      </c>
      <c r="L1368" s="49">
        <f>IF(Table1[[#This Row],[Target Time (Hours)]]="","",Table1[[#This Row],[Target Time (Hours)]]-Table1[[#This Row],[Downtime (Hours)]])</f>
        <v>15</v>
      </c>
      <c r="M1368" s="49">
        <f>IFERROR(Table1[[#This Row],[Capacity (Kg)]]/Table1[[#This Row],[Target Time (Hours)]] * Table1[[#This Row],[Downtime (Hours)]], "")</f>
        <v>2545.4545454545455</v>
      </c>
      <c r="N1368" s="50">
        <f>IFERROR(Table1[[#This Row],[Running Time (hr)]]/Table1[Target Time (Hours)], "")</f>
        <v>0.68181818181818177</v>
      </c>
      <c r="O1368" s="50">
        <f>IFERROR(Table1[[#This Row],[Actual Production (Kg)]]/Table1[Capacity (Kg)], "")</f>
        <v>0.50737500000000002</v>
      </c>
      <c r="P1368" s="50">
        <f>IFERROR(Table1[[#This Row],[Quality Pass Production]]/Table1[[#This Row],[Actual Production (Kg)]], "")</f>
        <v>1</v>
      </c>
      <c r="Q1368" s="50">
        <f>IFERROR(Table1[[#This Row],[Utilization %]]*Table1[[#This Row],[Efficiency %]]*Table1[[#This Row],[Quality %]], "")</f>
        <v>0.34593750000000001</v>
      </c>
      <c r="R1368" s="48" t="s">
        <v>316</v>
      </c>
    </row>
    <row r="1369" spans="1:18" ht="30" customHeight="1" x14ac:dyDescent="0.25">
      <c r="A1369" s="47">
        <v>46242</v>
      </c>
      <c r="B1369" s="48" t="s">
        <v>33</v>
      </c>
      <c r="C1369" s="48" t="s">
        <v>39</v>
      </c>
      <c r="D1369" s="48" t="s">
        <v>31</v>
      </c>
      <c r="E1369" s="49">
        <v>6000</v>
      </c>
      <c r="F1369" s="76">
        <v>2855</v>
      </c>
      <c r="G1369" s="49">
        <v>0</v>
      </c>
      <c r="H1369" s="50">
        <f>IFERROR(Table1[Re-process (Kg)]/Table1[Actual Production (Kg)], "")</f>
        <v>0</v>
      </c>
      <c r="I1369" s="49">
        <f>IFERROR(Table1[[#This Row],[Actual Production (Kg)]]-Table1[[#This Row],[Re-process (Kg)]], "")</f>
        <v>2855</v>
      </c>
      <c r="J1369" s="49">
        <v>22</v>
      </c>
      <c r="K1369" s="72"/>
      <c r="L1369" s="49">
        <f>IF(Table1[[#This Row],[Target Time (Hours)]]="","",Table1[[#This Row],[Target Time (Hours)]]-Table1[[#This Row],[Downtime (Hours)]])</f>
        <v>22</v>
      </c>
      <c r="M1369" s="49">
        <f>IFERROR(Table1[[#This Row],[Capacity (Kg)]]/Table1[[#This Row],[Target Time (Hours)]] * Table1[[#This Row],[Downtime (Hours)]], "")</f>
        <v>0</v>
      </c>
      <c r="N1369" s="50">
        <f>IFERROR(Table1[[#This Row],[Running Time (hr)]]/Table1[Target Time (Hours)], "")</f>
        <v>1</v>
      </c>
      <c r="O1369" s="50">
        <f>IFERROR(Table1[[#This Row],[Actual Production (Kg)]]/Table1[Capacity (Kg)], "")</f>
        <v>0.47583333333333333</v>
      </c>
      <c r="P1369" s="50">
        <f>IFERROR(Table1[[#This Row],[Quality Pass Production]]/Table1[[#This Row],[Actual Production (Kg)]], "")</f>
        <v>1</v>
      </c>
      <c r="Q1369" s="50">
        <f>IFERROR(Table1[[#This Row],[Utilization %]]*Table1[[#This Row],[Efficiency %]]*Table1[[#This Row],[Quality %]], "")</f>
        <v>0.47583333333333333</v>
      </c>
      <c r="R1369" s="48" t="s">
        <v>316</v>
      </c>
    </row>
    <row r="1370" spans="1:18" ht="45" customHeight="1" x14ac:dyDescent="0.25">
      <c r="A1370" s="54">
        <v>46242</v>
      </c>
      <c r="B1370" s="55" t="s">
        <v>33</v>
      </c>
      <c r="C1370" s="55" t="s">
        <v>40</v>
      </c>
      <c r="D1370" s="55" t="s">
        <v>31</v>
      </c>
      <c r="E1370" s="56">
        <v>5000</v>
      </c>
      <c r="F1370" s="56">
        <v>1506</v>
      </c>
      <c r="G1370" s="56">
        <v>0</v>
      </c>
      <c r="H1370" s="58">
        <f>IFERROR(Table1[Re-process (Kg)]/Table1[Actual Production (Kg)], "")</f>
        <v>0</v>
      </c>
      <c r="I1370" s="56">
        <f>IFERROR(Table1[[#This Row],[Actual Production (Kg)]]-Table1[[#This Row],[Re-process (Kg)]], "")</f>
        <v>1506</v>
      </c>
      <c r="J1370" s="56">
        <v>22</v>
      </c>
      <c r="K1370" s="55"/>
      <c r="L1370" s="56">
        <f>IF(Table1[[#This Row],[Target Time (Hours)]]="","",Table1[[#This Row],[Target Time (Hours)]]-Table1[[#This Row],[Downtime (Hours)]])</f>
        <v>22</v>
      </c>
      <c r="M1370" s="56">
        <f>IFERROR(Table1[[#This Row],[Capacity (Kg)]]/Table1[[#This Row],[Target Time (Hours)]] * Table1[[#This Row],[Downtime (Hours)]], "")</f>
        <v>0</v>
      </c>
      <c r="N1370" s="58">
        <f>IFERROR(Table1[[#This Row],[Running Time (hr)]]/Table1[Target Time (Hours)], "")</f>
        <v>1</v>
      </c>
      <c r="O1370" s="58">
        <f>IFERROR(Table1[[#This Row],[Actual Production (Kg)]]/Table1[Capacity (Kg)], "")</f>
        <v>0.30120000000000002</v>
      </c>
      <c r="P1370" s="58">
        <f>IFERROR(Table1[[#This Row],[Quality Pass Production]]/Table1[[#This Row],[Actual Production (Kg)]], "")</f>
        <v>1</v>
      </c>
      <c r="Q1370" s="58">
        <f>IFERROR(Table1[[#This Row],[Utilization %]]*Table1[[#This Row],[Efficiency %]]*Table1[[#This Row],[Quality %]], "")</f>
        <v>0.30120000000000002</v>
      </c>
      <c r="R1370" s="55" t="s">
        <v>316</v>
      </c>
    </row>
    <row r="1371" spans="1:18" ht="30" customHeight="1" x14ac:dyDescent="0.25">
      <c r="A1371" s="47">
        <v>46243</v>
      </c>
      <c r="B1371" s="48" t="s">
        <v>18</v>
      </c>
      <c r="C1371" s="48" t="s">
        <v>19</v>
      </c>
      <c r="D1371" s="48" t="s">
        <v>20</v>
      </c>
      <c r="E1371" s="49">
        <v>10000</v>
      </c>
      <c r="F1371" s="76">
        <v>7121</v>
      </c>
      <c r="G1371" s="49">
        <v>0</v>
      </c>
      <c r="H1371" s="50">
        <f>IFERROR(Table1[Re-process (Kg)]/Table1[Actual Production (Kg)], "")</f>
        <v>0</v>
      </c>
      <c r="I1371" s="49">
        <f>IFERROR(Table1[[#This Row],[Actual Production (Kg)]]-Table1[[#This Row],[Re-process (Kg)]], "")</f>
        <v>7121</v>
      </c>
      <c r="J1371" s="49">
        <v>22</v>
      </c>
      <c r="K1371" s="72">
        <v>2</v>
      </c>
      <c r="L1371" s="49">
        <f>IF(Table1[[#This Row],[Target Time (Hours)]]="","",Table1[[#This Row],[Target Time (Hours)]]-Table1[[#This Row],[Downtime (Hours)]])</f>
        <v>20</v>
      </c>
      <c r="M1371" s="49">
        <f>IFERROR(Table1[[#This Row],[Capacity (Kg)]]/Table1[[#This Row],[Target Time (Hours)]] * Table1[[#This Row],[Downtime (Hours)]], "")</f>
        <v>909.09090909090912</v>
      </c>
      <c r="N1371" s="50">
        <f>IFERROR(Table1[[#This Row],[Running Time (hr)]]/Table1[Target Time (Hours)], "")</f>
        <v>0.90909090909090906</v>
      </c>
      <c r="O1371" s="50">
        <f>IFERROR(Table1[[#This Row],[Actual Production (Kg)]]/Table1[Capacity (Kg)], "")</f>
        <v>0.71209999999999996</v>
      </c>
      <c r="P1371" s="50">
        <f>IFERROR(Table1[[#This Row],[Quality Pass Production]]/Table1[[#This Row],[Actual Production (Kg)]], "")</f>
        <v>1</v>
      </c>
      <c r="Q1371" s="50">
        <f>IFERROR(Table1[[#This Row],[Utilization %]]*Table1[[#This Row],[Efficiency %]]*Table1[[#This Row],[Quality %]], "")</f>
        <v>0.64736363636363625</v>
      </c>
      <c r="R1371" s="48" t="s">
        <v>360</v>
      </c>
    </row>
    <row r="1372" spans="1:18" x14ac:dyDescent="0.25">
      <c r="A1372" s="51">
        <v>46243</v>
      </c>
      <c r="B1372" s="52" t="s">
        <v>18</v>
      </c>
      <c r="C1372" s="52" t="s">
        <v>238</v>
      </c>
      <c r="D1372" s="52" t="s">
        <v>20</v>
      </c>
      <c r="E1372" s="53">
        <v>6791</v>
      </c>
      <c r="F1372" s="53">
        <v>10673</v>
      </c>
      <c r="G1372" s="53">
        <v>0</v>
      </c>
      <c r="H1372" s="57">
        <f>IFERROR(Table1[Re-process (Kg)]/Table1[Actual Production (Kg)], "")</f>
        <v>0</v>
      </c>
      <c r="I1372" s="53">
        <f>IFERROR(Table1[[#This Row],[Actual Production (Kg)]]-Table1[[#This Row],[Re-process (Kg)]], "")</f>
        <v>10673</v>
      </c>
      <c r="J1372" s="53"/>
      <c r="K1372" s="52"/>
      <c r="L1372" s="53" t="str">
        <f>IF(Table1[[#This Row],[Target Time (Hours)]]="","",Table1[[#This Row],[Target Time (Hours)]]-Table1[[#This Row],[Downtime (Hours)]])</f>
        <v/>
      </c>
      <c r="M1372" s="53" t="str">
        <f>IFERROR(Table1[[#This Row],[Capacity (Kg)]]/Table1[[#This Row],[Target Time (Hours)]] * Table1[[#This Row],[Downtime (Hours)]], "")</f>
        <v/>
      </c>
      <c r="N1372" s="57" t="str">
        <f>IFERROR(Table1[[#This Row],[Running Time (hr)]]/Table1[Target Time (Hours)], "")</f>
        <v/>
      </c>
      <c r="O1372" s="57">
        <f>IFERROR(Table1[[#This Row],[Actual Production (Kg)]]/Table1[Capacity (Kg)], "")</f>
        <v>1.5716389338830805</v>
      </c>
      <c r="P1372" s="57">
        <f>IFERROR(Table1[[#This Row],[Quality Pass Production]]/Table1[[#This Row],[Actual Production (Kg)]], "")</f>
        <v>1</v>
      </c>
      <c r="Q1372" s="57" t="str">
        <f>IFERROR(Table1[[#This Row],[Utilization %]]*Table1[[#This Row],[Efficiency %]]*Table1[[#This Row],[Quality %]], "")</f>
        <v/>
      </c>
      <c r="R1372" s="52"/>
    </row>
    <row r="1373" spans="1:18" x14ac:dyDescent="0.25">
      <c r="A1373" s="47">
        <v>46243</v>
      </c>
      <c r="B1373" s="48" t="s">
        <v>18</v>
      </c>
      <c r="C1373" s="48" t="s">
        <v>22</v>
      </c>
      <c r="D1373" s="48" t="s">
        <v>23</v>
      </c>
      <c r="E1373" s="49">
        <v>4000</v>
      </c>
      <c r="F1373" s="76">
        <v>5370</v>
      </c>
      <c r="G1373" s="49">
        <v>0</v>
      </c>
      <c r="H1373" s="50">
        <f>IFERROR(Table1[Re-process (Kg)]/Table1[Actual Production (Kg)], "")</f>
        <v>0</v>
      </c>
      <c r="I1373" s="49">
        <f>IFERROR(Table1[[#This Row],[Actual Production (Kg)]]-Table1[[#This Row],[Re-process (Kg)]], "")</f>
        <v>5370</v>
      </c>
      <c r="J1373" s="49">
        <v>22</v>
      </c>
      <c r="K1373" s="72"/>
      <c r="L1373" s="49">
        <f>IF(Table1[[#This Row],[Target Time (Hours)]]="","",Table1[[#This Row],[Target Time (Hours)]]-Table1[[#This Row],[Downtime (Hours)]])</f>
        <v>22</v>
      </c>
      <c r="M1373" s="49">
        <f>IFERROR(Table1[[#This Row],[Capacity (Kg)]]/Table1[[#This Row],[Target Time (Hours)]] * Table1[[#This Row],[Downtime (Hours)]], "")</f>
        <v>0</v>
      </c>
      <c r="N1373" s="50">
        <f>IFERROR(Table1[[#This Row],[Running Time (hr)]]/Table1[Target Time (Hours)], "")</f>
        <v>1</v>
      </c>
      <c r="O1373" s="50">
        <f>IFERROR(Table1[[#This Row],[Actual Production (Kg)]]/Table1[Capacity (Kg)], "")</f>
        <v>1.3425</v>
      </c>
      <c r="P1373" s="50">
        <f>IFERROR(Table1[[#This Row],[Quality Pass Production]]/Table1[[#This Row],[Actual Production (Kg)]], "")</f>
        <v>1</v>
      </c>
      <c r="Q1373" s="50">
        <f>IFERROR(Table1[[#This Row],[Utilization %]]*Table1[[#This Row],[Efficiency %]]*Table1[[#This Row],[Quality %]], "")</f>
        <v>1.3425</v>
      </c>
    </row>
    <row r="1374" spans="1:18" x14ac:dyDescent="0.25">
      <c r="A1374" s="47">
        <v>46243</v>
      </c>
      <c r="B1374" s="48" t="s">
        <v>18</v>
      </c>
      <c r="C1374" s="48" t="s">
        <v>22</v>
      </c>
      <c r="D1374" s="48" t="s">
        <v>25</v>
      </c>
      <c r="E1374" s="49">
        <v>5000</v>
      </c>
      <c r="F1374" s="76">
        <v>3556</v>
      </c>
      <c r="G1374" s="49">
        <v>0</v>
      </c>
      <c r="H1374" s="50">
        <f>IFERROR(Table1[Re-process (Kg)]/Table1[Actual Production (Kg)], "")</f>
        <v>0</v>
      </c>
      <c r="I1374" s="49">
        <f>IFERROR(Table1[[#This Row],[Actual Production (Kg)]]-Table1[[#This Row],[Re-process (Kg)]], "")</f>
        <v>3556</v>
      </c>
      <c r="J1374" s="49"/>
      <c r="K1374" s="72"/>
      <c r="L1374" s="49" t="str">
        <f>IF(Table1[[#This Row],[Target Time (Hours)]]="","",Table1[[#This Row],[Target Time (Hours)]]-Table1[[#This Row],[Downtime (Hours)]])</f>
        <v/>
      </c>
      <c r="M1374" s="49" t="str">
        <f>IFERROR(Table1[[#This Row],[Capacity (Kg)]]/Table1[[#This Row],[Target Time (Hours)]] * Table1[[#This Row],[Downtime (Hours)]], "")</f>
        <v/>
      </c>
      <c r="N1374" s="50" t="str">
        <f>IFERROR(Table1[[#This Row],[Running Time (hr)]]/Table1[Target Time (Hours)], "")</f>
        <v/>
      </c>
      <c r="O1374" s="50">
        <f>IFERROR(Table1[[#This Row],[Actual Production (Kg)]]/Table1[Capacity (Kg)], "")</f>
        <v>0.71120000000000005</v>
      </c>
      <c r="P1374" s="50">
        <f>IFERROR(Table1[[#This Row],[Quality Pass Production]]/Table1[[#This Row],[Actual Production (Kg)]], "")</f>
        <v>1</v>
      </c>
      <c r="Q1374" s="50" t="str">
        <f>IFERROR(Table1[[#This Row],[Utilization %]]*Table1[[#This Row],[Efficiency %]]*Table1[[#This Row],[Quality %]], "")</f>
        <v/>
      </c>
    </row>
    <row r="1375" spans="1:18" x14ac:dyDescent="0.25">
      <c r="A1375" s="47">
        <v>46243</v>
      </c>
      <c r="B1375" s="48" t="s">
        <v>18</v>
      </c>
      <c r="C1375" s="48" t="s">
        <v>26</v>
      </c>
      <c r="D1375" s="48" t="s">
        <v>25</v>
      </c>
      <c r="E1375" s="49">
        <v>7000</v>
      </c>
      <c r="F1375" s="76">
        <v>7553</v>
      </c>
      <c r="G1375" s="49">
        <v>0</v>
      </c>
      <c r="H1375" s="50">
        <f>IFERROR(Table1[Re-process (Kg)]/Table1[Actual Production (Kg)], "")</f>
        <v>0</v>
      </c>
      <c r="I1375" s="49">
        <f>IFERROR(Table1[[#This Row],[Actual Production (Kg)]]-Table1[[#This Row],[Re-process (Kg)]], "")</f>
        <v>7553</v>
      </c>
      <c r="J1375" s="49">
        <v>22</v>
      </c>
      <c r="K1375" s="72"/>
      <c r="L1375" s="49">
        <f>IF(Table1[[#This Row],[Target Time (Hours)]]="","",Table1[[#This Row],[Target Time (Hours)]]-Table1[[#This Row],[Downtime (Hours)]])</f>
        <v>22</v>
      </c>
      <c r="M1375" s="49">
        <f>IFERROR(Table1[[#This Row],[Capacity (Kg)]]/Table1[[#This Row],[Target Time (Hours)]] * Table1[[#This Row],[Downtime (Hours)]], "")</f>
        <v>0</v>
      </c>
      <c r="N1375" s="50">
        <f>IFERROR(Table1[[#This Row],[Running Time (hr)]]/Table1[Target Time (Hours)], "")</f>
        <v>1</v>
      </c>
      <c r="O1375" s="50">
        <f>IFERROR(Table1[[#This Row],[Actual Production (Kg)]]/Table1[Capacity (Kg)], "")</f>
        <v>1.079</v>
      </c>
      <c r="P1375" s="50">
        <f>IFERROR(Table1[[#This Row],[Quality Pass Production]]/Table1[[#This Row],[Actual Production (Kg)]], "")</f>
        <v>1</v>
      </c>
      <c r="Q1375" s="50">
        <f>IFERROR(Table1[[#This Row],[Utilization %]]*Table1[[#This Row],[Efficiency %]]*Table1[[#This Row],[Quality %]], "")</f>
        <v>1.079</v>
      </c>
    </row>
    <row r="1376" spans="1:18" ht="30" customHeight="1" x14ac:dyDescent="0.25">
      <c r="A1376" s="47">
        <v>46243</v>
      </c>
      <c r="B1376" s="48" t="s">
        <v>18</v>
      </c>
      <c r="C1376" s="48" t="s">
        <v>28</v>
      </c>
      <c r="D1376" s="48" t="s">
        <v>29</v>
      </c>
      <c r="E1376" s="49">
        <v>7800</v>
      </c>
      <c r="F1376" s="76">
        <v>5694</v>
      </c>
      <c r="G1376" s="49">
        <v>0</v>
      </c>
      <c r="H1376" s="50">
        <f>IFERROR(Table1[Re-process (Kg)]/Table1[Actual Production (Kg)], "")</f>
        <v>0</v>
      </c>
      <c r="I1376" s="49">
        <f>IFERROR(Table1[[#This Row],[Actual Production (Kg)]]-Table1[[#This Row],[Re-process (Kg)]], "")</f>
        <v>5694</v>
      </c>
      <c r="J1376" s="49">
        <v>22</v>
      </c>
      <c r="K1376" s="72">
        <v>6.5</v>
      </c>
      <c r="L1376" s="49">
        <f>IF(Table1[[#This Row],[Target Time (Hours)]]="","",Table1[[#This Row],[Target Time (Hours)]]-Table1[[#This Row],[Downtime (Hours)]])</f>
        <v>15.5</v>
      </c>
      <c r="M1376" s="49">
        <f>IFERROR(Table1[[#This Row],[Capacity (Kg)]]/Table1[[#This Row],[Target Time (Hours)]] * Table1[[#This Row],[Downtime (Hours)]], "")</f>
        <v>2304.5454545454545</v>
      </c>
      <c r="N1376" s="50">
        <f>IFERROR(Table1[[#This Row],[Running Time (hr)]]/Table1[Target Time (Hours)], "")</f>
        <v>0.70454545454545459</v>
      </c>
      <c r="O1376" s="50">
        <f>IFERROR(Table1[[#This Row],[Actual Production (Kg)]]/Table1[Capacity (Kg)], "")</f>
        <v>0.73</v>
      </c>
      <c r="P1376" s="50">
        <f>IFERROR(Table1[[#This Row],[Quality Pass Production]]/Table1[[#This Row],[Actual Production (Kg)]], "")</f>
        <v>1</v>
      </c>
      <c r="Q1376" s="50">
        <f>IFERROR(Table1[[#This Row],[Utilization %]]*Table1[[#This Row],[Efficiency %]]*Table1[[#This Row],[Quality %]], "")</f>
        <v>0.51431818181818179</v>
      </c>
      <c r="R1376" s="48" t="s">
        <v>361</v>
      </c>
    </row>
    <row r="1377" spans="1:18" ht="30" customHeight="1" x14ac:dyDescent="0.25">
      <c r="A1377" s="51">
        <v>46243</v>
      </c>
      <c r="B1377" s="52" t="s">
        <v>18</v>
      </c>
      <c r="C1377" s="52" t="s">
        <v>135</v>
      </c>
      <c r="D1377" s="52" t="s">
        <v>29</v>
      </c>
      <c r="E1377" s="53"/>
      <c r="F1377" s="53"/>
      <c r="G1377" s="53"/>
      <c r="H1377" s="57" t="str">
        <f>IFERROR(Table1[Re-process (Kg)]/Table1[Actual Production (Kg)], "")</f>
        <v/>
      </c>
      <c r="I1377" s="53">
        <f>IFERROR(Table1[[#This Row],[Actual Production (Kg)]]-Table1[[#This Row],[Re-process (Kg)]], "")</f>
        <v>0</v>
      </c>
      <c r="J1377" s="53"/>
      <c r="K1377" s="52"/>
      <c r="L1377" s="53" t="str">
        <f>IF(Table1[[#This Row],[Target Time (Hours)]]="","",Table1[[#This Row],[Target Time (Hours)]]-Table1[[#This Row],[Downtime (Hours)]])</f>
        <v/>
      </c>
      <c r="M1377" s="53" t="str">
        <f>IFERROR(Table1[[#This Row],[Capacity (Kg)]]/Table1[[#This Row],[Target Time (Hours)]] * Table1[[#This Row],[Downtime (Hours)]], "")</f>
        <v/>
      </c>
      <c r="N1377" s="57" t="str">
        <f>IFERROR(Table1[[#This Row],[Running Time (hr)]]/Table1[Target Time (Hours)], "")</f>
        <v/>
      </c>
      <c r="O1377" s="57" t="str">
        <f>IFERROR(Table1[[#This Row],[Actual Production (Kg)]]/Table1[Capacity (Kg)], "")</f>
        <v/>
      </c>
      <c r="P1377" s="57" t="str">
        <f>IFERROR(Table1[[#This Row],[Quality Pass Production]]/Table1[[#This Row],[Actual Production (Kg)]], "")</f>
        <v/>
      </c>
      <c r="Q1377" s="57" t="str">
        <f>IFERROR(Table1[[#This Row],[Utilization %]]*Table1[[#This Row],[Efficiency %]]*Table1[[#This Row],[Quality %]], "")</f>
        <v/>
      </c>
      <c r="R1377" s="52"/>
    </row>
    <row r="1378" spans="1:18" ht="30" customHeight="1" x14ac:dyDescent="0.25">
      <c r="A1378" s="47">
        <v>46243</v>
      </c>
      <c r="B1378" s="48" t="s">
        <v>18</v>
      </c>
      <c r="C1378" s="48" t="s">
        <v>30</v>
      </c>
      <c r="D1378" s="48" t="s">
        <v>31</v>
      </c>
      <c r="E1378" s="49">
        <v>9000</v>
      </c>
      <c r="F1378" s="76">
        <v>7415</v>
      </c>
      <c r="G1378" s="49">
        <v>0</v>
      </c>
      <c r="H1378" s="50">
        <f>IFERROR(Table1[Re-process (Kg)]/Table1[Actual Production (Kg)], "")</f>
        <v>0</v>
      </c>
      <c r="I1378" s="49">
        <f>IFERROR(Table1[[#This Row],[Actual Production (Kg)]]-Table1[[#This Row],[Re-process (Kg)]], "")</f>
        <v>7415</v>
      </c>
      <c r="J1378" s="49">
        <v>22</v>
      </c>
      <c r="K1378" s="72"/>
      <c r="L1378" s="49">
        <f>IF(Table1[[#This Row],[Target Time (Hours)]]="","",Table1[[#This Row],[Target Time (Hours)]]-Table1[[#This Row],[Downtime (Hours)]])</f>
        <v>22</v>
      </c>
      <c r="M1378" s="49">
        <f>IFERROR(Table1[[#This Row],[Capacity (Kg)]]/Table1[[#This Row],[Target Time (Hours)]] * Table1[[#This Row],[Downtime (Hours)]], "")</f>
        <v>0</v>
      </c>
      <c r="N1378" s="50">
        <f>IFERROR(Table1[[#This Row],[Running Time (hr)]]/Table1[Target Time (Hours)], "")</f>
        <v>1</v>
      </c>
      <c r="O1378" s="50">
        <f>IFERROR(Table1[[#This Row],[Actual Production (Kg)]]/Table1[Capacity (Kg)], "")</f>
        <v>0.82388888888888889</v>
      </c>
      <c r="P1378" s="50">
        <f>IFERROR(Table1[[#This Row],[Quality Pass Production]]/Table1[[#This Row],[Actual Production (Kg)]], "")</f>
        <v>1</v>
      </c>
      <c r="Q1378" s="50">
        <f>IFERROR(Table1[[#This Row],[Utilization %]]*Table1[[#This Row],[Efficiency %]]*Table1[[#This Row],[Quality %]], "")</f>
        <v>0.82388888888888889</v>
      </c>
    </row>
    <row r="1379" spans="1:18" ht="30" customHeight="1" x14ac:dyDescent="0.25">
      <c r="A1379" s="51">
        <v>46243</v>
      </c>
      <c r="B1379" s="52" t="s">
        <v>18</v>
      </c>
      <c r="C1379" s="52" t="s">
        <v>32</v>
      </c>
      <c r="D1379" s="52" t="s">
        <v>31</v>
      </c>
      <c r="E1379" s="53"/>
      <c r="F1379" s="53"/>
      <c r="G1379" s="53"/>
      <c r="H1379" s="57" t="str">
        <f>IFERROR(Table1[Re-process (Kg)]/Table1[Actual Production (Kg)], "")</f>
        <v/>
      </c>
      <c r="I1379" s="53">
        <f>IFERROR(Table1[[#This Row],[Actual Production (Kg)]]-Table1[[#This Row],[Re-process (Kg)]], "")</f>
        <v>0</v>
      </c>
      <c r="J1379" s="53"/>
      <c r="K1379" s="52"/>
      <c r="L1379" s="53" t="str">
        <f>IF(Table1[[#This Row],[Target Time (Hours)]]="","",Table1[[#This Row],[Target Time (Hours)]]-Table1[[#This Row],[Downtime (Hours)]])</f>
        <v/>
      </c>
      <c r="M1379" s="53" t="str">
        <f>IFERROR(Table1[[#This Row],[Capacity (Kg)]]/Table1[[#This Row],[Target Time (Hours)]] * Table1[[#This Row],[Downtime (Hours)]], "")</f>
        <v/>
      </c>
      <c r="N1379" s="57" t="str">
        <f>IFERROR(Table1[[#This Row],[Running Time (hr)]]/Table1[Target Time (Hours)], "")</f>
        <v/>
      </c>
      <c r="O1379" s="57" t="str">
        <f>IFERROR(Table1[[#This Row],[Actual Production (Kg)]]/Table1[Capacity (Kg)], "")</f>
        <v/>
      </c>
      <c r="P1379" s="57" t="str">
        <f>IFERROR(Table1[[#This Row],[Quality Pass Production]]/Table1[[#This Row],[Actual Production (Kg)]], "")</f>
        <v/>
      </c>
      <c r="Q1379" s="57" t="str">
        <f>IFERROR(Table1[[#This Row],[Utilization %]]*Table1[[#This Row],[Efficiency %]]*Table1[[#This Row],[Quality %]], "")</f>
        <v/>
      </c>
      <c r="R1379" s="52"/>
    </row>
    <row r="1380" spans="1:18" ht="30" customHeight="1" x14ac:dyDescent="0.25">
      <c r="A1380" s="47">
        <v>46243</v>
      </c>
      <c r="B1380" s="48" t="s">
        <v>33</v>
      </c>
      <c r="C1380" s="48" t="s">
        <v>34</v>
      </c>
      <c r="D1380" s="48" t="s">
        <v>35</v>
      </c>
      <c r="E1380" s="49">
        <v>9000</v>
      </c>
      <c r="F1380" s="76">
        <v>6767</v>
      </c>
      <c r="G1380" s="49">
        <v>0</v>
      </c>
      <c r="H1380" s="50">
        <f>IFERROR(Table1[Re-process (Kg)]/Table1[Actual Production (Kg)], "")</f>
        <v>0</v>
      </c>
      <c r="I1380" s="49">
        <f>IFERROR(Table1[[#This Row],[Actual Production (Kg)]]-Table1[[#This Row],[Re-process (Kg)]], "")</f>
        <v>6767</v>
      </c>
      <c r="J1380" s="49">
        <v>22</v>
      </c>
      <c r="K1380" s="72"/>
      <c r="L1380" s="49">
        <f>IF(Table1[[#This Row],[Target Time (Hours)]]="","",Table1[[#This Row],[Target Time (Hours)]]-Table1[[#This Row],[Downtime (Hours)]])</f>
        <v>22</v>
      </c>
      <c r="M1380" s="49">
        <f>IFERROR(Table1[[#This Row],[Capacity (Kg)]]/Table1[[#This Row],[Target Time (Hours)]] * Table1[[#This Row],[Downtime (Hours)]], "")</f>
        <v>0</v>
      </c>
      <c r="N1380" s="50">
        <f>IFERROR(Table1[[#This Row],[Running Time (hr)]]/Table1[Target Time (Hours)], "")</f>
        <v>1</v>
      </c>
      <c r="O1380" s="50">
        <f>IFERROR(Table1[[#This Row],[Actual Production (Kg)]]/Table1[Capacity (Kg)], "")</f>
        <v>0.75188888888888894</v>
      </c>
      <c r="P1380" s="50">
        <f>IFERROR(Table1[[#This Row],[Quality Pass Production]]/Table1[[#This Row],[Actual Production (Kg)]], "")</f>
        <v>1</v>
      </c>
      <c r="Q1380" s="50">
        <f>IFERROR(Table1[[#This Row],[Utilization %]]*Table1[[#This Row],[Efficiency %]]*Table1[[#This Row],[Quality %]], "")</f>
        <v>0.75188888888888894</v>
      </c>
    </row>
    <row r="1381" spans="1:18" ht="30" customHeight="1" x14ac:dyDescent="0.25">
      <c r="A1381" s="47">
        <v>46243</v>
      </c>
      <c r="B1381" s="48" t="s">
        <v>33</v>
      </c>
      <c r="C1381" s="48" t="s">
        <v>36</v>
      </c>
      <c r="D1381" s="48" t="s">
        <v>37</v>
      </c>
      <c r="E1381" s="49">
        <v>8000</v>
      </c>
      <c r="F1381" s="76">
        <v>6823</v>
      </c>
      <c r="G1381" s="49">
        <v>0</v>
      </c>
      <c r="H1381" s="50">
        <f>IFERROR(Table1[Re-process (Kg)]/Table1[Actual Production (Kg)], "")</f>
        <v>0</v>
      </c>
      <c r="I1381" s="49">
        <f>IFERROR(Table1[[#This Row],[Actual Production (Kg)]]-Table1[[#This Row],[Re-process (Kg)]], "")</f>
        <v>6823</v>
      </c>
      <c r="J1381" s="49">
        <v>22</v>
      </c>
      <c r="K1381" s="72">
        <v>2.6</v>
      </c>
      <c r="L1381" s="49">
        <f>IF(Table1[[#This Row],[Target Time (Hours)]]="","",Table1[[#This Row],[Target Time (Hours)]]-Table1[[#This Row],[Downtime (Hours)]])</f>
        <v>19.399999999999999</v>
      </c>
      <c r="M1381" s="49">
        <f>IFERROR(Table1[[#This Row],[Capacity (Kg)]]/Table1[[#This Row],[Target Time (Hours)]] * Table1[[#This Row],[Downtime (Hours)]], "")</f>
        <v>945.4545454545455</v>
      </c>
      <c r="N1381" s="50">
        <f>IFERROR(Table1[[#This Row],[Running Time (hr)]]/Table1[Target Time (Hours)], "")</f>
        <v>0.88181818181818172</v>
      </c>
      <c r="O1381" s="50">
        <f>IFERROR(Table1[[#This Row],[Actual Production (Kg)]]/Table1[Capacity (Kg)], "")</f>
        <v>0.85287500000000005</v>
      </c>
      <c r="P1381" s="50">
        <f>IFERROR(Table1[[#This Row],[Quality Pass Production]]/Table1[[#This Row],[Actual Production (Kg)]], "")</f>
        <v>1</v>
      </c>
      <c r="Q1381" s="50">
        <f>IFERROR(Table1[[#This Row],[Utilization %]]*Table1[[#This Row],[Efficiency %]]*Table1[[#This Row],[Quality %]], "")</f>
        <v>0.75208068181818177</v>
      </c>
      <c r="R1381" s="48" t="s">
        <v>362</v>
      </c>
    </row>
    <row r="1382" spans="1:18" ht="30" customHeight="1" x14ac:dyDescent="0.25">
      <c r="A1382" s="47">
        <v>46243</v>
      </c>
      <c r="B1382" s="48" t="s">
        <v>33</v>
      </c>
      <c r="C1382" s="48" t="s">
        <v>39</v>
      </c>
      <c r="D1382" s="48" t="s">
        <v>31</v>
      </c>
      <c r="E1382" s="49">
        <v>6000</v>
      </c>
      <c r="F1382" s="76">
        <v>3333</v>
      </c>
      <c r="G1382" s="49">
        <v>0</v>
      </c>
      <c r="H1382" s="50">
        <f>IFERROR(Table1[Re-process (Kg)]/Table1[Actual Production (Kg)], "")</f>
        <v>0</v>
      </c>
      <c r="I1382" s="49">
        <f>IFERROR(Table1[[#This Row],[Actual Production (Kg)]]-Table1[[#This Row],[Re-process (Kg)]], "")</f>
        <v>3333</v>
      </c>
      <c r="J1382" s="49">
        <v>22</v>
      </c>
      <c r="K1382" s="72"/>
      <c r="L1382" s="49">
        <f>IF(Table1[[#This Row],[Target Time (Hours)]]="","",Table1[[#This Row],[Target Time (Hours)]]-Table1[[#This Row],[Downtime (Hours)]])</f>
        <v>22</v>
      </c>
      <c r="M1382" s="49">
        <f>IFERROR(Table1[[#This Row],[Capacity (Kg)]]/Table1[[#This Row],[Target Time (Hours)]] * Table1[[#This Row],[Downtime (Hours)]], "")</f>
        <v>0</v>
      </c>
      <c r="N1382" s="50">
        <f>IFERROR(Table1[[#This Row],[Running Time (hr)]]/Table1[Target Time (Hours)], "")</f>
        <v>1</v>
      </c>
      <c r="O1382" s="50">
        <f>IFERROR(Table1[[#This Row],[Actual Production (Kg)]]/Table1[Capacity (Kg)], "")</f>
        <v>0.55549999999999999</v>
      </c>
      <c r="P1382" s="50">
        <f>IFERROR(Table1[[#This Row],[Quality Pass Production]]/Table1[[#This Row],[Actual Production (Kg)]], "")</f>
        <v>1</v>
      </c>
      <c r="Q1382" s="50">
        <f>IFERROR(Table1[[#This Row],[Utilization %]]*Table1[[#This Row],[Efficiency %]]*Table1[[#This Row],[Quality %]], "")</f>
        <v>0.55549999999999999</v>
      </c>
    </row>
    <row r="1383" spans="1:18" ht="45" customHeight="1" x14ac:dyDescent="0.25">
      <c r="A1383" s="54">
        <v>46243</v>
      </c>
      <c r="B1383" s="55" t="s">
        <v>33</v>
      </c>
      <c r="C1383" s="55" t="s">
        <v>40</v>
      </c>
      <c r="D1383" s="55" t="s">
        <v>31</v>
      </c>
      <c r="E1383" s="56">
        <v>5000</v>
      </c>
      <c r="F1383" s="56">
        <v>3492</v>
      </c>
      <c r="G1383" s="56">
        <v>0</v>
      </c>
      <c r="H1383" s="58">
        <f>IFERROR(Table1[Re-process (Kg)]/Table1[Actual Production (Kg)], "")</f>
        <v>0</v>
      </c>
      <c r="I1383" s="56">
        <f>IFERROR(Table1[[#This Row],[Actual Production (Kg)]]-Table1[[#This Row],[Re-process (Kg)]], "")</f>
        <v>3492</v>
      </c>
      <c r="J1383" s="56">
        <v>22</v>
      </c>
      <c r="K1383" s="55"/>
      <c r="L1383" s="56">
        <f>IF(Table1[[#This Row],[Target Time (Hours)]]="","",Table1[[#This Row],[Target Time (Hours)]]-Table1[[#This Row],[Downtime (Hours)]])</f>
        <v>22</v>
      </c>
      <c r="M1383" s="56">
        <f>IFERROR(Table1[[#This Row],[Capacity (Kg)]]/Table1[[#This Row],[Target Time (Hours)]] * Table1[[#This Row],[Downtime (Hours)]], "")</f>
        <v>0</v>
      </c>
      <c r="N1383" s="58">
        <f>IFERROR(Table1[[#This Row],[Running Time (hr)]]/Table1[Target Time (Hours)], "")</f>
        <v>1</v>
      </c>
      <c r="O1383" s="58">
        <f>IFERROR(Table1[[#This Row],[Actual Production (Kg)]]/Table1[Capacity (Kg)], "")</f>
        <v>0.69840000000000002</v>
      </c>
      <c r="P1383" s="58">
        <f>IFERROR(Table1[[#This Row],[Quality Pass Production]]/Table1[[#This Row],[Actual Production (Kg)]], "")</f>
        <v>1</v>
      </c>
      <c r="Q1383" s="58">
        <f>IFERROR(Table1[[#This Row],[Utilization %]]*Table1[[#This Row],[Efficiency %]]*Table1[[#This Row],[Quality %]], "")</f>
        <v>0.69840000000000002</v>
      </c>
      <c r="R1383" s="55"/>
    </row>
    <row r="1384" spans="1:18" ht="30" customHeight="1" x14ac:dyDescent="0.25">
      <c r="A1384" s="47">
        <v>46244</v>
      </c>
      <c r="B1384" s="48" t="s">
        <v>18</v>
      </c>
      <c r="C1384" s="48" t="s">
        <v>19</v>
      </c>
      <c r="D1384" s="48" t="s">
        <v>20</v>
      </c>
      <c r="E1384" s="49">
        <v>10000</v>
      </c>
      <c r="F1384" s="76">
        <v>8086</v>
      </c>
      <c r="G1384" s="49">
        <v>0</v>
      </c>
      <c r="H1384" s="50">
        <f>IFERROR(Table1[Re-process (Kg)]/Table1[Actual Production (Kg)], "")</f>
        <v>0</v>
      </c>
      <c r="I1384" s="49">
        <f>IFERROR(Table1[[#This Row],[Actual Production (Kg)]]-Table1[[#This Row],[Re-process (Kg)]], "")</f>
        <v>8086</v>
      </c>
      <c r="J1384" s="49">
        <v>22</v>
      </c>
      <c r="K1384" s="72">
        <v>3</v>
      </c>
      <c r="L1384" s="49">
        <f>IF(Table1[[#This Row],[Target Time (Hours)]]="","",Table1[[#This Row],[Target Time (Hours)]]-Table1[[#This Row],[Downtime (Hours)]])</f>
        <v>19</v>
      </c>
      <c r="M1384" s="49">
        <f>IFERROR(Table1[[#This Row],[Capacity (Kg)]]/Table1[[#This Row],[Target Time (Hours)]] * Table1[[#This Row],[Downtime (Hours)]], "")</f>
        <v>1363.6363636363637</v>
      </c>
      <c r="N1384" s="50">
        <f>IFERROR(Table1[[#This Row],[Running Time (hr)]]/Table1[Target Time (Hours)], "")</f>
        <v>0.86363636363636365</v>
      </c>
      <c r="O1384" s="50">
        <f>IFERROR(Table1[[#This Row],[Actual Production (Kg)]]/Table1[Capacity (Kg)], "")</f>
        <v>0.80859999999999999</v>
      </c>
      <c r="P1384" s="50">
        <f>IFERROR(Table1[[#This Row],[Quality Pass Production]]/Table1[[#This Row],[Actual Production (Kg)]], "")</f>
        <v>1</v>
      </c>
      <c r="Q1384" s="50">
        <f>IFERROR(Table1[[#This Row],[Utilization %]]*Table1[[#This Row],[Efficiency %]]*Table1[[#This Row],[Quality %]], "")</f>
        <v>0.69833636363636364</v>
      </c>
      <c r="R1384" s="48" t="s">
        <v>363</v>
      </c>
    </row>
    <row r="1385" spans="1:18" x14ac:dyDescent="0.25">
      <c r="A1385" s="51">
        <v>46244</v>
      </c>
      <c r="B1385" s="52" t="s">
        <v>18</v>
      </c>
      <c r="C1385" s="52" t="s">
        <v>238</v>
      </c>
      <c r="D1385" s="52" t="s">
        <v>20</v>
      </c>
      <c r="E1385" s="53">
        <v>7601</v>
      </c>
      <c r="F1385" s="53">
        <v>7601</v>
      </c>
      <c r="G1385" s="53">
        <v>0</v>
      </c>
      <c r="H1385" s="57">
        <f>IFERROR(Table1[Re-process (Kg)]/Table1[Actual Production (Kg)], "")</f>
        <v>0</v>
      </c>
      <c r="I1385" s="53">
        <f>IFERROR(Table1[[#This Row],[Actual Production (Kg)]]-Table1[[#This Row],[Re-process (Kg)]], "")</f>
        <v>7601</v>
      </c>
      <c r="J1385" s="53"/>
      <c r="K1385" s="52"/>
      <c r="L1385" s="53" t="str">
        <f>IF(Table1[[#This Row],[Target Time (Hours)]]="","",Table1[[#This Row],[Target Time (Hours)]]-Table1[[#This Row],[Downtime (Hours)]])</f>
        <v/>
      </c>
      <c r="M1385" s="53" t="str">
        <f>IFERROR(Table1[[#This Row],[Capacity (Kg)]]/Table1[[#This Row],[Target Time (Hours)]] * Table1[[#This Row],[Downtime (Hours)]], "")</f>
        <v/>
      </c>
      <c r="N1385" s="57" t="str">
        <f>IFERROR(Table1[[#This Row],[Running Time (hr)]]/Table1[Target Time (Hours)], "")</f>
        <v/>
      </c>
      <c r="O1385" s="57">
        <f>IFERROR(Table1[[#This Row],[Actual Production (Kg)]]/Table1[Capacity (Kg)], "")</f>
        <v>1</v>
      </c>
      <c r="P1385" s="57">
        <f>IFERROR(Table1[[#This Row],[Quality Pass Production]]/Table1[[#This Row],[Actual Production (Kg)]], "")</f>
        <v>1</v>
      </c>
      <c r="Q1385" s="57" t="str">
        <f>IFERROR(Table1[[#This Row],[Utilization %]]*Table1[[#This Row],[Efficiency %]]*Table1[[#This Row],[Quality %]], "")</f>
        <v/>
      </c>
      <c r="R1385" s="52"/>
    </row>
    <row r="1386" spans="1:18" x14ac:dyDescent="0.25">
      <c r="A1386" s="47">
        <v>46244</v>
      </c>
      <c r="B1386" s="48" t="s">
        <v>18</v>
      </c>
      <c r="C1386" s="48" t="s">
        <v>22</v>
      </c>
      <c r="D1386" s="48" t="s">
        <v>23</v>
      </c>
      <c r="E1386" s="49">
        <v>4000</v>
      </c>
      <c r="F1386" s="76">
        <v>4669</v>
      </c>
      <c r="G1386" s="49">
        <v>0</v>
      </c>
      <c r="H1386" s="50">
        <f>IFERROR(Table1[Re-process (Kg)]/Table1[Actual Production (Kg)], "")</f>
        <v>0</v>
      </c>
      <c r="I1386" s="49">
        <f>IFERROR(Table1[[#This Row],[Actual Production (Kg)]]-Table1[[#This Row],[Re-process (Kg)]], "")</f>
        <v>4669</v>
      </c>
      <c r="J1386" s="49">
        <v>22</v>
      </c>
      <c r="K1386" s="72"/>
      <c r="L1386" s="49">
        <f>IF(Table1[[#This Row],[Target Time (Hours)]]="","",Table1[[#This Row],[Target Time (Hours)]]-Table1[[#This Row],[Downtime (Hours)]])</f>
        <v>22</v>
      </c>
      <c r="M1386" s="49">
        <f>IFERROR(Table1[[#This Row],[Capacity (Kg)]]/Table1[[#This Row],[Target Time (Hours)]] * Table1[[#This Row],[Downtime (Hours)]], "")</f>
        <v>0</v>
      </c>
      <c r="N1386" s="50">
        <f>IFERROR(Table1[[#This Row],[Running Time (hr)]]/Table1[Target Time (Hours)], "")</f>
        <v>1</v>
      </c>
      <c r="O1386" s="50">
        <f>IFERROR(Table1[[#This Row],[Actual Production (Kg)]]/Table1[Capacity (Kg)], "")</f>
        <v>1.1672499999999999</v>
      </c>
      <c r="P1386" s="50">
        <f>IFERROR(Table1[[#This Row],[Quality Pass Production]]/Table1[[#This Row],[Actual Production (Kg)]], "")</f>
        <v>1</v>
      </c>
      <c r="Q1386" s="50">
        <f>IFERROR(Table1[[#This Row],[Utilization %]]*Table1[[#This Row],[Efficiency %]]*Table1[[#This Row],[Quality %]], "")</f>
        <v>1.1672499999999999</v>
      </c>
    </row>
    <row r="1387" spans="1:18" x14ac:dyDescent="0.25">
      <c r="A1387" s="47">
        <v>46244</v>
      </c>
      <c r="B1387" s="48" t="s">
        <v>18</v>
      </c>
      <c r="C1387" s="48" t="s">
        <v>22</v>
      </c>
      <c r="D1387" s="48" t="s">
        <v>25</v>
      </c>
      <c r="E1387" s="49">
        <v>5000</v>
      </c>
      <c r="F1387" s="76">
        <v>2522</v>
      </c>
      <c r="G1387" s="49">
        <v>0</v>
      </c>
      <c r="H1387" s="50">
        <f>IFERROR(Table1[Re-process (Kg)]/Table1[Actual Production (Kg)], "")</f>
        <v>0</v>
      </c>
      <c r="I1387" s="49">
        <f>IFERROR(Table1[[#This Row],[Actual Production (Kg)]]-Table1[[#This Row],[Re-process (Kg)]], "")</f>
        <v>2522</v>
      </c>
      <c r="J1387" s="49"/>
      <c r="K1387" s="72">
        <v>4.45</v>
      </c>
      <c r="L1387" s="49" t="str">
        <f>IF(Table1[[#This Row],[Target Time (Hours)]]="","",Table1[[#This Row],[Target Time (Hours)]]-Table1[[#This Row],[Downtime (Hours)]])</f>
        <v/>
      </c>
      <c r="M1387" s="49" t="str">
        <f>IFERROR(Table1[[#This Row],[Capacity (Kg)]]/Table1[[#This Row],[Target Time (Hours)]] * Table1[[#This Row],[Downtime (Hours)]], "")</f>
        <v/>
      </c>
      <c r="N1387" s="50" t="str">
        <f>IFERROR(Table1[[#This Row],[Running Time (hr)]]/Table1[Target Time (Hours)], "")</f>
        <v/>
      </c>
      <c r="O1387" s="50">
        <f>IFERROR(Table1[[#This Row],[Actual Production (Kg)]]/Table1[Capacity (Kg)], "")</f>
        <v>0.50439999999999996</v>
      </c>
      <c r="P1387" s="50">
        <f>IFERROR(Table1[[#This Row],[Quality Pass Production]]/Table1[[#This Row],[Actual Production (Kg)]], "")</f>
        <v>1</v>
      </c>
      <c r="Q1387" s="50" t="str">
        <f>IFERROR(Table1[[#This Row],[Utilization %]]*Table1[[#This Row],[Efficiency %]]*Table1[[#This Row],[Quality %]], "")</f>
        <v/>
      </c>
      <c r="R1387" s="48" t="s">
        <v>364</v>
      </c>
    </row>
    <row r="1388" spans="1:18" x14ac:dyDescent="0.25">
      <c r="A1388" s="47">
        <v>46244</v>
      </c>
      <c r="B1388" s="48" t="s">
        <v>18</v>
      </c>
      <c r="C1388" s="48" t="s">
        <v>26</v>
      </c>
      <c r="D1388" s="48" t="s">
        <v>25</v>
      </c>
      <c r="E1388" s="49">
        <v>7000</v>
      </c>
      <c r="F1388" s="76">
        <v>5892</v>
      </c>
      <c r="G1388" s="49">
        <v>0</v>
      </c>
      <c r="H1388" s="50">
        <f>IFERROR(Table1[Re-process (Kg)]/Table1[Actual Production (Kg)], "")</f>
        <v>0</v>
      </c>
      <c r="I1388" s="49">
        <f>IFERROR(Table1[[#This Row],[Actual Production (Kg)]]-Table1[[#This Row],[Re-process (Kg)]], "")</f>
        <v>5892</v>
      </c>
      <c r="J1388" s="49">
        <v>22</v>
      </c>
      <c r="K1388" s="72">
        <v>3</v>
      </c>
      <c r="L1388" s="49">
        <f>IF(Table1[[#This Row],[Target Time (Hours)]]="","",Table1[[#This Row],[Target Time (Hours)]]-Table1[[#This Row],[Downtime (Hours)]])</f>
        <v>19</v>
      </c>
      <c r="M1388" s="49">
        <f>IFERROR(Table1[[#This Row],[Capacity (Kg)]]/Table1[[#This Row],[Target Time (Hours)]] * Table1[[#This Row],[Downtime (Hours)]], "")</f>
        <v>954.5454545454545</v>
      </c>
      <c r="N1388" s="50">
        <f>IFERROR(Table1[[#This Row],[Running Time (hr)]]/Table1[Target Time (Hours)], "")</f>
        <v>0.86363636363636365</v>
      </c>
      <c r="O1388" s="50">
        <f>IFERROR(Table1[[#This Row],[Actual Production (Kg)]]/Table1[Capacity (Kg)], "")</f>
        <v>0.84171428571428575</v>
      </c>
      <c r="P1388" s="50">
        <f>IFERROR(Table1[[#This Row],[Quality Pass Production]]/Table1[[#This Row],[Actual Production (Kg)]], "")</f>
        <v>1</v>
      </c>
      <c r="Q1388" s="50">
        <f>IFERROR(Table1[[#This Row],[Utilization %]]*Table1[[#This Row],[Efficiency %]]*Table1[[#This Row],[Quality %]], "")</f>
        <v>0.72693506493506499</v>
      </c>
      <c r="R1388" s="48" t="s">
        <v>365</v>
      </c>
    </row>
    <row r="1389" spans="1:18" ht="30" customHeight="1" x14ac:dyDescent="0.25">
      <c r="A1389" s="47">
        <v>46244</v>
      </c>
      <c r="B1389" s="48" t="s">
        <v>18</v>
      </c>
      <c r="C1389" s="48" t="s">
        <v>28</v>
      </c>
      <c r="D1389" s="48" t="s">
        <v>29</v>
      </c>
      <c r="E1389" s="49">
        <v>7800</v>
      </c>
      <c r="F1389" s="76">
        <v>5750</v>
      </c>
      <c r="G1389" s="49">
        <v>0</v>
      </c>
      <c r="H1389" s="50">
        <f>IFERROR(Table1[Re-process (Kg)]/Table1[Actual Production (Kg)], "")</f>
        <v>0</v>
      </c>
      <c r="I1389" s="49">
        <f>IFERROR(Table1[[#This Row],[Actual Production (Kg)]]-Table1[[#This Row],[Re-process (Kg)]], "")</f>
        <v>5750</v>
      </c>
      <c r="J1389" s="49">
        <v>22</v>
      </c>
      <c r="K1389" s="72">
        <v>2</v>
      </c>
      <c r="L1389" s="49">
        <f>IF(Table1[[#This Row],[Target Time (Hours)]]="","",Table1[[#This Row],[Target Time (Hours)]]-Table1[[#This Row],[Downtime (Hours)]])</f>
        <v>20</v>
      </c>
      <c r="M1389" s="49">
        <f>IFERROR(Table1[[#This Row],[Capacity (Kg)]]/Table1[[#This Row],[Target Time (Hours)]] * Table1[[#This Row],[Downtime (Hours)]], "")</f>
        <v>709.09090909090912</v>
      </c>
      <c r="N1389" s="50">
        <f>IFERROR(Table1[[#This Row],[Running Time (hr)]]/Table1[Target Time (Hours)], "")</f>
        <v>0.90909090909090906</v>
      </c>
      <c r="O1389" s="50">
        <f>IFERROR(Table1[[#This Row],[Actual Production (Kg)]]/Table1[Capacity (Kg)], "")</f>
        <v>0.73717948717948723</v>
      </c>
      <c r="P1389" s="50">
        <f>IFERROR(Table1[[#This Row],[Quality Pass Production]]/Table1[[#This Row],[Actual Production (Kg)]], "")</f>
        <v>1</v>
      </c>
      <c r="Q1389" s="50">
        <f>IFERROR(Table1[[#This Row],[Utilization %]]*Table1[[#This Row],[Efficiency %]]*Table1[[#This Row],[Quality %]], "")</f>
        <v>0.67016317016317017</v>
      </c>
      <c r="R1389" s="48" t="s">
        <v>366</v>
      </c>
    </row>
    <row r="1390" spans="1:18" ht="30" customHeight="1" x14ac:dyDescent="0.25">
      <c r="A1390" s="51">
        <v>46244</v>
      </c>
      <c r="B1390" s="52" t="s">
        <v>18</v>
      </c>
      <c r="C1390" s="52" t="s">
        <v>135</v>
      </c>
      <c r="D1390" s="52" t="s">
        <v>29</v>
      </c>
      <c r="E1390" s="53"/>
      <c r="F1390" s="53"/>
      <c r="G1390" s="53"/>
      <c r="H1390" s="57" t="str">
        <f>IFERROR(Table1[Re-process (Kg)]/Table1[Actual Production (Kg)], "")</f>
        <v/>
      </c>
      <c r="I1390" s="53">
        <f>IFERROR(Table1[[#This Row],[Actual Production (Kg)]]-Table1[[#This Row],[Re-process (Kg)]], "")</f>
        <v>0</v>
      </c>
      <c r="J1390" s="53"/>
      <c r="K1390" s="52"/>
      <c r="L1390" s="53" t="str">
        <f>IF(Table1[[#This Row],[Target Time (Hours)]]="","",Table1[[#This Row],[Target Time (Hours)]]-Table1[[#This Row],[Downtime (Hours)]])</f>
        <v/>
      </c>
      <c r="M1390" s="53" t="str">
        <f>IFERROR(Table1[[#This Row],[Capacity (Kg)]]/Table1[[#This Row],[Target Time (Hours)]] * Table1[[#This Row],[Downtime (Hours)]], "")</f>
        <v/>
      </c>
      <c r="N1390" s="57" t="str">
        <f>IFERROR(Table1[[#This Row],[Running Time (hr)]]/Table1[Target Time (Hours)], "")</f>
        <v/>
      </c>
      <c r="O1390" s="57" t="str">
        <f>IFERROR(Table1[[#This Row],[Actual Production (Kg)]]/Table1[Capacity (Kg)], "")</f>
        <v/>
      </c>
      <c r="P1390" s="57" t="str">
        <f>IFERROR(Table1[[#This Row],[Quality Pass Production]]/Table1[[#This Row],[Actual Production (Kg)]], "")</f>
        <v/>
      </c>
      <c r="Q1390" s="57" t="str">
        <f>IFERROR(Table1[[#This Row],[Utilization %]]*Table1[[#This Row],[Efficiency %]]*Table1[[#This Row],[Quality %]], "")</f>
        <v/>
      </c>
      <c r="R1390" s="52"/>
    </row>
    <row r="1391" spans="1:18" ht="30" customHeight="1" x14ac:dyDescent="0.25">
      <c r="A1391" s="47">
        <v>46244</v>
      </c>
      <c r="B1391" s="48" t="s">
        <v>18</v>
      </c>
      <c r="C1391" s="48" t="s">
        <v>30</v>
      </c>
      <c r="D1391" s="48" t="s">
        <v>31</v>
      </c>
      <c r="E1391" s="49">
        <v>9000</v>
      </c>
      <c r="F1391" s="76">
        <v>7544</v>
      </c>
      <c r="G1391" s="49">
        <v>0</v>
      </c>
      <c r="H1391" s="50">
        <f>IFERROR(Table1[Re-process (Kg)]/Table1[Actual Production (Kg)], "")</f>
        <v>0</v>
      </c>
      <c r="I1391" s="49">
        <f>IFERROR(Table1[[#This Row],[Actual Production (Kg)]]-Table1[[#This Row],[Re-process (Kg)]], "")</f>
        <v>7544</v>
      </c>
      <c r="J1391" s="49">
        <v>22</v>
      </c>
      <c r="K1391" s="72">
        <v>1.05</v>
      </c>
      <c r="L1391" s="49">
        <f>IF(Table1[[#This Row],[Target Time (Hours)]]="","",Table1[[#This Row],[Target Time (Hours)]]-Table1[[#This Row],[Downtime (Hours)]])</f>
        <v>20.95</v>
      </c>
      <c r="M1391" s="49">
        <f>IFERROR(Table1[[#This Row],[Capacity (Kg)]]/Table1[[#This Row],[Target Time (Hours)]] * Table1[[#This Row],[Downtime (Hours)]], "")</f>
        <v>429.54545454545456</v>
      </c>
      <c r="N1391" s="50">
        <f>IFERROR(Table1[[#This Row],[Running Time (hr)]]/Table1[Target Time (Hours)], "")</f>
        <v>0.95227272727272727</v>
      </c>
      <c r="O1391" s="50">
        <f>IFERROR(Table1[[#This Row],[Actual Production (Kg)]]/Table1[Capacity (Kg)], "")</f>
        <v>0.8382222222222222</v>
      </c>
      <c r="P1391" s="50">
        <f>IFERROR(Table1[[#This Row],[Quality Pass Production]]/Table1[[#This Row],[Actual Production (Kg)]], "")</f>
        <v>1</v>
      </c>
      <c r="Q1391" s="50">
        <f>IFERROR(Table1[[#This Row],[Utilization %]]*Table1[[#This Row],[Efficiency %]]*Table1[[#This Row],[Quality %]], "")</f>
        <v>0.7982161616161616</v>
      </c>
      <c r="R1391" s="48" t="s">
        <v>367</v>
      </c>
    </row>
    <row r="1392" spans="1:18" ht="30" customHeight="1" x14ac:dyDescent="0.25">
      <c r="A1392" s="51">
        <v>46244</v>
      </c>
      <c r="B1392" s="52" t="s">
        <v>18</v>
      </c>
      <c r="C1392" s="52" t="s">
        <v>32</v>
      </c>
      <c r="D1392" s="52" t="s">
        <v>31</v>
      </c>
      <c r="E1392" s="53"/>
      <c r="F1392" s="53"/>
      <c r="G1392" s="53"/>
      <c r="H1392" s="57" t="str">
        <f>IFERROR(Table1[Re-process (Kg)]/Table1[Actual Production (Kg)], "")</f>
        <v/>
      </c>
      <c r="I1392" s="53">
        <f>IFERROR(Table1[[#This Row],[Actual Production (Kg)]]-Table1[[#This Row],[Re-process (Kg)]], "")</f>
        <v>0</v>
      </c>
      <c r="J1392" s="53"/>
      <c r="K1392" s="52"/>
      <c r="L1392" s="53" t="str">
        <f>IF(Table1[[#This Row],[Target Time (Hours)]]="","",Table1[[#This Row],[Target Time (Hours)]]-Table1[[#This Row],[Downtime (Hours)]])</f>
        <v/>
      </c>
      <c r="M1392" s="53" t="str">
        <f>IFERROR(Table1[[#This Row],[Capacity (Kg)]]/Table1[[#This Row],[Target Time (Hours)]] * Table1[[#This Row],[Downtime (Hours)]], "")</f>
        <v/>
      </c>
      <c r="N1392" s="57" t="str">
        <f>IFERROR(Table1[[#This Row],[Running Time (hr)]]/Table1[Target Time (Hours)], "")</f>
        <v/>
      </c>
      <c r="O1392" s="57" t="str">
        <f>IFERROR(Table1[[#This Row],[Actual Production (Kg)]]/Table1[Capacity (Kg)], "")</f>
        <v/>
      </c>
      <c r="P1392" s="57" t="str">
        <f>IFERROR(Table1[[#This Row],[Quality Pass Production]]/Table1[[#This Row],[Actual Production (Kg)]], "")</f>
        <v/>
      </c>
      <c r="Q1392" s="57" t="str">
        <f>IFERROR(Table1[[#This Row],[Utilization %]]*Table1[[#This Row],[Efficiency %]]*Table1[[#This Row],[Quality %]], "")</f>
        <v/>
      </c>
      <c r="R1392" s="52"/>
    </row>
    <row r="1393" spans="1:18" ht="30" customHeight="1" x14ac:dyDescent="0.25">
      <c r="A1393" s="47">
        <v>46244</v>
      </c>
      <c r="B1393" s="48" t="s">
        <v>33</v>
      </c>
      <c r="C1393" s="48" t="s">
        <v>34</v>
      </c>
      <c r="D1393" s="48" t="s">
        <v>35</v>
      </c>
      <c r="E1393" s="49">
        <v>9000</v>
      </c>
      <c r="F1393" s="76">
        <v>6329</v>
      </c>
      <c r="G1393" s="49">
        <v>0</v>
      </c>
      <c r="H1393" s="50">
        <f>IFERROR(Table1[Re-process (Kg)]/Table1[Actual Production (Kg)], "")</f>
        <v>0</v>
      </c>
      <c r="I1393" s="49">
        <f>IFERROR(Table1[[#This Row],[Actual Production (Kg)]]-Table1[[#This Row],[Re-process (Kg)]], "")</f>
        <v>6329</v>
      </c>
      <c r="J1393" s="49">
        <v>22</v>
      </c>
      <c r="K1393" s="72">
        <v>2</v>
      </c>
      <c r="L1393" s="49">
        <f>IF(Table1[[#This Row],[Target Time (Hours)]]="","",Table1[[#This Row],[Target Time (Hours)]]-Table1[[#This Row],[Downtime (Hours)]])</f>
        <v>20</v>
      </c>
      <c r="M1393" s="49">
        <f>IFERROR(Table1[[#This Row],[Capacity (Kg)]]/Table1[[#This Row],[Target Time (Hours)]] * Table1[[#This Row],[Downtime (Hours)]], "")</f>
        <v>818.18181818181813</v>
      </c>
      <c r="N1393" s="50">
        <f>IFERROR(Table1[[#This Row],[Running Time (hr)]]/Table1[Target Time (Hours)], "")</f>
        <v>0.90909090909090906</v>
      </c>
      <c r="O1393" s="50">
        <f>IFERROR(Table1[[#This Row],[Actual Production (Kg)]]/Table1[Capacity (Kg)], "")</f>
        <v>0.70322222222222219</v>
      </c>
      <c r="P1393" s="50">
        <f>IFERROR(Table1[[#This Row],[Quality Pass Production]]/Table1[[#This Row],[Actual Production (Kg)]], "")</f>
        <v>1</v>
      </c>
      <c r="Q1393" s="50">
        <f>IFERROR(Table1[[#This Row],[Utilization %]]*Table1[[#This Row],[Efficiency %]]*Table1[[#This Row],[Quality %]], "")</f>
        <v>0.63929292929292925</v>
      </c>
      <c r="R1393" s="48" t="s">
        <v>368</v>
      </c>
    </row>
    <row r="1394" spans="1:18" ht="30" customHeight="1" x14ac:dyDescent="0.25">
      <c r="A1394" s="47">
        <v>46244</v>
      </c>
      <c r="B1394" s="48" t="s">
        <v>33</v>
      </c>
      <c r="C1394" s="48" t="s">
        <v>36</v>
      </c>
      <c r="D1394" s="48" t="s">
        <v>37</v>
      </c>
      <c r="E1394" s="49">
        <v>8000</v>
      </c>
      <c r="F1394" s="76">
        <v>6672</v>
      </c>
      <c r="G1394" s="49">
        <v>0</v>
      </c>
      <c r="H1394" s="50">
        <f>IFERROR(Table1[Re-process (Kg)]/Table1[Actual Production (Kg)], "")</f>
        <v>0</v>
      </c>
      <c r="I1394" s="49">
        <f>IFERROR(Table1[[#This Row],[Actual Production (Kg)]]-Table1[[#This Row],[Re-process (Kg)]], "")</f>
        <v>6672</v>
      </c>
      <c r="J1394" s="49">
        <v>22</v>
      </c>
      <c r="K1394" s="72">
        <v>3.6</v>
      </c>
      <c r="L1394" s="49">
        <f>IF(Table1[[#This Row],[Target Time (Hours)]]="","",Table1[[#This Row],[Target Time (Hours)]]-Table1[[#This Row],[Downtime (Hours)]])</f>
        <v>18.399999999999999</v>
      </c>
      <c r="M1394" s="49">
        <f>IFERROR(Table1[[#This Row],[Capacity (Kg)]]/Table1[[#This Row],[Target Time (Hours)]] * Table1[[#This Row],[Downtime (Hours)]], "")</f>
        <v>1309.090909090909</v>
      </c>
      <c r="N1394" s="50">
        <f>IFERROR(Table1[[#This Row],[Running Time (hr)]]/Table1[Target Time (Hours)], "")</f>
        <v>0.83636363636363631</v>
      </c>
      <c r="O1394" s="50">
        <f>IFERROR(Table1[[#This Row],[Actual Production (Kg)]]/Table1[Capacity (Kg)], "")</f>
        <v>0.83399999999999996</v>
      </c>
      <c r="P1394" s="50">
        <f>IFERROR(Table1[[#This Row],[Quality Pass Production]]/Table1[[#This Row],[Actual Production (Kg)]], "")</f>
        <v>1</v>
      </c>
      <c r="Q1394" s="50">
        <f>IFERROR(Table1[[#This Row],[Utilization %]]*Table1[[#This Row],[Efficiency %]]*Table1[[#This Row],[Quality %]], "")</f>
        <v>0.69752727272727266</v>
      </c>
      <c r="R1394" s="48" t="s">
        <v>369</v>
      </c>
    </row>
    <row r="1395" spans="1:18" ht="30" customHeight="1" x14ac:dyDescent="0.25">
      <c r="A1395" s="47">
        <v>46244</v>
      </c>
      <c r="B1395" s="48" t="s">
        <v>33</v>
      </c>
      <c r="C1395" s="48" t="s">
        <v>39</v>
      </c>
      <c r="D1395" s="48" t="s">
        <v>31</v>
      </c>
      <c r="E1395" s="49">
        <v>6000</v>
      </c>
      <c r="F1395" s="76">
        <v>1283</v>
      </c>
      <c r="G1395" s="49">
        <v>0</v>
      </c>
      <c r="H1395" s="50">
        <f>IFERROR(Table1[Re-process (Kg)]/Table1[Actual Production (Kg)], "")</f>
        <v>0</v>
      </c>
      <c r="I1395" s="49">
        <f>IFERROR(Table1[[#This Row],[Actual Production (Kg)]]-Table1[[#This Row],[Re-process (Kg)]], "")</f>
        <v>1283</v>
      </c>
      <c r="J1395" s="49">
        <v>22</v>
      </c>
      <c r="K1395" s="72">
        <v>10</v>
      </c>
      <c r="L1395" s="49">
        <f>IF(Table1[[#This Row],[Target Time (Hours)]]="","",Table1[[#This Row],[Target Time (Hours)]]-Table1[[#This Row],[Downtime (Hours)]])</f>
        <v>12</v>
      </c>
      <c r="M1395" s="49">
        <f>IFERROR(Table1[[#This Row],[Capacity (Kg)]]/Table1[[#This Row],[Target Time (Hours)]] * Table1[[#This Row],[Downtime (Hours)]], "")</f>
        <v>2727.2727272727275</v>
      </c>
      <c r="N1395" s="50">
        <f>IFERROR(Table1[[#This Row],[Running Time (hr)]]/Table1[Target Time (Hours)], "")</f>
        <v>0.54545454545454541</v>
      </c>
      <c r="O1395" s="50">
        <f>IFERROR(Table1[[#This Row],[Actual Production (Kg)]]/Table1[Capacity (Kg)], "")</f>
        <v>0.21383333333333332</v>
      </c>
      <c r="P1395" s="50">
        <f>IFERROR(Table1[[#This Row],[Quality Pass Production]]/Table1[[#This Row],[Actual Production (Kg)]], "")</f>
        <v>1</v>
      </c>
      <c r="Q1395" s="50">
        <f>IFERROR(Table1[[#This Row],[Utilization %]]*Table1[[#This Row],[Efficiency %]]*Table1[[#This Row],[Quality %]], "")</f>
        <v>0.11663636363636362</v>
      </c>
      <c r="R1395" s="48" t="s">
        <v>370</v>
      </c>
    </row>
    <row r="1396" spans="1:18" ht="45" customHeight="1" x14ac:dyDescent="0.25">
      <c r="A1396" s="54">
        <v>46244</v>
      </c>
      <c r="B1396" s="55" t="s">
        <v>33</v>
      </c>
      <c r="C1396" s="55" t="s">
        <v>40</v>
      </c>
      <c r="D1396" s="55" t="s">
        <v>31</v>
      </c>
      <c r="E1396" s="56">
        <v>5000</v>
      </c>
      <c r="F1396" s="56">
        <v>3583</v>
      </c>
      <c r="G1396" s="56">
        <v>0</v>
      </c>
      <c r="H1396" s="58">
        <f>IFERROR(Table1[Re-process (Kg)]/Table1[Actual Production (Kg)], "")</f>
        <v>0</v>
      </c>
      <c r="I1396" s="56">
        <f>IFERROR(Table1[[#This Row],[Actual Production (Kg)]]-Table1[[#This Row],[Re-process (Kg)]], "")</f>
        <v>3583</v>
      </c>
      <c r="J1396" s="56">
        <v>22</v>
      </c>
      <c r="K1396" s="55">
        <v>2</v>
      </c>
      <c r="L1396" s="56">
        <f>IF(Table1[[#This Row],[Target Time (Hours)]]="","",Table1[[#This Row],[Target Time (Hours)]]-Table1[[#This Row],[Downtime (Hours)]])</f>
        <v>20</v>
      </c>
      <c r="M1396" s="56">
        <f>IFERROR(Table1[[#This Row],[Capacity (Kg)]]/Table1[[#This Row],[Target Time (Hours)]] * Table1[[#This Row],[Downtime (Hours)]], "")</f>
        <v>454.54545454545456</v>
      </c>
      <c r="N1396" s="58">
        <f>IFERROR(Table1[[#This Row],[Running Time (hr)]]/Table1[Target Time (Hours)], "")</f>
        <v>0.90909090909090906</v>
      </c>
      <c r="O1396" s="58">
        <f>IFERROR(Table1[[#This Row],[Actual Production (Kg)]]/Table1[Capacity (Kg)], "")</f>
        <v>0.71660000000000001</v>
      </c>
      <c r="P1396" s="58">
        <f>IFERROR(Table1[[#This Row],[Quality Pass Production]]/Table1[[#This Row],[Actual Production (Kg)]], "")</f>
        <v>1</v>
      </c>
      <c r="Q1396" s="58">
        <f>IFERROR(Table1[[#This Row],[Utilization %]]*Table1[[#This Row],[Efficiency %]]*Table1[[#This Row],[Quality %]], "")</f>
        <v>0.6514545454545454</v>
      </c>
      <c r="R1396" s="55" t="s">
        <v>371</v>
      </c>
    </row>
    <row r="1397" spans="1:18" ht="45" customHeight="1" x14ac:dyDescent="0.25">
      <c r="A1397" s="47">
        <v>46245</v>
      </c>
      <c r="B1397" s="48" t="s">
        <v>18</v>
      </c>
      <c r="C1397" s="48" t="s">
        <v>19</v>
      </c>
      <c r="D1397" s="48" t="s">
        <v>20</v>
      </c>
      <c r="E1397" s="49">
        <v>10000</v>
      </c>
      <c r="F1397" s="76">
        <v>7498</v>
      </c>
      <c r="G1397" s="49">
        <v>0</v>
      </c>
      <c r="H1397" s="50">
        <f>IFERROR(Table1[Re-process (Kg)]/Table1[Actual Production (Kg)], "")</f>
        <v>0</v>
      </c>
      <c r="I1397" s="49">
        <f>IFERROR(Table1[[#This Row],[Actual Production (Kg)]]-Table1[[#This Row],[Re-process (Kg)]], "")</f>
        <v>7498</v>
      </c>
      <c r="J1397" s="49">
        <v>22</v>
      </c>
      <c r="K1397" s="72">
        <v>1.95</v>
      </c>
      <c r="L1397" s="49">
        <f>IF(Table1[[#This Row],[Target Time (Hours)]]="","",Table1[[#This Row],[Target Time (Hours)]]-Table1[[#This Row],[Downtime (Hours)]])</f>
        <v>20.05</v>
      </c>
      <c r="M1397" s="49">
        <f>IFERROR(Table1[[#This Row],[Capacity (Kg)]]/Table1[[#This Row],[Target Time (Hours)]] * Table1[[#This Row],[Downtime (Hours)]], "")</f>
        <v>886.36363636363637</v>
      </c>
      <c r="N1397" s="50">
        <f>IFERROR(Table1[[#This Row],[Running Time (hr)]]/Table1[Target Time (Hours)], "")</f>
        <v>0.91136363636363638</v>
      </c>
      <c r="O1397" s="50">
        <f>IFERROR(Table1[[#This Row],[Actual Production (Kg)]]/Table1[Capacity (Kg)], "")</f>
        <v>0.74980000000000002</v>
      </c>
      <c r="P1397" s="50">
        <f>IFERROR(Table1[[#This Row],[Quality Pass Production]]/Table1[[#This Row],[Actual Production (Kg)]], "")</f>
        <v>1</v>
      </c>
      <c r="Q1397" s="50">
        <f>IFERROR(Table1[[#This Row],[Utilization %]]*Table1[[#This Row],[Efficiency %]]*Table1[[#This Row],[Quality %]], "")</f>
        <v>0.68334045454545456</v>
      </c>
      <c r="R1397" s="48" t="s">
        <v>372</v>
      </c>
    </row>
    <row r="1398" spans="1:18" x14ac:dyDescent="0.25">
      <c r="A1398" s="51">
        <v>46245</v>
      </c>
      <c r="B1398" s="52" t="s">
        <v>18</v>
      </c>
      <c r="C1398" s="52" t="s">
        <v>238</v>
      </c>
      <c r="D1398" s="52" t="s">
        <v>20</v>
      </c>
      <c r="E1398" s="53">
        <v>9101</v>
      </c>
      <c r="F1398" s="53">
        <v>9101</v>
      </c>
      <c r="G1398" s="53">
        <v>0</v>
      </c>
      <c r="H1398" s="57">
        <f>IFERROR(Table1[Re-process (Kg)]/Table1[Actual Production (Kg)], "")</f>
        <v>0</v>
      </c>
      <c r="I1398" s="53">
        <f>IFERROR(Table1[[#This Row],[Actual Production (Kg)]]-Table1[[#This Row],[Re-process (Kg)]], "")</f>
        <v>9101</v>
      </c>
      <c r="J1398" s="53"/>
      <c r="K1398" s="52"/>
      <c r="L1398" s="53" t="str">
        <f>IF(Table1[[#This Row],[Target Time (Hours)]]="","",Table1[[#This Row],[Target Time (Hours)]]-Table1[[#This Row],[Downtime (Hours)]])</f>
        <v/>
      </c>
      <c r="M1398" s="53" t="str">
        <f>IFERROR(Table1[[#This Row],[Capacity (Kg)]]/Table1[[#This Row],[Target Time (Hours)]] * Table1[[#This Row],[Downtime (Hours)]], "")</f>
        <v/>
      </c>
      <c r="N1398" s="57" t="str">
        <f>IFERROR(Table1[[#This Row],[Running Time (hr)]]/Table1[Target Time (Hours)], "")</f>
        <v/>
      </c>
      <c r="O1398" s="57">
        <f>IFERROR(Table1[[#This Row],[Actual Production (Kg)]]/Table1[Capacity (Kg)], "")</f>
        <v>1</v>
      </c>
      <c r="P1398" s="57">
        <f>IFERROR(Table1[[#This Row],[Quality Pass Production]]/Table1[[#This Row],[Actual Production (Kg)]], "")</f>
        <v>1</v>
      </c>
      <c r="Q1398" s="57" t="str">
        <f>IFERROR(Table1[[#This Row],[Utilization %]]*Table1[[#This Row],[Efficiency %]]*Table1[[#This Row],[Quality %]], "")</f>
        <v/>
      </c>
      <c r="R1398" s="52"/>
    </row>
    <row r="1399" spans="1:18" x14ac:dyDescent="0.25">
      <c r="A1399" s="47">
        <v>46245</v>
      </c>
      <c r="B1399" s="48" t="s">
        <v>18</v>
      </c>
      <c r="C1399" s="48" t="s">
        <v>22</v>
      </c>
      <c r="D1399" s="48" t="s">
        <v>23</v>
      </c>
      <c r="E1399" s="49">
        <v>4000</v>
      </c>
      <c r="F1399" s="76">
        <v>5234</v>
      </c>
      <c r="G1399" s="49">
        <v>0</v>
      </c>
      <c r="H1399" s="50">
        <f>IFERROR(Table1[Re-process (Kg)]/Table1[Actual Production (Kg)], "")</f>
        <v>0</v>
      </c>
      <c r="I1399" s="49">
        <f>IFERROR(Table1[[#This Row],[Actual Production (Kg)]]-Table1[[#This Row],[Re-process (Kg)]], "")</f>
        <v>5234</v>
      </c>
      <c r="J1399" s="49">
        <v>22</v>
      </c>
      <c r="K1399" s="72"/>
      <c r="L1399" s="49">
        <f>IF(Table1[[#This Row],[Target Time (Hours)]]="","",Table1[[#This Row],[Target Time (Hours)]]-Table1[[#This Row],[Downtime (Hours)]])</f>
        <v>22</v>
      </c>
      <c r="M1399" s="49">
        <f>IFERROR(Table1[[#This Row],[Capacity (Kg)]]/Table1[[#This Row],[Target Time (Hours)]] * Table1[[#This Row],[Downtime (Hours)]], "")</f>
        <v>0</v>
      </c>
      <c r="N1399" s="50">
        <f>IFERROR(Table1[[#This Row],[Running Time (hr)]]/Table1[Target Time (Hours)], "")</f>
        <v>1</v>
      </c>
      <c r="O1399" s="50">
        <f>IFERROR(Table1[[#This Row],[Actual Production (Kg)]]/Table1[Capacity (Kg)], "")</f>
        <v>1.3085</v>
      </c>
      <c r="P1399" s="50">
        <f>IFERROR(Table1[[#This Row],[Quality Pass Production]]/Table1[[#This Row],[Actual Production (Kg)]], "")</f>
        <v>1</v>
      </c>
      <c r="Q1399" s="50">
        <f>IFERROR(Table1[[#This Row],[Utilization %]]*Table1[[#This Row],[Efficiency %]]*Table1[[#This Row],[Quality %]], "")</f>
        <v>1.3085</v>
      </c>
    </row>
    <row r="1400" spans="1:18" x14ac:dyDescent="0.25">
      <c r="A1400" s="47">
        <v>46245</v>
      </c>
      <c r="B1400" s="48" t="s">
        <v>18</v>
      </c>
      <c r="C1400" s="48" t="s">
        <v>22</v>
      </c>
      <c r="D1400" s="48" t="s">
        <v>25</v>
      </c>
      <c r="E1400" s="49">
        <v>5000</v>
      </c>
      <c r="F1400" s="76">
        <v>3469</v>
      </c>
      <c r="G1400" s="49">
        <v>0</v>
      </c>
      <c r="H1400" s="50">
        <f>IFERROR(Table1[Re-process (Kg)]/Table1[Actual Production (Kg)], "")</f>
        <v>0</v>
      </c>
      <c r="I1400" s="49">
        <f>IFERROR(Table1[[#This Row],[Actual Production (Kg)]]-Table1[[#This Row],[Re-process (Kg)]], "")</f>
        <v>3469</v>
      </c>
      <c r="J1400" s="49"/>
      <c r="K1400" s="72"/>
      <c r="L1400" s="49" t="str">
        <f>IF(Table1[[#This Row],[Target Time (Hours)]]="","",Table1[[#This Row],[Target Time (Hours)]]-Table1[[#This Row],[Downtime (Hours)]])</f>
        <v/>
      </c>
      <c r="M1400" s="49" t="str">
        <f>IFERROR(Table1[[#This Row],[Capacity (Kg)]]/Table1[[#This Row],[Target Time (Hours)]] * Table1[[#This Row],[Downtime (Hours)]], "")</f>
        <v/>
      </c>
      <c r="N1400" s="50" t="str">
        <f>IFERROR(Table1[[#This Row],[Running Time (hr)]]/Table1[Target Time (Hours)], "")</f>
        <v/>
      </c>
      <c r="O1400" s="50">
        <f>IFERROR(Table1[[#This Row],[Actual Production (Kg)]]/Table1[Capacity (Kg)], "")</f>
        <v>0.69379999999999997</v>
      </c>
      <c r="P1400" s="50">
        <f>IFERROR(Table1[[#This Row],[Quality Pass Production]]/Table1[[#This Row],[Actual Production (Kg)]], "")</f>
        <v>1</v>
      </c>
      <c r="Q1400" s="50" t="str">
        <f>IFERROR(Table1[[#This Row],[Utilization %]]*Table1[[#This Row],[Efficiency %]]*Table1[[#This Row],[Quality %]], "")</f>
        <v/>
      </c>
    </row>
    <row r="1401" spans="1:18" x14ac:dyDescent="0.25">
      <c r="A1401" s="47">
        <v>46245</v>
      </c>
      <c r="B1401" s="48" t="s">
        <v>18</v>
      </c>
      <c r="C1401" s="48" t="s">
        <v>26</v>
      </c>
      <c r="D1401" s="48" t="s">
        <v>25</v>
      </c>
      <c r="E1401" s="49">
        <v>7000</v>
      </c>
      <c r="F1401" s="76">
        <v>6488</v>
      </c>
      <c r="G1401" s="49">
        <v>0</v>
      </c>
      <c r="H1401" s="50">
        <f>IFERROR(Table1[Re-process (Kg)]/Table1[Actual Production (Kg)], "")</f>
        <v>0</v>
      </c>
      <c r="I1401" s="49">
        <f>IFERROR(Table1[[#This Row],[Actual Production (Kg)]]-Table1[[#This Row],[Re-process (Kg)]], "")</f>
        <v>6488</v>
      </c>
      <c r="J1401" s="49">
        <v>22</v>
      </c>
      <c r="K1401" s="72">
        <v>2</v>
      </c>
      <c r="L1401" s="49">
        <f>IF(Table1[[#This Row],[Target Time (Hours)]]="","",Table1[[#This Row],[Target Time (Hours)]]-Table1[[#This Row],[Downtime (Hours)]])</f>
        <v>20</v>
      </c>
      <c r="M1401" s="49">
        <f>IFERROR(Table1[[#This Row],[Capacity (Kg)]]/Table1[[#This Row],[Target Time (Hours)]] * Table1[[#This Row],[Downtime (Hours)]], "")</f>
        <v>636.36363636363637</v>
      </c>
      <c r="N1401" s="50">
        <f>IFERROR(Table1[[#This Row],[Running Time (hr)]]/Table1[Target Time (Hours)], "")</f>
        <v>0.90909090909090906</v>
      </c>
      <c r="O1401" s="50">
        <f>IFERROR(Table1[[#This Row],[Actual Production (Kg)]]/Table1[Capacity (Kg)], "")</f>
        <v>0.92685714285714282</v>
      </c>
      <c r="P1401" s="50">
        <f>IFERROR(Table1[[#This Row],[Quality Pass Production]]/Table1[[#This Row],[Actual Production (Kg)]], "")</f>
        <v>1</v>
      </c>
      <c r="Q1401" s="50">
        <f>IFERROR(Table1[[#This Row],[Utilization %]]*Table1[[#This Row],[Efficiency %]]*Table1[[#This Row],[Quality %]], "")</f>
        <v>0.84259740259740257</v>
      </c>
      <c r="R1401" s="48" t="s">
        <v>373</v>
      </c>
    </row>
    <row r="1402" spans="1:18" ht="30" customHeight="1" x14ac:dyDescent="0.25">
      <c r="A1402" s="47">
        <v>46245</v>
      </c>
      <c r="B1402" s="48" t="s">
        <v>18</v>
      </c>
      <c r="C1402" s="48" t="s">
        <v>28</v>
      </c>
      <c r="D1402" s="48" t="s">
        <v>29</v>
      </c>
      <c r="E1402" s="49">
        <v>7800</v>
      </c>
      <c r="F1402" s="76">
        <v>6062</v>
      </c>
      <c r="G1402" s="49">
        <v>0</v>
      </c>
      <c r="H1402" s="50">
        <f>IFERROR(Table1[Re-process (Kg)]/Table1[Actual Production (Kg)], "")</f>
        <v>0</v>
      </c>
      <c r="I1402" s="49">
        <f>IFERROR(Table1[[#This Row],[Actual Production (Kg)]]-Table1[[#This Row],[Re-process (Kg)]], "")</f>
        <v>6062</v>
      </c>
      <c r="J1402" s="49">
        <v>22</v>
      </c>
      <c r="K1402" s="72">
        <v>3</v>
      </c>
      <c r="L1402" s="49">
        <f>IF(Table1[[#This Row],[Target Time (Hours)]]="","",Table1[[#This Row],[Target Time (Hours)]]-Table1[[#This Row],[Downtime (Hours)]])</f>
        <v>19</v>
      </c>
      <c r="M1402" s="49">
        <f>IFERROR(Table1[[#This Row],[Capacity (Kg)]]/Table1[[#This Row],[Target Time (Hours)]] * Table1[[#This Row],[Downtime (Hours)]], "")</f>
        <v>1063.6363636363637</v>
      </c>
      <c r="N1402" s="50">
        <f>IFERROR(Table1[[#This Row],[Running Time (hr)]]/Table1[Target Time (Hours)], "")</f>
        <v>0.86363636363636365</v>
      </c>
      <c r="O1402" s="50">
        <f>IFERROR(Table1[[#This Row],[Actual Production (Kg)]]/Table1[Capacity (Kg)], "")</f>
        <v>0.77717948717948715</v>
      </c>
      <c r="P1402" s="50">
        <f>IFERROR(Table1[[#This Row],[Quality Pass Production]]/Table1[[#This Row],[Actual Production (Kg)]], "")</f>
        <v>1</v>
      </c>
      <c r="Q1402" s="50">
        <f>IFERROR(Table1[[#This Row],[Utilization %]]*Table1[[#This Row],[Efficiency %]]*Table1[[#This Row],[Quality %]], "")</f>
        <v>0.67120046620046614</v>
      </c>
      <c r="R1402" s="48" t="s">
        <v>374</v>
      </c>
    </row>
    <row r="1403" spans="1:18" ht="30" customHeight="1" x14ac:dyDescent="0.25">
      <c r="A1403" s="51">
        <v>46245</v>
      </c>
      <c r="B1403" s="52" t="s">
        <v>18</v>
      </c>
      <c r="C1403" s="52" t="s">
        <v>135</v>
      </c>
      <c r="D1403" s="52" t="s">
        <v>29</v>
      </c>
      <c r="E1403" s="53"/>
      <c r="F1403" s="53"/>
      <c r="G1403" s="53"/>
      <c r="H1403" s="57" t="str">
        <f>IFERROR(Table1[Re-process (Kg)]/Table1[Actual Production (Kg)], "")</f>
        <v/>
      </c>
      <c r="I1403" s="53">
        <f>IFERROR(Table1[[#This Row],[Actual Production (Kg)]]-Table1[[#This Row],[Re-process (Kg)]], "")</f>
        <v>0</v>
      </c>
      <c r="J1403" s="53"/>
      <c r="K1403" s="52"/>
      <c r="L1403" s="53" t="str">
        <f>IF(Table1[[#This Row],[Target Time (Hours)]]="","",Table1[[#This Row],[Target Time (Hours)]]-Table1[[#This Row],[Downtime (Hours)]])</f>
        <v/>
      </c>
      <c r="M1403" s="53" t="str">
        <f>IFERROR(Table1[[#This Row],[Capacity (Kg)]]/Table1[[#This Row],[Target Time (Hours)]] * Table1[[#This Row],[Downtime (Hours)]], "")</f>
        <v/>
      </c>
      <c r="N1403" s="57" t="str">
        <f>IFERROR(Table1[[#This Row],[Running Time (hr)]]/Table1[Target Time (Hours)], "")</f>
        <v/>
      </c>
      <c r="O1403" s="57" t="str">
        <f>IFERROR(Table1[[#This Row],[Actual Production (Kg)]]/Table1[Capacity (Kg)], "")</f>
        <v/>
      </c>
      <c r="P1403" s="57" t="str">
        <f>IFERROR(Table1[[#This Row],[Quality Pass Production]]/Table1[[#This Row],[Actual Production (Kg)]], "")</f>
        <v/>
      </c>
      <c r="Q1403" s="57" t="str">
        <f>IFERROR(Table1[[#This Row],[Utilization %]]*Table1[[#This Row],[Efficiency %]]*Table1[[#This Row],[Quality %]], "")</f>
        <v/>
      </c>
      <c r="R1403" s="52"/>
    </row>
    <row r="1404" spans="1:18" ht="30" customHeight="1" x14ac:dyDescent="0.25">
      <c r="A1404" s="47">
        <v>46245</v>
      </c>
      <c r="B1404" s="48" t="s">
        <v>18</v>
      </c>
      <c r="C1404" s="48" t="s">
        <v>30</v>
      </c>
      <c r="D1404" s="48" t="s">
        <v>31</v>
      </c>
      <c r="E1404" s="49">
        <v>9000</v>
      </c>
      <c r="F1404" s="76">
        <v>8021</v>
      </c>
      <c r="G1404" s="49">
        <v>0</v>
      </c>
      <c r="H1404" s="50">
        <f>IFERROR(Table1[Re-process (Kg)]/Table1[Actual Production (Kg)], "")</f>
        <v>0</v>
      </c>
      <c r="I1404" s="49">
        <f>IFERROR(Table1[[#This Row],[Actual Production (Kg)]]-Table1[[#This Row],[Re-process (Kg)]], "")</f>
        <v>8021</v>
      </c>
      <c r="J1404" s="49">
        <v>22</v>
      </c>
      <c r="K1404" s="72"/>
      <c r="L1404" s="49">
        <f>IF(Table1[[#This Row],[Target Time (Hours)]]="","",Table1[[#This Row],[Target Time (Hours)]]-Table1[[#This Row],[Downtime (Hours)]])</f>
        <v>22</v>
      </c>
      <c r="M1404" s="49">
        <f>IFERROR(Table1[[#This Row],[Capacity (Kg)]]/Table1[[#This Row],[Target Time (Hours)]] * Table1[[#This Row],[Downtime (Hours)]], "")</f>
        <v>0</v>
      </c>
      <c r="N1404" s="50">
        <f>IFERROR(Table1[[#This Row],[Running Time (hr)]]/Table1[Target Time (Hours)], "")</f>
        <v>1</v>
      </c>
      <c r="O1404" s="50">
        <f>IFERROR(Table1[[#This Row],[Actual Production (Kg)]]/Table1[Capacity (Kg)], "")</f>
        <v>0.89122222222222225</v>
      </c>
      <c r="P1404" s="50">
        <f>IFERROR(Table1[[#This Row],[Quality Pass Production]]/Table1[[#This Row],[Actual Production (Kg)]], "")</f>
        <v>1</v>
      </c>
      <c r="Q1404" s="50">
        <f>IFERROR(Table1[[#This Row],[Utilization %]]*Table1[[#This Row],[Efficiency %]]*Table1[[#This Row],[Quality %]], "")</f>
        <v>0.89122222222222225</v>
      </c>
    </row>
    <row r="1405" spans="1:18" ht="30" customHeight="1" x14ac:dyDescent="0.25">
      <c r="A1405" s="51">
        <v>46245</v>
      </c>
      <c r="B1405" s="52" t="s">
        <v>18</v>
      </c>
      <c r="C1405" s="52" t="s">
        <v>32</v>
      </c>
      <c r="D1405" s="52" t="s">
        <v>31</v>
      </c>
      <c r="E1405" s="53"/>
      <c r="F1405" s="53"/>
      <c r="G1405" s="53"/>
      <c r="H1405" s="57" t="str">
        <f>IFERROR(Table1[Re-process (Kg)]/Table1[Actual Production (Kg)], "")</f>
        <v/>
      </c>
      <c r="I1405" s="53">
        <f>IFERROR(Table1[[#This Row],[Actual Production (Kg)]]-Table1[[#This Row],[Re-process (Kg)]], "")</f>
        <v>0</v>
      </c>
      <c r="J1405" s="53"/>
      <c r="K1405" s="52"/>
      <c r="L1405" s="53" t="str">
        <f>IF(Table1[[#This Row],[Target Time (Hours)]]="","",Table1[[#This Row],[Target Time (Hours)]]-Table1[[#This Row],[Downtime (Hours)]])</f>
        <v/>
      </c>
      <c r="M1405" s="53" t="str">
        <f>IFERROR(Table1[[#This Row],[Capacity (Kg)]]/Table1[[#This Row],[Target Time (Hours)]] * Table1[[#This Row],[Downtime (Hours)]], "")</f>
        <v/>
      </c>
      <c r="N1405" s="57" t="str">
        <f>IFERROR(Table1[[#This Row],[Running Time (hr)]]/Table1[Target Time (Hours)], "")</f>
        <v/>
      </c>
      <c r="O1405" s="57" t="str">
        <f>IFERROR(Table1[[#This Row],[Actual Production (Kg)]]/Table1[Capacity (Kg)], "")</f>
        <v/>
      </c>
      <c r="P1405" s="57" t="str">
        <f>IFERROR(Table1[[#This Row],[Quality Pass Production]]/Table1[[#This Row],[Actual Production (Kg)]], "")</f>
        <v/>
      </c>
      <c r="Q1405" s="57" t="str">
        <f>IFERROR(Table1[[#This Row],[Utilization %]]*Table1[[#This Row],[Efficiency %]]*Table1[[#This Row],[Quality %]], "")</f>
        <v/>
      </c>
      <c r="R1405" s="52"/>
    </row>
    <row r="1406" spans="1:18" ht="30" customHeight="1" x14ac:dyDescent="0.25">
      <c r="A1406" s="47">
        <v>46245</v>
      </c>
      <c r="B1406" s="48" t="s">
        <v>33</v>
      </c>
      <c r="C1406" s="48" t="s">
        <v>34</v>
      </c>
      <c r="D1406" s="48" t="s">
        <v>35</v>
      </c>
      <c r="E1406" s="49">
        <v>9000</v>
      </c>
      <c r="F1406" s="76">
        <v>6765</v>
      </c>
      <c r="G1406" s="49">
        <v>0</v>
      </c>
      <c r="H1406" s="50">
        <f>IFERROR(Table1[Re-process (Kg)]/Table1[Actual Production (Kg)], "")</f>
        <v>0</v>
      </c>
      <c r="I1406" s="49">
        <f>IFERROR(Table1[[#This Row],[Actual Production (Kg)]]-Table1[[#This Row],[Re-process (Kg)]], "")</f>
        <v>6765</v>
      </c>
      <c r="J1406" s="49">
        <v>22</v>
      </c>
      <c r="K1406" s="72"/>
      <c r="L1406" s="49">
        <f>IF(Table1[[#This Row],[Target Time (Hours)]]="","",Table1[[#This Row],[Target Time (Hours)]]-Table1[[#This Row],[Downtime (Hours)]])</f>
        <v>22</v>
      </c>
      <c r="M1406" s="49">
        <f>IFERROR(Table1[[#This Row],[Capacity (Kg)]]/Table1[[#This Row],[Target Time (Hours)]] * Table1[[#This Row],[Downtime (Hours)]], "")</f>
        <v>0</v>
      </c>
      <c r="N1406" s="50">
        <f>IFERROR(Table1[[#This Row],[Running Time (hr)]]/Table1[Target Time (Hours)], "")</f>
        <v>1</v>
      </c>
      <c r="O1406" s="50">
        <f>IFERROR(Table1[[#This Row],[Actual Production (Kg)]]/Table1[Capacity (Kg)], "")</f>
        <v>0.75166666666666671</v>
      </c>
      <c r="P1406" s="50">
        <f>IFERROR(Table1[[#This Row],[Quality Pass Production]]/Table1[[#This Row],[Actual Production (Kg)]], "")</f>
        <v>1</v>
      </c>
      <c r="Q1406" s="50">
        <f>IFERROR(Table1[[#This Row],[Utilization %]]*Table1[[#This Row],[Efficiency %]]*Table1[[#This Row],[Quality %]], "")</f>
        <v>0.75166666666666671</v>
      </c>
    </row>
    <row r="1407" spans="1:18" ht="30" customHeight="1" x14ac:dyDescent="0.25">
      <c r="A1407" s="47">
        <v>46245</v>
      </c>
      <c r="B1407" s="48" t="s">
        <v>33</v>
      </c>
      <c r="C1407" s="48" t="s">
        <v>36</v>
      </c>
      <c r="D1407" s="48" t="s">
        <v>37</v>
      </c>
      <c r="E1407" s="49">
        <v>8000</v>
      </c>
      <c r="F1407" s="76">
        <v>7108</v>
      </c>
      <c r="G1407" s="49">
        <v>0</v>
      </c>
      <c r="H1407" s="50">
        <f>IFERROR(Table1[Re-process (Kg)]/Table1[Actual Production (Kg)], "")</f>
        <v>0</v>
      </c>
      <c r="I1407" s="49">
        <f>IFERROR(Table1[[#This Row],[Actual Production (Kg)]]-Table1[[#This Row],[Re-process (Kg)]], "")</f>
        <v>7108</v>
      </c>
      <c r="J1407" s="49">
        <v>22</v>
      </c>
      <c r="K1407" s="72">
        <v>3.33</v>
      </c>
      <c r="L1407" s="49">
        <f>IF(Table1[[#This Row],[Target Time (Hours)]]="","",Table1[[#This Row],[Target Time (Hours)]]-Table1[[#This Row],[Downtime (Hours)]])</f>
        <v>18.670000000000002</v>
      </c>
      <c r="M1407" s="49">
        <f>IFERROR(Table1[[#This Row],[Capacity (Kg)]]/Table1[[#This Row],[Target Time (Hours)]] * Table1[[#This Row],[Downtime (Hours)]], "")</f>
        <v>1210.909090909091</v>
      </c>
      <c r="N1407" s="50">
        <f>IFERROR(Table1[[#This Row],[Running Time (hr)]]/Table1[Target Time (Hours)], "")</f>
        <v>0.84863636363636374</v>
      </c>
      <c r="O1407" s="50">
        <f>IFERROR(Table1[[#This Row],[Actual Production (Kg)]]/Table1[Capacity (Kg)], "")</f>
        <v>0.88849999999999996</v>
      </c>
      <c r="P1407" s="50">
        <f>IFERROR(Table1[[#This Row],[Quality Pass Production]]/Table1[[#This Row],[Actual Production (Kg)]], "")</f>
        <v>1</v>
      </c>
      <c r="Q1407" s="50">
        <f>IFERROR(Table1[[#This Row],[Utilization %]]*Table1[[#This Row],[Efficiency %]]*Table1[[#This Row],[Quality %]], "")</f>
        <v>0.75401340909090919</v>
      </c>
      <c r="R1407" s="48" t="s">
        <v>375</v>
      </c>
    </row>
    <row r="1408" spans="1:18" ht="30" customHeight="1" x14ac:dyDescent="0.25">
      <c r="A1408" s="47">
        <v>46245</v>
      </c>
      <c r="B1408" s="48" t="s">
        <v>33</v>
      </c>
      <c r="C1408" s="48" t="s">
        <v>39</v>
      </c>
      <c r="D1408" s="48" t="s">
        <v>31</v>
      </c>
      <c r="E1408" s="49">
        <v>6000</v>
      </c>
      <c r="F1408" s="76">
        <v>2270</v>
      </c>
      <c r="G1408" s="49">
        <v>0</v>
      </c>
      <c r="H1408" s="50">
        <f>IFERROR(Table1[Re-process (Kg)]/Table1[Actual Production (Kg)], "")</f>
        <v>0</v>
      </c>
      <c r="I1408" s="49">
        <f>IFERROR(Table1[[#This Row],[Actual Production (Kg)]]-Table1[[#This Row],[Re-process (Kg)]], "")</f>
        <v>2270</v>
      </c>
      <c r="J1408" s="49">
        <v>22</v>
      </c>
      <c r="K1408" s="72">
        <v>3</v>
      </c>
      <c r="L1408" s="49">
        <f>IF(Table1[[#This Row],[Target Time (Hours)]]="","",Table1[[#This Row],[Target Time (Hours)]]-Table1[[#This Row],[Downtime (Hours)]])</f>
        <v>19</v>
      </c>
      <c r="M1408" s="49">
        <f>IFERROR(Table1[[#This Row],[Capacity (Kg)]]/Table1[[#This Row],[Target Time (Hours)]] * Table1[[#This Row],[Downtime (Hours)]], "")</f>
        <v>818.18181818181824</v>
      </c>
      <c r="N1408" s="50">
        <f>IFERROR(Table1[[#This Row],[Running Time (hr)]]/Table1[Target Time (Hours)], "")</f>
        <v>0.86363636363636365</v>
      </c>
      <c r="O1408" s="50">
        <f>IFERROR(Table1[[#This Row],[Actual Production (Kg)]]/Table1[Capacity (Kg)], "")</f>
        <v>0.37833333333333335</v>
      </c>
      <c r="P1408" s="50">
        <f>IFERROR(Table1[[#This Row],[Quality Pass Production]]/Table1[[#This Row],[Actual Production (Kg)]], "")</f>
        <v>1</v>
      </c>
      <c r="Q1408" s="50">
        <f>IFERROR(Table1[[#This Row],[Utilization %]]*Table1[[#This Row],[Efficiency %]]*Table1[[#This Row],[Quality %]], "")</f>
        <v>0.32674242424242428</v>
      </c>
      <c r="R1408" s="48" t="s">
        <v>376</v>
      </c>
    </row>
    <row r="1409" spans="1:18" ht="45" customHeight="1" x14ac:dyDescent="0.25">
      <c r="A1409" s="54">
        <v>46245</v>
      </c>
      <c r="B1409" s="55" t="s">
        <v>33</v>
      </c>
      <c r="C1409" s="55" t="s">
        <v>40</v>
      </c>
      <c r="D1409" s="55" t="s">
        <v>31</v>
      </c>
      <c r="E1409" s="56">
        <v>5000</v>
      </c>
      <c r="F1409" s="56">
        <v>3351</v>
      </c>
      <c r="G1409" s="56">
        <v>0</v>
      </c>
      <c r="H1409" s="58">
        <f>IFERROR(Table1[Re-process (Kg)]/Table1[Actual Production (Kg)], "")</f>
        <v>0</v>
      </c>
      <c r="I1409" s="56">
        <f>IFERROR(Table1[[#This Row],[Actual Production (Kg)]]-Table1[[#This Row],[Re-process (Kg)]], "")</f>
        <v>3351</v>
      </c>
      <c r="J1409" s="56">
        <v>22</v>
      </c>
      <c r="K1409" s="55"/>
      <c r="L1409" s="56">
        <f>IF(Table1[[#This Row],[Target Time (Hours)]]="","",Table1[[#This Row],[Target Time (Hours)]]-Table1[[#This Row],[Downtime (Hours)]])</f>
        <v>22</v>
      </c>
      <c r="M1409" s="56">
        <f>IFERROR(Table1[[#This Row],[Capacity (Kg)]]/Table1[[#This Row],[Target Time (Hours)]] * Table1[[#This Row],[Downtime (Hours)]], "")</f>
        <v>0</v>
      </c>
      <c r="N1409" s="58">
        <f>IFERROR(Table1[[#This Row],[Running Time (hr)]]/Table1[Target Time (Hours)], "")</f>
        <v>1</v>
      </c>
      <c r="O1409" s="58">
        <f>IFERROR(Table1[[#This Row],[Actual Production (Kg)]]/Table1[Capacity (Kg)], "")</f>
        <v>0.67020000000000002</v>
      </c>
      <c r="P1409" s="58">
        <f>IFERROR(Table1[[#This Row],[Quality Pass Production]]/Table1[[#This Row],[Actual Production (Kg)]], "")</f>
        <v>1</v>
      </c>
      <c r="Q1409" s="58">
        <f>IFERROR(Table1[[#This Row],[Utilization %]]*Table1[[#This Row],[Efficiency %]]*Table1[[#This Row],[Quality %]], "")</f>
        <v>0.67020000000000002</v>
      </c>
      <c r="R1409" s="55"/>
    </row>
    <row r="1410" spans="1:18" ht="30" customHeight="1" x14ac:dyDescent="0.25">
      <c r="A1410" s="47">
        <v>46246</v>
      </c>
      <c r="B1410" s="48" t="s">
        <v>18</v>
      </c>
      <c r="C1410" s="48" t="s">
        <v>19</v>
      </c>
      <c r="D1410" s="48" t="s">
        <v>20</v>
      </c>
      <c r="E1410" s="49">
        <v>10000</v>
      </c>
      <c r="F1410" s="76">
        <v>7491</v>
      </c>
      <c r="G1410" s="49">
        <v>0</v>
      </c>
      <c r="H1410" s="50">
        <f>IFERROR(Table1[Re-process (Kg)]/Table1[Actual Production (Kg)], "")</f>
        <v>0</v>
      </c>
      <c r="I1410" s="49">
        <f>IFERROR(Table1[[#This Row],[Actual Production (Kg)]]-Table1[[#This Row],[Re-process (Kg)]], "")</f>
        <v>7491</v>
      </c>
      <c r="J1410" s="49">
        <v>22</v>
      </c>
      <c r="K1410" s="72"/>
      <c r="L1410" s="49">
        <f>IF(Table1[[#This Row],[Target Time (Hours)]]="","",Table1[[#This Row],[Target Time (Hours)]]-Table1[[#This Row],[Downtime (Hours)]])</f>
        <v>22</v>
      </c>
      <c r="M1410" s="49">
        <f>IFERROR(Table1[[#This Row],[Capacity (Kg)]]/Table1[[#This Row],[Target Time (Hours)]] * Table1[[#This Row],[Downtime (Hours)]], "")</f>
        <v>0</v>
      </c>
      <c r="N1410" s="50">
        <f>IFERROR(Table1[[#This Row],[Running Time (hr)]]/Table1[Target Time (Hours)], "")</f>
        <v>1</v>
      </c>
      <c r="O1410" s="50">
        <f>IFERROR(Table1[[#This Row],[Actual Production (Kg)]]/Table1[Capacity (Kg)], "")</f>
        <v>0.74909999999999999</v>
      </c>
      <c r="P1410" s="50">
        <f>IFERROR(Table1[[#This Row],[Quality Pass Production]]/Table1[[#This Row],[Actual Production (Kg)]], "")</f>
        <v>1</v>
      </c>
      <c r="Q1410" s="50">
        <f>IFERROR(Table1[[#This Row],[Utilization %]]*Table1[[#This Row],[Efficiency %]]*Table1[[#This Row],[Quality %]], "")</f>
        <v>0.74909999999999999</v>
      </c>
    </row>
    <row r="1411" spans="1:18" x14ac:dyDescent="0.25">
      <c r="A1411" s="51">
        <v>46246</v>
      </c>
      <c r="B1411" s="52" t="s">
        <v>18</v>
      </c>
      <c r="C1411" s="52" t="s">
        <v>238</v>
      </c>
      <c r="D1411" s="52" t="s">
        <v>20</v>
      </c>
      <c r="E1411" s="53">
        <v>10279</v>
      </c>
      <c r="F1411" s="53">
        <v>10279</v>
      </c>
      <c r="G1411" s="53">
        <v>0</v>
      </c>
      <c r="H1411" s="57">
        <f>IFERROR(Table1[Re-process (Kg)]/Table1[Actual Production (Kg)], "")</f>
        <v>0</v>
      </c>
      <c r="I1411" s="53">
        <f>IFERROR(Table1[[#This Row],[Actual Production (Kg)]]-Table1[[#This Row],[Re-process (Kg)]], "")</f>
        <v>10279</v>
      </c>
      <c r="J1411" s="53"/>
      <c r="K1411" s="52"/>
      <c r="L1411" s="53" t="str">
        <f>IF(Table1[[#This Row],[Target Time (Hours)]]="","",Table1[[#This Row],[Target Time (Hours)]]-Table1[[#This Row],[Downtime (Hours)]])</f>
        <v/>
      </c>
      <c r="M1411" s="53" t="str">
        <f>IFERROR(Table1[[#This Row],[Capacity (Kg)]]/Table1[[#This Row],[Target Time (Hours)]] * Table1[[#This Row],[Downtime (Hours)]], "")</f>
        <v/>
      </c>
      <c r="N1411" s="57" t="str">
        <f>IFERROR(Table1[[#This Row],[Running Time (hr)]]/Table1[Target Time (Hours)], "")</f>
        <v/>
      </c>
      <c r="O1411" s="57">
        <f>IFERROR(Table1[[#This Row],[Actual Production (Kg)]]/Table1[Capacity (Kg)], "")</f>
        <v>1</v>
      </c>
      <c r="P1411" s="57">
        <f>IFERROR(Table1[[#This Row],[Quality Pass Production]]/Table1[[#This Row],[Actual Production (Kg)]], "")</f>
        <v>1</v>
      </c>
      <c r="Q1411" s="57" t="str">
        <f>IFERROR(Table1[[#This Row],[Utilization %]]*Table1[[#This Row],[Efficiency %]]*Table1[[#This Row],[Quality %]], "")</f>
        <v/>
      </c>
      <c r="R1411" s="52"/>
    </row>
    <row r="1412" spans="1:18" x14ac:dyDescent="0.25">
      <c r="A1412" s="47">
        <v>46246</v>
      </c>
      <c r="B1412" s="48" t="s">
        <v>18</v>
      </c>
      <c r="C1412" s="48" t="s">
        <v>22</v>
      </c>
      <c r="D1412" s="48" t="s">
        <v>23</v>
      </c>
      <c r="E1412" s="49">
        <v>4000</v>
      </c>
      <c r="F1412" s="76">
        <v>4165</v>
      </c>
      <c r="G1412" s="49">
        <v>0</v>
      </c>
      <c r="H1412" s="50">
        <f>IFERROR(Table1[Re-process (Kg)]/Table1[Actual Production (Kg)], "")</f>
        <v>0</v>
      </c>
      <c r="I1412" s="49">
        <f>IFERROR(Table1[[#This Row],[Actual Production (Kg)]]-Table1[[#This Row],[Re-process (Kg)]], "")</f>
        <v>4165</v>
      </c>
      <c r="J1412" s="49">
        <v>22</v>
      </c>
      <c r="K1412" s="72"/>
      <c r="L1412" s="49">
        <f>IF(Table1[[#This Row],[Target Time (Hours)]]="","",Table1[[#This Row],[Target Time (Hours)]]-Table1[[#This Row],[Downtime (Hours)]])</f>
        <v>22</v>
      </c>
      <c r="M1412" s="49">
        <f>IFERROR(Table1[[#This Row],[Capacity (Kg)]]/Table1[[#This Row],[Target Time (Hours)]] * Table1[[#This Row],[Downtime (Hours)]], "")</f>
        <v>0</v>
      </c>
      <c r="N1412" s="50">
        <f>IFERROR(Table1[[#This Row],[Running Time (hr)]]/Table1[Target Time (Hours)], "")</f>
        <v>1</v>
      </c>
      <c r="O1412" s="50">
        <f>IFERROR(Table1[[#This Row],[Actual Production (Kg)]]/Table1[Capacity (Kg)], "")</f>
        <v>1.04125</v>
      </c>
      <c r="P1412" s="50">
        <f>IFERROR(Table1[[#This Row],[Quality Pass Production]]/Table1[[#This Row],[Actual Production (Kg)]], "")</f>
        <v>1</v>
      </c>
      <c r="Q1412" s="50">
        <f>IFERROR(Table1[[#This Row],[Utilization %]]*Table1[[#This Row],[Efficiency %]]*Table1[[#This Row],[Quality %]], "")</f>
        <v>1.04125</v>
      </c>
    </row>
    <row r="1413" spans="1:18" x14ac:dyDescent="0.25">
      <c r="A1413" s="47">
        <v>46246</v>
      </c>
      <c r="B1413" s="48" t="s">
        <v>18</v>
      </c>
      <c r="C1413" s="48" t="s">
        <v>22</v>
      </c>
      <c r="D1413" s="48" t="s">
        <v>25</v>
      </c>
      <c r="E1413" s="49">
        <v>5000</v>
      </c>
      <c r="F1413" s="76">
        <v>5470</v>
      </c>
      <c r="G1413" s="49">
        <v>0</v>
      </c>
      <c r="H1413" s="50">
        <f>IFERROR(Table1[Re-process (Kg)]/Table1[Actual Production (Kg)], "")</f>
        <v>0</v>
      </c>
      <c r="I1413" s="49">
        <f>IFERROR(Table1[[#This Row],[Actual Production (Kg)]]-Table1[[#This Row],[Re-process (Kg)]], "")</f>
        <v>5470</v>
      </c>
      <c r="J1413" s="49"/>
      <c r="K1413" s="72"/>
      <c r="L1413" s="49" t="str">
        <f>IF(Table1[[#This Row],[Target Time (Hours)]]="","",Table1[[#This Row],[Target Time (Hours)]]-Table1[[#This Row],[Downtime (Hours)]])</f>
        <v/>
      </c>
      <c r="M1413" s="49" t="str">
        <f>IFERROR(Table1[[#This Row],[Capacity (Kg)]]/Table1[[#This Row],[Target Time (Hours)]] * Table1[[#This Row],[Downtime (Hours)]], "")</f>
        <v/>
      </c>
      <c r="N1413" s="50" t="str">
        <f>IFERROR(Table1[[#This Row],[Running Time (hr)]]/Table1[Target Time (Hours)], "")</f>
        <v/>
      </c>
      <c r="O1413" s="50">
        <f>IFERROR(Table1[[#This Row],[Actual Production (Kg)]]/Table1[Capacity (Kg)], "")</f>
        <v>1.0940000000000001</v>
      </c>
      <c r="P1413" s="50">
        <f>IFERROR(Table1[[#This Row],[Quality Pass Production]]/Table1[[#This Row],[Actual Production (Kg)]], "")</f>
        <v>1</v>
      </c>
      <c r="Q1413" s="50" t="str">
        <f>IFERROR(Table1[[#This Row],[Utilization %]]*Table1[[#This Row],[Efficiency %]]*Table1[[#This Row],[Quality %]], "")</f>
        <v/>
      </c>
    </row>
    <row r="1414" spans="1:18" x14ac:dyDescent="0.25">
      <c r="A1414" s="47">
        <v>46246</v>
      </c>
      <c r="B1414" s="48" t="s">
        <v>18</v>
      </c>
      <c r="C1414" s="48" t="s">
        <v>26</v>
      </c>
      <c r="D1414" s="48" t="s">
        <v>25</v>
      </c>
      <c r="E1414" s="49">
        <v>7000</v>
      </c>
      <c r="F1414" s="76">
        <v>6494</v>
      </c>
      <c r="G1414" s="49">
        <v>0</v>
      </c>
      <c r="H1414" s="50">
        <f>IFERROR(Table1[Re-process (Kg)]/Table1[Actual Production (Kg)], "")</f>
        <v>0</v>
      </c>
      <c r="I1414" s="49">
        <f>IFERROR(Table1[[#This Row],[Actual Production (Kg)]]-Table1[[#This Row],[Re-process (Kg)]], "")</f>
        <v>6494</v>
      </c>
      <c r="J1414" s="49">
        <v>22</v>
      </c>
      <c r="K1414" s="72"/>
      <c r="L1414" s="49">
        <f>IF(Table1[[#This Row],[Target Time (Hours)]]="","",Table1[[#This Row],[Target Time (Hours)]]-Table1[[#This Row],[Downtime (Hours)]])</f>
        <v>22</v>
      </c>
      <c r="M1414" s="49">
        <f>IFERROR(Table1[[#This Row],[Capacity (Kg)]]/Table1[[#This Row],[Target Time (Hours)]] * Table1[[#This Row],[Downtime (Hours)]], "")</f>
        <v>0</v>
      </c>
      <c r="N1414" s="50">
        <f>IFERROR(Table1[[#This Row],[Running Time (hr)]]/Table1[Target Time (Hours)], "")</f>
        <v>1</v>
      </c>
      <c r="O1414" s="50">
        <f>IFERROR(Table1[[#This Row],[Actual Production (Kg)]]/Table1[Capacity (Kg)], "")</f>
        <v>0.92771428571428571</v>
      </c>
      <c r="P1414" s="50">
        <f>IFERROR(Table1[[#This Row],[Quality Pass Production]]/Table1[[#This Row],[Actual Production (Kg)]], "")</f>
        <v>1</v>
      </c>
      <c r="Q1414" s="50">
        <f>IFERROR(Table1[[#This Row],[Utilization %]]*Table1[[#This Row],[Efficiency %]]*Table1[[#This Row],[Quality %]], "")</f>
        <v>0.92771428571428571</v>
      </c>
    </row>
    <row r="1415" spans="1:18" ht="30" customHeight="1" x14ac:dyDescent="0.25">
      <c r="A1415" s="47">
        <v>46246</v>
      </c>
      <c r="B1415" s="48" t="s">
        <v>18</v>
      </c>
      <c r="C1415" s="48" t="s">
        <v>28</v>
      </c>
      <c r="D1415" s="48" t="s">
        <v>29</v>
      </c>
      <c r="E1415" s="49">
        <v>7800</v>
      </c>
      <c r="F1415" s="76">
        <v>4312</v>
      </c>
      <c r="G1415" s="49">
        <v>0</v>
      </c>
      <c r="H1415" s="50">
        <f>IFERROR(Table1[Re-process (Kg)]/Table1[Actual Production (Kg)], "")</f>
        <v>0</v>
      </c>
      <c r="I1415" s="49">
        <f>IFERROR(Table1[[#This Row],[Actual Production (Kg)]]-Table1[[#This Row],[Re-process (Kg)]], "")</f>
        <v>4312</v>
      </c>
      <c r="J1415" s="49">
        <v>22</v>
      </c>
      <c r="K1415" s="72">
        <v>7</v>
      </c>
      <c r="L1415" s="49">
        <f>IF(Table1[[#This Row],[Target Time (Hours)]]="","",Table1[[#This Row],[Target Time (Hours)]]-Table1[[#This Row],[Downtime (Hours)]])</f>
        <v>15</v>
      </c>
      <c r="M1415" s="49">
        <f>IFERROR(Table1[[#This Row],[Capacity (Kg)]]/Table1[[#This Row],[Target Time (Hours)]] * Table1[[#This Row],[Downtime (Hours)]], "")</f>
        <v>2481.818181818182</v>
      </c>
      <c r="N1415" s="50">
        <f>IFERROR(Table1[[#This Row],[Running Time (hr)]]/Table1[Target Time (Hours)], "")</f>
        <v>0.68181818181818177</v>
      </c>
      <c r="O1415" s="50">
        <f>IFERROR(Table1[[#This Row],[Actual Production (Kg)]]/Table1[Capacity (Kg)], "")</f>
        <v>0.55282051282051281</v>
      </c>
      <c r="P1415" s="50">
        <f>IFERROR(Table1[[#This Row],[Quality Pass Production]]/Table1[[#This Row],[Actual Production (Kg)]], "")</f>
        <v>1</v>
      </c>
      <c r="Q1415" s="50">
        <f>IFERROR(Table1[[#This Row],[Utilization %]]*Table1[[#This Row],[Efficiency %]]*Table1[[#This Row],[Quality %]], "")</f>
        <v>0.37692307692307686</v>
      </c>
      <c r="R1415" s="48" t="s">
        <v>377</v>
      </c>
    </row>
    <row r="1416" spans="1:18" ht="30" customHeight="1" x14ac:dyDescent="0.25">
      <c r="A1416" s="51">
        <v>46246</v>
      </c>
      <c r="B1416" s="52" t="s">
        <v>18</v>
      </c>
      <c r="C1416" s="52" t="s">
        <v>135</v>
      </c>
      <c r="D1416" s="52" t="s">
        <v>29</v>
      </c>
      <c r="E1416" s="53"/>
      <c r="F1416" s="53"/>
      <c r="G1416" s="53"/>
      <c r="H1416" s="57" t="str">
        <f>IFERROR(Table1[Re-process (Kg)]/Table1[Actual Production (Kg)], "")</f>
        <v/>
      </c>
      <c r="I1416" s="53">
        <f>IFERROR(Table1[[#This Row],[Actual Production (Kg)]]-Table1[[#This Row],[Re-process (Kg)]], "")</f>
        <v>0</v>
      </c>
      <c r="J1416" s="53"/>
      <c r="K1416" s="52"/>
      <c r="L1416" s="53" t="str">
        <f>IF(Table1[[#This Row],[Target Time (Hours)]]="","",Table1[[#This Row],[Target Time (Hours)]]-Table1[[#This Row],[Downtime (Hours)]])</f>
        <v/>
      </c>
      <c r="M1416" s="53" t="str">
        <f>IFERROR(Table1[[#This Row],[Capacity (Kg)]]/Table1[[#This Row],[Target Time (Hours)]] * Table1[[#This Row],[Downtime (Hours)]], "")</f>
        <v/>
      </c>
      <c r="N1416" s="57" t="str">
        <f>IFERROR(Table1[[#This Row],[Running Time (hr)]]/Table1[Target Time (Hours)], "")</f>
        <v/>
      </c>
      <c r="O1416" s="57" t="str">
        <f>IFERROR(Table1[[#This Row],[Actual Production (Kg)]]/Table1[Capacity (Kg)], "")</f>
        <v/>
      </c>
      <c r="P1416" s="57" t="str">
        <f>IFERROR(Table1[[#This Row],[Quality Pass Production]]/Table1[[#This Row],[Actual Production (Kg)]], "")</f>
        <v/>
      </c>
      <c r="Q1416" s="57" t="str">
        <f>IFERROR(Table1[[#This Row],[Utilization %]]*Table1[[#This Row],[Efficiency %]]*Table1[[#This Row],[Quality %]], "")</f>
        <v/>
      </c>
      <c r="R1416" s="52"/>
    </row>
    <row r="1417" spans="1:18" ht="30" customHeight="1" x14ac:dyDescent="0.25">
      <c r="A1417" s="47">
        <v>46246</v>
      </c>
      <c r="B1417" s="48" t="s">
        <v>18</v>
      </c>
      <c r="C1417" s="48" t="s">
        <v>30</v>
      </c>
      <c r="D1417" s="48" t="s">
        <v>31</v>
      </c>
      <c r="E1417" s="49">
        <v>9000</v>
      </c>
      <c r="F1417" s="76">
        <v>7769</v>
      </c>
      <c r="G1417" s="49">
        <v>0</v>
      </c>
      <c r="H1417" s="50">
        <f>IFERROR(Table1[Re-process (Kg)]/Table1[Actual Production (Kg)], "")</f>
        <v>0</v>
      </c>
      <c r="I1417" s="49">
        <f>IFERROR(Table1[[#This Row],[Actual Production (Kg)]]-Table1[[#This Row],[Re-process (Kg)]], "")</f>
        <v>7769</v>
      </c>
      <c r="J1417" s="49">
        <v>22</v>
      </c>
      <c r="K1417" s="72"/>
      <c r="L1417" s="49">
        <f>IF(Table1[[#This Row],[Target Time (Hours)]]="","",Table1[[#This Row],[Target Time (Hours)]]-Table1[[#This Row],[Downtime (Hours)]])</f>
        <v>22</v>
      </c>
      <c r="M1417" s="49">
        <f>IFERROR(Table1[[#This Row],[Capacity (Kg)]]/Table1[[#This Row],[Target Time (Hours)]] * Table1[[#This Row],[Downtime (Hours)]], "")</f>
        <v>0</v>
      </c>
      <c r="N1417" s="50">
        <f>IFERROR(Table1[[#This Row],[Running Time (hr)]]/Table1[Target Time (Hours)], "")</f>
        <v>1</v>
      </c>
      <c r="O1417" s="50">
        <f>IFERROR(Table1[[#This Row],[Actual Production (Kg)]]/Table1[Capacity (Kg)], "")</f>
        <v>0.86322222222222222</v>
      </c>
      <c r="P1417" s="50">
        <f>IFERROR(Table1[[#This Row],[Quality Pass Production]]/Table1[[#This Row],[Actual Production (Kg)]], "")</f>
        <v>1</v>
      </c>
      <c r="Q1417" s="50">
        <f>IFERROR(Table1[[#This Row],[Utilization %]]*Table1[[#This Row],[Efficiency %]]*Table1[[#This Row],[Quality %]], "")</f>
        <v>0.86322222222222222</v>
      </c>
    </row>
    <row r="1418" spans="1:18" ht="30" customHeight="1" x14ac:dyDescent="0.25">
      <c r="A1418" s="51">
        <v>46246</v>
      </c>
      <c r="B1418" s="52" t="s">
        <v>18</v>
      </c>
      <c r="C1418" s="52" t="s">
        <v>32</v>
      </c>
      <c r="D1418" s="52" t="s">
        <v>31</v>
      </c>
      <c r="E1418" s="53"/>
      <c r="F1418" s="53"/>
      <c r="G1418" s="53"/>
      <c r="H1418" s="57" t="str">
        <f>IFERROR(Table1[Re-process (Kg)]/Table1[Actual Production (Kg)], "")</f>
        <v/>
      </c>
      <c r="I1418" s="53">
        <f>IFERROR(Table1[[#This Row],[Actual Production (Kg)]]-Table1[[#This Row],[Re-process (Kg)]], "")</f>
        <v>0</v>
      </c>
      <c r="J1418" s="53"/>
      <c r="K1418" s="52"/>
      <c r="L1418" s="53" t="str">
        <f>IF(Table1[[#This Row],[Target Time (Hours)]]="","",Table1[[#This Row],[Target Time (Hours)]]-Table1[[#This Row],[Downtime (Hours)]])</f>
        <v/>
      </c>
      <c r="M1418" s="53" t="str">
        <f>IFERROR(Table1[[#This Row],[Capacity (Kg)]]/Table1[[#This Row],[Target Time (Hours)]] * Table1[[#This Row],[Downtime (Hours)]], "")</f>
        <v/>
      </c>
      <c r="N1418" s="57" t="str">
        <f>IFERROR(Table1[[#This Row],[Running Time (hr)]]/Table1[Target Time (Hours)], "")</f>
        <v/>
      </c>
      <c r="O1418" s="57" t="str">
        <f>IFERROR(Table1[[#This Row],[Actual Production (Kg)]]/Table1[Capacity (Kg)], "")</f>
        <v/>
      </c>
      <c r="P1418" s="57" t="str">
        <f>IFERROR(Table1[[#This Row],[Quality Pass Production]]/Table1[[#This Row],[Actual Production (Kg)]], "")</f>
        <v/>
      </c>
      <c r="Q1418" s="57" t="str">
        <f>IFERROR(Table1[[#This Row],[Utilization %]]*Table1[[#This Row],[Efficiency %]]*Table1[[#This Row],[Quality %]], "")</f>
        <v/>
      </c>
      <c r="R1418" s="52"/>
    </row>
    <row r="1419" spans="1:18" ht="30" customHeight="1" x14ac:dyDescent="0.25">
      <c r="A1419" s="47">
        <v>46246</v>
      </c>
      <c r="B1419" s="48" t="s">
        <v>33</v>
      </c>
      <c r="C1419" s="48" t="s">
        <v>34</v>
      </c>
      <c r="D1419" s="48" t="s">
        <v>35</v>
      </c>
      <c r="E1419" s="49">
        <v>9000</v>
      </c>
      <c r="F1419" s="76">
        <v>6385</v>
      </c>
      <c r="G1419" s="49">
        <v>0</v>
      </c>
      <c r="H1419" s="50">
        <f>IFERROR(Table1[Re-process (Kg)]/Table1[Actual Production (Kg)], "")</f>
        <v>0</v>
      </c>
      <c r="I1419" s="49">
        <f>IFERROR(Table1[[#This Row],[Actual Production (Kg)]]-Table1[[#This Row],[Re-process (Kg)]], "")</f>
        <v>6385</v>
      </c>
      <c r="J1419" s="49">
        <v>22</v>
      </c>
      <c r="K1419" s="72"/>
      <c r="L1419" s="49">
        <f>IF(Table1[[#This Row],[Target Time (Hours)]]="","",Table1[[#This Row],[Target Time (Hours)]]-Table1[[#This Row],[Downtime (Hours)]])</f>
        <v>22</v>
      </c>
      <c r="M1419" s="49">
        <f>IFERROR(Table1[[#This Row],[Capacity (Kg)]]/Table1[[#This Row],[Target Time (Hours)]] * Table1[[#This Row],[Downtime (Hours)]], "")</f>
        <v>0</v>
      </c>
      <c r="N1419" s="50">
        <f>IFERROR(Table1[[#This Row],[Running Time (hr)]]/Table1[Target Time (Hours)], "")</f>
        <v>1</v>
      </c>
      <c r="O1419" s="50">
        <f>IFERROR(Table1[[#This Row],[Actual Production (Kg)]]/Table1[Capacity (Kg)], "")</f>
        <v>0.70944444444444443</v>
      </c>
      <c r="P1419" s="50">
        <f>IFERROR(Table1[[#This Row],[Quality Pass Production]]/Table1[[#This Row],[Actual Production (Kg)]], "")</f>
        <v>1</v>
      </c>
      <c r="Q1419" s="50">
        <f>IFERROR(Table1[[#This Row],[Utilization %]]*Table1[[#This Row],[Efficiency %]]*Table1[[#This Row],[Quality %]], "")</f>
        <v>0.70944444444444443</v>
      </c>
    </row>
    <row r="1420" spans="1:18" ht="30" customHeight="1" x14ac:dyDescent="0.25">
      <c r="A1420" s="47">
        <v>46246</v>
      </c>
      <c r="B1420" s="48" t="s">
        <v>33</v>
      </c>
      <c r="C1420" s="48" t="s">
        <v>36</v>
      </c>
      <c r="D1420" s="48" t="s">
        <v>37</v>
      </c>
      <c r="E1420" s="49">
        <v>8000</v>
      </c>
      <c r="F1420" s="76">
        <v>5959</v>
      </c>
      <c r="G1420" s="49">
        <v>0</v>
      </c>
      <c r="H1420" s="50">
        <f>IFERROR(Table1[Re-process (Kg)]/Table1[Actual Production (Kg)], "")</f>
        <v>0</v>
      </c>
      <c r="I1420" s="49">
        <f>IFERROR(Table1[[#This Row],[Actual Production (Kg)]]-Table1[[#This Row],[Re-process (Kg)]], "")</f>
        <v>5959</v>
      </c>
      <c r="J1420" s="49">
        <v>22</v>
      </c>
      <c r="K1420" s="72">
        <v>1.5</v>
      </c>
      <c r="L1420" s="49">
        <f>IF(Table1[[#This Row],[Target Time (Hours)]]="","",Table1[[#This Row],[Target Time (Hours)]]-Table1[[#This Row],[Downtime (Hours)]])</f>
        <v>20.5</v>
      </c>
      <c r="M1420" s="49">
        <f>IFERROR(Table1[[#This Row],[Capacity (Kg)]]/Table1[[#This Row],[Target Time (Hours)]] * Table1[[#This Row],[Downtime (Hours)]], "")</f>
        <v>545.4545454545455</v>
      </c>
      <c r="N1420" s="50">
        <f>IFERROR(Table1[[#This Row],[Running Time (hr)]]/Table1[Target Time (Hours)], "")</f>
        <v>0.93181818181818177</v>
      </c>
      <c r="O1420" s="50">
        <f>IFERROR(Table1[[#This Row],[Actual Production (Kg)]]/Table1[Capacity (Kg)], "")</f>
        <v>0.74487499999999995</v>
      </c>
      <c r="P1420" s="50">
        <f>IFERROR(Table1[[#This Row],[Quality Pass Production]]/Table1[[#This Row],[Actual Production (Kg)]], "")</f>
        <v>1</v>
      </c>
      <c r="Q1420" s="50">
        <f>IFERROR(Table1[[#This Row],[Utilization %]]*Table1[[#This Row],[Efficiency %]]*Table1[[#This Row],[Quality %]], "")</f>
        <v>0.69408806818181812</v>
      </c>
      <c r="R1420" s="48" t="s">
        <v>378</v>
      </c>
    </row>
    <row r="1421" spans="1:18" ht="30" customHeight="1" x14ac:dyDescent="0.25">
      <c r="A1421" s="47">
        <v>46246</v>
      </c>
      <c r="B1421" s="48" t="s">
        <v>33</v>
      </c>
      <c r="C1421" s="48" t="s">
        <v>39</v>
      </c>
      <c r="D1421" s="48" t="s">
        <v>31</v>
      </c>
      <c r="E1421" s="49">
        <v>6000</v>
      </c>
      <c r="F1421" s="76">
        <v>3869</v>
      </c>
      <c r="G1421" s="49">
        <v>0</v>
      </c>
      <c r="H1421" s="50">
        <f>IFERROR(Table1[Re-process (Kg)]/Table1[Actual Production (Kg)], "")</f>
        <v>0</v>
      </c>
      <c r="I1421" s="49">
        <f>IFERROR(Table1[[#This Row],[Actual Production (Kg)]]-Table1[[#This Row],[Re-process (Kg)]], "")</f>
        <v>3869</v>
      </c>
      <c r="J1421" s="49">
        <v>22</v>
      </c>
      <c r="K1421" s="72">
        <v>1</v>
      </c>
      <c r="L1421" s="49">
        <f>IF(Table1[[#This Row],[Target Time (Hours)]]="","",Table1[[#This Row],[Target Time (Hours)]]-Table1[[#This Row],[Downtime (Hours)]])</f>
        <v>21</v>
      </c>
      <c r="M1421" s="49">
        <f>IFERROR(Table1[[#This Row],[Capacity (Kg)]]/Table1[[#This Row],[Target Time (Hours)]] * Table1[[#This Row],[Downtime (Hours)]], "")</f>
        <v>272.72727272727275</v>
      </c>
      <c r="N1421" s="50">
        <f>IFERROR(Table1[[#This Row],[Running Time (hr)]]/Table1[Target Time (Hours)], "")</f>
        <v>0.95454545454545459</v>
      </c>
      <c r="O1421" s="50">
        <f>IFERROR(Table1[[#This Row],[Actual Production (Kg)]]/Table1[Capacity (Kg)], "")</f>
        <v>0.64483333333333337</v>
      </c>
      <c r="P1421" s="50">
        <f>IFERROR(Table1[[#This Row],[Quality Pass Production]]/Table1[[#This Row],[Actual Production (Kg)]], "")</f>
        <v>1</v>
      </c>
      <c r="Q1421" s="50">
        <f>IFERROR(Table1[[#This Row],[Utilization %]]*Table1[[#This Row],[Efficiency %]]*Table1[[#This Row],[Quality %]], "")</f>
        <v>0.61552272727272739</v>
      </c>
      <c r="R1421" s="48" t="s">
        <v>379</v>
      </c>
    </row>
    <row r="1422" spans="1:18" ht="45" customHeight="1" x14ac:dyDescent="0.25">
      <c r="A1422" s="54">
        <v>46246</v>
      </c>
      <c r="B1422" s="55" t="s">
        <v>33</v>
      </c>
      <c r="C1422" s="55" t="s">
        <v>40</v>
      </c>
      <c r="D1422" s="55" t="s">
        <v>31</v>
      </c>
      <c r="E1422" s="56">
        <v>5000</v>
      </c>
      <c r="F1422" s="56">
        <v>4177</v>
      </c>
      <c r="G1422" s="56">
        <v>0</v>
      </c>
      <c r="H1422" s="58">
        <f>IFERROR(Table1[Re-process (Kg)]/Table1[Actual Production (Kg)], "")</f>
        <v>0</v>
      </c>
      <c r="I1422" s="56">
        <f>IFERROR(Table1[[#This Row],[Actual Production (Kg)]]-Table1[[#This Row],[Re-process (Kg)]], "")</f>
        <v>4177</v>
      </c>
      <c r="J1422" s="56">
        <v>22</v>
      </c>
      <c r="K1422" s="55">
        <v>2</v>
      </c>
      <c r="L1422" s="56">
        <f>IF(Table1[[#This Row],[Target Time (Hours)]]="","",Table1[[#This Row],[Target Time (Hours)]]-Table1[[#This Row],[Downtime (Hours)]])</f>
        <v>20</v>
      </c>
      <c r="M1422" s="56">
        <f>IFERROR(Table1[[#This Row],[Capacity (Kg)]]/Table1[[#This Row],[Target Time (Hours)]] * Table1[[#This Row],[Downtime (Hours)]], "")</f>
        <v>454.54545454545456</v>
      </c>
      <c r="N1422" s="58">
        <f>IFERROR(Table1[[#This Row],[Running Time (hr)]]/Table1[Target Time (Hours)], "")</f>
        <v>0.90909090909090906</v>
      </c>
      <c r="O1422" s="58">
        <f>IFERROR(Table1[[#This Row],[Actual Production (Kg)]]/Table1[Capacity (Kg)], "")</f>
        <v>0.83540000000000003</v>
      </c>
      <c r="P1422" s="58">
        <f>IFERROR(Table1[[#This Row],[Quality Pass Production]]/Table1[[#This Row],[Actual Production (Kg)]], "")</f>
        <v>1</v>
      </c>
      <c r="Q1422" s="58">
        <f>IFERROR(Table1[[#This Row],[Utilization %]]*Table1[[#This Row],[Efficiency %]]*Table1[[#This Row],[Quality %]], "")</f>
        <v>0.75945454545454549</v>
      </c>
      <c r="R1422" s="55" t="s">
        <v>380</v>
      </c>
    </row>
    <row r="1423" spans="1:18" ht="30" customHeight="1" x14ac:dyDescent="0.25">
      <c r="A1423" s="47">
        <v>46247</v>
      </c>
      <c r="B1423" s="48" t="s">
        <v>18</v>
      </c>
      <c r="C1423" s="48" t="s">
        <v>19</v>
      </c>
      <c r="D1423" s="48" t="s">
        <v>20</v>
      </c>
      <c r="E1423" s="49">
        <v>10000</v>
      </c>
      <c r="F1423" s="76">
        <v>7491</v>
      </c>
      <c r="G1423" s="49">
        <v>0</v>
      </c>
      <c r="H1423" s="50">
        <f>IFERROR(Table1[Re-process (Kg)]/Table1[Actual Production (Kg)], "")</f>
        <v>0</v>
      </c>
      <c r="I1423" s="49">
        <f>IFERROR(Table1[[#This Row],[Actual Production (Kg)]]-Table1[[#This Row],[Re-process (Kg)]], "")</f>
        <v>7491</v>
      </c>
      <c r="J1423" s="49">
        <v>22</v>
      </c>
      <c r="K1423" s="72"/>
      <c r="L1423" s="49">
        <f>IF(Table1[[#This Row],[Target Time (Hours)]]="","",Table1[[#This Row],[Target Time (Hours)]]-Table1[[#This Row],[Downtime (Hours)]])</f>
        <v>22</v>
      </c>
      <c r="M1423" s="49">
        <f>IFERROR(Table1[[#This Row],[Capacity (Kg)]]/Table1[[#This Row],[Target Time (Hours)]] * Table1[[#This Row],[Downtime (Hours)]], "")</f>
        <v>0</v>
      </c>
      <c r="N1423" s="50">
        <f>IFERROR(Table1[[#This Row],[Running Time (hr)]]/Table1[Target Time (Hours)], "")</f>
        <v>1</v>
      </c>
      <c r="O1423" s="50">
        <f>IFERROR(Table1[[#This Row],[Actual Production (Kg)]]/Table1[Capacity (Kg)], "")</f>
        <v>0.74909999999999999</v>
      </c>
      <c r="P1423" s="50">
        <f>IFERROR(Table1[[#This Row],[Quality Pass Production]]/Table1[[#This Row],[Actual Production (Kg)]], "")</f>
        <v>1</v>
      </c>
      <c r="Q1423" s="50">
        <f>IFERROR(Table1[[#This Row],[Utilization %]]*Table1[[#This Row],[Efficiency %]]*Table1[[#This Row],[Quality %]], "")</f>
        <v>0.74909999999999999</v>
      </c>
    </row>
    <row r="1424" spans="1:18" x14ac:dyDescent="0.25">
      <c r="A1424" s="51">
        <v>46247</v>
      </c>
      <c r="B1424" s="52" t="s">
        <v>18</v>
      </c>
      <c r="C1424" s="52" t="s">
        <v>238</v>
      </c>
      <c r="D1424" s="52" t="s">
        <v>20</v>
      </c>
      <c r="E1424" s="53">
        <v>5347</v>
      </c>
      <c r="F1424" s="53">
        <v>5347</v>
      </c>
      <c r="G1424" s="53">
        <v>0</v>
      </c>
      <c r="H1424" s="57">
        <f>IFERROR(Table1[Re-process (Kg)]/Table1[Actual Production (Kg)], "")</f>
        <v>0</v>
      </c>
      <c r="I1424" s="53">
        <f>IFERROR(Table1[[#This Row],[Actual Production (Kg)]]-Table1[[#This Row],[Re-process (Kg)]], "")</f>
        <v>5347</v>
      </c>
      <c r="J1424" s="53"/>
      <c r="K1424" s="52"/>
      <c r="L1424" s="53" t="str">
        <f>IF(Table1[[#This Row],[Target Time (Hours)]]="","",Table1[[#This Row],[Target Time (Hours)]]-Table1[[#This Row],[Downtime (Hours)]])</f>
        <v/>
      </c>
      <c r="M1424" s="53" t="str">
        <f>IFERROR(Table1[[#This Row],[Capacity (Kg)]]/Table1[[#This Row],[Target Time (Hours)]] * Table1[[#This Row],[Downtime (Hours)]], "")</f>
        <v/>
      </c>
      <c r="N1424" s="57" t="str">
        <f>IFERROR(Table1[[#This Row],[Running Time (hr)]]/Table1[Target Time (Hours)], "")</f>
        <v/>
      </c>
      <c r="O1424" s="57">
        <f>IFERROR(Table1[[#This Row],[Actual Production (Kg)]]/Table1[Capacity (Kg)], "")</f>
        <v>1</v>
      </c>
      <c r="P1424" s="57">
        <f>IFERROR(Table1[[#This Row],[Quality Pass Production]]/Table1[[#This Row],[Actual Production (Kg)]], "")</f>
        <v>1</v>
      </c>
      <c r="Q1424" s="57" t="str">
        <f>IFERROR(Table1[[#This Row],[Utilization %]]*Table1[[#This Row],[Efficiency %]]*Table1[[#This Row],[Quality %]], "")</f>
        <v/>
      </c>
      <c r="R1424" s="52"/>
    </row>
    <row r="1425" spans="1:18" x14ac:dyDescent="0.25">
      <c r="A1425" s="47">
        <v>46247</v>
      </c>
      <c r="B1425" s="48" t="s">
        <v>18</v>
      </c>
      <c r="C1425" s="48" t="s">
        <v>22</v>
      </c>
      <c r="D1425" s="48" t="s">
        <v>23</v>
      </c>
      <c r="E1425" s="49">
        <v>4000</v>
      </c>
      <c r="F1425" s="76">
        <v>6249</v>
      </c>
      <c r="G1425" s="49">
        <v>0</v>
      </c>
      <c r="H1425" s="50">
        <f>IFERROR(Table1[Re-process (Kg)]/Table1[Actual Production (Kg)], "")</f>
        <v>0</v>
      </c>
      <c r="I1425" s="49">
        <f>IFERROR(Table1[[#This Row],[Actual Production (Kg)]]-Table1[[#This Row],[Re-process (Kg)]], "")</f>
        <v>6249</v>
      </c>
      <c r="J1425" s="49">
        <v>22</v>
      </c>
      <c r="K1425" s="72"/>
      <c r="L1425" s="49">
        <f>IF(Table1[[#This Row],[Target Time (Hours)]]="","",Table1[[#This Row],[Target Time (Hours)]]-Table1[[#This Row],[Downtime (Hours)]])</f>
        <v>22</v>
      </c>
      <c r="M1425" s="49">
        <f>IFERROR(Table1[[#This Row],[Capacity (Kg)]]/Table1[[#This Row],[Target Time (Hours)]] * Table1[[#This Row],[Downtime (Hours)]], "")</f>
        <v>0</v>
      </c>
      <c r="N1425" s="50">
        <f>IFERROR(Table1[[#This Row],[Running Time (hr)]]/Table1[Target Time (Hours)], "")</f>
        <v>1</v>
      </c>
      <c r="O1425" s="50">
        <f>IFERROR(Table1[[#This Row],[Actual Production (Kg)]]/Table1[Capacity (Kg)], "")</f>
        <v>1.5622499999999999</v>
      </c>
      <c r="P1425" s="50">
        <f>IFERROR(Table1[[#This Row],[Quality Pass Production]]/Table1[[#This Row],[Actual Production (Kg)]], "")</f>
        <v>1</v>
      </c>
      <c r="Q1425" s="50">
        <f>IFERROR(Table1[[#This Row],[Utilization %]]*Table1[[#This Row],[Efficiency %]]*Table1[[#This Row],[Quality %]], "")</f>
        <v>1.5622499999999999</v>
      </c>
    </row>
    <row r="1426" spans="1:18" x14ac:dyDescent="0.25">
      <c r="A1426" s="47">
        <v>46247</v>
      </c>
      <c r="B1426" s="48" t="s">
        <v>18</v>
      </c>
      <c r="C1426" s="48" t="s">
        <v>22</v>
      </c>
      <c r="D1426" s="48" t="s">
        <v>25</v>
      </c>
      <c r="E1426" s="49">
        <v>5000</v>
      </c>
      <c r="F1426" s="76">
        <v>2412</v>
      </c>
      <c r="G1426" s="49">
        <v>0</v>
      </c>
      <c r="H1426" s="50">
        <f>IFERROR(Table1[Re-process (Kg)]/Table1[Actual Production (Kg)], "")</f>
        <v>0</v>
      </c>
      <c r="I1426" s="49">
        <f>IFERROR(Table1[[#This Row],[Actual Production (Kg)]]-Table1[[#This Row],[Re-process (Kg)]], "")</f>
        <v>2412</v>
      </c>
      <c r="J1426" s="49"/>
      <c r="K1426" s="72">
        <v>1</v>
      </c>
      <c r="L1426" s="49" t="str">
        <f>IF(Table1[[#This Row],[Target Time (Hours)]]="","",Table1[[#This Row],[Target Time (Hours)]]-Table1[[#This Row],[Downtime (Hours)]])</f>
        <v/>
      </c>
      <c r="M1426" s="49" t="str">
        <f>IFERROR(Table1[[#This Row],[Capacity (Kg)]]/Table1[[#This Row],[Target Time (Hours)]] * Table1[[#This Row],[Downtime (Hours)]], "")</f>
        <v/>
      </c>
      <c r="N1426" s="50" t="str">
        <f>IFERROR(Table1[[#This Row],[Running Time (hr)]]/Table1[Target Time (Hours)], "")</f>
        <v/>
      </c>
      <c r="O1426" s="50">
        <f>IFERROR(Table1[[#This Row],[Actual Production (Kg)]]/Table1[Capacity (Kg)], "")</f>
        <v>0.4824</v>
      </c>
      <c r="P1426" s="50">
        <f>IFERROR(Table1[[#This Row],[Quality Pass Production]]/Table1[[#This Row],[Actual Production (Kg)]], "")</f>
        <v>1</v>
      </c>
      <c r="Q1426" s="50" t="str">
        <f>IFERROR(Table1[[#This Row],[Utilization %]]*Table1[[#This Row],[Efficiency %]]*Table1[[#This Row],[Quality %]], "")</f>
        <v/>
      </c>
      <c r="R1426" s="48" t="s">
        <v>381</v>
      </c>
    </row>
    <row r="1427" spans="1:18" x14ac:dyDescent="0.25">
      <c r="A1427" s="47">
        <v>46247</v>
      </c>
      <c r="B1427" s="48" t="s">
        <v>18</v>
      </c>
      <c r="C1427" s="48" t="s">
        <v>26</v>
      </c>
      <c r="D1427" s="48" t="s">
        <v>25</v>
      </c>
      <c r="E1427" s="49">
        <v>7000</v>
      </c>
      <c r="F1427" s="76">
        <v>5004</v>
      </c>
      <c r="G1427" s="49">
        <v>0</v>
      </c>
      <c r="H1427" s="50">
        <f>IFERROR(Table1[Re-process (Kg)]/Table1[Actual Production (Kg)], "")</f>
        <v>0</v>
      </c>
      <c r="I1427" s="49">
        <f>IFERROR(Table1[[#This Row],[Actual Production (Kg)]]-Table1[[#This Row],[Re-process (Kg)]], "")</f>
        <v>5004</v>
      </c>
      <c r="J1427" s="49">
        <v>22</v>
      </c>
      <c r="K1427" s="72"/>
      <c r="L1427" s="49">
        <f>IF(Table1[[#This Row],[Target Time (Hours)]]="","",Table1[[#This Row],[Target Time (Hours)]]-Table1[[#This Row],[Downtime (Hours)]])</f>
        <v>22</v>
      </c>
      <c r="M1427" s="49">
        <f>IFERROR(Table1[[#This Row],[Capacity (Kg)]]/Table1[[#This Row],[Target Time (Hours)]] * Table1[[#This Row],[Downtime (Hours)]], "")</f>
        <v>0</v>
      </c>
      <c r="N1427" s="50">
        <f>IFERROR(Table1[[#This Row],[Running Time (hr)]]/Table1[Target Time (Hours)], "")</f>
        <v>1</v>
      </c>
      <c r="O1427" s="50">
        <f>IFERROR(Table1[[#This Row],[Actual Production (Kg)]]/Table1[Capacity (Kg)], "")</f>
        <v>0.71485714285714286</v>
      </c>
      <c r="P1427" s="50">
        <f>IFERROR(Table1[[#This Row],[Quality Pass Production]]/Table1[[#This Row],[Actual Production (Kg)]], "")</f>
        <v>1</v>
      </c>
      <c r="Q1427" s="50">
        <f>IFERROR(Table1[[#This Row],[Utilization %]]*Table1[[#This Row],[Efficiency %]]*Table1[[#This Row],[Quality %]], "")</f>
        <v>0.71485714285714286</v>
      </c>
    </row>
    <row r="1428" spans="1:18" ht="30" customHeight="1" x14ac:dyDescent="0.25">
      <c r="A1428" s="47">
        <v>46247</v>
      </c>
      <c r="B1428" s="48" t="s">
        <v>18</v>
      </c>
      <c r="C1428" s="48" t="s">
        <v>28</v>
      </c>
      <c r="D1428" s="48" t="s">
        <v>29</v>
      </c>
      <c r="E1428" s="49">
        <v>7800</v>
      </c>
      <c r="F1428" s="76">
        <v>6584</v>
      </c>
      <c r="G1428" s="49">
        <v>0</v>
      </c>
      <c r="H1428" s="50">
        <f>IFERROR(Table1[Re-process (Kg)]/Table1[Actual Production (Kg)], "")</f>
        <v>0</v>
      </c>
      <c r="I1428" s="49">
        <f>IFERROR(Table1[[#This Row],[Actual Production (Kg)]]-Table1[[#This Row],[Re-process (Kg)]], "")</f>
        <v>6584</v>
      </c>
      <c r="J1428" s="49">
        <v>22</v>
      </c>
      <c r="K1428" s="72"/>
      <c r="L1428" s="49">
        <f>IF(Table1[[#This Row],[Target Time (Hours)]]="","",Table1[[#This Row],[Target Time (Hours)]]-Table1[[#This Row],[Downtime (Hours)]])</f>
        <v>22</v>
      </c>
      <c r="M1428" s="49">
        <f>IFERROR(Table1[[#This Row],[Capacity (Kg)]]/Table1[[#This Row],[Target Time (Hours)]] * Table1[[#This Row],[Downtime (Hours)]], "")</f>
        <v>0</v>
      </c>
      <c r="N1428" s="50">
        <f>IFERROR(Table1[[#This Row],[Running Time (hr)]]/Table1[Target Time (Hours)], "")</f>
        <v>1</v>
      </c>
      <c r="O1428" s="50">
        <f>IFERROR(Table1[[#This Row],[Actual Production (Kg)]]/Table1[Capacity (Kg)], "")</f>
        <v>0.84410256410256412</v>
      </c>
      <c r="P1428" s="50">
        <f>IFERROR(Table1[[#This Row],[Quality Pass Production]]/Table1[[#This Row],[Actual Production (Kg)]], "")</f>
        <v>1</v>
      </c>
      <c r="Q1428" s="50">
        <f>IFERROR(Table1[[#This Row],[Utilization %]]*Table1[[#This Row],[Efficiency %]]*Table1[[#This Row],[Quality %]], "")</f>
        <v>0.84410256410256412</v>
      </c>
    </row>
    <row r="1429" spans="1:18" ht="30" customHeight="1" x14ac:dyDescent="0.25">
      <c r="A1429" s="51">
        <v>46247</v>
      </c>
      <c r="B1429" s="52" t="s">
        <v>18</v>
      </c>
      <c r="C1429" s="52" t="s">
        <v>135</v>
      </c>
      <c r="D1429" s="52" t="s">
        <v>29</v>
      </c>
      <c r="E1429" s="53"/>
      <c r="F1429" s="53"/>
      <c r="G1429" s="53"/>
      <c r="H1429" s="57" t="str">
        <f>IFERROR(Table1[Re-process (Kg)]/Table1[Actual Production (Kg)], "")</f>
        <v/>
      </c>
      <c r="I1429" s="53">
        <f>IFERROR(Table1[[#This Row],[Actual Production (Kg)]]-Table1[[#This Row],[Re-process (Kg)]], "")</f>
        <v>0</v>
      </c>
      <c r="J1429" s="53"/>
      <c r="K1429" s="52"/>
      <c r="L1429" s="53" t="str">
        <f>IF(Table1[[#This Row],[Target Time (Hours)]]="","",Table1[[#This Row],[Target Time (Hours)]]-Table1[[#This Row],[Downtime (Hours)]])</f>
        <v/>
      </c>
      <c r="M1429" s="53" t="str">
        <f>IFERROR(Table1[[#This Row],[Capacity (Kg)]]/Table1[[#This Row],[Target Time (Hours)]] * Table1[[#This Row],[Downtime (Hours)]], "")</f>
        <v/>
      </c>
      <c r="N1429" s="57" t="str">
        <f>IFERROR(Table1[[#This Row],[Running Time (hr)]]/Table1[Target Time (Hours)], "")</f>
        <v/>
      </c>
      <c r="O1429" s="57" t="str">
        <f>IFERROR(Table1[[#This Row],[Actual Production (Kg)]]/Table1[Capacity (Kg)], "")</f>
        <v/>
      </c>
      <c r="P1429" s="57" t="str">
        <f>IFERROR(Table1[[#This Row],[Quality Pass Production]]/Table1[[#This Row],[Actual Production (Kg)]], "")</f>
        <v/>
      </c>
      <c r="Q1429" s="57" t="str">
        <f>IFERROR(Table1[[#This Row],[Utilization %]]*Table1[[#This Row],[Efficiency %]]*Table1[[#This Row],[Quality %]], "")</f>
        <v/>
      </c>
      <c r="R1429" s="52"/>
    </row>
    <row r="1430" spans="1:18" ht="30" customHeight="1" x14ac:dyDescent="0.25">
      <c r="A1430" s="47">
        <v>46247</v>
      </c>
      <c r="B1430" s="48" t="s">
        <v>18</v>
      </c>
      <c r="C1430" s="48" t="s">
        <v>30</v>
      </c>
      <c r="D1430" s="48" t="s">
        <v>31</v>
      </c>
      <c r="E1430" s="49">
        <v>9000</v>
      </c>
      <c r="F1430" s="76">
        <v>5706</v>
      </c>
      <c r="G1430" s="49">
        <v>0</v>
      </c>
      <c r="H1430" s="50">
        <f>IFERROR(Table1[Re-process (Kg)]/Table1[Actual Production (Kg)], "")</f>
        <v>0</v>
      </c>
      <c r="I1430" s="49">
        <f>IFERROR(Table1[[#This Row],[Actual Production (Kg)]]-Table1[[#This Row],[Re-process (Kg)]], "")</f>
        <v>5706</v>
      </c>
      <c r="J1430" s="49">
        <v>22</v>
      </c>
      <c r="K1430" s="72">
        <v>6.5</v>
      </c>
      <c r="L1430" s="49">
        <f>IF(Table1[[#This Row],[Target Time (Hours)]]="","",Table1[[#This Row],[Target Time (Hours)]]-Table1[[#This Row],[Downtime (Hours)]])</f>
        <v>15.5</v>
      </c>
      <c r="M1430" s="49">
        <f>IFERROR(Table1[[#This Row],[Capacity (Kg)]]/Table1[[#This Row],[Target Time (Hours)]] * Table1[[#This Row],[Downtime (Hours)]], "")</f>
        <v>2659.090909090909</v>
      </c>
      <c r="N1430" s="50">
        <f>IFERROR(Table1[[#This Row],[Running Time (hr)]]/Table1[Target Time (Hours)], "")</f>
        <v>0.70454545454545459</v>
      </c>
      <c r="O1430" s="50">
        <f>IFERROR(Table1[[#This Row],[Actual Production (Kg)]]/Table1[Capacity (Kg)], "")</f>
        <v>0.63400000000000001</v>
      </c>
      <c r="P1430" s="50">
        <f>IFERROR(Table1[[#This Row],[Quality Pass Production]]/Table1[[#This Row],[Actual Production (Kg)]], "")</f>
        <v>1</v>
      </c>
      <c r="Q1430" s="50">
        <f>IFERROR(Table1[[#This Row],[Utilization %]]*Table1[[#This Row],[Efficiency %]]*Table1[[#This Row],[Quality %]], "")</f>
        <v>0.44668181818181824</v>
      </c>
      <c r="R1430" s="48" t="s">
        <v>382</v>
      </c>
    </row>
    <row r="1431" spans="1:18" ht="30" customHeight="1" x14ac:dyDescent="0.25">
      <c r="A1431" s="51">
        <v>46247</v>
      </c>
      <c r="B1431" s="52" t="s">
        <v>18</v>
      </c>
      <c r="C1431" s="52" t="s">
        <v>32</v>
      </c>
      <c r="D1431" s="52" t="s">
        <v>31</v>
      </c>
      <c r="E1431" s="53"/>
      <c r="F1431" s="53"/>
      <c r="G1431" s="53"/>
      <c r="H1431" s="57" t="str">
        <f>IFERROR(Table1[Re-process (Kg)]/Table1[Actual Production (Kg)], "")</f>
        <v/>
      </c>
      <c r="I1431" s="53">
        <f>IFERROR(Table1[[#This Row],[Actual Production (Kg)]]-Table1[[#This Row],[Re-process (Kg)]], "")</f>
        <v>0</v>
      </c>
      <c r="J1431" s="53"/>
      <c r="K1431" s="52"/>
      <c r="L1431" s="53" t="str">
        <f>IF(Table1[[#This Row],[Target Time (Hours)]]="","",Table1[[#This Row],[Target Time (Hours)]]-Table1[[#This Row],[Downtime (Hours)]])</f>
        <v/>
      </c>
      <c r="M1431" s="53" t="str">
        <f>IFERROR(Table1[[#This Row],[Capacity (Kg)]]/Table1[[#This Row],[Target Time (Hours)]] * Table1[[#This Row],[Downtime (Hours)]], "")</f>
        <v/>
      </c>
      <c r="N1431" s="57" t="str">
        <f>IFERROR(Table1[[#This Row],[Running Time (hr)]]/Table1[Target Time (Hours)], "")</f>
        <v/>
      </c>
      <c r="O1431" s="57" t="str">
        <f>IFERROR(Table1[[#This Row],[Actual Production (Kg)]]/Table1[Capacity (Kg)], "")</f>
        <v/>
      </c>
      <c r="P1431" s="57" t="str">
        <f>IFERROR(Table1[[#This Row],[Quality Pass Production]]/Table1[[#This Row],[Actual Production (Kg)]], "")</f>
        <v/>
      </c>
      <c r="Q1431" s="57" t="str">
        <f>IFERROR(Table1[[#This Row],[Utilization %]]*Table1[[#This Row],[Efficiency %]]*Table1[[#This Row],[Quality %]], "")</f>
        <v/>
      </c>
      <c r="R1431" s="52"/>
    </row>
    <row r="1432" spans="1:18" ht="30" customHeight="1" x14ac:dyDescent="0.25">
      <c r="A1432" s="47">
        <v>46247</v>
      </c>
      <c r="B1432" s="48" t="s">
        <v>33</v>
      </c>
      <c r="C1432" s="48" t="s">
        <v>34</v>
      </c>
      <c r="D1432" s="48" t="s">
        <v>35</v>
      </c>
      <c r="E1432" s="49">
        <v>9000</v>
      </c>
      <c r="F1432" s="76">
        <v>3869</v>
      </c>
      <c r="G1432" s="49">
        <v>0</v>
      </c>
      <c r="H1432" s="50">
        <f>IFERROR(Table1[Re-process (Kg)]/Table1[Actual Production (Kg)], "")</f>
        <v>0</v>
      </c>
      <c r="I1432" s="49">
        <f>IFERROR(Table1[[#This Row],[Actual Production (Kg)]]-Table1[[#This Row],[Re-process (Kg)]], "")</f>
        <v>3869</v>
      </c>
      <c r="J1432" s="49">
        <v>22</v>
      </c>
      <c r="K1432" s="72"/>
      <c r="L1432" s="49">
        <f>IF(Table1[[#This Row],[Target Time (Hours)]]="","",Table1[[#This Row],[Target Time (Hours)]]-Table1[[#This Row],[Downtime (Hours)]])</f>
        <v>22</v>
      </c>
      <c r="M1432" s="49">
        <f>IFERROR(Table1[[#This Row],[Capacity (Kg)]]/Table1[[#This Row],[Target Time (Hours)]] * Table1[[#This Row],[Downtime (Hours)]], "")</f>
        <v>0</v>
      </c>
      <c r="N1432" s="50">
        <f>IFERROR(Table1[[#This Row],[Running Time (hr)]]/Table1[Target Time (Hours)], "")</f>
        <v>1</v>
      </c>
      <c r="O1432" s="50">
        <f>IFERROR(Table1[[#This Row],[Actual Production (Kg)]]/Table1[Capacity (Kg)], "")</f>
        <v>0.42988888888888888</v>
      </c>
      <c r="P1432" s="50">
        <f>IFERROR(Table1[[#This Row],[Quality Pass Production]]/Table1[[#This Row],[Actual Production (Kg)]], "")</f>
        <v>1</v>
      </c>
      <c r="Q1432" s="50">
        <f>IFERROR(Table1[[#This Row],[Utilization %]]*Table1[[#This Row],[Efficiency %]]*Table1[[#This Row],[Quality %]], "")</f>
        <v>0.42988888888888888</v>
      </c>
      <c r="R1432" s="48" t="s">
        <v>383</v>
      </c>
    </row>
    <row r="1433" spans="1:18" ht="30" customHeight="1" x14ac:dyDescent="0.25">
      <c r="A1433" s="47">
        <v>46247</v>
      </c>
      <c r="B1433" s="48" t="s">
        <v>33</v>
      </c>
      <c r="C1433" s="48" t="s">
        <v>36</v>
      </c>
      <c r="D1433" s="48" t="s">
        <v>37</v>
      </c>
      <c r="E1433" s="49">
        <v>8000</v>
      </c>
      <c r="F1433" s="76">
        <v>4716</v>
      </c>
      <c r="G1433" s="49">
        <v>0</v>
      </c>
      <c r="H1433" s="50">
        <f>IFERROR(Table1[Re-process (Kg)]/Table1[Actual Production (Kg)], "")</f>
        <v>0</v>
      </c>
      <c r="I1433" s="49">
        <f>IFERROR(Table1[[#This Row],[Actual Production (Kg)]]-Table1[[#This Row],[Re-process (Kg)]], "")</f>
        <v>4716</v>
      </c>
      <c r="J1433" s="49">
        <v>22</v>
      </c>
      <c r="K1433" s="72">
        <v>1.5</v>
      </c>
      <c r="L1433" s="49">
        <f>IF(Table1[[#This Row],[Target Time (Hours)]]="","",Table1[[#This Row],[Target Time (Hours)]]-Table1[[#This Row],[Downtime (Hours)]])</f>
        <v>20.5</v>
      </c>
      <c r="M1433" s="49">
        <f>IFERROR(Table1[[#This Row],[Capacity (Kg)]]/Table1[[#This Row],[Target Time (Hours)]] * Table1[[#This Row],[Downtime (Hours)]], "")</f>
        <v>545.4545454545455</v>
      </c>
      <c r="N1433" s="50">
        <f>IFERROR(Table1[[#This Row],[Running Time (hr)]]/Table1[Target Time (Hours)], "")</f>
        <v>0.93181818181818177</v>
      </c>
      <c r="O1433" s="50">
        <f>IFERROR(Table1[[#This Row],[Actual Production (Kg)]]/Table1[Capacity (Kg)], "")</f>
        <v>0.58950000000000002</v>
      </c>
      <c r="P1433" s="50">
        <f>IFERROR(Table1[[#This Row],[Quality Pass Production]]/Table1[[#This Row],[Actual Production (Kg)]], "")</f>
        <v>1</v>
      </c>
      <c r="Q1433" s="50">
        <f>IFERROR(Table1[[#This Row],[Utilization %]]*Table1[[#This Row],[Efficiency %]]*Table1[[#This Row],[Quality %]], "")</f>
        <v>0.54930681818181815</v>
      </c>
      <c r="R1433" s="48" t="s">
        <v>378</v>
      </c>
    </row>
    <row r="1434" spans="1:18" ht="30" customHeight="1" x14ac:dyDescent="0.25">
      <c r="A1434" s="47">
        <v>46247</v>
      </c>
      <c r="B1434" s="48" t="s">
        <v>33</v>
      </c>
      <c r="C1434" s="48" t="s">
        <v>39</v>
      </c>
      <c r="D1434" s="48" t="s">
        <v>31</v>
      </c>
      <c r="E1434" s="49">
        <v>6000</v>
      </c>
      <c r="F1434" s="76">
        <v>2734</v>
      </c>
      <c r="G1434" s="49">
        <v>0</v>
      </c>
      <c r="H1434" s="50">
        <f>IFERROR(Table1[Re-process (Kg)]/Table1[Actual Production (Kg)], "")</f>
        <v>0</v>
      </c>
      <c r="I1434" s="49">
        <f>IFERROR(Table1[[#This Row],[Actual Production (Kg)]]-Table1[[#This Row],[Re-process (Kg)]], "")</f>
        <v>2734</v>
      </c>
      <c r="J1434" s="49">
        <v>22</v>
      </c>
      <c r="K1434" s="72"/>
      <c r="L1434" s="49">
        <f>IF(Table1[[#This Row],[Target Time (Hours)]]="","",Table1[[#This Row],[Target Time (Hours)]]-Table1[[#This Row],[Downtime (Hours)]])</f>
        <v>22</v>
      </c>
      <c r="M1434" s="49">
        <f>IFERROR(Table1[[#This Row],[Capacity (Kg)]]/Table1[[#This Row],[Target Time (Hours)]] * Table1[[#This Row],[Downtime (Hours)]], "")</f>
        <v>0</v>
      </c>
      <c r="N1434" s="50">
        <f>IFERROR(Table1[[#This Row],[Running Time (hr)]]/Table1[Target Time (Hours)], "")</f>
        <v>1</v>
      </c>
      <c r="O1434" s="50">
        <f>IFERROR(Table1[[#This Row],[Actual Production (Kg)]]/Table1[Capacity (Kg)], "")</f>
        <v>0.45566666666666666</v>
      </c>
      <c r="P1434" s="50">
        <f>IFERROR(Table1[[#This Row],[Quality Pass Production]]/Table1[[#This Row],[Actual Production (Kg)]], "")</f>
        <v>1</v>
      </c>
      <c r="Q1434" s="50">
        <f>IFERROR(Table1[[#This Row],[Utilization %]]*Table1[[#This Row],[Efficiency %]]*Table1[[#This Row],[Quality %]], "")</f>
        <v>0.45566666666666666</v>
      </c>
      <c r="R1434" s="48" t="s">
        <v>383</v>
      </c>
    </row>
    <row r="1435" spans="1:18" ht="45" customHeight="1" x14ac:dyDescent="0.25">
      <c r="A1435" s="54">
        <v>46247</v>
      </c>
      <c r="B1435" s="55" t="s">
        <v>33</v>
      </c>
      <c r="C1435" s="55" t="s">
        <v>40</v>
      </c>
      <c r="D1435" s="55" t="s">
        <v>31</v>
      </c>
      <c r="E1435" s="56">
        <v>5000</v>
      </c>
      <c r="F1435" s="56">
        <v>1485</v>
      </c>
      <c r="G1435" s="56">
        <v>0</v>
      </c>
      <c r="H1435" s="58">
        <f>IFERROR(Table1[Re-process (Kg)]/Table1[Actual Production (Kg)], "")</f>
        <v>0</v>
      </c>
      <c r="I1435" s="56">
        <f>IFERROR(Table1[[#This Row],[Actual Production (Kg)]]-Table1[[#This Row],[Re-process (Kg)]], "")</f>
        <v>1485</v>
      </c>
      <c r="J1435" s="56">
        <v>22</v>
      </c>
      <c r="K1435" s="55"/>
      <c r="L1435" s="56">
        <f>IF(Table1[[#This Row],[Target Time (Hours)]]="","",Table1[[#This Row],[Target Time (Hours)]]-Table1[[#This Row],[Downtime (Hours)]])</f>
        <v>22</v>
      </c>
      <c r="M1435" s="56">
        <f>IFERROR(Table1[[#This Row],[Capacity (Kg)]]/Table1[[#This Row],[Target Time (Hours)]] * Table1[[#This Row],[Downtime (Hours)]], "")</f>
        <v>0</v>
      </c>
      <c r="N1435" s="58">
        <f>IFERROR(Table1[[#This Row],[Running Time (hr)]]/Table1[Target Time (Hours)], "")</f>
        <v>1</v>
      </c>
      <c r="O1435" s="58">
        <f>IFERROR(Table1[[#This Row],[Actual Production (Kg)]]/Table1[Capacity (Kg)], "")</f>
        <v>0.29699999999999999</v>
      </c>
      <c r="P1435" s="58">
        <f>IFERROR(Table1[[#This Row],[Quality Pass Production]]/Table1[[#This Row],[Actual Production (Kg)]], "")</f>
        <v>1</v>
      </c>
      <c r="Q1435" s="58">
        <f>IFERROR(Table1[[#This Row],[Utilization %]]*Table1[[#This Row],[Efficiency %]]*Table1[[#This Row],[Quality %]], "")</f>
        <v>0.29699999999999999</v>
      </c>
      <c r="R1435" s="55" t="s">
        <v>383</v>
      </c>
    </row>
    <row r="1436" spans="1:18" ht="30" customHeight="1" x14ac:dyDescent="0.25">
      <c r="A1436" s="47">
        <v>46249</v>
      </c>
      <c r="B1436" s="48" t="s">
        <v>18</v>
      </c>
      <c r="C1436" s="48" t="s">
        <v>19</v>
      </c>
      <c r="D1436" s="48" t="s">
        <v>20</v>
      </c>
      <c r="E1436" s="49">
        <v>10000</v>
      </c>
      <c r="F1436" s="76">
        <v>7398</v>
      </c>
      <c r="G1436" s="49">
        <v>0</v>
      </c>
      <c r="H1436" s="50">
        <f>IFERROR(Table1[Re-process (Kg)]/Table1[Actual Production (Kg)], "")</f>
        <v>0</v>
      </c>
      <c r="I1436" s="49">
        <f>IFERROR(Table1[[#This Row],[Actual Production (Kg)]]-Table1[[#This Row],[Re-process (Kg)]], "")</f>
        <v>7398</v>
      </c>
      <c r="J1436" s="49">
        <v>22</v>
      </c>
      <c r="K1436" s="72">
        <v>2.5</v>
      </c>
      <c r="L1436" s="49">
        <f>IF(Table1[[#This Row],[Target Time (Hours)]]="","",Table1[[#This Row],[Target Time (Hours)]]-Table1[[#This Row],[Downtime (Hours)]])</f>
        <v>19.5</v>
      </c>
      <c r="M1436" s="49">
        <f>IFERROR(Table1[[#This Row],[Capacity (Kg)]]/Table1[[#This Row],[Target Time (Hours)]] * Table1[[#This Row],[Downtime (Hours)]], "")</f>
        <v>1136.3636363636365</v>
      </c>
      <c r="N1436" s="50">
        <f>IFERROR(Table1[[#This Row],[Running Time (hr)]]/Table1[Target Time (Hours)], "")</f>
        <v>0.88636363636363635</v>
      </c>
      <c r="O1436" s="50">
        <f>IFERROR(Table1[[#This Row],[Actual Production (Kg)]]/Table1[Capacity (Kg)], "")</f>
        <v>0.73980000000000001</v>
      </c>
      <c r="P1436" s="50">
        <f>IFERROR(Table1[[#This Row],[Quality Pass Production]]/Table1[[#This Row],[Actual Production (Kg)]], "")</f>
        <v>1</v>
      </c>
      <c r="Q1436" s="50">
        <f>IFERROR(Table1[[#This Row],[Utilization %]]*Table1[[#This Row],[Efficiency %]]*Table1[[#This Row],[Quality %]], "")</f>
        <v>0.65573181818181814</v>
      </c>
      <c r="R1436" s="48" t="s">
        <v>384</v>
      </c>
    </row>
    <row r="1437" spans="1:18" ht="30" customHeight="1" x14ac:dyDescent="0.25">
      <c r="A1437" s="51">
        <v>46249</v>
      </c>
      <c r="B1437" s="52" t="s">
        <v>18</v>
      </c>
      <c r="C1437" s="52" t="s">
        <v>238</v>
      </c>
      <c r="D1437" s="52" t="s">
        <v>20</v>
      </c>
      <c r="E1437" s="53">
        <v>9583</v>
      </c>
      <c r="F1437" s="53">
        <v>9583</v>
      </c>
      <c r="G1437" s="53">
        <v>0</v>
      </c>
      <c r="H1437" s="57">
        <f>IFERROR(Table1[Re-process (Kg)]/Table1[Actual Production (Kg)], "")</f>
        <v>0</v>
      </c>
      <c r="I1437" s="53">
        <f>IFERROR(Table1[[#This Row],[Actual Production (Kg)]]-Table1[[#This Row],[Re-process (Kg)]], "")</f>
        <v>9583</v>
      </c>
      <c r="J1437" s="53"/>
      <c r="K1437" s="52">
        <v>0.5</v>
      </c>
      <c r="L1437" s="53" t="str">
        <f>IF(Table1[[#This Row],[Target Time (Hours)]]="","",Table1[[#This Row],[Target Time (Hours)]]-Table1[[#This Row],[Downtime (Hours)]])</f>
        <v/>
      </c>
      <c r="M1437" s="53" t="str">
        <f>IFERROR(Table1[[#This Row],[Capacity (Kg)]]/Table1[[#This Row],[Target Time (Hours)]] * Table1[[#This Row],[Downtime (Hours)]], "")</f>
        <v/>
      </c>
      <c r="N1437" s="57" t="str">
        <f>IFERROR(Table1[[#This Row],[Running Time (hr)]]/Table1[Target Time (Hours)], "")</f>
        <v/>
      </c>
      <c r="O1437" s="57">
        <f>IFERROR(Table1[[#This Row],[Actual Production (Kg)]]/Table1[Capacity (Kg)], "")</f>
        <v>1</v>
      </c>
      <c r="P1437" s="57">
        <f>IFERROR(Table1[[#This Row],[Quality Pass Production]]/Table1[[#This Row],[Actual Production (Kg)]], "")</f>
        <v>1</v>
      </c>
      <c r="Q1437" s="57" t="str">
        <f>IFERROR(Table1[[#This Row],[Utilization %]]*Table1[[#This Row],[Efficiency %]]*Table1[[#This Row],[Quality %]], "")</f>
        <v/>
      </c>
      <c r="R1437" s="52" t="s">
        <v>357</v>
      </c>
    </row>
    <row r="1438" spans="1:18" x14ac:dyDescent="0.25">
      <c r="A1438" s="47">
        <v>46249</v>
      </c>
      <c r="B1438" s="48" t="s">
        <v>18</v>
      </c>
      <c r="C1438" s="48" t="s">
        <v>22</v>
      </c>
      <c r="D1438" s="48" t="s">
        <v>23</v>
      </c>
      <c r="E1438" s="49">
        <v>4000</v>
      </c>
      <c r="F1438" s="76">
        <v>4918</v>
      </c>
      <c r="G1438" s="49">
        <v>0</v>
      </c>
      <c r="H1438" s="50">
        <f>IFERROR(Table1[Re-process (Kg)]/Table1[Actual Production (Kg)], "")</f>
        <v>0</v>
      </c>
      <c r="I1438" s="49">
        <f>IFERROR(Table1[[#This Row],[Actual Production (Kg)]]-Table1[[#This Row],[Re-process (Kg)]], "")</f>
        <v>4918</v>
      </c>
      <c r="J1438" s="49">
        <v>22</v>
      </c>
      <c r="K1438" s="72"/>
      <c r="L1438" s="49">
        <f>IF(Table1[[#This Row],[Target Time (Hours)]]="","",Table1[[#This Row],[Target Time (Hours)]]-Table1[[#This Row],[Downtime (Hours)]])</f>
        <v>22</v>
      </c>
      <c r="M1438" s="49">
        <f>IFERROR(Table1[[#This Row],[Capacity (Kg)]]/Table1[[#This Row],[Target Time (Hours)]] * Table1[[#This Row],[Downtime (Hours)]], "")</f>
        <v>0</v>
      </c>
      <c r="N1438" s="50">
        <f>IFERROR(Table1[[#This Row],[Running Time (hr)]]/Table1[Target Time (Hours)], "")</f>
        <v>1</v>
      </c>
      <c r="O1438" s="50">
        <f>IFERROR(Table1[[#This Row],[Actual Production (Kg)]]/Table1[Capacity (Kg)], "")</f>
        <v>1.2295</v>
      </c>
      <c r="P1438" s="50">
        <f>IFERROR(Table1[[#This Row],[Quality Pass Production]]/Table1[[#This Row],[Actual Production (Kg)]], "")</f>
        <v>1</v>
      </c>
      <c r="Q1438" s="50">
        <f>IFERROR(Table1[[#This Row],[Utilization %]]*Table1[[#This Row],[Efficiency %]]*Table1[[#This Row],[Quality %]], "")</f>
        <v>1.2295</v>
      </c>
    </row>
    <row r="1439" spans="1:18" ht="30" customHeight="1" x14ac:dyDescent="0.25">
      <c r="A1439" s="47">
        <v>46249</v>
      </c>
      <c r="B1439" s="48" t="s">
        <v>18</v>
      </c>
      <c r="C1439" s="48" t="s">
        <v>22</v>
      </c>
      <c r="D1439" s="48" t="s">
        <v>25</v>
      </c>
      <c r="E1439" s="49">
        <v>5000</v>
      </c>
      <c r="F1439" s="76">
        <v>3066</v>
      </c>
      <c r="G1439" s="49">
        <v>0</v>
      </c>
      <c r="H1439" s="50">
        <f>IFERROR(Table1[Re-process (Kg)]/Table1[Actual Production (Kg)], "")</f>
        <v>0</v>
      </c>
      <c r="I1439" s="49">
        <f>IFERROR(Table1[[#This Row],[Actual Production (Kg)]]-Table1[[#This Row],[Re-process (Kg)]], "")</f>
        <v>3066</v>
      </c>
      <c r="J1439" s="49"/>
      <c r="K1439" s="72">
        <v>3.5</v>
      </c>
      <c r="L1439" s="49" t="str">
        <f>IF(Table1[[#This Row],[Target Time (Hours)]]="","",Table1[[#This Row],[Target Time (Hours)]]-Table1[[#This Row],[Downtime (Hours)]])</f>
        <v/>
      </c>
      <c r="M1439" s="49" t="str">
        <f>IFERROR(Table1[[#This Row],[Capacity (Kg)]]/Table1[[#This Row],[Target Time (Hours)]] * Table1[[#This Row],[Downtime (Hours)]], "")</f>
        <v/>
      </c>
      <c r="N1439" s="50" t="str">
        <f>IFERROR(Table1[[#This Row],[Running Time (hr)]]/Table1[Target Time (Hours)], "")</f>
        <v/>
      </c>
      <c r="O1439" s="50">
        <f>IFERROR(Table1[[#This Row],[Actual Production (Kg)]]/Table1[Capacity (Kg)], "")</f>
        <v>0.61319999999999997</v>
      </c>
      <c r="P1439" s="50">
        <f>IFERROR(Table1[[#This Row],[Quality Pass Production]]/Table1[[#This Row],[Actual Production (Kg)]], "")</f>
        <v>1</v>
      </c>
      <c r="Q1439" s="50" t="str">
        <f>IFERROR(Table1[[#This Row],[Utilization %]]*Table1[[#This Row],[Efficiency %]]*Table1[[#This Row],[Quality %]], "")</f>
        <v/>
      </c>
      <c r="R1439" s="48" t="s">
        <v>385</v>
      </c>
    </row>
    <row r="1440" spans="1:18" ht="45" customHeight="1" x14ac:dyDescent="0.25">
      <c r="A1440" s="47">
        <v>46249</v>
      </c>
      <c r="B1440" s="48" t="s">
        <v>18</v>
      </c>
      <c r="C1440" s="48" t="s">
        <v>26</v>
      </c>
      <c r="D1440" s="48" t="s">
        <v>25</v>
      </c>
      <c r="E1440" s="49">
        <v>7000</v>
      </c>
      <c r="F1440" s="76">
        <v>6163</v>
      </c>
      <c r="G1440" s="49">
        <v>0</v>
      </c>
      <c r="H1440" s="50">
        <f>IFERROR(Table1[Re-process (Kg)]/Table1[Actual Production (Kg)], "")</f>
        <v>0</v>
      </c>
      <c r="I1440" s="49">
        <f>IFERROR(Table1[[#This Row],[Actual Production (Kg)]]-Table1[[#This Row],[Re-process (Kg)]], "")</f>
        <v>6163</v>
      </c>
      <c r="J1440" s="49">
        <v>22</v>
      </c>
      <c r="K1440" s="72">
        <v>2.5</v>
      </c>
      <c r="L1440" s="49">
        <f>IF(Table1[[#This Row],[Target Time (Hours)]]="","",Table1[[#This Row],[Target Time (Hours)]]-Table1[[#This Row],[Downtime (Hours)]])</f>
        <v>19.5</v>
      </c>
      <c r="M1440" s="49">
        <f>IFERROR(Table1[[#This Row],[Capacity (Kg)]]/Table1[[#This Row],[Target Time (Hours)]] * Table1[[#This Row],[Downtime (Hours)]], "")</f>
        <v>795.4545454545455</v>
      </c>
      <c r="N1440" s="50">
        <f>IFERROR(Table1[[#This Row],[Running Time (hr)]]/Table1[Target Time (Hours)], "")</f>
        <v>0.88636363636363635</v>
      </c>
      <c r="O1440" s="50">
        <f>IFERROR(Table1[[#This Row],[Actual Production (Kg)]]/Table1[Capacity (Kg)], "")</f>
        <v>0.88042857142857145</v>
      </c>
      <c r="P1440" s="50">
        <f>IFERROR(Table1[[#This Row],[Quality Pass Production]]/Table1[[#This Row],[Actual Production (Kg)]], "")</f>
        <v>1</v>
      </c>
      <c r="Q1440" s="50">
        <f>IFERROR(Table1[[#This Row],[Utilization %]]*Table1[[#This Row],[Efficiency %]]*Table1[[#This Row],[Quality %]], "")</f>
        <v>0.78037987012987009</v>
      </c>
      <c r="R1440" s="48" t="s">
        <v>386</v>
      </c>
    </row>
    <row r="1441" spans="1:18" ht="30" customHeight="1" x14ac:dyDescent="0.25">
      <c r="A1441" s="47">
        <v>46249</v>
      </c>
      <c r="B1441" s="48" t="s">
        <v>18</v>
      </c>
      <c r="C1441" s="48" t="s">
        <v>28</v>
      </c>
      <c r="D1441" s="48" t="s">
        <v>29</v>
      </c>
      <c r="E1441" s="49">
        <v>7800</v>
      </c>
      <c r="F1441" s="76">
        <v>5761</v>
      </c>
      <c r="G1441" s="49">
        <v>0</v>
      </c>
      <c r="H1441" s="50">
        <f>IFERROR(Table1[Re-process (Kg)]/Table1[Actual Production (Kg)], "")</f>
        <v>0</v>
      </c>
      <c r="I1441" s="49">
        <f>IFERROR(Table1[[#This Row],[Actual Production (Kg)]]-Table1[[#This Row],[Re-process (Kg)]], "")</f>
        <v>5761</v>
      </c>
      <c r="J1441" s="49">
        <v>22</v>
      </c>
      <c r="K1441" s="72">
        <v>3</v>
      </c>
      <c r="L1441" s="49">
        <f>IF(Table1[[#This Row],[Target Time (Hours)]]="","",Table1[[#This Row],[Target Time (Hours)]]-Table1[[#This Row],[Downtime (Hours)]])</f>
        <v>19</v>
      </c>
      <c r="M1441" s="49">
        <f>IFERROR(Table1[[#This Row],[Capacity (Kg)]]/Table1[[#This Row],[Target Time (Hours)]] * Table1[[#This Row],[Downtime (Hours)]], "")</f>
        <v>1063.6363636363637</v>
      </c>
      <c r="N1441" s="50">
        <f>IFERROR(Table1[[#This Row],[Running Time (hr)]]/Table1[Target Time (Hours)], "")</f>
        <v>0.86363636363636365</v>
      </c>
      <c r="O1441" s="50">
        <f>IFERROR(Table1[[#This Row],[Actual Production (Kg)]]/Table1[Capacity (Kg)], "")</f>
        <v>0.73858974358974361</v>
      </c>
      <c r="P1441" s="50">
        <f>IFERROR(Table1[[#This Row],[Quality Pass Production]]/Table1[[#This Row],[Actual Production (Kg)]], "")</f>
        <v>1</v>
      </c>
      <c r="Q1441" s="50">
        <f>IFERROR(Table1[[#This Row],[Utilization %]]*Table1[[#This Row],[Efficiency %]]*Table1[[#This Row],[Quality %]], "")</f>
        <v>0.63787296037296037</v>
      </c>
      <c r="R1441" s="48" t="s">
        <v>387</v>
      </c>
    </row>
    <row r="1442" spans="1:18" ht="30" customHeight="1" x14ac:dyDescent="0.25">
      <c r="A1442" s="51">
        <v>46249</v>
      </c>
      <c r="B1442" s="52" t="s">
        <v>18</v>
      </c>
      <c r="C1442" s="52" t="s">
        <v>135</v>
      </c>
      <c r="D1442" s="52" t="s">
        <v>29</v>
      </c>
      <c r="E1442" s="53"/>
      <c r="F1442" s="53"/>
      <c r="G1442" s="53"/>
      <c r="H1442" s="57" t="str">
        <f>IFERROR(Table1[Re-process (Kg)]/Table1[Actual Production (Kg)], "")</f>
        <v/>
      </c>
      <c r="I1442" s="53">
        <f>IFERROR(Table1[[#This Row],[Actual Production (Kg)]]-Table1[[#This Row],[Re-process (Kg)]], "")</f>
        <v>0</v>
      </c>
      <c r="J1442" s="53"/>
      <c r="K1442" s="52"/>
      <c r="L1442" s="53" t="str">
        <f>IF(Table1[[#This Row],[Target Time (Hours)]]="","",Table1[[#This Row],[Target Time (Hours)]]-Table1[[#This Row],[Downtime (Hours)]])</f>
        <v/>
      </c>
      <c r="M1442" s="53" t="str">
        <f>IFERROR(Table1[[#This Row],[Capacity (Kg)]]/Table1[[#This Row],[Target Time (Hours)]] * Table1[[#This Row],[Downtime (Hours)]], "")</f>
        <v/>
      </c>
      <c r="N1442" s="57" t="str">
        <f>IFERROR(Table1[[#This Row],[Running Time (hr)]]/Table1[Target Time (Hours)], "")</f>
        <v/>
      </c>
      <c r="O1442" s="57" t="str">
        <f>IFERROR(Table1[[#This Row],[Actual Production (Kg)]]/Table1[Capacity (Kg)], "")</f>
        <v/>
      </c>
      <c r="P1442" s="57" t="str">
        <f>IFERROR(Table1[[#This Row],[Quality Pass Production]]/Table1[[#This Row],[Actual Production (Kg)]], "")</f>
        <v/>
      </c>
      <c r="Q1442" s="57" t="str">
        <f>IFERROR(Table1[[#This Row],[Utilization %]]*Table1[[#This Row],[Efficiency %]]*Table1[[#This Row],[Quality %]], "")</f>
        <v/>
      </c>
      <c r="R1442" s="52"/>
    </row>
    <row r="1443" spans="1:18" ht="45" customHeight="1" x14ac:dyDescent="0.25">
      <c r="A1443" s="47">
        <v>46249</v>
      </c>
      <c r="B1443" s="48" t="s">
        <v>18</v>
      </c>
      <c r="C1443" s="48" t="s">
        <v>30</v>
      </c>
      <c r="D1443" s="48" t="s">
        <v>31</v>
      </c>
      <c r="E1443" s="49">
        <v>9000</v>
      </c>
      <c r="F1443" s="76">
        <v>7731</v>
      </c>
      <c r="G1443" s="49">
        <v>0</v>
      </c>
      <c r="H1443" s="50">
        <f>IFERROR(Table1[Re-process (Kg)]/Table1[Actual Production (Kg)], "")</f>
        <v>0</v>
      </c>
      <c r="I1443" s="49">
        <f>IFERROR(Table1[[#This Row],[Actual Production (Kg)]]-Table1[[#This Row],[Re-process (Kg)]], "")</f>
        <v>7731</v>
      </c>
      <c r="J1443" s="49">
        <v>22</v>
      </c>
      <c r="K1443" s="72">
        <v>3.5</v>
      </c>
      <c r="L1443" s="49">
        <f>IF(Table1[[#This Row],[Target Time (Hours)]]="","",Table1[[#This Row],[Target Time (Hours)]]-Table1[[#This Row],[Downtime (Hours)]])</f>
        <v>18.5</v>
      </c>
      <c r="M1443" s="49">
        <f>IFERROR(Table1[[#This Row],[Capacity (Kg)]]/Table1[[#This Row],[Target Time (Hours)]] * Table1[[#This Row],[Downtime (Hours)]], "")</f>
        <v>1431.8181818181818</v>
      </c>
      <c r="N1443" s="50">
        <f>IFERROR(Table1[[#This Row],[Running Time (hr)]]/Table1[Target Time (Hours)], "")</f>
        <v>0.84090909090909094</v>
      </c>
      <c r="O1443" s="50">
        <f>IFERROR(Table1[[#This Row],[Actual Production (Kg)]]/Table1[Capacity (Kg)], "")</f>
        <v>0.85899999999999999</v>
      </c>
      <c r="P1443" s="50">
        <f>IFERROR(Table1[[#This Row],[Quality Pass Production]]/Table1[[#This Row],[Actual Production (Kg)]], "")</f>
        <v>1</v>
      </c>
      <c r="Q1443" s="50">
        <f>IFERROR(Table1[[#This Row],[Utilization %]]*Table1[[#This Row],[Efficiency %]]*Table1[[#This Row],[Quality %]], "")</f>
        <v>0.72234090909090909</v>
      </c>
      <c r="R1443" s="48" t="s">
        <v>388</v>
      </c>
    </row>
    <row r="1444" spans="1:18" ht="30" customHeight="1" x14ac:dyDescent="0.25">
      <c r="A1444" s="51">
        <v>46249</v>
      </c>
      <c r="B1444" s="52" t="s">
        <v>18</v>
      </c>
      <c r="C1444" s="52" t="s">
        <v>32</v>
      </c>
      <c r="D1444" s="52" t="s">
        <v>31</v>
      </c>
      <c r="E1444" s="53"/>
      <c r="F1444" s="53"/>
      <c r="G1444" s="53"/>
      <c r="H1444" s="57" t="str">
        <f>IFERROR(Table1[Re-process (Kg)]/Table1[Actual Production (Kg)], "")</f>
        <v/>
      </c>
      <c r="I1444" s="53">
        <f>IFERROR(Table1[[#This Row],[Actual Production (Kg)]]-Table1[[#This Row],[Re-process (Kg)]], "")</f>
        <v>0</v>
      </c>
      <c r="J1444" s="53"/>
      <c r="K1444" s="52"/>
      <c r="L1444" s="53" t="str">
        <f>IF(Table1[[#This Row],[Target Time (Hours)]]="","",Table1[[#This Row],[Target Time (Hours)]]-Table1[[#This Row],[Downtime (Hours)]])</f>
        <v/>
      </c>
      <c r="M1444" s="53" t="str">
        <f>IFERROR(Table1[[#This Row],[Capacity (Kg)]]/Table1[[#This Row],[Target Time (Hours)]] * Table1[[#This Row],[Downtime (Hours)]], "")</f>
        <v/>
      </c>
      <c r="N1444" s="57" t="str">
        <f>IFERROR(Table1[[#This Row],[Running Time (hr)]]/Table1[Target Time (Hours)], "")</f>
        <v/>
      </c>
      <c r="O1444" s="57" t="str">
        <f>IFERROR(Table1[[#This Row],[Actual Production (Kg)]]/Table1[Capacity (Kg)], "")</f>
        <v/>
      </c>
      <c r="P1444" s="57" t="str">
        <f>IFERROR(Table1[[#This Row],[Quality Pass Production]]/Table1[[#This Row],[Actual Production (Kg)]], "")</f>
        <v/>
      </c>
      <c r="Q1444" s="57" t="str">
        <f>IFERROR(Table1[[#This Row],[Utilization %]]*Table1[[#This Row],[Efficiency %]]*Table1[[#This Row],[Quality %]], "")</f>
        <v/>
      </c>
      <c r="R1444" s="52"/>
    </row>
    <row r="1445" spans="1:18" ht="30" customHeight="1" x14ac:dyDescent="0.25">
      <c r="A1445" s="47">
        <v>46249</v>
      </c>
      <c r="B1445" s="48" t="s">
        <v>33</v>
      </c>
      <c r="C1445" s="48" t="s">
        <v>34</v>
      </c>
      <c r="D1445" s="48" t="s">
        <v>35</v>
      </c>
      <c r="E1445" s="49">
        <v>9000</v>
      </c>
      <c r="F1445" s="76">
        <v>5231</v>
      </c>
      <c r="G1445" s="49">
        <v>0</v>
      </c>
      <c r="H1445" s="50">
        <f>IFERROR(Table1[Re-process (Kg)]/Table1[Actual Production (Kg)], "")</f>
        <v>0</v>
      </c>
      <c r="I1445" s="49">
        <f>IFERROR(Table1[[#This Row],[Actual Production (Kg)]]-Table1[[#This Row],[Re-process (Kg)]], "")</f>
        <v>5231</v>
      </c>
      <c r="J1445" s="49">
        <v>22</v>
      </c>
      <c r="K1445" s="72"/>
      <c r="L1445" s="49">
        <f>IF(Table1[[#This Row],[Target Time (Hours)]]="","",Table1[[#This Row],[Target Time (Hours)]]-Table1[[#This Row],[Downtime (Hours)]])</f>
        <v>22</v>
      </c>
      <c r="M1445" s="49">
        <f>IFERROR(Table1[[#This Row],[Capacity (Kg)]]/Table1[[#This Row],[Target Time (Hours)]] * Table1[[#This Row],[Downtime (Hours)]], "")</f>
        <v>0</v>
      </c>
      <c r="N1445" s="50">
        <f>IFERROR(Table1[[#This Row],[Running Time (hr)]]/Table1[Target Time (Hours)], "")</f>
        <v>1</v>
      </c>
      <c r="O1445" s="50">
        <f>IFERROR(Table1[[#This Row],[Actual Production (Kg)]]/Table1[Capacity (Kg)], "")</f>
        <v>0.5812222222222222</v>
      </c>
      <c r="P1445" s="50">
        <f>IFERROR(Table1[[#This Row],[Quality Pass Production]]/Table1[[#This Row],[Actual Production (Kg)]], "")</f>
        <v>1</v>
      </c>
      <c r="Q1445" s="50">
        <f>IFERROR(Table1[[#This Row],[Utilization %]]*Table1[[#This Row],[Efficiency %]]*Table1[[#This Row],[Quality %]], "")</f>
        <v>0.5812222222222222</v>
      </c>
    </row>
    <row r="1446" spans="1:18" ht="30" customHeight="1" x14ac:dyDescent="0.25">
      <c r="A1446" s="47">
        <v>46249</v>
      </c>
      <c r="B1446" s="48" t="s">
        <v>33</v>
      </c>
      <c r="C1446" s="48" t="s">
        <v>36</v>
      </c>
      <c r="D1446" s="48" t="s">
        <v>37</v>
      </c>
      <c r="E1446" s="49">
        <v>8000</v>
      </c>
      <c r="F1446" s="76">
        <v>5080</v>
      </c>
      <c r="G1446" s="49">
        <v>0</v>
      </c>
      <c r="H1446" s="50">
        <f>IFERROR(Table1[Re-process (Kg)]/Table1[Actual Production (Kg)], "")</f>
        <v>0</v>
      </c>
      <c r="I1446" s="49">
        <f>IFERROR(Table1[[#This Row],[Actual Production (Kg)]]-Table1[[#This Row],[Re-process (Kg)]], "")</f>
        <v>5080</v>
      </c>
      <c r="J1446" s="49">
        <v>22</v>
      </c>
      <c r="K1446" s="72">
        <v>6.5</v>
      </c>
      <c r="L1446" s="49">
        <f>IF(Table1[[#This Row],[Target Time (Hours)]]="","",Table1[[#This Row],[Target Time (Hours)]]-Table1[[#This Row],[Downtime (Hours)]])</f>
        <v>15.5</v>
      </c>
      <c r="M1446" s="49">
        <f>IFERROR(Table1[[#This Row],[Capacity (Kg)]]/Table1[[#This Row],[Target Time (Hours)]] * Table1[[#This Row],[Downtime (Hours)]], "")</f>
        <v>2363.6363636363635</v>
      </c>
      <c r="N1446" s="50">
        <f>IFERROR(Table1[[#This Row],[Running Time (hr)]]/Table1[Target Time (Hours)], "")</f>
        <v>0.70454545454545459</v>
      </c>
      <c r="O1446" s="50">
        <f>IFERROR(Table1[[#This Row],[Actual Production (Kg)]]/Table1[Capacity (Kg)], "")</f>
        <v>0.63500000000000001</v>
      </c>
      <c r="P1446" s="50">
        <f>IFERROR(Table1[[#This Row],[Quality Pass Production]]/Table1[[#This Row],[Actual Production (Kg)]], "")</f>
        <v>1</v>
      </c>
      <c r="Q1446" s="50">
        <f>IFERROR(Table1[[#This Row],[Utilization %]]*Table1[[#This Row],[Efficiency %]]*Table1[[#This Row],[Quality %]], "")</f>
        <v>0.44738636363636369</v>
      </c>
      <c r="R1446" s="48" t="s">
        <v>389</v>
      </c>
    </row>
    <row r="1447" spans="1:18" ht="45" customHeight="1" x14ac:dyDescent="0.25">
      <c r="A1447" s="47">
        <v>46249</v>
      </c>
      <c r="B1447" s="48" t="s">
        <v>33</v>
      </c>
      <c r="C1447" s="48" t="s">
        <v>39</v>
      </c>
      <c r="D1447" s="48" t="s">
        <v>31</v>
      </c>
      <c r="E1447" s="49">
        <v>6000</v>
      </c>
      <c r="F1447" s="76">
        <v>1987</v>
      </c>
      <c r="G1447" s="49">
        <v>0</v>
      </c>
      <c r="H1447" s="50">
        <f>IFERROR(Table1[Re-process (Kg)]/Table1[Actual Production (Kg)], "")</f>
        <v>0</v>
      </c>
      <c r="I1447" s="49">
        <f>IFERROR(Table1[[#This Row],[Actual Production (Kg)]]-Table1[[#This Row],[Re-process (Kg)]], "")</f>
        <v>1987</v>
      </c>
      <c r="J1447" s="49">
        <v>22</v>
      </c>
      <c r="K1447" s="72">
        <v>4</v>
      </c>
      <c r="L1447" s="49">
        <f>IF(Table1[[#This Row],[Target Time (Hours)]]="","",Table1[[#This Row],[Target Time (Hours)]]-Table1[[#This Row],[Downtime (Hours)]])</f>
        <v>18</v>
      </c>
      <c r="M1447" s="49">
        <f>IFERROR(Table1[[#This Row],[Capacity (Kg)]]/Table1[[#This Row],[Target Time (Hours)]] * Table1[[#This Row],[Downtime (Hours)]], "")</f>
        <v>1090.909090909091</v>
      </c>
      <c r="N1447" s="50">
        <f>IFERROR(Table1[[#This Row],[Running Time (hr)]]/Table1[Target Time (Hours)], "")</f>
        <v>0.81818181818181823</v>
      </c>
      <c r="O1447" s="50">
        <f>IFERROR(Table1[[#This Row],[Actual Production (Kg)]]/Table1[Capacity (Kg)], "")</f>
        <v>0.33116666666666666</v>
      </c>
      <c r="P1447" s="50">
        <f>IFERROR(Table1[[#This Row],[Quality Pass Production]]/Table1[[#This Row],[Actual Production (Kg)]], "")</f>
        <v>1</v>
      </c>
      <c r="Q1447" s="50">
        <f>IFERROR(Table1[[#This Row],[Utilization %]]*Table1[[#This Row],[Efficiency %]]*Table1[[#This Row],[Quality %]], "")</f>
        <v>0.27095454545454545</v>
      </c>
      <c r="R1447" s="48" t="s">
        <v>390</v>
      </c>
    </row>
    <row r="1448" spans="1:18" ht="45" customHeight="1" x14ac:dyDescent="0.25">
      <c r="A1448" s="54">
        <v>46249</v>
      </c>
      <c r="B1448" s="55" t="s">
        <v>33</v>
      </c>
      <c r="C1448" s="55" t="s">
        <v>40</v>
      </c>
      <c r="D1448" s="55" t="s">
        <v>31</v>
      </c>
      <c r="E1448" s="56">
        <v>5000</v>
      </c>
      <c r="F1448" s="56">
        <v>1846</v>
      </c>
      <c r="G1448" s="56">
        <v>0</v>
      </c>
      <c r="H1448" s="58">
        <f>IFERROR(Table1[Re-process (Kg)]/Table1[Actual Production (Kg)], "")</f>
        <v>0</v>
      </c>
      <c r="I1448" s="56">
        <f>IFERROR(Table1[[#This Row],[Actual Production (Kg)]]-Table1[[#This Row],[Re-process (Kg)]], "")</f>
        <v>1846</v>
      </c>
      <c r="J1448" s="56">
        <v>22</v>
      </c>
      <c r="K1448" s="55"/>
      <c r="L1448" s="56">
        <f>IF(Table1[[#This Row],[Target Time (Hours)]]="","",Table1[[#This Row],[Target Time (Hours)]]-Table1[[#This Row],[Downtime (Hours)]])</f>
        <v>22</v>
      </c>
      <c r="M1448" s="56">
        <f>IFERROR(Table1[[#This Row],[Capacity (Kg)]]/Table1[[#This Row],[Target Time (Hours)]] * Table1[[#This Row],[Downtime (Hours)]], "")</f>
        <v>0</v>
      </c>
      <c r="N1448" s="58">
        <f>IFERROR(Table1[[#This Row],[Running Time (hr)]]/Table1[Target Time (Hours)], "")</f>
        <v>1</v>
      </c>
      <c r="O1448" s="58">
        <f>IFERROR(Table1[[#This Row],[Actual Production (Kg)]]/Table1[Capacity (Kg)], "")</f>
        <v>0.36919999999999997</v>
      </c>
      <c r="P1448" s="58">
        <f>IFERROR(Table1[[#This Row],[Quality Pass Production]]/Table1[[#This Row],[Actual Production (Kg)]], "")</f>
        <v>1</v>
      </c>
      <c r="Q1448" s="58">
        <f>IFERROR(Table1[[#This Row],[Utilization %]]*Table1[[#This Row],[Efficiency %]]*Table1[[#This Row],[Quality %]], "")</f>
        <v>0.36919999999999997</v>
      </c>
      <c r="R1448" s="55" t="s">
        <v>383</v>
      </c>
    </row>
    <row r="1449" spans="1:18" ht="30" customHeight="1" x14ac:dyDescent="0.25">
      <c r="A1449" s="47">
        <v>46250</v>
      </c>
      <c r="B1449" s="48" t="s">
        <v>18</v>
      </c>
      <c r="C1449" s="48" t="s">
        <v>19</v>
      </c>
      <c r="D1449" s="48" t="s">
        <v>20</v>
      </c>
      <c r="E1449" s="49">
        <v>10000</v>
      </c>
      <c r="F1449" s="76">
        <v>7666</v>
      </c>
      <c r="G1449" s="49">
        <v>0</v>
      </c>
      <c r="H1449" s="50">
        <f>IFERROR(Table1[Re-process (Kg)]/Table1[Actual Production (Kg)], "")</f>
        <v>0</v>
      </c>
      <c r="I1449" s="49">
        <f>IFERROR(Table1[[#This Row],[Actual Production (Kg)]]-Table1[[#This Row],[Re-process (Kg)]], "")</f>
        <v>7666</v>
      </c>
      <c r="J1449" s="49">
        <v>22</v>
      </c>
      <c r="K1449" s="72"/>
      <c r="L1449" s="49">
        <f>IF(Table1[[#This Row],[Target Time (Hours)]]="","",Table1[[#This Row],[Target Time (Hours)]]-Table1[[#This Row],[Downtime (Hours)]])</f>
        <v>22</v>
      </c>
      <c r="M1449" s="49">
        <f>IFERROR(Table1[[#This Row],[Capacity (Kg)]]/Table1[[#This Row],[Target Time (Hours)]] * Table1[[#This Row],[Downtime (Hours)]], "")</f>
        <v>0</v>
      </c>
      <c r="N1449" s="50">
        <f>IFERROR(Table1[[#This Row],[Running Time (hr)]]/Table1[Target Time (Hours)], "")</f>
        <v>1</v>
      </c>
      <c r="O1449" s="50">
        <f>IFERROR(Table1[[#This Row],[Actual Production (Kg)]]/Table1[Capacity (Kg)], "")</f>
        <v>0.76659999999999995</v>
      </c>
      <c r="P1449" s="50">
        <f>IFERROR(Table1[[#This Row],[Quality Pass Production]]/Table1[[#This Row],[Actual Production (Kg)]], "")</f>
        <v>1</v>
      </c>
      <c r="Q1449" s="50">
        <f>IFERROR(Table1[[#This Row],[Utilization %]]*Table1[[#This Row],[Efficiency %]]*Table1[[#This Row],[Quality %]], "")</f>
        <v>0.76659999999999995</v>
      </c>
    </row>
    <row r="1450" spans="1:18" x14ac:dyDescent="0.25">
      <c r="A1450" s="51">
        <v>46250</v>
      </c>
      <c r="B1450" s="52" t="s">
        <v>18</v>
      </c>
      <c r="C1450" s="52" t="s">
        <v>238</v>
      </c>
      <c r="D1450" s="52" t="s">
        <v>20</v>
      </c>
      <c r="E1450" s="53">
        <v>10574</v>
      </c>
      <c r="F1450" s="53">
        <v>10574</v>
      </c>
      <c r="G1450" s="53">
        <v>0</v>
      </c>
      <c r="H1450" s="57">
        <f>IFERROR(Table1[Re-process (Kg)]/Table1[Actual Production (Kg)], "")</f>
        <v>0</v>
      </c>
      <c r="I1450" s="53">
        <f>IFERROR(Table1[[#This Row],[Actual Production (Kg)]]-Table1[[#This Row],[Re-process (Kg)]], "")</f>
        <v>10574</v>
      </c>
      <c r="J1450" s="53"/>
      <c r="K1450" s="52"/>
      <c r="L1450" s="53" t="str">
        <f>IF(Table1[[#This Row],[Target Time (Hours)]]="","",Table1[[#This Row],[Target Time (Hours)]]-Table1[[#This Row],[Downtime (Hours)]])</f>
        <v/>
      </c>
      <c r="M1450" s="53" t="str">
        <f>IFERROR(Table1[[#This Row],[Capacity (Kg)]]/Table1[[#This Row],[Target Time (Hours)]] * Table1[[#This Row],[Downtime (Hours)]], "")</f>
        <v/>
      </c>
      <c r="N1450" s="57" t="str">
        <f>IFERROR(Table1[[#This Row],[Running Time (hr)]]/Table1[Target Time (Hours)], "")</f>
        <v/>
      </c>
      <c r="O1450" s="57">
        <f>IFERROR(Table1[[#This Row],[Actual Production (Kg)]]/Table1[Capacity (Kg)], "")</f>
        <v>1</v>
      </c>
      <c r="P1450" s="57">
        <f>IFERROR(Table1[[#This Row],[Quality Pass Production]]/Table1[[#This Row],[Actual Production (Kg)]], "")</f>
        <v>1</v>
      </c>
      <c r="Q1450" s="57" t="str">
        <f>IFERROR(Table1[[#This Row],[Utilization %]]*Table1[[#This Row],[Efficiency %]]*Table1[[#This Row],[Quality %]], "")</f>
        <v/>
      </c>
      <c r="R1450" s="52"/>
    </row>
    <row r="1451" spans="1:18" x14ac:dyDescent="0.25">
      <c r="A1451" s="47">
        <v>46250</v>
      </c>
      <c r="B1451" s="48" t="s">
        <v>18</v>
      </c>
      <c r="C1451" s="48" t="s">
        <v>22</v>
      </c>
      <c r="D1451" s="48" t="s">
        <v>23</v>
      </c>
      <c r="E1451" s="49">
        <v>4000</v>
      </c>
      <c r="F1451" s="76">
        <v>5546</v>
      </c>
      <c r="G1451" s="49">
        <v>0</v>
      </c>
      <c r="H1451" s="50">
        <f>IFERROR(Table1[Re-process (Kg)]/Table1[Actual Production (Kg)], "")</f>
        <v>0</v>
      </c>
      <c r="I1451" s="49">
        <f>IFERROR(Table1[[#This Row],[Actual Production (Kg)]]-Table1[[#This Row],[Re-process (Kg)]], "")</f>
        <v>5546</v>
      </c>
      <c r="J1451" s="49">
        <v>22</v>
      </c>
      <c r="K1451" s="72"/>
      <c r="L1451" s="49">
        <f>IF(Table1[[#This Row],[Target Time (Hours)]]="","",Table1[[#This Row],[Target Time (Hours)]]-Table1[[#This Row],[Downtime (Hours)]])</f>
        <v>22</v>
      </c>
      <c r="M1451" s="49">
        <f>IFERROR(Table1[[#This Row],[Capacity (Kg)]]/Table1[[#This Row],[Target Time (Hours)]] * Table1[[#This Row],[Downtime (Hours)]], "")</f>
        <v>0</v>
      </c>
      <c r="N1451" s="50">
        <f>IFERROR(Table1[[#This Row],[Running Time (hr)]]/Table1[Target Time (Hours)], "")</f>
        <v>1</v>
      </c>
      <c r="O1451" s="50">
        <f>IFERROR(Table1[[#This Row],[Actual Production (Kg)]]/Table1[Capacity (Kg)], "")</f>
        <v>1.3865000000000001</v>
      </c>
      <c r="P1451" s="50">
        <f>IFERROR(Table1[[#This Row],[Quality Pass Production]]/Table1[[#This Row],[Actual Production (Kg)]], "")</f>
        <v>1</v>
      </c>
      <c r="Q1451" s="50">
        <f>IFERROR(Table1[[#This Row],[Utilization %]]*Table1[[#This Row],[Efficiency %]]*Table1[[#This Row],[Quality %]], "")</f>
        <v>1.3865000000000001</v>
      </c>
    </row>
    <row r="1452" spans="1:18" x14ac:dyDescent="0.25">
      <c r="A1452" s="47">
        <v>46250</v>
      </c>
      <c r="B1452" s="48" t="s">
        <v>18</v>
      </c>
      <c r="C1452" s="48" t="s">
        <v>22</v>
      </c>
      <c r="D1452" s="48" t="s">
        <v>25</v>
      </c>
      <c r="E1452" s="49">
        <v>5000</v>
      </c>
      <c r="F1452" s="76">
        <v>3265</v>
      </c>
      <c r="G1452" s="49">
        <v>0</v>
      </c>
      <c r="H1452" s="50">
        <f>IFERROR(Table1[Re-process (Kg)]/Table1[Actual Production (Kg)], "")</f>
        <v>0</v>
      </c>
      <c r="I1452" s="49">
        <f>IFERROR(Table1[[#This Row],[Actual Production (Kg)]]-Table1[[#This Row],[Re-process (Kg)]], "")</f>
        <v>3265</v>
      </c>
      <c r="J1452" s="49"/>
      <c r="K1452" s="72"/>
      <c r="L1452" s="49" t="str">
        <f>IF(Table1[[#This Row],[Target Time (Hours)]]="","",Table1[[#This Row],[Target Time (Hours)]]-Table1[[#This Row],[Downtime (Hours)]])</f>
        <v/>
      </c>
      <c r="M1452" s="49" t="str">
        <f>IFERROR(Table1[[#This Row],[Capacity (Kg)]]/Table1[[#This Row],[Target Time (Hours)]] * Table1[[#This Row],[Downtime (Hours)]], "")</f>
        <v/>
      </c>
      <c r="N1452" s="50" t="str">
        <f>IFERROR(Table1[[#This Row],[Running Time (hr)]]/Table1[Target Time (Hours)], "")</f>
        <v/>
      </c>
      <c r="O1452" s="50">
        <f>IFERROR(Table1[[#This Row],[Actual Production (Kg)]]/Table1[Capacity (Kg)], "")</f>
        <v>0.65300000000000002</v>
      </c>
      <c r="P1452" s="50">
        <f>IFERROR(Table1[[#This Row],[Quality Pass Production]]/Table1[[#This Row],[Actual Production (Kg)]], "")</f>
        <v>1</v>
      </c>
      <c r="Q1452" s="50" t="str">
        <f>IFERROR(Table1[[#This Row],[Utilization %]]*Table1[[#This Row],[Efficiency %]]*Table1[[#This Row],[Quality %]], "")</f>
        <v/>
      </c>
    </row>
    <row r="1453" spans="1:18" x14ac:dyDescent="0.25">
      <c r="A1453" s="47">
        <v>46250</v>
      </c>
      <c r="B1453" s="48" t="s">
        <v>18</v>
      </c>
      <c r="C1453" s="48" t="s">
        <v>26</v>
      </c>
      <c r="D1453" s="48" t="s">
        <v>25</v>
      </c>
      <c r="E1453" s="49">
        <v>7000</v>
      </c>
      <c r="F1453" s="76">
        <v>7432</v>
      </c>
      <c r="G1453" s="49">
        <v>0</v>
      </c>
      <c r="H1453" s="50">
        <f>IFERROR(Table1[Re-process (Kg)]/Table1[Actual Production (Kg)], "")</f>
        <v>0</v>
      </c>
      <c r="I1453" s="49">
        <f>IFERROR(Table1[[#This Row],[Actual Production (Kg)]]-Table1[[#This Row],[Re-process (Kg)]], "")</f>
        <v>7432</v>
      </c>
      <c r="J1453" s="49">
        <v>22</v>
      </c>
      <c r="K1453" s="72"/>
      <c r="L1453" s="49">
        <f>IF(Table1[[#This Row],[Target Time (Hours)]]="","",Table1[[#This Row],[Target Time (Hours)]]-Table1[[#This Row],[Downtime (Hours)]])</f>
        <v>22</v>
      </c>
      <c r="M1453" s="49">
        <f>IFERROR(Table1[[#This Row],[Capacity (Kg)]]/Table1[[#This Row],[Target Time (Hours)]] * Table1[[#This Row],[Downtime (Hours)]], "")</f>
        <v>0</v>
      </c>
      <c r="N1453" s="50">
        <f>IFERROR(Table1[[#This Row],[Running Time (hr)]]/Table1[Target Time (Hours)], "")</f>
        <v>1</v>
      </c>
      <c r="O1453" s="50">
        <f>IFERROR(Table1[[#This Row],[Actual Production (Kg)]]/Table1[Capacity (Kg)], "")</f>
        <v>1.0617142857142856</v>
      </c>
      <c r="P1453" s="50">
        <f>IFERROR(Table1[[#This Row],[Quality Pass Production]]/Table1[[#This Row],[Actual Production (Kg)]], "")</f>
        <v>1</v>
      </c>
      <c r="Q1453" s="50">
        <f>IFERROR(Table1[[#This Row],[Utilization %]]*Table1[[#This Row],[Efficiency %]]*Table1[[#This Row],[Quality %]], "")</f>
        <v>1.0617142857142856</v>
      </c>
    </row>
    <row r="1454" spans="1:18" ht="30" customHeight="1" x14ac:dyDescent="0.25">
      <c r="A1454" s="47">
        <v>46250</v>
      </c>
      <c r="B1454" s="48" t="s">
        <v>18</v>
      </c>
      <c r="C1454" s="48" t="s">
        <v>28</v>
      </c>
      <c r="D1454" s="48" t="s">
        <v>29</v>
      </c>
      <c r="E1454" s="49">
        <v>7800</v>
      </c>
      <c r="F1454" s="76">
        <v>6540</v>
      </c>
      <c r="G1454" s="49">
        <v>0</v>
      </c>
      <c r="H1454" s="50">
        <f>IFERROR(Table1[Re-process (Kg)]/Table1[Actual Production (Kg)], "")</f>
        <v>0</v>
      </c>
      <c r="I1454" s="49">
        <f>IFERROR(Table1[[#This Row],[Actual Production (Kg)]]-Table1[[#This Row],[Re-process (Kg)]], "")</f>
        <v>6540</v>
      </c>
      <c r="J1454" s="49">
        <v>22</v>
      </c>
      <c r="K1454" s="72"/>
      <c r="L1454" s="49">
        <f>IF(Table1[[#This Row],[Target Time (Hours)]]="","",Table1[[#This Row],[Target Time (Hours)]]-Table1[[#This Row],[Downtime (Hours)]])</f>
        <v>22</v>
      </c>
      <c r="M1454" s="49">
        <f>IFERROR(Table1[[#This Row],[Capacity (Kg)]]/Table1[[#This Row],[Target Time (Hours)]] * Table1[[#This Row],[Downtime (Hours)]], "")</f>
        <v>0</v>
      </c>
      <c r="N1454" s="50">
        <f>IFERROR(Table1[[#This Row],[Running Time (hr)]]/Table1[Target Time (Hours)], "")</f>
        <v>1</v>
      </c>
      <c r="O1454" s="50">
        <f>IFERROR(Table1[[#This Row],[Actual Production (Kg)]]/Table1[Capacity (Kg)], "")</f>
        <v>0.83846153846153848</v>
      </c>
      <c r="P1454" s="50">
        <f>IFERROR(Table1[[#This Row],[Quality Pass Production]]/Table1[[#This Row],[Actual Production (Kg)]], "")</f>
        <v>1</v>
      </c>
      <c r="Q1454" s="50">
        <f>IFERROR(Table1[[#This Row],[Utilization %]]*Table1[[#This Row],[Efficiency %]]*Table1[[#This Row],[Quality %]], "")</f>
        <v>0.83846153846153848</v>
      </c>
    </row>
    <row r="1455" spans="1:18" ht="30" customHeight="1" x14ac:dyDescent="0.25">
      <c r="A1455" s="51">
        <v>46250</v>
      </c>
      <c r="B1455" s="52" t="s">
        <v>18</v>
      </c>
      <c r="C1455" s="52" t="s">
        <v>135</v>
      </c>
      <c r="D1455" s="52" t="s">
        <v>29</v>
      </c>
      <c r="E1455" s="53"/>
      <c r="F1455" s="53"/>
      <c r="G1455" s="53"/>
      <c r="H1455" s="57" t="str">
        <f>IFERROR(Table1[Re-process (Kg)]/Table1[Actual Production (Kg)], "")</f>
        <v/>
      </c>
      <c r="I1455" s="53">
        <f>IFERROR(Table1[[#This Row],[Actual Production (Kg)]]-Table1[[#This Row],[Re-process (Kg)]], "")</f>
        <v>0</v>
      </c>
      <c r="J1455" s="53"/>
      <c r="K1455" s="52"/>
      <c r="L1455" s="53" t="str">
        <f>IF(Table1[[#This Row],[Target Time (Hours)]]="","",Table1[[#This Row],[Target Time (Hours)]]-Table1[[#This Row],[Downtime (Hours)]])</f>
        <v/>
      </c>
      <c r="M1455" s="53" t="str">
        <f>IFERROR(Table1[[#This Row],[Capacity (Kg)]]/Table1[[#This Row],[Target Time (Hours)]] * Table1[[#This Row],[Downtime (Hours)]], "")</f>
        <v/>
      </c>
      <c r="N1455" s="57" t="str">
        <f>IFERROR(Table1[[#This Row],[Running Time (hr)]]/Table1[Target Time (Hours)], "")</f>
        <v/>
      </c>
      <c r="O1455" s="57" t="str">
        <f>IFERROR(Table1[[#This Row],[Actual Production (Kg)]]/Table1[Capacity (Kg)], "")</f>
        <v/>
      </c>
      <c r="P1455" s="57" t="str">
        <f>IFERROR(Table1[[#This Row],[Quality Pass Production]]/Table1[[#This Row],[Actual Production (Kg)]], "")</f>
        <v/>
      </c>
      <c r="Q1455" s="57" t="str">
        <f>IFERROR(Table1[[#This Row],[Utilization %]]*Table1[[#This Row],[Efficiency %]]*Table1[[#This Row],[Quality %]], "")</f>
        <v/>
      </c>
      <c r="R1455" s="52"/>
    </row>
    <row r="1456" spans="1:18" ht="30" customHeight="1" x14ac:dyDescent="0.25">
      <c r="A1456" s="47">
        <v>46250</v>
      </c>
      <c r="B1456" s="48" t="s">
        <v>18</v>
      </c>
      <c r="C1456" s="48" t="s">
        <v>30</v>
      </c>
      <c r="D1456" s="48" t="s">
        <v>31</v>
      </c>
      <c r="E1456" s="49">
        <v>9000</v>
      </c>
      <c r="F1456" s="76">
        <v>8258</v>
      </c>
      <c r="G1456" s="49">
        <v>0</v>
      </c>
      <c r="H1456" s="50">
        <f>IFERROR(Table1[Re-process (Kg)]/Table1[Actual Production (Kg)], "")</f>
        <v>0</v>
      </c>
      <c r="I1456" s="49">
        <f>IFERROR(Table1[[#This Row],[Actual Production (Kg)]]-Table1[[#This Row],[Re-process (Kg)]], "")</f>
        <v>8258</v>
      </c>
      <c r="J1456" s="49">
        <v>22</v>
      </c>
      <c r="K1456" s="72"/>
      <c r="L1456" s="49">
        <f>IF(Table1[[#This Row],[Target Time (Hours)]]="","",Table1[[#This Row],[Target Time (Hours)]]-Table1[[#This Row],[Downtime (Hours)]])</f>
        <v>22</v>
      </c>
      <c r="M1456" s="49">
        <f>IFERROR(Table1[[#This Row],[Capacity (Kg)]]/Table1[[#This Row],[Target Time (Hours)]] * Table1[[#This Row],[Downtime (Hours)]], "")</f>
        <v>0</v>
      </c>
      <c r="N1456" s="50">
        <f>IFERROR(Table1[[#This Row],[Running Time (hr)]]/Table1[Target Time (Hours)], "")</f>
        <v>1</v>
      </c>
      <c r="O1456" s="50">
        <f>IFERROR(Table1[[#This Row],[Actual Production (Kg)]]/Table1[Capacity (Kg)], "")</f>
        <v>0.91755555555555557</v>
      </c>
      <c r="P1456" s="50">
        <f>IFERROR(Table1[[#This Row],[Quality Pass Production]]/Table1[[#This Row],[Actual Production (Kg)]], "")</f>
        <v>1</v>
      </c>
      <c r="Q1456" s="50">
        <f>IFERROR(Table1[[#This Row],[Utilization %]]*Table1[[#This Row],[Efficiency %]]*Table1[[#This Row],[Quality %]], "")</f>
        <v>0.91755555555555557</v>
      </c>
    </row>
    <row r="1457" spans="1:18" ht="30" customHeight="1" x14ac:dyDescent="0.25">
      <c r="A1457" s="51">
        <v>46250</v>
      </c>
      <c r="B1457" s="52" t="s">
        <v>18</v>
      </c>
      <c r="C1457" s="52" t="s">
        <v>32</v>
      </c>
      <c r="D1457" s="52" t="s">
        <v>31</v>
      </c>
      <c r="E1457" s="53"/>
      <c r="F1457" s="53"/>
      <c r="G1457" s="53"/>
      <c r="H1457" s="57" t="str">
        <f>IFERROR(Table1[Re-process (Kg)]/Table1[Actual Production (Kg)], "")</f>
        <v/>
      </c>
      <c r="I1457" s="53">
        <f>IFERROR(Table1[[#This Row],[Actual Production (Kg)]]-Table1[[#This Row],[Re-process (Kg)]], "")</f>
        <v>0</v>
      </c>
      <c r="J1457" s="53"/>
      <c r="K1457" s="52"/>
      <c r="L1457" s="53" t="str">
        <f>IF(Table1[[#This Row],[Target Time (Hours)]]="","",Table1[[#This Row],[Target Time (Hours)]]-Table1[[#This Row],[Downtime (Hours)]])</f>
        <v/>
      </c>
      <c r="M1457" s="53" t="str">
        <f>IFERROR(Table1[[#This Row],[Capacity (Kg)]]/Table1[[#This Row],[Target Time (Hours)]] * Table1[[#This Row],[Downtime (Hours)]], "")</f>
        <v/>
      </c>
      <c r="N1457" s="57" t="str">
        <f>IFERROR(Table1[[#This Row],[Running Time (hr)]]/Table1[Target Time (Hours)], "")</f>
        <v/>
      </c>
      <c r="O1457" s="57" t="str">
        <f>IFERROR(Table1[[#This Row],[Actual Production (Kg)]]/Table1[Capacity (Kg)], "")</f>
        <v/>
      </c>
      <c r="P1457" s="57" t="str">
        <f>IFERROR(Table1[[#This Row],[Quality Pass Production]]/Table1[[#This Row],[Actual Production (Kg)]], "")</f>
        <v/>
      </c>
      <c r="Q1457" s="57" t="str">
        <f>IFERROR(Table1[[#This Row],[Utilization %]]*Table1[[#This Row],[Efficiency %]]*Table1[[#This Row],[Quality %]], "")</f>
        <v/>
      </c>
      <c r="R1457" s="52"/>
    </row>
    <row r="1458" spans="1:18" ht="30" customHeight="1" x14ac:dyDescent="0.25">
      <c r="A1458" s="47">
        <v>46250</v>
      </c>
      <c r="B1458" s="48" t="s">
        <v>33</v>
      </c>
      <c r="C1458" s="48" t="s">
        <v>34</v>
      </c>
      <c r="D1458" s="48" t="s">
        <v>35</v>
      </c>
      <c r="E1458" s="49">
        <v>9000</v>
      </c>
      <c r="F1458" s="76">
        <v>6952</v>
      </c>
      <c r="G1458" s="49">
        <v>0</v>
      </c>
      <c r="H1458" s="50">
        <f>IFERROR(Table1[Re-process (Kg)]/Table1[Actual Production (Kg)], "")</f>
        <v>0</v>
      </c>
      <c r="I1458" s="49">
        <f>IFERROR(Table1[[#This Row],[Actual Production (Kg)]]-Table1[[#This Row],[Re-process (Kg)]], "")</f>
        <v>6952</v>
      </c>
      <c r="J1458" s="49">
        <v>22</v>
      </c>
      <c r="K1458" s="72"/>
      <c r="L1458" s="49">
        <f>IF(Table1[[#This Row],[Target Time (Hours)]]="","",Table1[[#This Row],[Target Time (Hours)]]-Table1[[#This Row],[Downtime (Hours)]])</f>
        <v>22</v>
      </c>
      <c r="M1458" s="49">
        <f>IFERROR(Table1[[#This Row],[Capacity (Kg)]]/Table1[[#This Row],[Target Time (Hours)]] * Table1[[#This Row],[Downtime (Hours)]], "")</f>
        <v>0</v>
      </c>
      <c r="N1458" s="50">
        <f>IFERROR(Table1[[#This Row],[Running Time (hr)]]/Table1[Target Time (Hours)], "")</f>
        <v>1</v>
      </c>
      <c r="O1458" s="50">
        <f>IFERROR(Table1[[#This Row],[Actual Production (Kg)]]/Table1[Capacity (Kg)], "")</f>
        <v>0.77244444444444449</v>
      </c>
      <c r="P1458" s="50">
        <f>IFERROR(Table1[[#This Row],[Quality Pass Production]]/Table1[[#This Row],[Actual Production (Kg)]], "")</f>
        <v>1</v>
      </c>
      <c r="Q1458" s="50">
        <f>IFERROR(Table1[[#This Row],[Utilization %]]*Table1[[#This Row],[Efficiency %]]*Table1[[#This Row],[Quality %]], "")</f>
        <v>0.77244444444444449</v>
      </c>
    </row>
    <row r="1459" spans="1:18" ht="30" customHeight="1" x14ac:dyDescent="0.25">
      <c r="A1459" s="47">
        <v>46250</v>
      </c>
      <c r="B1459" s="48" t="s">
        <v>33</v>
      </c>
      <c r="C1459" s="48" t="s">
        <v>36</v>
      </c>
      <c r="D1459" s="48" t="s">
        <v>37</v>
      </c>
      <c r="E1459" s="49">
        <v>8000</v>
      </c>
      <c r="F1459" s="76">
        <v>5487</v>
      </c>
      <c r="G1459" s="49">
        <v>0</v>
      </c>
      <c r="H1459" s="50">
        <f>IFERROR(Table1[Re-process (Kg)]/Table1[Actual Production (Kg)], "")</f>
        <v>0</v>
      </c>
      <c r="I1459" s="49">
        <f>IFERROR(Table1[[#This Row],[Actual Production (Kg)]]-Table1[[#This Row],[Re-process (Kg)]], "")</f>
        <v>5487</v>
      </c>
      <c r="J1459" s="49">
        <v>22</v>
      </c>
      <c r="K1459" s="72">
        <v>4.5</v>
      </c>
      <c r="L1459" s="49">
        <f>IF(Table1[[#This Row],[Target Time (Hours)]]="","",Table1[[#This Row],[Target Time (Hours)]]-Table1[[#This Row],[Downtime (Hours)]])</f>
        <v>17.5</v>
      </c>
      <c r="M1459" s="49">
        <f>IFERROR(Table1[[#This Row],[Capacity (Kg)]]/Table1[[#This Row],[Target Time (Hours)]] * Table1[[#This Row],[Downtime (Hours)]], "")</f>
        <v>1636.3636363636363</v>
      </c>
      <c r="N1459" s="50">
        <f>IFERROR(Table1[[#This Row],[Running Time (hr)]]/Table1[Target Time (Hours)], "")</f>
        <v>0.79545454545454541</v>
      </c>
      <c r="O1459" s="50">
        <f>IFERROR(Table1[[#This Row],[Actual Production (Kg)]]/Table1[Capacity (Kg)], "")</f>
        <v>0.68587500000000001</v>
      </c>
      <c r="P1459" s="50">
        <f>IFERROR(Table1[[#This Row],[Quality Pass Production]]/Table1[[#This Row],[Actual Production (Kg)]], "")</f>
        <v>1</v>
      </c>
      <c r="Q1459" s="50">
        <f>IFERROR(Table1[[#This Row],[Utilization %]]*Table1[[#This Row],[Efficiency %]]*Table1[[#This Row],[Quality %]], "")</f>
        <v>0.54558238636363632</v>
      </c>
      <c r="R1459" s="48" t="s">
        <v>391</v>
      </c>
    </row>
    <row r="1460" spans="1:18" ht="30" customHeight="1" x14ac:dyDescent="0.25">
      <c r="A1460" s="47">
        <v>46250</v>
      </c>
      <c r="B1460" s="48" t="s">
        <v>33</v>
      </c>
      <c r="C1460" s="48" t="s">
        <v>39</v>
      </c>
      <c r="D1460" s="48" t="s">
        <v>31</v>
      </c>
      <c r="E1460" s="49">
        <v>6000</v>
      </c>
      <c r="F1460" s="76">
        <v>4311</v>
      </c>
      <c r="G1460" s="49">
        <v>0</v>
      </c>
      <c r="H1460" s="50">
        <f>IFERROR(Table1[Re-process (Kg)]/Table1[Actual Production (Kg)], "")</f>
        <v>0</v>
      </c>
      <c r="I1460" s="49">
        <f>IFERROR(Table1[[#This Row],[Actual Production (Kg)]]-Table1[[#This Row],[Re-process (Kg)]], "")</f>
        <v>4311</v>
      </c>
      <c r="J1460" s="49">
        <v>22</v>
      </c>
      <c r="K1460" s="72"/>
      <c r="L1460" s="49">
        <f>IF(Table1[[#This Row],[Target Time (Hours)]]="","",Table1[[#This Row],[Target Time (Hours)]]-Table1[[#This Row],[Downtime (Hours)]])</f>
        <v>22</v>
      </c>
      <c r="M1460" s="49">
        <f>IFERROR(Table1[[#This Row],[Capacity (Kg)]]/Table1[[#This Row],[Target Time (Hours)]] * Table1[[#This Row],[Downtime (Hours)]], "")</f>
        <v>0</v>
      </c>
      <c r="N1460" s="50">
        <f>IFERROR(Table1[[#This Row],[Running Time (hr)]]/Table1[Target Time (Hours)], "")</f>
        <v>1</v>
      </c>
      <c r="O1460" s="50">
        <f>IFERROR(Table1[[#This Row],[Actual Production (Kg)]]/Table1[Capacity (Kg)], "")</f>
        <v>0.71850000000000003</v>
      </c>
      <c r="P1460" s="50">
        <f>IFERROR(Table1[[#This Row],[Quality Pass Production]]/Table1[[#This Row],[Actual Production (Kg)]], "")</f>
        <v>1</v>
      </c>
      <c r="Q1460" s="50">
        <f>IFERROR(Table1[[#This Row],[Utilization %]]*Table1[[#This Row],[Efficiency %]]*Table1[[#This Row],[Quality %]], "")</f>
        <v>0.71850000000000003</v>
      </c>
    </row>
    <row r="1461" spans="1:18" ht="45" customHeight="1" x14ac:dyDescent="0.25">
      <c r="A1461" s="54">
        <v>46250</v>
      </c>
      <c r="B1461" s="55" t="s">
        <v>33</v>
      </c>
      <c r="C1461" s="55" t="s">
        <v>40</v>
      </c>
      <c r="D1461" s="55" t="s">
        <v>31</v>
      </c>
      <c r="E1461" s="56">
        <v>5000</v>
      </c>
      <c r="F1461" s="56">
        <v>2995</v>
      </c>
      <c r="G1461" s="56">
        <v>0</v>
      </c>
      <c r="H1461" s="58">
        <f>IFERROR(Table1[Re-process (Kg)]/Table1[Actual Production (Kg)], "")</f>
        <v>0</v>
      </c>
      <c r="I1461" s="56">
        <f>IFERROR(Table1[[#This Row],[Actual Production (Kg)]]-Table1[[#This Row],[Re-process (Kg)]], "")</f>
        <v>2995</v>
      </c>
      <c r="J1461" s="56">
        <v>22</v>
      </c>
      <c r="K1461" s="55"/>
      <c r="L1461" s="56">
        <f>IF(Table1[[#This Row],[Target Time (Hours)]]="","",Table1[[#This Row],[Target Time (Hours)]]-Table1[[#This Row],[Downtime (Hours)]])</f>
        <v>22</v>
      </c>
      <c r="M1461" s="56">
        <f>IFERROR(Table1[[#This Row],[Capacity (Kg)]]/Table1[[#This Row],[Target Time (Hours)]] * Table1[[#This Row],[Downtime (Hours)]], "")</f>
        <v>0</v>
      </c>
      <c r="N1461" s="58">
        <f>IFERROR(Table1[[#This Row],[Running Time (hr)]]/Table1[Target Time (Hours)], "")</f>
        <v>1</v>
      </c>
      <c r="O1461" s="58">
        <f>IFERROR(Table1[[#This Row],[Actual Production (Kg)]]/Table1[Capacity (Kg)], "")</f>
        <v>0.59899999999999998</v>
      </c>
      <c r="P1461" s="58">
        <f>IFERROR(Table1[[#This Row],[Quality Pass Production]]/Table1[[#This Row],[Actual Production (Kg)]], "")</f>
        <v>1</v>
      </c>
      <c r="Q1461" s="58">
        <f>IFERROR(Table1[[#This Row],[Utilization %]]*Table1[[#This Row],[Efficiency %]]*Table1[[#This Row],[Quality %]], "")</f>
        <v>0.59899999999999998</v>
      </c>
      <c r="R1461" s="55"/>
    </row>
    <row r="1462" spans="1:18" ht="30" customHeight="1" x14ac:dyDescent="0.25">
      <c r="A1462" s="47">
        <v>46251</v>
      </c>
      <c r="B1462" s="48" t="s">
        <v>18</v>
      </c>
      <c r="C1462" s="48" t="s">
        <v>19</v>
      </c>
      <c r="D1462" s="48" t="s">
        <v>20</v>
      </c>
      <c r="E1462" s="49">
        <v>10000</v>
      </c>
      <c r="F1462" s="76">
        <v>7477</v>
      </c>
      <c r="G1462" s="49">
        <v>0</v>
      </c>
      <c r="H1462" s="50">
        <f>IFERROR(Table1[Re-process (Kg)]/Table1[Actual Production (Kg)], "")</f>
        <v>0</v>
      </c>
      <c r="I1462" s="49">
        <f>IFERROR(Table1[[#This Row],[Actual Production (Kg)]]-Table1[[#This Row],[Re-process (Kg)]], "")</f>
        <v>7477</v>
      </c>
      <c r="J1462" s="49">
        <v>22</v>
      </c>
      <c r="K1462" s="72"/>
      <c r="L1462" s="49">
        <f>IF(Table1[[#This Row],[Target Time (Hours)]]="","",Table1[[#This Row],[Target Time (Hours)]]-Table1[[#This Row],[Downtime (Hours)]])</f>
        <v>22</v>
      </c>
      <c r="M1462" s="49">
        <f>IFERROR(Table1[[#This Row],[Capacity (Kg)]]/Table1[[#This Row],[Target Time (Hours)]] * Table1[[#This Row],[Downtime (Hours)]], "")</f>
        <v>0</v>
      </c>
      <c r="N1462" s="50">
        <f>IFERROR(Table1[[#This Row],[Running Time (hr)]]/Table1[Target Time (Hours)], "")</f>
        <v>1</v>
      </c>
      <c r="O1462" s="50">
        <f>IFERROR(Table1[[#This Row],[Actual Production (Kg)]]/Table1[Capacity (Kg)], "")</f>
        <v>0.74770000000000003</v>
      </c>
      <c r="P1462" s="50">
        <f>IFERROR(Table1[[#This Row],[Quality Pass Production]]/Table1[[#This Row],[Actual Production (Kg)]], "")</f>
        <v>1</v>
      </c>
      <c r="Q1462" s="50">
        <f>IFERROR(Table1[[#This Row],[Utilization %]]*Table1[[#This Row],[Efficiency %]]*Table1[[#This Row],[Quality %]], "")</f>
        <v>0.74770000000000003</v>
      </c>
    </row>
    <row r="1463" spans="1:18" x14ac:dyDescent="0.25">
      <c r="A1463" s="51">
        <v>46251</v>
      </c>
      <c r="B1463" s="52" t="s">
        <v>18</v>
      </c>
      <c r="C1463" s="52" t="s">
        <v>238</v>
      </c>
      <c r="D1463" s="52" t="s">
        <v>20</v>
      </c>
      <c r="E1463" s="53">
        <v>10053</v>
      </c>
      <c r="F1463" s="53">
        <v>10053</v>
      </c>
      <c r="G1463" s="53">
        <v>0</v>
      </c>
      <c r="H1463" s="57">
        <f>IFERROR(Table1[Re-process (Kg)]/Table1[Actual Production (Kg)], "")</f>
        <v>0</v>
      </c>
      <c r="I1463" s="53">
        <f>IFERROR(Table1[[#This Row],[Actual Production (Kg)]]-Table1[[#This Row],[Re-process (Kg)]], "")</f>
        <v>10053</v>
      </c>
      <c r="J1463" s="53"/>
      <c r="K1463" s="52"/>
      <c r="L1463" s="53" t="str">
        <f>IF(Table1[[#This Row],[Target Time (Hours)]]="","",Table1[[#This Row],[Target Time (Hours)]]-Table1[[#This Row],[Downtime (Hours)]])</f>
        <v/>
      </c>
      <c r="M1463" s="53" t="str">
        <f>IFERROR(Table1[[#This Row],[Capacity (Kg)]]/Table1[[#This Row],[Target Time (Hours)]] * Table1[[#This Row],[Downtime (Hours)]], "")</f>
        <v/>
      </c>
      <c r="N1463" s="57" t="str">
        <f>IFERROR(Table1[[#This Row],[Running Time (hr)]]/Table1[Target Time (Hours)], "")</f>
        <v/>
      </c>
      <c r="O1463" s="57">
        <f>IFERROR(Table1[[#This Row],[Actual Production (Kg)]]/Table1[Capacity (Kg)], "")</f>
        <v>1</v>
      </c>
      <c r="P1463" s="57">
        <f>IFERROR(Table1[[#This Row],[Quality Pass Production]]/Table1[[#This Row],[Actual Production (Kg)]], "")</f>
        <v>1</v>
      </c>
      <c r="Q1463" s="57" t="str">
        <f>IFERROR(Table1[[#This Row],[Utilization %]]*Table1[[#This Row],[Efficiency %]]*Table1[[#This Row],[Quality %]], "")</f>
        <v/>
      </c>
      <c r="R1463" s="52"/>
    </row>
    <row r="1464" spans="1:18" x14ac:dyDescent="0.25">
      <c r="A1464" s="47">
        <v>46251</v>
      </c>
      <c r="B1464" s="48" t="s">
        <v>18</v>
      </c>
      <c r="C1464" s="48" t="s">
        <v>22</v>
      </c>
      <c r="D1464" s="48" t="s">
        <v>23</v>
      </c>
      <c r="E1464" s="49">
        <v>4000</v>
      </c>
      <c r="F1464" s="76">
        <v>4272</v>
      </c>
      <c r="G1464" s="49">
        <v>0</v>
      </c>
      <c r="H1464" s="50">
        <f>IFERROR(Table1[Re-process (Kg)]/Table1[Actual Production (Kg)], "")</f>
        <v>0</v>
      </c>
      <c r="I1464" s="49">
        <f>IFERROR(Table1[[#This Row],[Actual Production (Kg)]]-Table1[[#This Row],[Re-process (Kg)]], "")</f>
        <v>4272</v>
      </c>
      <c r="J1464" s="49">
        <v>22</v>
      </c>
      <c r="K1464" s="72"/>
      <c r="L1464" s="49">
        <f>IF(Table1[[#This Row],[Target Time (Hours)]]="","",Table1[[#This Row],[Target Time (Hours)]]-Table1[[#This Row],[Downtime (Hours)]])</f>
        <v>22</v>
      </c>
      <c r="M1464" s="49">
        <f>IFERROR(Table1[[#This Row],[Capacity (Kg)]]/Table1[[#This Row],[Target Time (Hours)]] * Table1[[#This Row],[Downtime (Hours)]], "")</f>
        <v>0</v>
      </c>
      <c r="N1464" s="50">
        <f>IFERROR(Table1[[#This Row],[Running Time (hr)]]/Table1[Target Time (Hours)], "")</f>
        <v>1</v>
      </c>
      <c r="O1464" s="50">
        <f>IFERROR(Table1[[#This Row],[Actual Production (Kg)]]/Table1[Capacity (Kg)], "")</f>
        <v>1.0680000000000001</v>
      </c>
      <c r="P1464" s="50">
        <f>IFERROR(Table1[[#This Row],[Quality Pass Production]]/Table1[[#This Row],[Actual Production (Kg)]], "")</f>
        <v>1</v>
      </c>
      <c r="Q1464" s="50">
        <f>IFERROR(Table1[[#This Row],[Utilization %]]*Table1[[#This Row],[Efficiency %]]*Table1[[#This Row],[Quality %]], "")</f>
        <v>1.0680000000000001</v>
      </c>
    </row>
    <row r="1465" spans="1:18" x14ac:dyDescent="0.25">
      <c r="A1465" s="47">
        <v>46251</v>
      </c>
      <c r="B1465" s="48" t="s">
        <v>18</v>
      </c>
      <c r="C1465" s="48" t="s">
        <v>22</v>
      </c>
      <c r="D1465" s="48" t="s">
        <v>25</v>
      </c>
      <c r="E1465" s="49">
        <v>5000</v>
      </c>
      <c r="F1465" s="76">
        <v>5068</v>
      </c>
      <c r="G1465" s="49">
        <v>0</v>
      </c>
      <c r="H1465" s="50">
        <f>IFERROR(Table1[Re-process (Kg)]/Table1[Actual Production (Kg)], "")</f>
        <v>0</v>
      </c>
      <c r="I1465" s="49">
        <f>IFERROR(Table1[[#This Row],[Actual Production (Kg)]]-Table1[[#This Row],[Re-process (Kg)]], "")</f>
        <v>5068</v>
      </c>
      <c r="J1465" s="49"/>
      <c r="K1465" s="72"/>
      <c r="L1465" s="49" t="str">
        <f>IF(Table1[[#This Row],[Target Time (Hours)]]="","",Table1[[#This Row],[Target Time (Hours)]]-Table1[[#This Row],[Downtime (Hours)]])</f>
        <v/>
      </c>
      <c r="M1465" s="49" t="str">
        <f>IFERROR(Table1[[#This Row],[Capacity (Kg)]]/Table1[[#This Row],[Target Time (Hours)]] * Table1[[#This Row],[Downtime (Hours)]], "")</f>
        <v/>
      </c>
      <c r="N1465" s="50" t="str">
        <f>IFERROR(Table1[[#This Row],[Running Time (hr)]]/Table1[Target Time (Hours)], "")</f>
        <v/>
      </c>
      <c r="O1465" s="50">
        <f>IFERROR(Table1[[#This Row],[Actual Production (Kg)]]/Table1[Capacity (Kg)], "")</f>
        <v>1.0136000000000001</v>
      </c>
      <c r="P1465" s="50">
        <f>IFERROR(Table1[[#This Row],[Quality Pass Production]]/Table1[[#This Row],[Actual Production (Kg)]], "")</f>
        <v>1</v>
      </c>
      <c r="Q1465" s="50" t="str">
        <f>IFERROR(Table1[[#This Row],[Utilization %]]*Table1[[#This Row],[Efficiency %]]*Table1[[#This Row],[Quality %]], "")</f>
        <v/>
      </c>
    </row>
    <row r="1466" spans="1:18" x14ac:dyDescent="0.25">
      <c r="A1466" s="47">
        <v>46251</v>
      </c>
      <c r="B1466" s="48" t="s">
        <v>18</v>
      </c>
      <c r="C1466" s="48" t="s">
        <v>26</v>
      </c>
      <c r="D1466" s="48" t="s">
        <v>25</v>
      </c>
      <c r="E1466" s="49">
        <v>7000</v>
      </c>
      <c r="F1466" s="76">
        <v>6315</v>
      </c>
      <c r="G1466" s="49">
        <v>0</v>
      </c>
      <c r="H1466" s="50">
        <f>IFERROR(Table1[Re-process (Kg)]/Table1[Actual Production (Kg)], "")</f>
        <v>0</v>
      </c>
      <c r="I1466" s="49">
        <f>IFERROR(Table1[[#This Row],[Actual Production (Kg)]]-Table1[[#This Row],[Re-process (Kg)]], "")</f>
        <v>6315</v>
      </c>
      <c r="J1466" s="49">
        <v>22</v>
      </c>
      <c r="K1466" s="72"/>
      <c r="L1466" s="49">
        <f>IF(Table1[[#This Row],[Target Time (Hours)]]="","",Table1[[#This Row],[Target Time (Hours)]]-Table1[[#This Row],[Downtime (Hours)]])</f>
        <v>22</v>
      </c>
      <c r="M1466" s="49">
        <f>IFERROR(Table1[[#This Row],[Capacity (Kg)]]/Table1[[#This Row],[Target Time (Hours)]] * Table1[[#This Row],[Downtime (Hours)]], "")</f>
        <v>0</v>
      </c>
      <c r="N1466" s="50">
        <f>IFERROR(Table1[[#This Row],[Running Time (hr)]]/Table1[Target Time (Hours)], "")</f>
        <v>1</v>
      </c>
      <c r="O1466" s="50">
        <f>IFERROR(Table1[[#This Row],[Actual Production (Kg)]]/Table1[Capacity (Kg)], "")</f>
        <v>0.90214285714285714</v>
      </c>
      <c r="P1466" s="50">
        <f>IFERROR(Table1[[#This Row],[Quality Pass Production]]/Table1[[#This Row],[Actual Production (Kg)]], "")</f>
        <v>1</v>
      </c>
      <c r="Q1466" s="50">
        <f>IFERROR(Table1[[#This Row],[Utilization %]]*Table1[[#This Row],[Efficiency %]]*Table1[[#This Row],[Quality %]], "")</f>
        <v>0.90214285714285714</v>
      </c>
    </row>
    <row r="1467" spans="1:18" ht="30" customHeight="1" x14ac:dyDescent="0.25">
      <c r="A1467" s="47">
        <v>46251</v>
      </c>
      <c r="B1467" s="48" t="s">
        <v>18</v>
      </c>
      <c r="C1467" s="48" t="s">
        <v>28</v>
      </c>
      <c r="D1467" s="48" t="s">
        <v>29</v>
      </c>
      <c r="E1467" s="49">
        <v>7800</v>
      </c>
      <c r="F1467" s="76">
        <v>6452</v>
      </c>
      <c r="G1467" s="49">
        <v>0</v>
      </c>
      <c r="H1467" s="50">
        <f>IFERROR(Table1[Re-process (Kg)]/Table1[Actual Production (Kg)], "")</f>
        <v>0</v>
      </c>
      <c r="I1467" s="49">
        <f>IFERROR(Table1[[#This Row],[Actual Production (Kg)]]-Table1[[#This Row],[Re-process (Kg)]], "")</f>
        <v>6452</v>
      </c>
      <c r="J1467" s="49">
        <v>22</v>
      </c>
      <c r="K1467" s="72">
        <v>3.5</v>
      </c>
      <c r="L1467" s="49">
        <f>IF(Table1[[#This Row],[Target Time (Hours)]]="","",Table1[[#This Row],[Target Time (Hours)]]-Table1[[#This Row],[Downtime (Hours)]])</f>
        <v>18.5</v>
      </c>
      <c r="M1467" s="49">
        <f>IFERROR(Table1[[#This Row],[Capacity (Kg)]]/Table1[[#This Row],[Target Time (Hours)]] * Table1[[#This Row],[Downtime (Hours)]], "")</f>
        <v>1240.909090909091</v>
      </c>
      <c r="N1467" s="50">
        <f>IFERROR(Table1[[#This Row],[Running Time (hr)]]/Table1[Target Time (Hours)], "")</f>
        <v>0.84090909090909094</v>
      </c>
      <c r="O1467" s="50">
        <f>IFERROR(Table1[[#This Row],[Actual Production (Kg)]]/Table1[Capacity (Kg)], "")</f>
        <v>0.82717948717948719</v>
      </c>
      <c r="P1467" s="50">
        <f>IFERROR(Table1[[#This Row],[Quality Pass Production]]/Table1[[#This Row],[Actual Production (Kg)]], "")</f>
        <v>1</v>
      </c>
      <c r="Q1467" s="50">
        <f>IFERROR(Table1[[#This Row],[Utilization %]]*Table1[[#This Row],[Efficiency %]]*Table1[[#This Row],[Quality %]], "")</f>
        <v>0.69558275058275065</v>
      </c>
      <c r="R1467" s="48" t="s">
        <v>392</v>
      </c>
    </row>
    <row r="1468" spans="1:18" ht="30" customHeight="1" x14ac:dyDescent="0.25">
      <c r="A1468" s="51">
        <v>46251</v>
      </c>
      <c r="B1468" s="52" t="s">
        <v>18</v>
      </c>
      <c r="C1468" s="52" t="s">
        <v>135</v>
      </c>
      <c r="D1468" s="52" t="s">
        <v>29</v>
      </c>
      <c r="E1468" s="53"/>
      <c r="F1468" s="53"/>
      <c r="G1468" s="53"/>
      <c r="H1468" s="57" t="str">
        <f>IFERROR(Table1[Re-process (Kg)]/Table1[Actual Production (Kg)], "")</f>
        <v/>
      </c>
      <c r="I1468" s="53">
        <f>IFERROR(Table1[[#This Row],[Actual Production (Kg)]]-Table1[[#This Row],[Re-process (Kg)]], "")</f>
        <v>0</v>
      </c>
      <c r="J1468" s="53"/>
      <c r="K1468" s="52"/>
      <c r="L1468" s="53" t="str">
        <f>IF(Table1[[#This Row],[Target Time (Hours)]]="","",Table1[[#This Row],[Target Time (Hours)]]-Table1[[#This Row],[Downtime (Hours)]])</f>
        <v/>
      </c>
      <c r="M1468" s="53" t="str">
        <f>IFERROR(Table1[[#This Row],[Capacity (Kg)]]/Table1[[#This Row],[Target Time (Hours)]] * Table1[[#This Row],[Downtime (Hours)]], "")</f>
        <v/>
      </c>
      <c r="N1468" s="57" t="str">
        <f>IFERROR(Table1[[#This Row],[Running Time (hr)]]/Table1[Target Time (Hours)], "")</f>
        <v/>
      </c>
      <c r="O1468" s="57" t="str">
        <f>IFERROR(Table1[[#This Row],[Actual Production (Kg)]]/Table1[Capacity (Kg)], "")</f>
        <v/>
      </c>
      <c r="P1468" s="57" t="str">
        <f>IFERROR(Table1[[#This Row],[Quality Pass Production]]/Table1[[#This Row],[Actual Production (Kg)]], "")</f>
        <v/>
      </c>
      <c r="Q1468" s="57" t="str">
        <f>IFERROR(Table1[[#This Row],[Utilization %]]*Table1[[#This Row],[Efficiency %]]*Table1[[#This Row],[Quality %]], "")</f>
        <v/>
      </c>
      <c r="R1468" s="52"/>
    </row>
    <row r="1469" spans="1:18" ht="30" customHeight="1" x14ac:dyDescent="0.25">
      <c r="A1469" s="47">
        <v>46251</v>
      </c>
      <c r="B1469" s="48" t="s">
        <v>18</v>
      </c>
      <c r="C1469" s="48" t="s">
        <v>30</v>
      </c>
      <c r="D1469" s="48" t="s">
        <v>31</v>
      </c>
      <c r="E1469" s="49">
        <v>9000</v>
      </c>
      <c r="F1469" s="76">
        <v>7447</v>
      </c>
      <c r="G1469" s="49">
        <v>0</v>
      </c>
      <c r="H1469" s="50">
        <f>IFERROR(Table1[Re-process (Kg)]/Table1[Actual Production (Kg)], "")</f>
        <v>0</v>
      </c>
      <c r="I1469" s="49">
        <f>IFERROR(Table1[[#This Row],[Actual Production (Kg)]]-Table1[[#This Row],[Re-process (Kg)]], "")</f>
        <v>7447</v>
      </c>
      <c r="J1469" s="49">
        <v>22</v>
      </c>
      <c r="K1469" s="72"/>
      <c r="L1469" s="49">
        <f>IF(Table1[[#This Row],[Target Time (Hours)]]="","",Table1[[#This Row],[Target Time (Hours)]]-Table1[[#This Row],[Downtime (Hours)]])</f>
        <v>22</v>
      </c>
      <c r="M1469" s="49">
        <f>IFERROR(Table1[[#This Row],[Capacity (Kg)]]/Table1[[#This Row],[Target Time (Hours)]] * Table1[[#This Row],[Downtime (Hours)]], "")</f>
        <v>0</v>
      </c>
      <c r="N1469" s="50">
        <f>IFERROR(Table1[[#This Row],[Running Time (hr)]]/Table1[Target Time (Hours)], "")</f>
        <v>1</v>
      </c>
      <c r="O1469" s="50">
        <f>IFERROR(Table1[[#This Row],[Actual Production (Kg)]]/Table1[Capacity (Kg)], "")</f>
        <v>0.82744444444444443</v>
      </c>
      <c r="P1469" s="50">
        <f>IFERROR(Table1[[#This Row],[Quality Pass Production]]/Table1[[#This Row],[Actual Production (Kg)]], "")</f>
        <v>1</v>
      </c>
      <c r="Q1469" s="50">
        <f>IFERROR(Table1[[#This Row],[Utilization %]]*Table1[[#This Row],[Efficiency %]]*Table1[[#This Row],[Quality %]], "")</f>
        <v>0.82744444444444443</v>
      </c>
    </row>
    <row r="1470" spans="1:18" ht="30" customHeight="1" x14ac:dyDescent="0.25">
      <c r="A1470" s="51">
        <v>46251</v>
      </c>
      <c r="B1470" s="52" t="s">
        <v>18</v>
      </c>
      <c r="C1470" s="52" t="s">
        <v>32</v>
      </c>
      <c r="D1470" s="52" t="s">
        <v>31</v>
      </c>
      <c r="E1470" s="53"/>
      <c r="F1470" s="53">
        <v>1610</v>
      </c>
      <c r="G1470" s="53"/>
      <c r="H1470" s="57">
        <f>IFERROR(Table1[Re-process (Kg)]/Table1[Actual Production (Kg)], "")</f>
        <v>0</v>
      </c>
      <c r="I1470" s="53">
        <f>IFERROR(Table1[[#This Row],[Actual Production (Kg)]]-Table1[[#This Row],[Re-process (Kg)]], "")</f>
        <v>1610</v>
      </c>
      <c r="J1470" s="53"/>
      <c r="K1470" s="52"/>
      <c r="L1470" s="53" t="str">
        <f>IF(Table1[[#This Row],[Target Time (Hours)]]="","",Table1[[#This Row],[Target Time (Hours)]]-Table1[[#This Row],[Downtime (Hours)]])</f>
        <v/>
      </c>
      <c r="M1470" s="53" t="str">
        <f>IFERROR(Table1[[#This Row],[Capacity (Kg)]]/Table1[[#This Row],[Target Time (Hours)]] * Table1[[#This Row],[Downtime (Hours)]], "")</f>
        <v/>
      </c>
      <c r="N1470" s="57" t="str">
        <f>IFERROR(Table1[[#This Row],[Running Time (hr)]]/Table1[Target Time (Hours)], "")</f>
        <v/>
      </c>
      <c r="O1470" s="57" t="str">
        <f>IFERROR(Table1[[#This Row],[Actual Production (Kg)]]/Table1[Capacity (Kg)], "")</f>
        <v/>
      </c>
      <c r="P1470" s="57">
        <f>IFERROR(Table1[[#This Row],[Quality Pass Production]]/Table1[[#This Row],[Actual Production (Kg)]], "")</f>
        <v>1</v>
      </c>
      <c r="Q1470" s="57" t="str">
        <f>IFERROR(Table1[[#This Row],[Utilization %]]*Table1[[#This Row],[Efficiency %]]*Table1[[#This Row],[Quality %]], "")</f>
        <v/>
      </c>
      <c r="R1470" s="52"/>
    </row>
    <row r="1471" spans="1:18" ht="30" customHeight="1" x14ac:dyDescent="0.25">
      <c r="A1471" s="47">
        <v>46251</v>
      </c>
      <c r="B1471" s="48" t="s">
        <v>33</v>
      </c>
      <c r="C1471" s="48" t="s">
        <v>34</v>
      </c>
      <c r="D1471" s="48" t="s">
        <v>35</v>
      </c>
      <c r="E1471" s="49">
        <v>9000</v>
      </c>
      <c r="F1471" s="76">
        <v>6019</v>
      </c>
      <c r="G1471" s="49">
        <v>0</v>
      </c>
      <c r="H1471" s="50">
        <f>IFERROR(Table1[Re-process (Kg)]/Table1[Actual Production (Kg)], "")</f>
        <v>0</v>
      </c>
      <c r="I1471" s="49">
        <f>IFERROR(Table1[[#This Row],[Actual Production (Kg)]]-Table1[[#This Row],[Re-process (Kg)]], "")</f>
        <v>6019</v>
      </c>
      <c r="J1471" s="49">
        <v>22</v>
      </c>
      <c r="K1471" s="72"/>
      <c r="L1471" s="49">
        <f>IF(Table1[[#This Row],[Target Time (Hours)]]="","",Table1[[#This Row],[Target Time (Hours)]]-Table1[[#This Row],[Downtime (Hours)]])</f>
        <v>22</v>
      </c>
      <c r="M1471" s="49">
        <f>IFERROR(Table1[[#This Row],[Capacity (Kg)]]/Table1[[#This Row],[Target Time (Hours)]] * Table1[[#This Row],[Downtime (Hours)]], "")</f>
        <v>0</v>
      </c>
      <c r="N1471" s="50">
        <f>IFERROR(Table1[[#This Row],[Running Time (hr)]]/Table1[Target Time (Hours)], "")</f>
        <v>1</v>
      </c>
      <c r="O1471" s="50">
        <f>IFERROR(Table1[[#This Row],[Actual Production (Kg)]]/Table1[Capacity (Kg)], "")</f>
        <v>0.6687777777777778</v>
      </c>
      <c r="P1471" s="50">
        <f>IFERROR(Table1[[#This Row],[Quality Pass Production]]/Table1[[#This Row],[Actual Production (Kg)]], "")</f>
        <v>1</v>
      </c>
      <c r="Q1471" s="50">
        <f>IFERROR(Table1[[#This Row],[Utilization %]]*Table1[[#This Row],[Efficiency %]]*Table1[[#This Row],[Quality %]], "")</f>
        <v>0.6687777777777778</v>
      </c>
    </row>
    <row r="1472" spans="1:18" ht="45" customHeight="1" x14ac:dyDescent="0.25">
      <c r="A1472" s="47">
        <v>46251</v>
      </c>
      <c r="B1472" s="48" t="s">
        <v>33</v>
      </c>
      <c r="C1472" s="48" t="s">
        <v>36</v>
      </c>
      <c r="D1472" s="48" t="s">
        <v>37</v>
      </c>
      <c r="E1472" s="49">
        <v>8000</v>
      </c>
      <c r="F1472" s="76">
        <v>6184</v>
      </c>
      <c r="G1472" s="49">
        <v>0</v>
      </c>
      <c r="H1472" s="50">
        <f>IFERROR(Table1[Re-process (Kg)]/Table1[Actual Production (Kg)], "")</f>
        <v>0</v>
      </c>
      <c r="I1472" s="49">
        <f>IFERROR(Table1[[#This Row],[Actual Production (Kg)]]-Table1[[#This Row],[Re-process (Kg)]], "")</f>
        <v>6184</v>
      </c>
      <c r="J1472" s="49">
        <v>22</v>
      </c>
      <c r="K1472" s="72">
        <v>1.5</v>
      </c>
      <c r="L1472" s="49">
        <f>IF(Table1[[#This Row],[Target Time (Hours)]]="","",Table1[[#This Row],[Target Time (Hours)]]-Table1[[#This Row],[Downtime (Hours)]])</f>
        <v>20.5</v>
      </c>
      <c r="M1472" s="49">
        <f>IFERROR(Table1[[#This Row],[Capacity (Kg)]]/Table1[[#This Row],[Target Time (Hours)]] * Table1[[#This Row],[Downtime (Hours)]], "")</f>
        <v>545.4545454545455</v>
      </c>
      <c r="N1472" s="50">
        <f>IFERROR(Table1[[#This Row],[Running Time (hr)]]/Table1[Target Time (Hours)], "")</f>
        <v>0.93181818181818177</v>
      </c>
      <c r="O1472" s="50">
        <f>IFERROR(Table1[[#This Row],[Actual Production (Kg)]]/Table1[Capacity (Kg)], "")</f>
        <v>0.77300000000000002</v>
      </c>
      <c r="P1472" s="50">
        <f>IFERROR(Table1[[#This Row],[Quality Pass Production]]/Table1[[#This Row],[Actual Production (Kg)]], "")</f>
        <v>1</v>
      </c>
      <c r="Q1472" s="50">
        <f>IFERROR(Table1[[#This Row],[Utilization %]]*Table1[[#This Row],[Efficiency %]]*Table1[[#This Row],[Quality %]], "")</f>
        <v>0.72029545454545452</v>
      </c>
      <c r="R1472" s="48" t="s">
        <v>393</v>
      </c>
    </row>
    <row r="1473" spans="1:18" ht="30" customHeight="1" x14ac:dyDescent="0.25">
      <c r="A1473" s="47">
        <v>46251</v>
      </c>
      <c r="B1473" s="48" t="s">
        <v>33</v>
      </c>
      <c r="C1473" s="48" t="s">
        <v>39</v>
      </c>
      <c r="D1473" s="48" t="s">
        <v>31</v>
      </c>
      <c r="E1473" s="49">
        <v>6000</v>
      </c>
      <c r="F1473" s="76">
        <v>1843</v>
      </c>
      <c r="G1473" s="49">
        <v>0</v>
      </c>
      <c r="H1473" s="50">
        <f>IFERROR(Table1[Re-process (Kg)]/Table1[Actual Production (Kg)], "")</f>
        <v>0</v>
      </c>
      <c r="I1473" s="49">
        <f>IFERROR(Table1[[#This Row],[Actual Production (Kg)]]-Table1[[#This Row],[Re-process (Kg)]], "")</f>
        <v>1843</v>
      </c>
      <c r="J1473" s="49">
        <v>22</v>
      </c>
      <c r="K1473" s="72"/>
      <c r="L1473" s="49">
        <f>IF(Table1[[#This Row],[Target Time (Hours)]]="","",Table1[[#This Row],[Target Time (Hours)]]-Table1[[#This Row],[Downtime (Hours)]])</f>
        <v>22</v>
      </c>
      <c r="M1473" s="49">
        <f>IFERROR(Table1[[#This Row],[Capacity (Kg)]]/Table1[[#This Row],[Target Time (Hours)]] * Table1[[#This Row],[Downtime (Hours)]], "")</f>
        <v>0</v>
      </c>
      <c r="N1473" s="50">
        <f>IFERROR(Table1[[#This Row],[Running Time (hr)]]/Table1[Target Time (Hours)], "")</f>
        <v>1</v>
      </c>
      <c r="O1473" s="50">
        <f>IFERROR(Table1[[#This Row],[Actual Production (Kg)]]/Table1[Capacity (Kg)], "")</f>
        <v>0.30716666666666664</v>
      </c>
      <c r="P1473" s="50">
        <f>IFERROR(Table1[[#This Row],[Quality Pass Production]]/Table1[[#This Row],[Actual Production (Kg)]], "")</f>
        <v>1</v>
      </c>
      <c r="Q1473" s="50">
        <f>IFERROR(Table1[[#This Row],[Utilization %]]*Table1[[#This Row],[Efficiency %]]*Table1[[#This Row],[Quality %]], "")</f>
        <v>0.30716666666666664</v>
      </c>
      <c r="R1473" s="48" t="s">
        <v>394</v>
      </c>
    </row>
    <row r="1474" spans="1:18" ht="45" customHeight="1" x14ac:dyDescent="0.25">
      <c r="A1474" s="54">
        <v>46251</v>
      </c>
      <c r="B1474" s="55" t="s">
        <v>33</v>
      </c>
      <c r="C1474" s="55" t="s">
        <v>40</v>
      </c>
      <c r="D1474" s="55" t="s">
        <v>31</v>
      </c>
      <c r="E1474" s="56">
        <v>5000</v>
      </c>
      <c r="F1474" s="56">
        <v>2190</v>
      </c>
      <c r="G1474" s="56">
        <v>0</v>
      </c>
      <c r="H1474" s="58">
        <f>IFERROR(Table1[Re-process (Kg)]/Table1[Actual Production (Kg)], "")</f>
        <v>0</v>
      </c>
      <c r="I1474" s="56">
        <f>IFERROR(Table1[[#This Row],[Actual Production (Kg)]]-Table1[[#This Row],[Re-process (Kg)]], "")</f>
        <v>2190</v>
      </c>
      <c r="J1474" s="56">
        <v>22</v>
      </c>
      <c r="K1474" s="55"/>
      <c r="L1474" s="56">
        <f>IF(Table1[[#This Row],[Target Time (Hours)]]="","",Table1[[#This Row],[Target Time (Hours)]]-Table1[[#This Row],[Downtime (Hours)]])</f>
        <v>22</v>
      </c>
      <c r="M1474" s="56">
        <f>IFERROR(Table1[[#This Row],[Capacity (Kg)]]/Table1[[#This Row],[Target Time (Hours)]] * Table1[[#This Row],[Downtime (Hours)]], "")</f>
        <v>0</v>
      </c>
      <c r="N1474" s="58">
        <f>IFERROR(Table1[[#This Row],[Running Time (hr)]]/Table1[Target Time (Hours)], "")</f>
        <v>1</v>
      </c>
      <c r="O1474" s="58">
        <f>IFERROR(Table1[[#This Row],[Actual Production (Kg)]]/Table1[Capacity (Kg)], "")</f>
        <v>0.438</v>
      </c>
      <c r="P1474" s="58">
        <f>IFERROR(Table1[[#This Row],[Quality Pass Production]]/Table1[[#This Row],[Actual Production (Kg)]], "")</f>
        <v>1</v>
      </c>
      <c r="Q1474" s="58">
        <f>IFERROR(Table1[[#This Row],[Utilization %]]*Table1[[#This Row],[Efficiency %]]*Table1[[#This Row],[Quality %]], "")</f>
        <v>0.438</v>
      </c>
      <c r="R1474" s="55" t="s">
        <v>394</v>
      </c>
    </row>
    <row r="1475" spans="1:18" ht="30" customHeight="1" x14ac:dyDescent="0.25">
      <c r="A1475" s="47">
        <v>46252</v>
      </c>
      <c r="B1475" s="48" t="s">
        <v>18</v>
      </c>
      <c r="C1475" s="48" t="s">
        <v>19</v>
      </c>
      <c r="D1475" s="48" t="s">
        <v>20</v>
      </c>
      <c r="E1475" s="49">
        <v>10000</v>
      </c>
      <c r="F1475" s="76">
        <v>7707</v>
      </c>
      <c r="G1475" s="49">
        <v>0</v>
      </c>
      <c r="H1475" s="50">
        <f>IFERROR(Table1[Re-process (Kg)]/Table1[Actual Production (Kg)], "")</f>
        <v>0</v>
      </c>
      <c r="I1475" s="49">
        <f>IFERROR(Table1[[#This Row],[Actual Production (Kg)]]-Table1[[#This Row],[Re-process (Kg)]], "")</f>
        <v>7707</v>
      </c>
      <c r="J1475" s="49">
        <v>22</v>
      </c>
      <c r="K1475" s="72"/>
      <c r="L1475" s="49">
        <f>IF(Table1[[#This Row],[Target Time (Hours)]]="","",Table1[[#This Row],[Target Time (Hours)]]-Table1[[#This Row],[Downtime (Hours)]])</f>
        <v>22</v>
      </c>
      <c r="M1475" s="49">
        <f>IFERROR(Table1[[#This Row],[Capacity (Kg)]]/Table1[[#This Row],[Target Time (Hours)]] * Table1[[#This Row],[Downtime (Hours)]], "")</f>
        <v>0</v>
      </c>
      <c r="N1475" s="50">
        <f>IFERROR(Table1[[#This Row],[Running Time (hr)]]/Table1[Target Time (Hours)], "")</f>
        <v>1</v>
      </c>
      <c r="O1475" s="50">
        <f>IFERROR(Table1[[#This Row],[Actual Production (Kg)]]/Table1[Capacity (Kg)], "")</f>
        <v>0.77070000000000005</v>
      </c>
      <c r="P1475" s="50">
        <f>IFERROR(Table1[[#This Row],[Quality Pass Production]]/Table1[[#This Row],[Actual Production (Kg)]], "")</f>
        <v>1</v>
      </c>
      <c r="Q1475" s="50">
        <f>IFERROR(Table1[[#This Row],[Utilization %]]*Table1[[#This Row],[Efficiency %]]*Table1[[#This Row],[Quality %]], "")</f>
        <v>0.77070000000000005</v>
      </c>
    </row>
    <row r="1476" spans="1:18" x14ac:dyDescent="0.25">
      <c r="A1476" s="51">
        <v>46252</v>
      </c>
      <c r="B1476" s="52" t="s">
        <v>18</v>
      </c>
      <c r="C1476" s="52" t="s">
        <v>238</v>
      </c>
      <c r="D1476" s="52" t="s">
        <v>20</v>
      </c>
      <c r="E1476" s="53">
        <v>11007</v>
      </c>
      <c r="F1476" s="53">
        <v>11007</v>
      </c>
      <c r="G1476" s="53">
        <v>0</v>
      </c>
      <c r="H1476" s="57">
        <f>IFERROR(Table1[Re-process (Kg)]/Table1[Actual Production (Kg)], "")</f>
        <v>0</v>
      </c>
      <c r="I1476" s="53">
        <f>IFERROR(Table1[[#This Row],[Actual Production (Kg)]]-Table1[[#This Row],[Re-process (Kg)]], "")</f>
        <v>11007</v>
      </c>
      <c r="J1476" s="53"/>
      <c r="K1476" s="52"/>
      <c r="L1476" s="53" t="str">
        <f>IF(Table1[[#This Row],[Target Time (Hours)]]="","",Table1[[#This Row],[Target Time (Hours)]]-Table1[[#This Row],[Downtime (Hours)]])</f>
        <v/>
      </c>
      <c r="M1476" s="53" t="str">
        <f>IFERROR(Table1[[#This Row],[Capacity (Kg)]]/Table1[[#This Row],[Target Time (Hours)]] * Table1[[#This Row],[Downtime (Hours)]], "")</f>
        <v/>
      </c>
      <c r="N1476" s="57" t="str">
        <f>IFERROR(Table1[[#This Row],[Running Time (hr)]]/Table1[Target Time (Hours)], "")</f>
        <v/>
      </c>
      <c r="O1476" s="57">
        <f>IFERROR(Table1[[#This Row],[Actual Production (Kg)]]/Table1[Capacity (Kg)], "")</f>
        <v>1</v>
      </c>
      <c r="P1476" s="57">
        <f>IFERROR(Table1[[#This Row],[Quality Pass Production]]/Table1[[#This Row],[Actual Production (Kg)]], "")</f>
        <v>1</v>
      </c>
      <c r="Q1476" s="57" t="str">
        <f>IFERROR(Table1[[#This Row],[Utilization %]]*Table1[[#This Row],[Efficiency %]]*Table1[[#This Row],[Quality %]], "")</f>
        <v/>
      </c>
      <c r="R1476" s="52"/>
    </row>
    <row r="1477" spans="1:18" x14ac:dyDescent="0.25">
      <c r="A1477" s="47">
        <v>46252</v>
      </c>
      <c r="B1477" s="48" t="s">
        <v>18</v>
      </c>
      <c r="C1477" s="48" t="s">
        <v>22</v>
      </c>
      <c r="D1477" s="48" t="s">
        <v>23</v>
      </c>
      <c r="E1477" s="49">
        <v>4000</v>
      </c>
      <c r="F1477" s="76">
        <v>4907</v>
      </c>
      <c r="G1477" s="49">
        <v>0</v>
      </c>
      <c r="H1477" s="50">
        <f>IFERROR(Table1[Re-process (Kg)]/Table1[Actual Production (Kg)], "")</f>
        <v>0</v>
      </c>
      <c r="I1477" s="49">
        <f>IFERROR(Table1[[#This Row],[Actual Production (Kg)]]-Table1[[#This Row],[Re-process (Kg)]], "")</f>
        <v>4907</v>
      </c>
      <c r="J1477" s="49">
        <v>22</v>
      </c>
      <c r="K1477" s="72"/>
      <c r="L1477" s="49">
        <f>IF(Table1[[#This Row],[Target Time (Hours)]]="","",Table1[[#This Row],[Target Time (Hours)]]-Table1[[#This Row],[Downtime (Hours)]])</f>
        <v>22</v>
      </c>
      <c r="M1477" s="49">
        <f>IFERROR(Table1[[#This Row],[Capacity (Kg)]]/Table1[[#This Row],[Target Time (Hours)]] * Table1[[#This Row],[Downtime (Hours)]], "")</f>
        <v>0</v>
      </c>
      <c r="N1477" s="50">
        <f>IFERROR(Table1[[#This Row],[Running Time (hr)]]/Table1[Target Time (Hours)], "")</f>
        <v>1</v>
      </c>
      <c r="O1477" s="50">
        <f>IFERROR(Table1[[#This Row],[Actual Production (Kg)]]/Table1[Capacity (Kg)], "")</f>
        <v>1.22675</v>
      </c>
      <c r="P1477" s="50">
        <f>IFERROR(Table1[[#This Row],[Quality Pass Production]]/Table1[[#This Row],[Actual Production (Kg)]], "")</f>
        <v>1</v>
      </c>
      <c r="Q1477" s="50">
        <f>IFERROR(Table1[[#This Row],[Utilization %]]*Table1[[#This Row],[Efficiency %]]*Table1[[#This Row],[Quality %]], "")</f>
        <v>1.22675</v>
      </c>
    </row>
    <row r="1478" spans="1:18" x14ac:dyDescent="0.25">
      <c r="A1478" s="47">
        <v>46252</v>
      </c>
      <c r="B1478" s="48" t="s">
        <v>18</v>
      </c>
      <c r="C1478" s="48" t="s">
        <v>22</v>
      </c>
      <c r="D1478" s="48" t="s">
        <v>25</v>
      </c>
      <c r="E1478" s="49">
        <v>5000</v>
      </c>
      <c r="F1478" s="76">
        <v>4048</v>
      </c>
      <c r="G1478" s="49">
        <v>0</v>
      </c>
      <c r="H1478" s="50">
        <f>IFERROR(Table1[Re-process (Kg)]/Table1[Actual Production (Kg)], "")</f>
        <v>0</v>
      </c>
      <c r="I1478" s="49">
        <f>IFERROR(Table1[[#This Row],[Actual Production (Kg)]]-Table1[[#This Row],[Re-process (Kg)]], "")</f>
        <v>4048</v>
      </c>
      <c r="J1478" s="49"/>
      <c r="K1478" s="72"/>
      <c r="L1478" s="49" t="str">
        <f>IF(Table1[[#This Row],[Target Time (Hours)]]="","",Table1[[#This Row],[Target Time (Hours)]]-Table1[[#This Row],[Downtime (Hours)]])</f>
        <v/>
      </c>
      <c r="M1478" s="49" t="str">
        <f>IFERROR(Table1[[#This Row],[Capacity (Kg)]]/Table1[[#This Row],[Target Time (Hours)]] * Table1[[#This Row],[Downtime (Hours)]], "")</f>
        <v/>
      </c>
      <c r="N1478" s="50" t="str">
        <f>IFERROR(Table1[[#This Row],[Running Time (hr)]]/Table1[Target Time (Hours)], "")</f>
        <v/>
      </c>
      <c r="O1478" s="50">
        <f>IFERROR(Table1[[#This Row],[Actual Production (Kg)]]/Table1[Capacity (Kg)], "")</f>
        <v>0.80959999999999999</v>
      </c>
      <c r="P1478" s="50">
        <f>IFERROR(Table1[[#This Row],[Quality Pass Production]]/Table1[[#This Row],[Actual Production (Kg)]], "")</f>
        <v>1</v>
      </c>
      <c r="Q1478" s="50" t="str">
        <f>IFERROR(Table1[[#This Row],[Utilization %]]*Table1[[#This Row],[Efficiency %]]*Table1[[#This Row],[Quality %]], "")</f>
        <v/>
      </c>
    </row>
    <row r="1479" spans="1:18" ht="30" customHeight="1" x14ac:dyDescent="0.25">
      <c r="A1479" s="47">
        <v>46252</v>
      </c>
      <c r="B1479" s="48" t="s">
        <v>18</v>
      </c>
      <c r="C1479" s="48" t="s">
        <v>26</v>
      </c>
      <c r="D1479" s="48" t="s">
        <v>25</v>
      </c>
      <c r="E1479" s="49">
        <v>7000</v>
      </c>
      <c r="F1479" s="76">
        <v>7009</v>
      </c>
      <c r="G1479" s="49">
        <v>0</v>
      </c>
      <c r="H1479" s="50">
        <f>IFERROR(Table1[Re-process (Kg)]/Table1[Actual Production (Kg)], "")</f>
        <v>0</v>
      </c>
      <c r="I1479" s="49">
        <f>IFERROR(Table1[[#This Row],[Actual Production (Kg)]]-Table1[[#This Row],[Re-process (Kg)]], "")</f>
        <v>7009</v>
      </c>
      <c r="J1479" s="49">
        <v>22</v>
      </c>
      <c r="K1479" s="72"/>
      <c r="L1479" s="49">
        <f>IF(Table1[[#This Row],[Target Time (Hours)]]="","",Table1[[#This Row],[Target Time (Hours)]]-Table1[[#This Row],[Downtime (Hours)]])</f>
        <v>22</v>
      </c>
      <c r="M1479" s="49">
        <f>IFERROR(Table1[[#This Row],[Capacity (Kg)]]/Table1[[#This Row],[Target Time (Hours)]] * Table1[[#This Row],[Downtime (Hours)]], "")</f>
        <v>0</v>
      </c>
      <c r="N1479" s="50">
        <f>IFERROR(Table1[[#This Row],[Running Time (hr)]]/Table1[Target Time (Hours)], "")</f>
        <v>1</v>
      </c>
      <c r="O1479" s="50">
        <f>IFERROR(Table1[[#This Row],[Actual Production (Kg)]]/Table1[Capacity (Kg)], "")</f>
        <v>1.0012857142857143</v>
      </c>
      <c r="P1479" s="50">
        <f>IFERROR(Table1[[#This Row],[Quality Pass Production]]/Table1[[#This Row],[Actual Production (Kg)]], "")</f>
        <v>1</v>
      </c>
      <c r="Q1479" s="50">
        <f>IFERROR(Table1[[#This Row],[Utilization %]]*Table1[[#This Row],[Efficiency %]]*Table1[[#This Row],[Quality %]], "")</f>
        <v>1.0012857142857143</v>
      </c>
      <c r="R1479" s="48" t="s">
        <v>395</v>
      </c>
    </row>
    <row r="1480" spans="1:18" ht="30" customHeight="1" x14ac:dyDescent="0.25">
      <c r="A1480" s="47">
        <v>46252</v>
      </c>
      <c r="B1480" s="48" t="s">
        <v>18</v>
      </c>
      <c r="C1480" s="48" t="s">
        <v>28</v>
      </c>
      <c r="D1480" s="48" t="s">
        <v>29</v>
      </c>
      <c r="E1480" s="49">
        <v>7800</v>
      </c>
      <c r="F1480" s="76">
        <v>6955</v>
      </c>
      <c r="G1480" s="49">
        <v>0</v>
      </c>
      <c r="H1480" s="50">
        <f>IFERROR(Table1[Re-process (Kg)]/Table1[Actual Production (Kg)], "")</f>
        <v>0</v>
      </c>
      <c r="I1480" s="49">
        <f>IFERROR(Table1[[#This Row],[Actual Production (Kg)]]-Table1[[#This Row],[Re-process (Kg)]], "")</f>
        <v>6955</v>
      </c>
      <c r="J1480" s="49">
        <v>22</v>
      </c>
      <c r="K1480" s="72">
        <v>3.5</v>
      </c>
      <c r="L1480" s="49">
        <f>IF(Table1[[#This Row],[Target Time (Hours)]]="","",Table1[[#This Row],[Target Time (Hours)]]-Table1[[#This Row],[Downtime (Hours)]])</f>
        <v>18.5</v>
      </c>
      <c r="M1480" s="49">
        <f>IFERROR(Table1[[#This Row],[Capacity (Kg)]]/Table1[[#This Row],[Target Time (Hours)]] * Table1[[#This Row],[Downtime (Hours)]], "")</f>
        <v>1240.909090909091</v>
      </c>
      <c r="N1480" s="50">
        <f>IFERROR(Table1[[#This Row],[Running Time (hr)]]/Table1[Target Time (Hours)], "")</f>
        <v>0.84090909090909094</v>
      </c>
      <c r="O1480" s="50">
        <f>IFERROR(Table1[[#This Row],[Actual Production (Kg)]]/Table1[Capacity (Kg)], "")</f>
        <v>0.89166666666666672</v>
      </c>
      <c r="P1480" s="50">
        <f>IFERROR(Table1[[#This Row],[Quality Pass Production]]/Table1[[#This Row],[Actual Production (Kg)]], "")</f>
        <v>1</v>
      </c>
      <c r="Q1480" s="50">
        <f>IFERROR(Table1[[#This Row],[Utilization %]]*Table1[[#This Row],[Efficiency %]]*Table1[[#This Row],[Quality %]], "")</f>
        <v>0.74981060606060612</v>
      </c>
      <c r="R1480" s="48" t="s">
        <v>392</v>
      </c>
    </row>
    <row r="1481" spans="1:18" ht="30" customHeight="1" x14ac:dyDescent="0.25">
      <c r="A1481" s="51">
        <v>46252</v>
      </c>
      <c r="B1481" s="52" t="s">
        <v>18</v>
      </c>
      <c r="C1481" s="52" t="s">
        <v>135</v>
      </c>
      <c r="D1481" s="52" t="s">
        <v>29</v>
      </c>
      <c r="E1481" s="53"/>
      <c r="F1481" s="53"/>
      <c r="G1481" s="53"/>
      <c r="H1481" s="57" t="str">
        <f>IFERROR(Table1[Re-process (Kg)]/Table1[Actual Production (Kg)], "")</f>
        <v/>
      </c>
      <c r="I1481" s="53">
        <f>IFERROR(Table1[[#This Row],[Actual Production (Kg)]]-Table1[[#This Row],[Re-process (Kg)]], "")</f>
        <v>0</v>
      </c>
      <c r="J1481" s="53"/>
      <c r="K1481" s="52"/>
      <c r="L1481" s="53" t="str">
        <f>IF(Table1[[#This Row],[Target Time (Hours)]]="","",Table1[[#This Row],[Target Time (Hours)]]-Table1[[#This Row],[Downtime (Hours)]])</f>
        <v/>
      </c>
      <c r="M1481" s="53" t="str">
        <f>IFERROR(Table1[[#This Row],[Capacity (Kg)]]/Table1[[#This Row],[Target Time (Hours)]] * Table1[[#This Row],[Downtime (Hours)]], "")</f>
        <v/>
      </c>
      <c r="N1481" s="57" t="str">
        <f>IFERROR(Table1[[#This Row],[Running Time (hr)]]/Table1[Target Time (Hours)], "")</f>
        <v/>
      </c>
      <c r="O1481" s="57" t="str">
        <f>IFERROR(Table1[[#This Row],[Actual Production (Kg)]]/Table1[Capacity (Kg)], "")</f>
        <v/>
      </c>
      <c r="P1481" s="57" t="str">
        <f>IFERROR(Table1[[#This Row],[Quality Pass Production]]/Table1[[#This Row],[Actual Production (Kg)]], "")</f>
        <v/>
      </c>
      <c r="Q1481" s="57" t="str">
        <f>IFERROR(Table1[[#This Row],[Utilization %]]*Table1[[#This Row],[Efficiency %]]*Table1[[#This Row],[Quality %]], "")</f>
        <v/>
      </c>
      <c r="R1481" s="52"/>
    </row>
    <row r="1482" spans="1:18" ht="30" customHeight="1" x14ac:dyDescent="0.25">
      <c r="A1482" s="47">
        <v>46252</v>
      </c>
      <c r="B1482" s="48" t="s">
        <v>18</v>
      </c>
      <c r="C1482" s="48" t="s">
        <v>30</v>
      </c>
      <c r="D1482" s="48" t="s">
        <v>31</v>
      </c>
      <c r="E1482" s="49">
        <v>9000</v>
      </c>
      <c r="F1482" s="76">
        <v>7432</v>
      </c>
      <c r="G1482" s="49">
        <v>0</v>
      </c>
      <c r="H1482" s="50">
        <f>IFERROR(Table1[Re-process (Kg)]/Table1[Actual Production (Kg)], "")</f>
        <v>0</v>
      </c>
      <c r="I1482" s="49">
        <f>IFERROR(Table1[[#This Row],[Actual Production (Kg)]]-Table1[[#This Row],[Re-process (Kg)]], "")</f>
        <v>7432</v>
      </c>
      <c r="J1482" s="49">
        <v>22</v>
      </c>
      <c r="K1482" s="72"/>
      <c r="L1482" s="49">
        <f>IF(Table1[[#This Row],[Target Time (Hours)]]="","",Table1[[#This Row],[Target Time (Hours)]]-Table1[[#This Row],[Downtime (Hours)]])</f>
        <v>22</v>
      </c>
      <c r="M1482" s="49">
        <f>IFERROR(Table1[[#This Row],[Capacity (Kg)]]/Table1[[#This Row],[Target Time (Hours)]] * Table1[[#This Row],[Downtime (Hours)]], "")</f>
        <v>0</v>
      </c>
      <c r="N1482" s="50">
        <f>IFERROR(Table1[[#This Row],[Running Time (hr)]]/Table1[Target Time (Hours)], "")</f>
        <v>1</v>
      </c>
      <c r="O1482" s="50">
        <f>IFERROR(Table1[[#This Row],[Actual Production (Kg)]]/Table1[Capacity (Kg)], "")</f>
        <v>0.82577777777777783</v>
      </c>
      <c r="P1482" s="50">
        <f>IFERROR(Table1[[#This Row],[Quality Pass Production]]/Table1[[#This Row],[Actual Production (Kg)]], "")</f>
        <v>1</v>
      </c>
      <c r="Q1482" s="50">
        <f>IFERROR(Table1[[#This Row],[Utilization %]]*Table1[[#This Row],[Efficiency %]]*Table1[[#This Row],[Quality %]], "")</f>
        <v>0.82577777777777783</v>
      </c>
    </row>
    <row r="1483" spans="1:18" ht="30" customHeight="1" x14ac:dyDescent="0.25">
      <c r="A1483" s="51">
        <v>46252</v>
      </c>
      <c r="B1483" s="52" t="s">
        <v>18</v>
      </c>
      <c r="C1483" s="52" t="s">
        <v>32</v>
      </c>
      <c r="D1483" s="52" t="s">
        <v>31</v>
      </c>
      <c r="E1483" s="53"/>
      <c r="F1483" s="53">
        <v>1674</v>
      </c>
      <c r="G1483" s="53"/>
      <c r="H1483" s="57">
        <f>IFERROR(Table1[Re-process (Kg)]/Table1[Actual Production (Kg)], "")</f>
        <v>0</v>
      </c>
      <c r="I1483" s="53">
        <f>IFERROR(Table1[[#This Row],[Actual Production (Kg)]]-Table1[[#This Row],[Re-process (Kg)]], "")</f>
        <v>1674</v>
      </c>
      <c r="J1483" s="53"/>
      <c r="K1483" s="52"/>
      <c r="L1483" s="53" t="str">
        <f>IF(Table1[[#This Row],[Target Time (Hours)]]="","",Table1[[#This Row],[Target Time (Hours)]]-Table1[[#This Row],[Downtime (Hours)]])</f>
        <v/>
      </c>
      <c r="M1483" s="53" t="str">
        <f>IFERROR(Table1[[#This Row],[Capacity (Kg)]]/Table1[[#This Row],[Target Time (Hours)]] * Table1[[#This Row],[Downtime (Hours)]], "")</f>
        <v/>
      </c>
      <c r="N1483" s="57" t="str">
        <f>IFERROR(Table1[[#This Row],[Running Time (hr)]]/Table1[Target Time (Hours)], "")</f>
        <v/>
      </c>
      <c r="O1483" s="57" t="str">
        <f>IFERROR(Table1[[#This Row],[Actual Production (Kg)]]/Table1[Capacity (Kg)], "")</f>
        <v/>
      </c>
      <c r="P1483" s="57">
        <f>IFERROR(Table1[[#This Row],[Quality Pass Production]]/Table1[[#This Row],[Actual Production (Kg)]], "")</f>
        <v>1</v>
      </c>
      <c r="Q1483" s="57" t="str">
        <f>IFERROR(Table1[[#This Row],[Utilization %]]*Table1[[#This Row],[Efficiency %]]*Table1[[#This Row],[Quality %]], "")</f>
        <v/>
      </c>
      <c r="R1483" s="52"/>
    </row>
    <row r="1484" spans="1:18" ht="30" customHeight="1" x14ac:dyDescent="0.25">
      <c r="A1484" s="47">
        <v>46252</v>
      </c>
      <c r="B1484" s="48" t="s">
        <v>33</v>
      </c>
      <c r="C1484" s="48" t="s">
        <v>34</v>
      </c>
      <c r="D1484" s="48" t="s">
        <v>35</v>
      </c>
      <c r="E1484" s="49">
        <v>9000</v>
      </c>
      <c r="F1484" s="76">
        <v>3239</v>
      </c>
      <c r="G1484" s="49">
        <v>0</v>
      </c>
      <c r="H1484" s="50">
        <f>IFERROR(Table1[Re-process (Kg)]/Table1[Actual Production (Kg)], "")</f>
        <v>0</v>
      </c>
      <c r="I1484" s="49">
        <f>IFERROR(Table1[[#This Row],[Actual Production (Kg)]]-Table1[[#This Row],[Re-process (Kg)]], "")</f>
        <v>3239</v>
      </c>
      <c r="J1484" s="49">
        <v>22</v>
      </c>
      <c r="K1484" s="72"/>
      <c r="L1484" s="49">
        <f>IF(Table1[[#This Row],[Target Time (Hours)]]="","",Table1[[#This Row],[Target Time (Hours)]]-Table1[[#This Row],[Downtime (Hours)]])</f>
        <v>22</v>
      </c>
      <c r="M1484" s="49">
        <f>IFERROR(Table1[[#This Row],[Capacity (Kg)]]/Table1[[#This Row],[Target Time (Hours)]] * Table1[[#This Row],[Downtime (Hours)]], "")</f>
        <v>0</v>
      </c>
      <c r="N1484" s="50">
        <f>IFERROR(Table1[[#This Row],[Running Time (hr)]]/Table1[Target Time (Hours)], "")</f>
        <v>1</v>
      </c>
      <c r="O1484" s="50">
        <f>IFERROR(Table1[[#This Row],[Actual Production (Kg)]]/Table1[Capacity (Kg)], "")</f>
        <v>0.35988888888888887</v>
      </c>
      <c r="P1484" s="50">
        <f>IFERROR(Table1[[#This Row],[Quality Pass Production]]/Table1[[#This Row],[Actual Production (Kg)]], "")</f>
        <v>1</v>
      </c>
      <c r="Q1484" s="50">
        <f>IFERROR(Table1[[#This Row],[Utilization %]]*Table1[[#This Row],[Efficiency %]]*Table1[[#This Row],[Quality %]], "")</f>
        <v>0.35988888888888887</v>
      </c>
    </row>
    <row r="1485" spans="1:18" ht="45" customHeight="1" x14ac:dyDescent="0.25">
      <c r="A1485" s="47">
        <v>46252</v>
      </c>
      <c r="B1485" s="48" t="s">
        <v>33</v>
      </c>
      <c r="C1485" s="48" t="s">
        <v>36</v>
      </c>
      <c r="D1485" s="48" t="s">
        <v>37</v>
      </c>
      <c r="E1485" s="49">
        <v>8000</v>
      </c>
      <c r="F1485" s="76">
        <v>3771</v>
      </c>
      <c r="G1485" s="49">
        <v>0</v>
      </c>
      <c r="H1485" s="50">
        <f>IFERROR(Table1[Re-process (Kg)]/Table1[Actual Production (Kg)], "")</f>
        <v>0</v>
      </c>
      <c r="I1485" s="49">
        <f>IFERROR(Table1[[#This Row],[Actual Production (Kg)]]-Table1[[#This Row],[Re-process (Kg)]], "")</f>
        <v>3771</v>
      </c>
      <c r="J1485" s="49">
        <v>22</v>
      </c>
      <c r="K1485" s="72">
        <v>1.5</v>
      </c>
      <c r="L1485" s="49">
        <f>IF(Table1[[#This Row],[Target Time (Hours)]]="","",Table1[[#This Row],[Target Time (Hours)]]-Table1[[#This Row],[Downtime (Hours)]])</f>
        <v>20.5</v>
      </c>
      <c r="M1485" s="49">
        <f>IFERROR(Table1[[#This Row],[Capacity (Kg)]]/Table1[[#This Row],[Target Time (Hours)]] * Table1[[#This Row],[Downtime (Hours)]], "")</f>
        <v>545.4545454545455</v>
      </c>
      <c r="N1485" s="50">
        <f>IFERROR(Table1[[#This Row],[Running Time (hr)]]/Table1[Target Time (Hours)], "")</f>
        <v>0.93181818181818177</v>
      </c>
      <c r="O1485" s="50">
        <f>IFERROR(Table1[[#This Row],[Actual Production (Kg)]]/Table1[Capacity (Kg)], "")</f>
        <v>0.47137499999999999</v>
      </c>
      <c r="P1485" s="50">
        <f>IFERROR(Table1[[#This Row],[Quality Pass Production]]/Table1[[#This Row],[Actual Production (Kg)]], "")</f>
        <v>1</v>
      </c>
      <c r="Q1485" s="50">
        <f>IFERROR(Table1[[#This Row],[Utilization %]]*Table1[[#This Row],[Efficiency %]]*Table1[[#This Row],[Quality %]], "")</f>
        <v>0.43923579545454544</v>
      </c>
      <c r="R1485" s="48" t="s">
        <v>393</v>
      </c>
    </row>
    <row r="1486" spans="1:18" ht="30" customHeight="1" x14ac:dyDescent="0.25">
      <c r="A1486" s="47">
        <v>46252</v>
      </c>
      <c r="B1486" s="48" t="s">
        <v>33</v>
      </c>
      <c r="C1486" s="48" t="s">
        <v>39</v>
      </c>
      <c r="D1486" s="48" t="s">
        <v>31</v>
      </c>
      <c r="E1486" s="49">
        <v>6000</v>
      </c>
      <c r="F1486" s="76">
        <v>2758</v>
      </c>
      <c r="G1486" s="49">
        <v>0</v>
      </c>
      <c r="H1486" s="50">
        <f>IFERROR(Table1[Re-process (Kg)]/Table1[Actual Production (Kg)], "")</f>
        <v>0</v>
      </c>
      <c r="I1486" s="49">
        <f>IFERROR(Table1[[#This Row],[Actual Production (Kg)]]-Table1[[#This Row],[Re-process (Kg)]], "")</f>
        <v>2758</v>
      </c>
      <c r="J1486" s="49">
        <v>22</v>
      </c>
      <c r="K1486" s="72"/>
      <c r="L1486" s="49">
        <f>IF(Table1[[#This Row],[Target Time (Hours)]]="","",Table1[[#This Row],[Target Time (Hours)]]-Table1[[#This Row],[Downtime (Hours)]])</f>
        <v>22</v>
      </c>
      <c r="M1486" s="49">
        <f>IFERROR(Table1[[#This Row],[Capacity (Kg)]]/Table1[[#This Row],[Target Time (Hours)]] * Table1[[#This Row],[Downtime (Hours)]], "")</f>
        <v>0</v>
      </c>
      <c r="N1486" s="50">
        <f>IFERROR(Table1[[#This Row],[Running Time (hr)]]/Table1[Target Time (Hours)], "")</f>
        <v>1</v>
      </c>
      <c r="O1486" s="50">
        <f>IFERROR(Table1[[#This Row],[Actual Production (Kg)]]/Table1[Capacity (Kg)], "")</f>
        <v>0.45966666666666667</v>
      </c>
      <c r="P1486" s="50">
        <f>IFERROR(Table1[[#This Row],[Quality Pass Production]]/Table1[[#This Row],[Actual Production (Kg)]], "")</f>
        <v>1</v>
      </c>
      <c r="Q1486" s="50">
        <f>IFERROR(Table1[[#This Row],[Utilization %]]*Table1[[#This Row],[Efficiency %]]*Table1[[#This Row],[Quality %]], "")</f>
        <v>0.45966666666666667</v>
      </c>
      <c r="R1486" s="48" t="s">
        <v>395</v>
      </c>
    </row>
    <row r="1487" spans="1:18" ht="45" customHeight="1" x14ac:dyDescent="0.25">
      <c r="A1487" s="54">
        <v>46252</v>
      </c>
      <c r="B1487" s="55" t="s">
        <v>33</v>
      </c>
      <c r="C1487" s="55" t="s">
        <v>40</v>
      </c>
      <c r="D1487" s="55" t="s">
        <v>31</v>
      </c>
      <c r="E1487" s="56">
        <v>5000</v>
      </c>
      <c r="F1487" s="56">
        <v>1880</v>
      </c>
      <c r="G1487" s="56">
        <v>0</v>
      </c>
      <c r="H1487" s="58">
        <f>IFERROR(Table1[Re-process (Kg)]/Table1[Actual Production (Kg)], "")</f>
        <v>0</v>
      </c>
      <c r="I1487" s="56">
        <f>IFERROR(Table1[[#This Row],[Actual Production (Kg)]]-Table1[[#This Row],[Re-process (Kg)]], "")</f>
        <v>1880</v>
      </c>
      <c r="J1487" s="56">
        <v>22</v>
      </c>
      <c r="K1487" s="55"/>
      <c r="L1487" s="56">
        <f>IF(Table1[[#This Row],[Target Time (Hours)]]="","",Table1[[#This Row],[Target Time (Hours)]]-Table1[[#This Row],[Downtime (Hours)]])</f>
        <v>22</v>
      </c>
      <c r="M1487" s="56">
        <f>IFERROR(Table1[[#This Row],[Capacity (Kg)]]/Table1[[#This Row],[Target Time (Hours)]] * Table1[[#This Row],[Downtime (Hours)]], "")</f>
        <v>0</v>
      </c>
      <c r="N1487" s="58">
        <f>IFERROR(Table1[[#This Row],[Running Time (hr)]]/Table1[Target Time (Hours)], "")</f>
        <v>1</v>
      </c>
      <c r="O1487" s="58">
        <f>IFERROR(Table1[[#This Row],[Actual Production (Kg)]]/Table1[Capacity (Kg)], "")</f>
        <v>0.376</v>
      </c>
      <c r="P1487" s="58">
        <f>IFERROR(Table1[[#This Row],[Quality Pass Production]]/Table1[[#This Row],[Actual Production (Kg)]], "")</f>
        <v>1</v>
      </c>
      <c r="Q1487" s="58">
        <f>IFERROR(Table1[[#This Row],[Utilization %]]*Table1[[#This Row],[Efficiency %]]*Table1[[#This Row],[Quality %]], "")</f>
        <v>0.376</v>
      </c>
      <c r="R1487" s="55" t="s">
        <v>395</v>
      </c>
    </row>
    <row r="1488" spans="1:18" ht="30" customHeight="1" x14ac:dyDescent="0.25">
      <c r="A1488" s="47">
        <v>46253</v>
      </c>
      <c r="B1488" s="48" t="s">
        <v>18</v>
      </c>
      <c r="C1488" s="48" t="s">
        <v>19</v>
      </c>
      <c r="D1488" s="48" t="s">
        <v>20</v>
      </c>
      <c r="E1488" s="49">
        <v>10000</v>
      </c>
      <c r="F1488" s="76">
        <v>8380</v>
      </c>
      <c r="G1488" s="49">
        <v>0</v>
      </c>
      <c r="H1488" s="50">
        <f>IFERROR(Table1[Re-process (Kg)]/Table1[Actual Production (Kg)], "")</f>
        <v>0</v>
      </c>
      <c r="I1488" s="49">
        <f>IFERROR(Table1[[#This Row],[Actual Production (Kg)]]-Table1[[#This Row],[Re-process (Kg)]], "")</f>
        <v>8380</v>
      </c>
      <c r="J1488" s="49">
        <v>22</v>
      </c>
      <c r="K1488" s="72"/>
      <c r="L1488" s="49">
        <f>IF(Table1[[#This Row],[Target Time (Hours)]]="","",Table1[[#This Row],[Target Time (Hours)]]-Table1[[#This Row],[Downtime (Hours)]])</f>
        <v>22</v>
      </c>
      <c r="M1488" s="49">
        <f>IFERROR(Table1[[#This Row],[Capacity (Kg)]]/Table1[[#This Row],[Target Time (Hours)]] * Table1[[#This Row],[Downtime (Hours)]], "")</f>
        <v>0</v>
      </c>
      <c r="N1488" s="50">
        <f>IFERROR(Table1[[#This Row],[Running Time (hr)]]/Table1[Target Time (Hours)], "")</f>
        <v>1</v>
      </c>
      <c r="O1488" s="50">
        <f>IFERROR(Table1[[#This Row],[Actual Production (Kg)]]/Table1[Capacity (Kg)], "")</f>
        <v>0.83799999999999997</v>
      </c>
      <c r="P1488" s="50">
        <f>IFERROR(Table1[[#This Row],[Quality Pass Production]]/Table1[[#This Row],[Actual Production (Kg)]], "")</f>
        <v>1</v>
      </c>
      <c r="Q1488" s="50">
        <f>IFERROR(Table1[[#This Row],[Utilization %]]*Table1[[#This Row],[Efficiency %]]*Table1[[#This Row],[Quality %]], "")</f>
        <v>0.83799999999999997</v>
      </c>
    </row>
    <row r="1489" spans="1:18" x14ac:dyDescent="0.25">
      <c r="A1489" s="51">
        <v>46253</v>
      </c>
      <c r="B1489" s="52" t="s">
        <v>18</v>
      </c>
      <c r="C1489" s="52" t="s">
        <v>238</v>
      </c>
      <c r="D1489" s="52" t="s">
        <v>20</v>
      </c>
      <c r="E1489" s="53">
        <v>11956</v>
      </c>
      <c r="F1489" s="53">
        <v>11956</v>
      </c>
      <c r="G1489" s="53">
        <v>0</v>
      </c>
      <c r="H1489" s="57">
        <f>IFERROR(Table1[Re-process (Kg)]/Table1[Actual Production (Kg)], "")</f>
        <v>0</v>
      </c>
      <c r="I1489" s="53">
        <f>IFERROR(Table1[[#This Row],[Actual Production (Kg)]]-Table1[[#This Row],[Re-process (Kg)]], "")</f>
        <v>11956</v>
      </c>
      <c r="J1489" s="53"/>
      <c r="K1489" s="52"/>
      <c r="L1489" s="53" t="str">
        <f>IF(Table1[[#This Row],[Target Time (Hours)]]="","",Table1[[#This Row],[Target Time (Hours)]]-Table1[[#This Row],[Downtime (Hours)]])</f>
        <v/>
      </c>
      <c r="M1489" s="53" t="str">
        <f>IFERROR(Table1[[#This Row],[Capacity (Kg)]]/Table1[[#This Row],[Target Time (Hours)]] * Table1[[#This Row],[Downtime (Hours)]], "")</f>
        <v/>
      </c>
      <c r="N1489" s="57" t="str">
        <f>IFERROR(Table1[[#This Row],[Running Time (hr)]]/Table1[Target Time (Hours)], "")</f>
        <v/>
      </c>
      <c r="O1489" s="57">
        <f>IFERROR(Table1[[#This Row],[Actual Production (Kg)]]/Table1[Capacity (Kg)], "")</f>
        <v>1</v>
      </c>
      <c r="P1489" s="57">
        <f>IFERROR(Table1[[#This Row],[Quality Pass Production]]/Table1[[#This Row],[Actual Production (Kg)]], "")</f>
        <v>1</v>
      </c>
      <c r="Q1489" s="57" t="str">
        <f>IFERROR(Table1[[#This Row],[Utilization %]]*Table1[[#This Row],[Efficiency %]]*Table1[[#This Row],[Quality %]], "")</f>
        <v/>
      </c>
      <c r="R1489" s="52"/>
    </row>
    <row r="1490" spans="1:18" x14ac:dyDescent="0.25">
      <c r="A1490" s="47">
        <v>46253</v>
      </c>
      <c r="B1490" s="48" t="s">
        <v>18</v>
      </c>
      <c r="C1490" s="48" t="s">
        <v>22</v>
      </c>
      <c r="D1490" s="48" t="s">
        <v>23</v>
      </c>
      <c r="E1490" s="49">
        <v>4000</v>
      </c>
      <c r="F1490" s="76">
        <v>4891</v>
      </c>
      <c r="G1490" s="49">
        <v>0</v>
      </c>
      <c r="H1490" s="50">
        <f>IFERROR(Table1[Re-process (Kg)]/Table1[Actual Production (Kg)], "")</f>
        <v>0</v>
      </c>
      <c r="I1490" s="49">
        <f>IFERROR(Table1[[#This Row],[Actual Production (Kg)]]-Table1[[#This Row],[Re-process (Kg)]], "")</f>
        <v>4891</v>
      </c>
      <c r="J1490" s="49">
        <v>22</v>
      </c>
      <c r="K1490" s="72"/>
      <c r="L1490" s="49">
        <f>IF(Table1[[#This Row],[Target Time (Hours)]]="","",Table1[[#This Row],[Target Time (Hours)]]-Table1[[#This Row],[Downtime (Hours)]])</f>
        <v>22</v>
      </c>
      <c r="M1490" s="49">
        <f>IFERROR(Table1[[#This Row],[Capacity (Kg)]]/Table1[[#This Row],[Target Time (Hours)]] * Table1[[#This Row],[Downtime (Hours)]], "")</f>
        <v>0</v>
      </c>
      <c r="N1490" s="50">
        <f>IFERROR(Table1[[#This Row],[Running Time (hr)]]/Table1[Target Time (Hours)], "")</f>
        <v>1</v>
      </c>
      <c r="O1490" s="50">
        <f>IFERROR(Table1[[#This Row],[Actual Production (Kg)]]/Table1[Capacity (Kg)], "")</f>
        <v>1.22275</v>
      </c>
      <c r="P1490" s="50">
        <f>IFERROR(Table1[[#This Row],[Quality Pass Production]]/Table1[[#This Row],[Actual Production (Kg)]], "")</f>
        <v>1</v>
      </c>
      <c r="Q1490" s="50">
        <f>IFERROR(Table1[[#This Row],[Utilization %]]*Table1[[#This Row],[Efficiency %]]*Table1[[#This Row],[Quality %]], "")</f>
        <v>1.22275</v>
      </c>
    </row>
    <row r="1491" spans="1:18" x14ac:dyDescent="0.25">
      <c r="A1491" s="47">
        <v>46253</v>
      </c>
      <c r="B1491" s="48" t="s">
        <v>18</v>
      </c>
      <c r="C1491" s="48" t="s">
        <v>22</v>
      </c>
      <c r="D1491" s="48" t="s">
        <v>25</v>
      </c>
      <c r="E1491" s="49">
        <v>5000</v>
      </c>
      <c r="F1491" s="76">
        <v>4367</v>
      </c>
      <c r="G1491" s="49">
        <v>0</v>
      </c>
      <c r="H1491" s="50">
        <f>IFERROR(Table1[Re-process (Kg)]/Table1[Actual Production (Kg)], "")</f>
        <v>0</v>
      </c>
      <c r="I1491" s="49">
        <f>IFERROR(Table1[[#This Row],[Actual Production (Kg)]]-Table1[[#This Row],[Re-process (Kg)]], "")</f>
        <v>4367</v>
      </c>
      <c r="J1491" s="49"/>
      <c r="K1491" s="72"/>
      <c r="L1491" s="49" t="str">
        <f>IF(Table1[[#This Row],[Target Time (Hours)]]="","",Table1[[#This Row],[Target Time (Hours)]]-Table1[[#This Row],[Downtime (Hours)]])</f>
        <v/>
      </c>
      <c r="M1491" s="49" t="str">
        <f>IFERROR(Table1[[#This Row],[Capacity (Kg)]]/Table1[[#This Row],[Target Time (Hours)]] * Table1[[#This Row],[Downtime (Hours)]], "")</f>
        <v/>
      </c>
      <c r="N1491" s="50" t="str">
        <f>IFERROR(Table1[[#This Row],[Running Time (hr)]]/Table1[Target Time (Hours)], "")</f>
        <v/>
      </c>
      <c r="O1491" s="50">
        <f>IFERROR(Table1[[#This Row],[Actual Production (Kg)]]/Table1[Capacity (Kg)], "")</f>
        <v>0.87339999999999995</v>
      </c>
      <c r="P1491" s="50">
        <f>IFERROR(Table1[[#This Row],[Quality Pass Production]]/Table1[[#This Row],[Actual Production (Kg)]], "")</f>
        <v>1</v>
      </c>
      <c r="Q1491" s="50" t="str">
        <f>IFERROR(Table1[[#This Row],[Utilization %]]*Table1[[#This Row],[Efficiency %]]*Table1[[#This Row],[Quality %]], "")</f>
        <v/>
      </c>
    </row>
    <row r="1492" spans="1:18" x14ac:dyDescent="0.25">
      <c r="A1492" s="47">
        <v>46253</v>
      </c>
      <c r="B1492" s="48" t="s">
        <v>18</v>
      </c>
      <c r="C1492" s="48" t="s">
        <v>26</v>
      </c>
      <c r="D1492" s="48" t="s">
        <v>25</v>
      </c>
      <c r="E1492" s="49">
        <v>7000</v>
      </c>
      <c r="F1492" s="76">
        <v>6775</v>
      </c>
      <c r="G1492" s="49">
        <v>0</v>
      </c>
      <c r="H1492" s="50">
        <f>IFERROR(Table1[Re-process (Kg)]/Table1[Actual Production (Kg)], "")</f>
        <v>0</v>
      </c>
      <c r="I1492" s="49">
        <f>IFERROR(Table1[[#This Row],[Actual Production (Kg)]]-Table1[[#This Row],[Re-process (Kg)]], "")</f>
        <v>6775</v>
      </c>
      <c r="J1492" s="49">
        <v>22</v>
      </c>
      <c r="K1492" s="72"/>
      <c r="L1492" s="49">
        <f>IF(Table1[[#This Row],[Target Time (Hours)]]="","",Table1[[#This Row],[Target Time (Hours)]]-Table1[[#This Row],[Downtime (Hours)]])</f>
        <v>22</v>
      </c>
      <c r="M1492" s="49">
        <f>IFERROR(Table1[[#This Row],[Capacity (Kg)]]/Table1[[#This Row],[Target Time (Hours)]] * Table1[[#This Row],[Downtime (Hours)]], "")</f>
        <v>0</v>
      </c>
      <c r="N1492" s="50">
        <f>IFERROR(Table1[[#This Row],[Running Time (hr)]]/Table1[Target Time (Hours)], "")</f>
        <v>1</v>
      </c>
      <c r="O1492" s="50">
        <f>IFERROR(Table1[[#This Row],[Actual Production (Kg)]]/Table1[Capacity (Kg)], "")</f>
        <v>0.96785714285714286</v>
      </c>
      <c r="P1492" s="50">
        <f>IFERROR(Table1[[#This Row],[Quality Pass Production]]/Table1[[#This Row],[Actual Production (Kg)]], "")</f>
        <v>1</v>
      </c>
      <c r="Q1492" s="50">
        <f>IFERROR(Table1[[#This Row],[Utilization %]]*Table1[[#This Row],[Efficiency %]]*Table1[[#This Row],[Quality %]], "")</f>
        <v>0.96785714285714286</v>
      </c>
    </row>
    <row r="1493" spans="1:18" ht="30" customHeight="1" x14ac:dyDescent="0.25">
      <c r="A1493" s="47">
        <v>46253</v>
      </c>
      <c r="B1493" s="48" t="s">
        <v>18</v>
      </c>
      <c r="C1493" s="48" t="s">
        <v>28</v>
      </c>
      <c r="D1493" s="48" t="s">
        <v>29</v>
      </c>
      <c r="E1493" s="49">
        <v>7800</v>
      </c>
      <c r="F1493" s="76">
        <v>5917</v>
      </c>
      <c r="G1493" s="49">
        <v>0</v>
      </c>
      <c r="H1493" s="50">
        <f>IFERROR(Table1[Re-process (Kg)]/Table1[Actual Production (Kg)], "")</f>
        <v>0</v>
      </c>
      <c r="I1493" s="49">
        <f>IFERROR(Table1[[#This Row],[Actual Production (Kg)]]-Table1[[#This Row],[Re-process (Kg)]], "")</f>
        <v>5917</v>
      </c>
      <c r="J1493" s="49">
        <v>22</v>
      </c>
      <c r="K1493" s="72">
        <v>3.5</v>
      </c>
      <c r="L1493" s="49">
        <f>IF(Table1[[#This Row],[Target Time (Hours)]]="","",Table1[[#This Row],[Target Time (Hours)]]-Table1[[#This Row],[Downtime (Hours)]])</f>
        <v>18.5</v>
      </c>
      <c r="M1493" s="49">
        <f>IFERROR(Table1[[#This Row],[Capacity (Kg)]]/Table1[[#This Row],[Target Time (Hours)]] * Table1[[#This Row],[Downtime (Hours)]], "")</f>
        <v>1240.909090909091</v>
      </c>
      <c r="N1493" s="50">
        <f>IFERROR(Table1[[#This Row],[Running Time (hr)]]/Table1[Target Time (Hours)], "")</f>
        <v>0.84090909090909094</v>
      </c>
      <c r="O1493" s="50">
        <f>IFERROR(Table1[[#This Row],[Actual Production (Kg)]]/Table1[Capacity (Kg)], "")</f>
        <v>0.75858974358974363</v>
      </c>
      <c r="P1493" s="50">
        <f>IFERROR(Table1[[#This Row],[Quality Pass Production]]/Table1[[#This Row],[Actual Production (Kg)]], "")</f>
        <v>1</v>
      </c>
      <c r="Q1493" s="50">
        <f>IFERROR(Table1[[#This Row],[Utilization %]]*Table1[[#This Row],[Efficiency %]]*Table1[[#This Row],[Quality %]], "")</f>
        <v>0.63790501165501168</v>
      </c>
      <c r="R1493" s="48" t="s">
        <v>392</v>
      </c>
    </row>
    <row r="1494" spans="1:18" ht="30" customHeight="1" x14ac:dyDescent="0.25">
      <c r="A1494" s="51">
        <v>46253</v>
      </c>
      <c r="B1494" s="52" t="s">
        <v>18</v>
      </c>
      <c r="C1494" s="52" t="s">
        <v>135</v>
      </c>
      <c r="D1494" s="52" t="s">
        <v>29</v>
      </c>
      <c r="E1494" s="53"/>
      <c r="F1494" s="53"/>
      <c r="G1494" s="53"/>
      <c r="H1494" s="57" t="str">
        <f>IFERROR(Table1[Re-process (Kg)]/Table1[Actual Production (Kg)], "")</f>
        <v/>
      </c>
      <c r="I1494" s="53">
        <f>IFERROR(Table1[[#This Row],[Actual Production (Kg)]]-Table1[[#This Row],[Re-process (Kg)]], "")</f>
        <v>0</v>
      </c>
      <c r="J1494" s="53"/>
      <c r="K1494" s="52"/>
      <c r="L1494" s="53" t="str">
        <f>IF(Table1[[#This Row],[Target Time (Hours)]]="","",Table1[[#This Row],[Target Time (Hours)]]-Table1[[#This Row],[Downtime (Hours)]])</f>
        <v/>
      </c>
      <c r="M1494" s="53" t="str">
        <f>IFERROR(Table1[[#This Row],[Capacity (Kg)]]/Table1[[#This Row],[Target Time (Hours)]] * Table1[[#This Row],[Downtime (Hours)]], "")</f>
        <v/>
      </c>
      <c r="N1494" s="57" t="str">
        <f>IFERROR(Table1[[#This Row],[Running Time (hr)]]/Table1[Target Time (Hours)], "")</f>
        <v/>
      </c>
      <c r="O1494" s="57" t="str">
        <f>IFERROR(Table1[[#This Row],[Actual Production (Kg)]]/Table1[Capacity (Kg)], "")</f>
        <v/>
      </c>
      <c r="P1494" s="57" t="str">
        <f>IFERROR(Table1[[#This Row],[Quality Pass Production]]/Table1[[#This Row],[Actual Production (Kg)]], "")</f>
        <v/>
      </c>
      <c r="Q1494" s="57" t="str">
        <f>IFERROR(Table1[[#This Row],[Utilization %]]*Table1[[#This Row],[Efficiency %]]*Table1[[#This Row],[Quality %]], "")</f>
        <v/>
      </c>
      <c r="R1494" s="52"/>
    </row>
    <row r="1495" spans="1:18" ht="30" customHeight="1" x14ac:dyDescent="0.25">
      <c r="A1495" s="47">
        <v>46253</v>
      </c>
      <c r="B1495" s="48" t="s">
        <v>18</v>
      </c>
      <c r="C1495" s="48" t="s">
        <v>30</v>
      </c>
      <c r="D1495" s="48" t="s">
        <v>31</v>
      </c>
      <c r="E1495" s="49">
        <v>9000</v>
      </c>
      <c r="F1495" s="76">
        <v>8291</v>
      </c>
      <c r="G1495" s="49">
        <v>0</v>
      </c>
      <c r="H1495" s="50">
        <f>IFERROR(Table1[Re-process (Kg)]/Table1[Actual Production (Kg)], "")</f>
        <v>0</v>
      </c>
      <c r="I1495" s="49">
        <f>IFERROR(Table1[[#This Row],[Actual Production (Kg)]]-Table1[[#This Row],[Re-process (Kg)]], "")</f>
        <v>8291</v>
      </c>
      <c r="J1495" s="49">
        <v>22</v>
      </c>
      <c r="K1495" s="72"/>
      <c r="L1495" s="49">
        <f>IF(Table1[[#This Row],[Target Time (Hours)]]="","",Table1[[#This Row],[Target Time (Hours)]]-Table1[[#This Row],[Downtime (Hours)]])</f>
        <v>22</v>
      </c>
      <c r="M1495" s="49">
        <f>IFERROR(Table1[[#This Row],[Capacity (Kg)]]/Table1[[#This Row],[Target Time (Hours)]] * Table1[[#This Row],[Downtime (Hours)]], "")</f>
        <v>0</v>
      </c>
      <c r="N1495" s="50">
        <f>IFERROR(Table1[[#This Row],[Running Time (hr)]]/Table1[Target Time (Hours)], "")</f>
        <v>1</v>
      </c>
      <c r="O1495" s="50">
        <f>IFERROR(Table1[[#This Row],[Actual Production (Kg)]]/Table1[Capacity (Kg)], "")</f>
        <v>0.92122222222222228</v>
      </c>
      <c r="P1495" s="50">
        <f>IFERROR(Table1[[#This Row],[Quality Pass Production]]/Table1[[#This Row],[Actual Production (Kg)]], "")</f>
        <v>1</v>
      </c>
      <c r="Q1495" s="50">
        <f>IFERROR(Table1[[#This Row],[Utilization %]]*Table1[[#This Row],[Efficiency %]]*Table1[[#This Row],[Quality %]], "")</f>
        <v>0.92122222222222228</v>
      </c>
    </row>
    <row r="1496" spans="1:18" ht="30" customHeight="1" x14ac:dyDescent="0.25">
      <c r="A1496" s="51">
        <v>46253</v>
      </c>
      <c r="B1496" s="52" t="s">
        <v>18</v>
      </c>
      <c r="C1496" s="52" t="s">
        <v>32</v>
      </c>
      <c r="D1496" s="52" t="s">
        <v>31</v>
      </c>
      <c r="E1496" s="53"/>
      <c r="F1496" s="53"/>
      <c r="G1496" s="53"/>
      <c r="H1496" s="57" t="str">
        <f>IFERROR(Table1[Re-process (Kg)]/Table1[Actual Production (Kg)], "")</f>
        <v/>
      </c>
      <c r="I1496" s="53">
        <f>IFERROR(Table1[[#This Row],[Actual Production (Kg)]]-Table1[[#This Row],[Re-process (Kg)]], "")</f>
        <v>0</v>
      </c>
      <c r="J1496" s="53"/>
      <c r="K1496" s="52"/>
      <c r="L1496" s="53" t="str">
        <f>IF(Table1[[#This Row],[Target Time (Hours)]]="","",Table1[[#This Row],[Target Time (Hours)]]-Table1[[#This Row],[Downtime (Hours)]])</f>
        <v/>
      </c>
      <c r="M1496" s="53" t="str">
        <f>IFERROR(Table1[[#This Row],[Capacity (Kg)]]/Table1[[#This Row],[Target Time (Hours)]] * Table1[[#This Row],[Downtime (Hours)]], "")</f>
        <v/>
      </c>
      <c r="N1496" s="57" t="str">
        <f>IFERROR(Table1[[#This Row],[Running Time (hr)]]/Table1[Target Time (Hours)], "")</f>
        <v/>
      </c>
      <c r="O1496" s="57" t="str">
        <f>IFERROR(Table1[[#This Row],[Actual Production (Kg)]]/Table1[Capacity (Kg)], "")</f>
        <v/>
      </c>
      <c r="P1496" s="57" t="str">
        <f>IFERROR(Table1[[#This Row],[Quality Pass Production]]/Table1[[#This Row],[Actual Production (Kg)]], "")</f>
        <v/>
      </c>
      <c r="Q1496" s="57" t="str">
        <f>IFERROR(Table1[[#This Row],[Utilization %]]*Table1[[#This Row],[Efficiency %]]*Table1[[#This Row],[Quality %]], "")</f>
        <v/>
      </c>
      <c r="R1496" s="52"/>
    </row>
    <row r="1497" spans="1:18" ht="30" customHeight="1" x14ac:dyDescent="0.25">
      <c r="A1497" s="47">
        <v>46253</v>
      </c>
      <c r="B1497" s="48" t="s">
        <v>33</v>
      </c>
      <c r="C1497" s="48" t="s">
        <v>34</v>
      </c>
      <c r="D1497" s="48" t="s">
        <v>35</v>
      </c>
      <c r="E1497" s="49">
        <v>9000</v>
      </c>
      <c r="F1497" s="76">
        <v>5880</v>
      </c>
      <c r="G1497" s="49">
        <v>0</v>
      </c>
      <c r="H1497" s="50">
        <f>IFERROR(Table1[Re-process (Kg)]/Table1[Actual Production (Kg)], "")</f>
        <v>0</v>
      </c>
      <c r="I1497" s="49">
        <f>IFERROR(Table1[[#This Row],[Actual Production (Kg)]]-Table1[[#This Row],[Re-process (Kg)]], "")</f>
        <v>5880</v>
      </c>
      <c r="J1497" s="49">
        <v>22</v>
      </c>
      <c r="K1497" s="72"/>
      <c r="L1497" s="49">
        <f>IF(Table1[[#This Row],[Target Time (Hours)]]="","",Table1[[#This Row],[Target Time (Hours)]]-Table1[[#This Row],[Downtime (Hours)]])</f>
        <v>22</v>
      </c>
      <c r="M1497" s="49">
        <f>IFERROR(Table1[[#This Row],[Capacity (Kg)]]/Table1[[#This Row],[Target Time (Hours)]] * Table1[[#This Row],[Downtime (Hours)]], "")</f>
        <v>0</v>
      </c>
      <c r="N1497" s="50">
        <f>IFERROR(Table1[[#This Row],[Running Time (hr)]]/Table1[Target Time (Hours)], "")</f>
        <v>1</v>
      </c>
      <c r="O1497" s="50">
        <f>IFERROR(Table1[[#This Row],[Actual Production (Kg)]]/Table1[Capacity (Kg)], "")</f>
        <v>0.65333333333333332</v>
      </c>
      <c r="P1497" s="50">
        <f>IFERROR(Table1[[#This Row],[Quality Pass Production]]/Table1[[#This Row],[Actual Production (Kg)]], "")</f>
        <v>1</v>
      </c>
      <c r="Q1497" s="50">
        <f>IFERROR(Table1[[#This Row],[Utilization %]]*Table1[[#This Row],[Efficiency %]]*Table1[[#This Row],[Quality %]], "")</f>
        <v>0.65333333333333332</v>
      </c>
    </row>
    <row r="1498" spans="1:18" ht="45" customHeight="1" x14ac:dyDescent="0.25">
      <c r="A1498" s="47">
        <v>46253</v>
      </c>
      <c r="B1498" s="48" t="s">
        <v>33</v>
      </c>
      <c r="C1498" s="48" t="s">
        <v>36</v>
      </c>
      <c r="D1498" s="48" t="s">
        <v>37</v>
      </c>
      <c r="E1498" s="49">
        <v>8000</v>
      </c>
      <c r="F1498" s="76">
        <v>6598</v>
      </c>
      <c r="G1498" s="49">
        <v>0</v>
      </c>
      <c r="H1498" s="50">
        <f>IFERROR(Table1[Re-process (Kg)]/Table1[Actual Production (Kg)], "")</f>
        <v>0</v>
      </c>
      <c r="I1498" s="49">
        <f>IFERROR(Table1[[#This Row],[Actual Production (Kg)]]-Table1[[#This Row],[Re-process (Kg)]], "")</f>
        <v>6598</v>
      </c>
      <c r="J1498" s="49">
        <v>22</v>
      </c>
      <c r="K1498" s="72">
        <v>1.5</v>
      </c>
      <c r="L1498" s="49">
        <f>IF(Table1[[#This Row],[Target Time (Hours)]]="","",Table1[[#This Row],[Target Time (Hours)]]-Table1[[#This Row],[Downtime (Hours)]])</f>
        <v>20.5</v>
      </c>
      <c r="M1498" s="49">
        <f>IFERROR(Table1[[#This Row],[Capacity (Kg)]]/Table1[[#This Row],[Target Time (Hours)]] * Table1[[#This Row],[Downtime (Hours)]], "")</f>
        <v>545.4545454545455</v>
      </c>
      <c r="N1498" s="50">
        <f>IFERROR(Table1[[#This Row],[Running Time (hr)]]/Table1[Target Time (Hours)], "")</f>
        <v>0.93181818181818177</v>
      </c>
      <c r="O1498" s="50">
        <f>IFERROR(Table1[[#This Row],[Actual Production (Kg)]]/Table1[Capacity (Kg)], "")</f>
        <v>0.82474999999999998</v>
      </c>
      <c r="P1498" s="50">
        <f>IFERROR(Table1[[#This Row],[Quality Pass Production]]/Table1[[#This Row],[Actual Production (Kg)]], "")</f>
        <v>1</v>
      </c>
      <c r="Q1498" s="50">
        <f>IFERROR(Table1[[#This Row],[Utilization %]]*Table1[[#This Row],[Efficiency %]]*Table1[[#This Row],[Quality %]], "")</f>
        <v>0.76851704545454536</v>
      </c>
      <c r="R1498" s="48" t="s">
        <v>393</v>
      </c>
    </row>
    <row r="1499" spans="1:18" ht="30" customHeight="1" x14ac:dyDescent="0.25">
      <c r="A1499" s="47">
        <v>46253</v>
      </c>
      <c r="B1499" s="48" t="s">
        <v>33</v>
      </c>
      <c r="C1499" s="48" t="s">
        <v>39</v>
      </c>
      <c r="D1499" s="48" t="s">
        <v>31</v>
      </c>
      <c r="E1499" s="49">
        <v>6000</v>
      </c>
      <c r="F1499" s="76">
        <v>3196</v>
      </c>
      <c r="G1499" s="49">
        <v>0</v>
      </c>
      <c r="H1499" s="50">
        <f>IFERROR(Table1[Re-process (Kg)]/Table1[Actual Production (Kg)], "")</f>
        <v>0</v>
      </c>
      <c r="I1499" s="49">
        <f>IFERROR(Table1[[#This Row],[Actual Production (Kg)]]-Table1[[#This Row],[Re-process (Kg)]], "")</f>
        <v>3196</v>
      </c>
      <c r="J1499" s="49">
        <v>22</v>
      </c>
      <c r="K1499" s="72"/>
      <c r="L1499" s="49">
        <f>IF(Table1[[#This Row],[Target Time (Hours)]]="","",Table1[[#This Row],[Target Time (Hours)]]-Table1[[#This Row],[Downtime (Hours)]])</f>
        <v>22</v>
      </c>
      <c r="M1499" s="49">
        <f>IFERROR(Table1[[#This Row],[Capacity (Kg)]]/Table1[[#This Row],[Target Time (Hours)]] * Table1[[#This Row],[Downtime (Hours)]], "")</f>
        <v>0</v>
      </c>
      <c r="N1499" s="50">
        <f>IFERROR(Table1[[#This Row],[Running Time (hr)]]/Table1[Target Time (Hours)], "")</f>
        <v>1</v>
      </c>
      <c r="O1499" s="50">
        <f>IFERROR(Table1[[#This Row],[Actual Production (Kg)]]/Table1[Capacity (Kg)], "")</f>
        <v>0.53266666666666662</v>
      </c>
      <c r="P1499" s="50">
        <f>IFERROR(Table1[[#This Row],[Quality Pass Production]]/Table1[[#This Row],[Actual Production (Kg)]], "")</f>
        <v>1</v>
      </c>
      <c r="Q1499" s="50">
        <f>IFERROR(Table1[[#This Row],[Utilization %]]*Table1[[#This Row],[Efficiency %]]*Table1[[#This Row],[Quality %]], "")</f>
        <v>0.53266666666666662</v>
      </c>
    </row>
    <row r="1500" spans="1:18" ht="45" customHeight="1" x14ac:dyDescent="0.25">
      <c r="A1500" s="54">
        <v>46253</v>
      </c>
      <c r="B1500" s="55" t="s">
        <v>33</v>
      </c>
      <c r="C1500" s="55" t="s">
        <v>40</v>
      </c>
      <c r="D1500" s="55" t="s">
        <v>31</v>
      </c>
      <c r="E1500" s="56">
        <v>5000</v>
      </c>
      <c r="F1500" s="56">
        <v>1646</v>
      </c>
      <c r="G1500" s="56">
        <v>0</v>
      </c>
      <c r="H1500" s="58">
        <f>IFERROR(Table1[Re-process (Kg)]/Table1[Actual Production (Kg)], "")</f>
        <v>0</v>
      </c>
      <c r="I1500" s="56">
        <f>IFERROR(Table1[[#This Row],[Actual Production (Kg)]]-Table1[[#This Row],[Re-process (Kg)]], "")</f>
        <v>1646</v>
      </c>
      <c r="J1500" s="56">
        <v>22</v>
      </c>
      <c r="K1500" s="55"/>
      <c r="L1500" s="56">
        <f>IF(Table1[[#This Row],[Target Time (Hours)]]="","",Table1[[#This Row],[Target Time (Hours)]]-Table1[[#This Row],[Downtime (Hours)]])</f>
        <v>22</v>
      </c>
      <c r="M1500" s="56">
        <f>IFERROR(Table1[[#This Row],[Capacity (Kg)]]/Table1[[#This Row],[Target Time (Hours)]] * Table1[[#This Row],[Downtime (Hours)]], "")</f>
        <v>0</v>
      </c>
      <c r="N1500" s="58">
        <f>IFERROR(Table1[[#This Row],[Running Time (hr)]]/Table1[Target Time (Hours)], "")</f>
        <v>1</v>
      </c>
      <c r="O1500" s="58">
        <f>IFERROR(Table1[[#This Row],[Actual Production (Kg)]]/Table1[Capacity (Kg)], "")</f>
        <v>0.32919999999999999</v>
      </c>
      <c r="P1500" s="58">
        <f>IFERROR(Table1[[#This Row],[Quality Pass Production]]/Table1[[#This Row],[Actual Production (Kg)]], "")</f>
        <v>1</v>
      </c>
      <c r="Q1500" s="58">
        <f>IFERROR(Table1[[#This Row],[Utilization %]]*Table1[[#This Row],[Efficiency %]]*Table1[[#This Row],[Quality %]], "")</f>
        <v>0.32919999999999999</v>
      </c>
      <c r="R1500" s="55"/>
    </row>
    <row r="1501" spans="1:18" ht="30" customHeight="1" x14ac:dyDescent="0.25">
      <c r="A1501" s="47">
        <v>46254</v>
      </c>
      <c r="B1501" s="48" t="s">
        <v>18</v>
      </c>
      <c r="C1501" s="48" t="s">
        <v>19</v>
      </c>
      <c r="D1501" s="48" t="s">
        <v>20</v>
      </c>
      <c r="E1501" s="49">
        <v>10000</v>
      </c>
      <c r="F1501" s="76">
        <v>6092</v>
      </c>
      <c r="G1501" s="49">
        <v>0</v>
      </c>
      <c r="H1501" s="50">
        <f>IFERROR(Table1[Re-process (Kg)]/Table1[Actual Production (Kg)], "")</f>
        <v>0</v>
      </c>
      <c r="I1501" s="49">
        <f>IFERROR(Table1[[#This Row],[Actual Production (Kg)]]-Table1[[#This Row],[Re-process (Kg)]], "")</f>
        <v>6092</v>
      </c>
      <c r="J1501" s="49">
        <v>22</v>
      </c>
      <c r="K1501" s="72">
        <v>4.5</v>
      </c>
      <c r="L1501" s="49">
        <f>IF(Table1[[#This Row],[Target Time (Hours)]]="","",Table1[[#This Row],[Target Time (Hours)]]-Table1[[#This Row],[Downtime (Hours)]])</f>
        <v>17.5</v>
      </c>
      <c r="M1501" s="49">
        <f>IFERROR(Table1[[#This Row],[Capacity (Kg)]]/Table1[[#This Row],[Target Time (Hours)]] * Table1[[#This Row],[Downtime (Hours)]], "")</f>
        <v>2045.4545454545455</v>
      </c>
      <c r="N1501" s="50">
        <f>IFERROR(Table1[[#This Row],[Running Time (hr)]]/Table1[Target Time (Hours)], "")</f>
        <v>0.79545454545454541</v>
      </c>
      <c r="O1501" s="50">
        <f>IFERROR(Table1[[#This Row],[Actual Production (Kg)]]/Table1[Capacity (Kg)], "")</f>
        <v>0.60919999999999996</v>
      </c>
      <c r="P1501" s="50">
        <f>IFERROR(Table1[[#This Row],[Quality Pass Production]]/Table1[[#This Row],[Actual Production (Kg)]], "")</f>
        <v>1</v>
      </c>
      <c r="Q1501" s="50">
        <f>IFERROR(Table1[[#This Row],[Utilization %]]*Table1[[#This Row],[Efficiency %]]*Table1[[#This Row],[Quality %]], "")</f>
        <v>0.48459090909090902</v>
      </c>
      <c r="R1501" s="48" t="s">
        <v>396</v>
      </c>
    </row>
    <row r="1502" spans="1:18" x14ac:dyDescent="0.25">
      <c r="A1502" s="51">
        <v>46254</v>
      </c>
      <c r="B1502" s="52" t="s">
        <v>18</v>
      </c>
      <c r="C1502" s="52" t="s">
        <v>238</v>
      </c>
      <c r="D1502" s="52" t="s">
        <v>20</v>
      </c>
      <c r="E1502" s="53">
        <v>9655</v>
      </c>
      <c r="F1502" s="53">
        <v>9655</v>
      </c>
      <c r="G1502" s="53">
        <v>0</v>
      </c>
      <c r="H1502" s="57">
        <f>IFERROR(Table1[Re-process (Kg)]/Table1[Actual Production (Kg)], "")</f>
        <v>0</v>
      </c>
      <c r="I1502" s="53">
        <f>IFERROR(Table1[[#This Row],[Actual Production (Kg)]]-Table1[[#This Row],[Re-process (Kg)]], "")</f>
        <v>9655</v>
      </c>
      <c r="J1502" s="53"/>
      <c r="K1502" s="52"/>
      <c r="L1502" s="53" t="str">
        <f>IF(Table1[[#This Row],[Target Time (Hours)]]="","",Table1[[#This Row],[Target Time (Hours)]]-Table1[[#This Row],[Downtime (Hours)]])</f>
        <v/>
      </c>
      <c r="M1502" s="53" t="str">
        <f>IFERROR(Table1[[#This Row],[Capacity (Kg)]]/Table1[[#This Row],[Target Time (Hours)]] * Table1[[#This Row],[Downtime (Hours)]], "")</f>
        <v/>
      </c>
      <c r="N1502" s="57" t="str">
        <f>IFERROR(Table1[[#This Row],[Running Time (hr)]]/Table1[Target Time (Hours)], "")</f>
        <v/>
      </c>
      <c r="O1502" s="57">
        <f>IFERROR(Table1[[#This Row],[Actual Production (Kg)]]/Table1[Capacity (Kg)], "")</f>
        <v>1</v>
      </c>
      <c r="P1502" s="57">
        <f>IFERROR(Table1[[#This Row],[Quality Pass Production]]/Table1[[#This Row],[Actual Production (Kg)]], "")</f>
        <v>1</v>
      </c>
      <c r="Q1502" s="57" t="str">
        <f>IFERROR(Table1[[#This Row],[Utilization %]]*Table1[[#This Row],[Efficiency %]]*Table1[[#This Row],[Quality %]], "")</f>
        <v/>
      </c>
      <c r="R1502" s="52"/>
    </row>
    <row r="1503" spans="1:18" x14ac:dyDescent="0.25">
      <c r="A1503" s="47">
        <v>46254</v>
      </c>
      <c r="B1503" s="48" t="s">
        <v>18</v>
      </c>
      <c r="C1503" s="48" t="s">
        <v>22</v>
      </c>
      <c r="D1503" s="48" t="s">
        <v>23</v>
      </c>
      <c r="E1503" s="49">
        <v>4000</v>
      </c>
      <c r="F1503" s="76">
        <v>2701</v>
      </c>
      <c r="G1503" s="49">
        <v>0</v>
      </c>
      <c r="H1503" s="50">
        <f>IFERROR(Table1[Re-process (Kg)]/Table1[Actual Production (Kg)], "")</f>
        <v>0</v>
      </c>
      <c r="I1503" s="49">
        <f>IFERROR(Table1[[#This Row],[Actual Production (Kg)]]-Table1[[#This Row],[Re-process (Kg)]], "")</f>
        <v>2701</v>
      </c>
      <c r="J1503" s="49">
        <v>22</v>
      </c>
      <c r="K1503" s="72"/>
      <c r="L1503" s="49">
        <f>IF(Table1[[#This Row],[Target Time (Hours)]]="","",Table1[[#This Row],[Target Time (Hours)]]-Table1[[#This Row],[Downtime (Hours)]])</f>
        <v>22</v>
      </c>
      <c r="M1503" s="49">
        <f>IFERROR(Table1[[#This Row],[Capacity (Kg)]]/Table1[[#This Row],[Target Time (Hours)]] * Table1[[#This Row],[Downtime (Hours)]], "")</f>
        <v>0</v>
      </c>
      <c r="N1503" s="50">
        <f>IFERROR(Table1[[#This Row],[Running Time (hr)]]/Table1[Target Time (Hours)], "")</f>
        <v>1</v>
      </c>
      <c r="O1503" s="50">
        <f>IFERROR(Table1[[#This Row],[Actual Production (Kg)]]/Table1[Capacity (Kg)], "")</f>
        <v>0.67525000000000002</v>
      </c>
      <c r="P1503" s="50">
        <f>IFERROR(Table1[[#This Row],[Quality Pass Production]]/Table1[[#This Row],[Actual Production (Kg)]], "")</f>
        <v>1</v>
      </c>
      <c r="Q1503" s="50">
        <f>IFERROR(Table1[[#This Row],[Utilization %]]*Table1[[#This Row],[Efficiency %]]*Table1[[#This Row],[Quality %]], "")</f>
        <v>0.67525000000000002</v>
      </c>
    </row>
    <row r="1504" spans="1:18" x14ac:dyDescent="0.25">
      <c r="A1504" s="47">
        <v>46254</v>
      </c>
      <c r="B1504" s="48" t="s">
        <v>18</v>
      </c>
      <c r="C1504" s="48" t="s">
        <v>22</v>
      </c>
      <c r="D1504" s="48" t="s">
        <v>25</v>
      </c>
      <c r="E1504" s="49">
        <v>5000</v>
      </c>
      <c r="F1504" s="76">
        <v>6560</v>
      </c>
      <c r="G1504" s="49">
        <v>0</v>
      </c>
      <c r="H1504" s="50">
        <f>IFERROR(Table1[Re-process (Kg)]/Table1[Actual Production (Kg)], "")</f>
        <v>0</v>
      </c>
      <c r="I1504" s="49">
        <f>IFERROR(Table1[[#This Row],[Actual Production (Kg)]]-Table1[[#This Row],[Re-process (Kg)]], "")</f>
        <v>6560</v>
      </c>
      <c r="J1504" s="49"/>
      <c r="K1504" s="72"/>
      <c r="L1504" s="49" t="str">
        <f>IF(Table1[[#This Row],[Target Time (Hours)]]="","",Table1[[#This Row],[Target Time (Hours)]]-Table1[[#This Row],[Downtime (Hours)]])</f>
        <v/>
      </c>
      <c r="M1504" s="49" t="str">
        <f>IFERROR(Table1[[#This Row],[Capacity (Kg)]]/Table1[[#This Row],[Target Time (Hours)]] * Table1[[#This Row],[Downtime (Hours)]], "")</f>
        <v/>
      </c>
      <c r="N1504" s="50" t="str">
        <f>IFERROR(Table1[[#This Row],[Running Time (hr)]]/Table1[Target Time (Hours)], "")</f>
        <v/>
      </c>
      <c r="O1504" s="50">
        <f>IFERROR(Table1[[#This Row],[Actual Production (Kg)]]/Table1[Capacity (Kg)], "")</f>
        <v>1.3120000000000001</v>
      </c>
      <c r="P1504" s="50">
        <f>IFERROR(Table1[[#This Row],[Quality Pass Production]]/Table1[[#This Row],[Actual Production (Kg)]], "")</f>
        <v>1</v>
      </c>
      <c r="Q1504" s="50" t="str">
        <f>IFERROR(Table1[[#This Row],[Utilization %]]*Table1[[#This Row],[Efficiency %]]*Table1[[#This Row],[Quality %]], "")</f>
        <v/>
      </c>
    </row>
    <row r="1505" spans="1:18" ht="45" customHeight="1" x14ac:dyDescent="0.25">
      <c r="A1505" s="47">
        <v>46254</v>
      </c>
      <c r="B1505" s="48" t="s">
        <v>18</v>
      </c>
      <c r="C1505" s="48" t="s">
        <v>26</v>
      </c>
      <c r="D1505" s="48" t="s">
        <v>25</v>
      </c>
      <c r="E1505" s="49">
        <v>7000</v>
      </c>
      <c r="F1505" s="76">
        <v>6549</v>
      </c>
      <c r="G1505" s="49">
        <v>0</v>
      </c>
      <c r="H1505" s="50">
        <f>IFERROR(Table1[Re-process (Kg)]/Table1[Actual Production (Kg)], "")</f>
        <v>0</v>
      </c>
      <c r="I1505" s="49">
        <f>IFERROR(Table1[[#This Row],[Actual Production (Kg)]]-Table1[[#This Row],[Re-process (Kg)]], "")</f>
        <v>6549</v>
      </c>
      <c r="J1505" s="49">
        <v>22</v>
      </c>
      <c r="K1505" s="72">
        <v>2</v>
      </c>
      <c r="L1505" s="49">
        <f>IF(Table1[[#This Row],[Target Time (Hours)]]="","",Table1[[#This Row],[Target Time (Hours)]]-Table1[[#This Row],[Downtime (Hours)]])</f>
        <v>20</v>
      </c>
      <c r="M1505" s="49">
        <f>IFERROR(Table1[[#This Row],[Capacity (Kg)]]/Table1[[#This Row],[Target Time (Hours)]] * Table1[[#This Row],[Downtime (Hours)]], "")</f>
        <v>636.36363636363637</v>
      </c>
      <c r="N1505" s="50">
        <f>IFERROR(Table1[[#This Row],[Running Time (hr)]]/Table1[Target Time (Hours)], "")</f>
        <v>0.90909090909090906</v>
      </c>
      <c r="O1505" s="50">
        <f>IFERROR(Table1[[#This Row],[Actual Production (Kg)]]/Table1[Capacity (Kg)], "")</f>
        <v>0.93557142857142861</v>
      </c>
      <c r="P1505" s="50">
        <f>IFERROR(Table1[[#This Row],[Quality Pass Production]]/Table1[[#This Row],[Actual Production (Kg)]], "")</f>
        <v>1</v>
      </c>
      <c r="Q1505" s="50">
        <f>IFERROR(Table1[[#This Row],[Utilization %]]*Table1[[#This Row],[Efficiency %]]*Table1[[#This Row],[Quality %]], "")</f>
        <v>0.85051948051948056</v>
      </c>
      <c r="R1505" s="48" t="s">
        <v>397</v>
      </c>
    </row>
    <row r="1506" spans="1:18" ht="30" customHeight="1" x14ac:dyDescent="0.25">
      <c r="A1506" s="47">
        <v>46254</v>
      </c>
      <c r="B1506" s="48" t="s">
        <v>18</v>
      </c>
      <c r="C1506" s="48" t="s">
        <v>28</v>
      </c>
      <c r="D1506" s="48" t="s">
        <v>29</v>
      </c>
      <c r="E1506" s="49">
        <v>7800</v>
      </c>
      <c r="F1506" s="76">
        <v>3079</v>
      </c>
      <c r="G1506" s="49">
        <v>0</v>
      </c>
      <c r="H1506" s="50">
        <f>IFERROR(Table1[Re-process (Kg)]/Table1[Actual Production (Kg)], "")</f>
        <v>0</v>
      </c>
      <c r="I1506" s="49">
        <f>IFERROR(Table1[[#This Row],[Actual Production (Kg)]]-Table1[[#This Row],[Re-process (Kg)]], "")</f>
        <v>3079</v>
      </c>
      <c r="J1506" s="49">
        <v>22</v>
      </c>
      <c r="K1506" s="72">
        <v>11.5</v>
      </c>
      <c r="L1506" s="49">
        <f>IF(Table1[[#This Row],[Target Time (Hours)]]="","",Table1[[#This Row],[Target Time (Hours)]]-Table1[[#This Row],[Downtime (Hours)]])</f>
        <v>10.5</v>
      </c>
      <c r="M1506" s="49">
        <f>IFERROR(Table1[[#This Row],[Capacity (Kg)]]/Table1[[#This Row],[Target Time (Hours)]] * Table1[[#This Row],[Downtime (Hours)]], "")</f>
        <v>4077.2727272727275</v>
      </c>
      <c r="N1506" s="50">
        <f>IFERROR(Table1[[#This Row],[Running Time (hr)]]/Table1[Target Time (Hours)], "")</f>
        <v>0.47727272727272729</v>
      </c>
      <c r="O1506" s="50">
        <f>IFERROR(Table1[[#This Row],[Actual Production (Kg)]]/Table1[Capacity (Kg)], "")</f>
        <v>0.39474358974358975</v>
      </c>
      <c r="P1506" s="50">
        <f>IFERROR(Table1[[#This Row],[Quality Pass Production]]/Table1[[#This Row],[Actual Production (Kg)]], "")</f>
        <v>1</v>
      </c>
      <c r="Q1506" s="50">
        <f>IFERROR(Table1[[#This Row],[Utilization %]]*Table1[[#This Row],[Efficiency %]]*Table1[[#This Row],[Quality %]], "")</f>
        <v>0.18840034965034966</v>
      </c>
      <c r="R1506" s="48" t="s">
        <v>398</v>
      </c>
    </row>
    <row r="1507" spans="1:18" ht="30" customHeight="1" x14ac:dyDescent="0.25">
      <c r="A1507" s="51">
        <v>46254</v>
      </c>
      <c r="B1507" s="52" t="s">
        <v>18</v>
      </c>
      <c r="C1507" s="52" t="s">
        <v>135</v>
      </c>
      <c r="D1507" s="52" t="s">
        <v>29</v>
      </c>
      <c r="E1507" s="53"/>
      <c r="F1507" s="53"/>
      <c r="G1507" s="53"/>
      <c r="H1507" s="57" t="str">
        <f>IFERROR(Table1[Re-process (Kg)]/Table1[Actual Production (Kg)], "")</f>
        <v/>
      </c>
      <c r="I1507" s="53">
        <f>IFERROR(Table1[[#This Row],[Actual Production (Kg)]]-Table1[[#This Row],[Re-process (Kg)]], "")</f>
        <v>0</v>
      </c>
      <c r="J1507" s="53"/>
      <c r="K1507" s="52"/>
      <c r="L1507" s="53" t="str">
        <f>IF(Table1[[#This Row],[Target Time (Hours)]]="","",Table1[[#This Row],[Target Time (Hours)]]-Table1[[#This Row],[Downtime (Hours)]])</f>
        <v/>
      </c>
      <c r="M1507" s="53" t="str">
        <f>IFERROR(Table1[[#This Row],[Capacity (Kg)]]/Table1[[#This Row],[Target Time (Hours)]] * Table1[[#This Row],[Downtime (Hours)]], "")</f>
        <v/>
      </c>
      <c r="N1507" s="57" t="str">
        <f>IFERROR(Table1[[#This Row],[Running Time (hr)]]/Table1[Target Time (Hours)], "")</f>
        <v/>
      </c>
      <c r="O1507" s="57" t="str">
        <f>IFERROR(Table1[[#This Row],[Actual Production (Kg)]]/Table1[Capacity (Kg)], "")</f>
        <v/>
      </c>
      <c r="P1507" s="57" t="str">
        <f>IFERROR(Table1[[#This Row],[Quality Pass Production]]/Table1[[#This Row],[Actual Production (Kg)]], "")</f>
        <v/>
      </c>
      <c r="Q1507" s="57" t="str">
        <f>IFERROR(Table1[[#This Row],[Utilization %]]*Table1[[#This Row],[Efficiency %]]*Table1[[#This Row],[Quality %]], "")</f>
        <v/>
      </c>
      <c r="R1507" s="52"/>
    </row>
    <row r="1508" spans="1:18" ht="30" customHeight="1" x14ac:dyDescent="0.25">
      <c r="A1508" s="47">
        <v>46254</v>
      </c>
      <c r="B1508" s="48" t="s">
        <v>18</v>
      </c>
      <c r="C1508" s="48" t="s">
        <v>30</v>
      </c>
      <c r="D1508" s="48" t="s">
        <v>31</v>
      </c>
      <c r="E1508" s="49">
        <v>9000</v>
      </c>
      <c r="F1508" s="76">
        <v>8490</v>
      </c>
      <c r="G1508" s="49">
        <v>0</v>
      </c>
      <c r="H1508" s="50">
        <f>IFERROR(Table1[Re-process (Kg)]/Table1[Actual Production (Kg)], "")</f>
        <v>0</v>
      </c>
      <c r="I1508" s="49">
        <f>IFERROR(Table1[[#This Row],[Actual Production (Kg)]]-Table1[[#This Row],[Re-process (Kg)]], "")</f>
        <v>8490</v>
      </c>
      <c r="J1508" s="49">
        <v>22</v>
      </c>
      <c r="K1508" s="72"/>
      <c r="L1508" s="49">
        <f>IF(Table1[[#This Row],[Target Time (Hours)]]="","",Table1[[#This Row],[Target Time (Hours)]]-Table1[[#This Row],[Downtime (Hours)]])</f>
        <v>22</v>
      </c>
      <c r="M1508" s="49">
        <f>IFERROR(Table1[[#This Row],[Capacity (Kg)]]/Table1[[#This Row],[Target Time (Hours)]] * Table1[[#This Row],[Downtime (Hours)]], "")</f>
        <v>0</v>
      </c>
      <c r="N1508" s="50">
        <f>IFERROR(Table1[[#This Row],[Running Time (hr)]]/Table1[Target Time (Hours)], "")</f>
        <v>1</v>
      </c>
      <c r="O1508" s="50">
        <f>IFERROR(Table1[[#This Row],[Actual Production (Kg)]]/Table1[Capacity (Kg)], "")</f>
        <v>0.94333333333333336</v>
      </c>
      <c r="P1508" s="50">
        <f>IFERROR(Table1[[#This Row],[Quality Pass Production]]/Table1[[#This Row],[Actual Production (Kg)]], "")</f>
        <v>1</v>
      </c>
      <c r="Q1508" s="50">
        <f>IFERROR(Table1[[#This Row],[Utilization %]]*Table1[[#This Row],[Efficiency %]]*Table1[[#This Row],[Quality %]], "")</f>
        <v>0.94333333333333336</v>
      </c>
    </row>
    <row r="1509" spans="1:18" ht="30" customHeight="1" x14ac:dyDescent="0.25">
      <c r="A1509" s="51">
        <v>46254</v>
      </c>
      <c r="B1509" s="52" t="s">
        <v>18</v>
      </c>
      <c r="C1509" s="52" t="s">
        <v>32</v>
      </c>
      <c r="D1509" s="52" t="s">
        <v>31</v>
      </c>
      <c r="E1509" s="53"/>
      <c r="F1509" s="53">
        <v>1094</v>
      </c>
      <c r="G1509" s="53"/>
      <c r="H1509" s="57">
        <f>IFERROR(Table1[Re-process (Kg)]/Table1[Actual Production (Kg)], "")</f>
        <v>0</v>
      </c>
      <c r="I1509" s="53">
        <f>IFERROR(Table1[[#This Row],[Actual Production (Kg)]]-Table1[[#This Row],[Re-process (Kg)]], "")</f>
        <v>1094</v>
      </c>
      <c r="J1509" s="53"/>
      <c r="K1509" s="52"/>
      <c r="L1509" s="53" t="str">
        <f>IF(Table1[[#This Row],[Target Time (Hours)]]="","",Table1[[#This Row],[Target Time (Hours)]]-Table1[[#This Row],[Downtime (Hours)]])</f>
        <v/>
      </c>
      <c r="M1509" s="53" t="str">
        <f>IFERROR(Table1[[#This Row],[Capacity (Kg)]]/Table1[[#This Row],[Target Time (Hours)]] * Table1[[#This Row],[Downtime (Hours)]], "")</f>
        <v/>
      </c>
      <c r="N1509" s="57" t="str">
        <f>IFERROR(Table1[[#This Row],[Running Time (hr)]]/Table1[Target Time (Hours)], "")</f>
        <v/>
      </c>
      <c r="O1509" s="57" t="str">
        <f>IFERROR(Table1[[#This Row],[Actual Production (Kg)]]/Table1[Capacity (Kg)], "")</f>
        <v/>
      </c>
      <c r="P1509" s="57">
        <f>IFERROR(Table1[[#This Row],[Quality Pass Production]]/Table1[[#This Row],[Actual Production (Kg)]], "")</f>
        <v>1</v>
      </c>
      <c r="Q1509" s="57" t="str">
        <f>IFERROR(Table1[[#This Row],[Utilization %]]*Table1[[#This Row],[Efficiency %]]*Table1[[#This Row],[Quality %]], "")</f>
        <v/>
      </c>
      <c r="R1509" s="52"/>
    </row>
    <row r="1510" spans="1:18" ht="30" customHeight="1" x14ac:dyDescent="0.25">
      <c r="A1510" s="47">
        <v>46254</v>
      </c>
      <c r="B1510" s="48" t="s">
        <v>33</v>
      </c>
      <c r="C1510" s="48" t="s">
        <v>34</v>
      </c>
      <c r="D1510" s="48" t="s">
        <v>35</v>
      </c>
      <c r="E1510" s="49">
        <v>9000</v>
      </c>
      <c r="F1510" s="76">
        <v>5776</v>
      </c>
      <c r="G1510" s="49">
        <v>0</v>
      </c>
      <c r="H1510" s="50">
        <f>IFERROR(Table1[Re-process (Kg)]/Table1[Actual Production (Kg)], "")</f>
        <v>0</v>
      </c>
      <c r="I1510" s="49">
        <f>IFERROR(Table1[[#This Row],[Actual Production (Kg)]]-Table1[[#This Row],[Re-process (Kg)]], "")</f>
        <v>5776</v>
      </c>
      <c r="J1510" s="49">
        <v>22</v>
      </c>
      <c r="K1510" s="72"/>
      <c r="L1510" s="49">
        <f>IF(Table1[[#This Row],[Target Time (Hours)]]="","",Table1[[#This Row],[Target Time (Hours)]]-Table1[[#This Row],[Downtime (Hours)]])</f>
        <v>22</v>
      </c>
      <c r="M1510" s="49">
        <f>IFERROR(Table1[[#This Row],[Capacity (Kg)]]/Table1[[#This Row],[Target Time (Hours)]] * Table1[[#This Row],[Downtime (Hours)]], "")</f>
        <v>0</v>
      </c>
      <c r="N1510" s="50">
        <f>IFERROR(Table1[[#This Row],[Running Time (hr)]]/Table1[Target Time (Hours)], "")</f>
        <v>1</v>
      </c>
      <c r="O1510" s="50">
        <f>IFERROR(Table1[[#This Row],[Actual Production (Kg)]]/Table1[Capacity (Kg)], "")</f>
        <v>0.64177777777777778</v>
      </c>
      <c r="P1510" s="50">
        <f>IFERROR(Table1[[#This Row],[Quality Pass Production]]/Table1[[#This Row],[Actual Production (Kg)]], "")</f>
        <v>1</v>
      </c>
      <c r="Q1510" s="50">
        <f>IFERROR(Table1[[#This Row],[Utilization %]]*Table1[[#This Row],[Efficiency %]]*Table1[[#This Row],[Quality %]], "")</f>
        <v>0.64177777777777778</v>
      </c>
    </row>
    <row r="1511" spans="1:18" ht="45" customHeight="1" x14ac:dyDescent="0.25">
      <c r="A1511" s="47">
        <v>46254</v>
      </c>
      <c r="B1511" s="48" t="s">
        <v>33</v>
      </c>
      <c r="C1511" s="48" t="s">
        <v>36</v>
      </c>
      <c r="D1511" s="48" t="s">
        <v>37</v>
      </c>
      <c r="E1511" s="49">
        <v>8000</v>
      </c>
      <c r="F1511" s="76">
        <v>6773</v>
      </c>
      <c r="G1511" s="49">
        <v>0</v>
      </c>
      <c r="H1511" s="50">
        <f>IFERROR(Table1[Re-process (Kg)]/Table1[Actual Production (Kg)], "")</f>
        <v>0</v>
      </c>
      <c r="I1511" s="49">
        <f>IFERROR(Table1[[#This Row],[Actual Production (Kg)]]-Table1[[#This Row],[Re-process (Kg)]], "")</f>
        <v>6773</v>
      </c>
      <c r="J1511" s="49">
        <v>22</v>
      </c>
      <c r="K1511" s="72">
        <v>1.5</v>
      </c>
      <c r="L1511" s="49">
        <f>IF(Table1[[#This Row],[Target Time (Hours)]]="","",Table1[[#This Row],[Target Time (Hours)]]-Table1[[#This Row],[Downtime (Hours)]])</f>
        <v>20.5</v>
      </c>
      <c r="M1511" s="49">
        <f>IFERROR(Table1[[#This Row],[Capacity (Kg)]]/Table1[[#This Row],[Target Time (Hours)]] * Table1[[#This Row],[Downtime (Hours)]], "")</f>
        <v>545.4545454545455</v>
      </c>
      <c r="N1511" s="50">
        <f>IFERROR(Table1[[#This Row],[Running Time (hr)]]/Table1[Target Time (Hours)], "")</f>
        <v>0.93181818181818177</v>
      </c>
      <c r="O1511" s="50">
        <f>IFERROR(Table1[[#This Row],[Actual Production (Kg)]]/Table1[Capacity (Kg)], "")</f>
        <v>0.84662499999999996</v>
      </c>
      <c r="P1511" s="50">
        <f>IFERROR(Table1[[#This Row],[Quality Pass Production]]/Table1[[#This Row],[Actual Production (Kg)]], "")</f>
        <v>1</v>
      </c>
      <c r="Q1511" s="50">
        <f>IFERROR(Table1[[#This Row],[Utilization %]]*Table1[[#This Row],[Efficiency %]]*Table1[[#This Row],[Quality %]], "")</f>
        <v>0.78890056818181808</v>
      </c>
      <c r="R1511" s="48" t="s">
        <v>393</v>
      </c>
    </row>
    <row r="1512" spans="1:18" ht="30" customHeight="1" x14ac:dyDescent="0.25">
      <c r="A1512" s="47">
        <v>46254</v>
      </c>
      <c r="B1512" s="48" t="s">
        <v>33</v>
      </c>
      <c r="C1512" s="48" t="s">
        <v>39</v>
      </c>
      <c r="D1512" s="48" t="s">
        <v>31</v>
      </c>
      <c r="E1512" s="49">
        <v>6000</v>
      </c>
      <c r="F1512" s="76">
        <v>3699</v>
      </c>
      <c r="G1512" s="49">
        <v>0</v>
      </c>
      <c r="H1512" s="50">
        <f>IFERROR(Table1[Re-process (Kg)]/Table1[Actual Production (Kg)], "")</f>
        <v>0</v>
      </c>
      <c r="I1512" s="49">
        <f>IFERROR(Table1[[#This Row],[Actual Production (Kg)]]-Table1[[#This Row],[Re-process (Kg)]], "")</f>
        <v>3699</v>
      </c>
      <c r="J1512" s="49">
        <v>22</v>
      </c>
      <c r="K1512" s="72"/>
      <c r="L1512" s="49">
        <f>IF(Table1[[#This Row],[Target Time (Hours)]]="","",Table1[[#This Row],[Target Time (Hours)]]-Table1[[#This Row],[Downtime (Hours)]])</f>
        <v>22</v>
      </c>
      <c r="M1512" s="49">
        <f>IFERROR(Table1[[#This Row],[Capacity (Kg)]]/Table1[[#This Row],[Target Time (Hours)]] * Table1[[#This Row],[Downtime (Hours)]], "")</f>
        <v>0</v>
      </c>
      <c r="N1512" s="50">
        <f>IFERROR(Table1[[#This Row],[Running Time (hr)]]/Table1[Target Time (Hours)], "")</f>
        <v>1</v>
      </c>
      <c r="O1512" s="50">
        <f>IFERROR(Table1[[#This Row],[Actual Production (Kg)]]/Table1[Capacity (Kg)], "")</f>
        <v>0.61650000000000005</v>
      </c>
      <c r="P1512" s="50">
        <f>IFERROR(Table1[[#This Row],[Quality Pass Production]]/Table1[[#This Row],[Actual Production (Kg)]], "")</f>
        <v>1</v>
      </c>
      <c r="Q1512" s="50">
        <f>IFERROR(Table1[[#This Row],[Utilization %]]*Table1[[#This Row],[Efficiency %]]*Table1[[#This Row],[Quality %]], "")</f>
        <v>0.61650000000000005</v>
      </c>
    </row>
    <row r="1513" spans="1:18" ht="45" customHeight="1" x14ac:dyDescent="0.25">
      <c r="A1513" s="54">
        <v>46254</v>
      </c>
      <c r="B1513" s="55" t="s">
        <v>33</v>
      </c>
      <c r="C1513" s="55" t="s">
        <v>40</v>
      </c>
      <c r="D1513" s="55" t="s">
        <v>31</v>
      </c>
      <c r="E1513" s="56">
        <v>5000</v>
      </c>
      <c r="F1513" s="56">
        <v>3241</v>
      </c>
      <c r="G1513" s="56">
        <v>0</v>
      </c>
      <c r="H1513" s="58">
        <f>IFERROR(Table1[Re-process (Kg)]/Table1[Actual Production (Kg)], "")</f>
        <v>0</v>
      </c>
      <c r="I1513" s="56">
        <f>IFERROR(Table1[[#This Row],[Actual Production (Kg)]]-Table1[[#This Row],[Re-process (Kg)]], "")</f>
        <v>3241</v>
      </c>
      <c r="J1513" s="56">
        <v>22</v>
      </c>
      <c r="K1513" s="55"/>
      <c r="L1513" s="56">
        <f>IF(Table1[[#This Row],[Target Time (Hours)]]="","",Table1[[#This Row],[Target Time (Hours)]]-Table1[[#This Row],[Downtime (Hours)]])</f>
        <v>22</v>
      </c>
      <c r="M1513" s="56">
        <f>IFERROR(Table1[[#This Row],[Capacity (Kg)]]/Table1[[#This Row],[Target Time (Hours)]] * Table1[[#This Row],[Downtime (Hours)]], "")</f>
        <v>0</v>
      </c>
      <c r="N1513" s="58">
        <f>IFERROR(Table1[[#This Row],[Running Time (hr)]]/Table1[Target Time (Hours)], "")</f>
        <v>1</v>
      </c>
      <c r="O1513" s="58">
        <f>IFERROR(Table1[[#This Row],[Actual Production (Kg)]]/Table1[Capacity (Kg)], "")</f>
        <v>0.6482</v>
      </c>
      <c r="P1513" s="58">
        <f>IFERROR(Table1[[#This Row],[Quality Pass Production]]/Table1[[#This Row],[Actual Production (Kg)]], "")</f>
        <v>1</v>
      </c>
      <c r="Q1513" s="58">
        <f>IFERROR(Table1[[#This Row],[Utilization %]]*Table1[[#This Row],[Efficiency %]]*Table1[[#This Row],[Quality %]], "")</f>
        <v>0.6482</v>
      </c>
      <c r="R1513" s="55"/>
    </row>
    <row r="1514" spans="1:18" ht="30" customHeight="1" x14ac:dyDescent="0.25">
      <c r="A1514" s="47">
        <v>46256</v>
      </c>
      <c r="B1514" s="48" t="s">
        <v>18</v>
      </c>
      <c r="C1514" s="48" t="s">
        <v>19</v>
      </c>
      <c r="D1514" s="48" t="s">
        <v>20</v>
      </c>
      <c r="E1514" s="49">
        <v>10000</v>
      </c>
      <c r="F1514" s="76">
        <v>6657</v>
      </c>
      <c r="G1514" s="49">
        <v>0</v>
      </c>
      <c r="H1514" s="50">
        <f>IFERROR(Table1[Re-process (Kg)]/Table1[Actual Production (Kg)], "")</f>
        <v>0</v>
      </c>
      <c r="I1514" s="49">
        <f>IFERROR(Table1[[#This Row],[Actual Production (Kg)]]-Table1[[#This Row],[Re-process (Kg)]], "")</f>
        <v>6657</v>
      </c>
      <c r="J1514" s="49">
        <v>22</v>
      </c>
      <c r="K1514" s="72">
        <v>4.5</v>
      </c>
      <c r="L1514" s="49">
        <f>IF(Table1[[#This Row],[Target Time (Hours)]]="","",Table1[[#This Row],[Target Time (Hours)]]-Table1[[#This Row],[Downtime (Hours)]])</f>
        <v>17.5</v>
      </c>
      <c r="M1514" s="49">
        <f>IFERROR(Table1[[#This Row],[Capacity (Kg)]]/Table1[[#This Row],[Target Time (Hours)]] * Table1[[#This Row],[Downtime (Hours)]], "")</f>
        <v>2045.4545454545455</v>
      </c>
      <c r="N1514" s="50">
        <f>IFERROR(Table1[[#This Row],[Running Time (hr)]]/Table1[Target Time (Hours)], "")</f>
        <v>0.79545454545454541</v>
      </c>
      <c r="O1514" s="50">
        <f>IFERROR(Table1[[#This Row],[Actual Production (Kg)]]/Table1[Capacity (Kg)], "")</f>
        <v>0.66569999999999996</v>
      </c>
      <c r="P1514" s="50">
        <f>IFERROR(Table1[[#This Row],[Quality Pass Production]]/Table1[[#This Row],[Actual Production (Kg)]], "")</f>
        <v>1</v>
      </c>
      <c r="Q1514" s="50">
        <f>IFERROR(Table1[[#This Row],[Utilization %]]*Table1[[#This Row],[Efficiency %]]*Table1[[#This Row],[Quality %]], "")</f>
        <v>0.52953409090909087</v>
      </c>
      <c r="R1514" s="48" t="s">
        <v>399</v>
      </c>
    </row>
    <row r="1515" spans="1:18" x14ac:dyDescent="0.25">
      <c r="A1515" s="51">
        <v>46256</v>
      </c>
      <c r="B1515" s="52" t="s">
        <v>18</v>
      </c>
      <c r="C1515" s="52" t="s">
        <v>238</v>
      </c>
      <c r="D1515" s="52" t="s">
        <v>20</v>
      </c>
      <c r="E1515" s="53">
        <v>7844</v>
      </c>
      <c r="F1515" s="53">
        <v>7844</v>
      </c>
      <c r="G1515" s="53">
        <v>0</v>
      </c>
      <c r="H1515" s="57">
        <f>IFERROR(Table1[Re-process (Kg)]/Table1[Actual Production (Kg)], "")</f>
        <v>0</v>
      </c>
      <c r="I1515" s="53">
        <f>IFERROR(Table1[[#This Row],[Actual Production (Kg)]]-Table1[[#This Row],[Re-process (Kg)]], "")</f>
        <v>7844</v>
      </c>
      <c r="J1515" s="53"/>
      <c r="K1515" s="52"/>
      <c r="L1515" s="53" t="str">
        <f>IF(Table1[[#This Row],[Target Time (Hours)]]="","",Table1[[#This Row],[Target Time (Hours)]]-Table1[[#This Row],[Downtime (Hours)]])</f>
        <v/>
      </c>
      <c r="M1515" s="53" t="str">
        <f>IFERROR(Table1[[#This Row],[Capacity (Kg)]]/Table1[[#This Row],[Target Time (Hours)]] * Table1[[#This Row],[Downtime (Hours)]], "")</f>
        <v/>
      </c>
      <c r="N1515" s="57" t="str">
        <f>IFERROR(Table1[[#This Row],[Running Time (hr)]]/Table1[Target Time (Hours)], "")</f>
        <v/>
      </c>
      <c r="O1515" s="57">
        <f>IFERROR(Table1[[#This Row],[Actual Production (Kg)]]/Table1[Capacity (Kg)], "")</f>
        <v>1</v>
      </c>
      <c r="P1515" s="57">
        <f>IFERROR(Table1[[#This Row],[Quality Pass Production]]/Table1[[#This Row],[Actual Production (Kg)]], "")</f>
        <v>1</v>
      </c>
      <c r="Q1515" s="57" t="str">
        <f>IFERROR(Table1[[#This Row],[Utilization %]]*Table1[[#This Row],[Efficiency %]]*Table1[[#This Row],[Quality %]], "")</f>
        <v/>
      </c>
      <c r="R1515" s="52"/>
    </row>
    <row r="1516" spans="1:18" x14ac:dyDescent="0.25">
      <c r="A1516" s="47">
        <v>46256</v>
      </c>
      <c r="B1516" s="48" t="s">
        <v>18</v>
      </c>
      <c r="C1516" s="48" t="s">
        <v>22</v>
      </c>
      <c r="D1516" s="48" t="s">
        <v>23</v>
      </c>
      <c r="E1516" s="49">
        <v>4000</v>
      </c>
      <c r="F1516" s="76">
        <v>5287</v>
      </c>
      <c r="G1516" s="49">
        <v>0</v>
      </c>
      <c r="H1516" s="50">
        <f>IFERROR(Table1[Re-process (Kg)]/Table1[Actual Production (Kg)], "")</f>
        <v>0</v>
      </c>
      <c r="I1516" s="49">
        <f>IFERROR(Table1[[#This Row],[Actual Production (Kg)]]-Table1[[#This Row],[Re-process (Kg)]], "")</f>
        <v>5287</v>
      </c>
      <c r="J1516" s="49">
        <v>22</v>
      </c>
      <c r="K1516" s="72"/>
      <c r="L1516" s="49">
        <f>IF(Table1[[#This Row],[Target Time (Hours)]]="","",Table1[[#This Row],[Target Time (Hours)]]-Table1[[#This Row],[Downtime (Hours)]])</f>
        <v>22</v>
      </c>
      <c r="M1516" s="49">
        <f>IFERROR(Table1[[#This Row],[Capacity (Kg)]]/Table1[[#This Row],[Target Time (Hours)]] * Table1[[#This Row],[Downtime (Hours)]], "")</f>
        <v>0</v>
      </c>
      <c r="N1516" s="50">
        <f>IFERROR(Table1[[#This Row],[Running Time (hr)]]/Table1[Target Time (Hours)], "")</f>
        <v>1</v>
      </c>
      <c r="O1516" s="50">
        <f>IFERROR(Table1[[#This Row],[Actual Production (Kg)]]/Table1[Capacity (Kg)], "")</f>
        <v>1.32175</v>
      </c>
      <c r="P1516" s="50">
        <f>IFERROR(Table1[[#This Row],[Quality Pass Production]]/Table1[[#This Row],[Actual Production (Kg)]], "")</f>
        <v>1</v>
      </c>
      <c r="Q1516" s="50">
        <f>IFERROR(Table1[[#This Row],[Utilization %]]*Table1[[#This Row],[Efficiency %]]*Table1[[#This Row],[Quality %]], "")</f>
        <v>1.32175</v>
      </c>
    </row>
    <row r="1517" spans="1:18" ht="30" customHeight="1" x14ac:dyDescent="0.25">
      <c r="A1517" s="47">
        <v>46256</v>
      </c>
      <c r="B1517" s="48" t="s">
        <v>18</v>
      </c>
      <c r="C1517" s="48" t="s">
        <v>22</v>
      </c>
      <c r="D1517" s="48" t="s">
        <v>25</v>
      </c>
      <c r="E1517" s="49">
        <v>5000</v>
      </c>
      <c r="F1517" s="76">
        <v>2171</v>
      </c>
      <c r="G1517" s="49">
        <v>0</v>
      </c>
      <c r="H1517" s="50">
        <f>IFERROR(Table1[Re-process (Kg)]/Table1[Actual Production (Kg)], "")</f>
        <v>0</v>
      </c>
      <c r="I1517" s="49">
        <f>IFERROR(Table1[[#This Row],[Actual Production (Kg)]]-Table1[[#This Row],[Re-process (Kg)]], "")</f>
        <v>2171</v>
      </c>
      <c r="J1517" s="49"/>
      <c r="K1517" s="72">
        <v>3.42</v>
      </c>
      <c r="L1517" s="49" t="str">
        <f>IF(Table1[[#This Row],[Target Time (Hours)]]="","",Table1[[#This Row],[Target Time (Hours)]]-Table1[[#This Row],[Downtime (Hours)]])</f>
        <v/>
      </c>
      <c r="M1517" s="49" t="str">
        <f>IFERROR(Table1[[#This Row],[Capacity (Kg)]]/Table1[[#This Row],[Target Time (Hours)]] * Table1[[#This Row],[Downtime (Hours)]], "")</f>
        <v/>
      </c>
      <c r="N1517" s="50" t="str">
        <f>IFERROR(Table1[[#This Row],[Running Time (hr)]]/Table1[Target Time (Hours)], "")</f>
        <v/>
      </c>
      <c r="O1517" s="50">
        <f>IFERROR(Table1[[#This Row],[Actual Production (Kg)]]/Table1[Capacity (Kg)], "")</f>
        <v>0.43419999999999997</v>
      </c>
      <c r="P1517" s="50">
        <f>IFERROR(Table1[[#This Row],[Quality Pass Production]]/Table1[[#This Row],[Actual Production (Kg)]], "")</f>
        <v>1</v>
      </c>
      <c r="Q1517" s="50" t="str">
        <f>IFERROR(Table1[[#This Row],[Utilization %]]*Table1[[#This Row],[Efficiency %]]*Table1[[#This Row],[Quality %]], "")</f>
        <v/>
      </c>
      <c r="R1517" s="48" t="s">
        <v>400</v>
      </c>
    </row>
    <row r="1518" spans="1:18" ht="45" customHeight="1" x14ac:dyDescent="0.25">
      <c r="A1518" s="47">
        <v>46256</v>
      </c>
      <c r="B1518" s="48" t="s">
        <v>18</v>
      </c>
      <c r="C1518" s="48" t="s">
        <v>26</v>
      </c>
      <c r="D1518" s="48" t="s">
        <v>25</v>
      </c>
      <c r="E1518" s="49">
        <v>7000</v>
      </c>
      <c r="F1518" s="76">
        <v>5476</v>
      </c>
      <c r="G1518" s="49">
        <v>0</v>
      </c>
      <c r="H1518" s="50">
        <f>IFERROR(Table1[Re-process (Kg)]/Table1[Actual Production (Kg)], "")</f>
        <v>0</v>
      </c>
      <c r="I1518" s="49">
        <f>IFERROR(Table1[[#This Row],[Actual Production (Kg)]]-Table1[[#This Row],[Re-process (Kg)]], "")</f>
        <v>5476</v>
      </c>
      <c r="J1518" s="49">
        <v>22</v>
      </c>
      <c r="K1518" s="72">
        <v>5.5</v>
      </c>
      <c r="L1518" s="49">
        <f>IF(Table1[[#This Row],[Target Time (Hours)]]="","",Table1[[#This Row],[Target Time (Hours)]]-Table1[[#This Row],[Downtime (Hours)]])</f>
        <v>16.5</v>
      </c>
      <c r="M1518" s="49">
        <f>IFERROR(Table1[[#This Row],[Capacity (Kg)]]/Table1[[#This Row],[Target Time (Hours)]] * Table1[[#This Row],[Downtime (Hours)]], "")</f>
        <v>1750</v>
      </c>
      <c r="N1518" s="50">
        <f>IFERROR(Table1[[#This Row],[Running Time (hr)]]/Table1[Target Time (Hours)], "")</f>
        <v>0.75</v>
      </c>
      <c r="O1518" s="50">
        <f>IFERROR(Table1[[#This Row],[Actual Production (Kg)]]/Table1[Capacity (Kg)], "")</f>
        <v>0.78228571428571425</v>
      </c>
      <c r="P1518" s="50">
        <f>IFERROR(Table1[[#This Row],[Quality Pass Production]]/Table1[[#This Row],[Actual Production (Kg)]], "")</f>
        <v>1</v>
      </c>
      <c r="Q1518" s="50">
        <f>IFERROR(Table1[[#This Row],[Utilization %]]*Table1[[#This Row],[Efficiency %]]*Table1[[#This Row],[Quality %]], "")</f>
        <v>0.58671428571428574</v>
      </c>
      <c r="R1518" s="48" t="s">
        <v>401</v>
      </c>
    </row>
    <row r="1519" spans="1:18" ht="30" customHeight="1" x14ac:dyDescent="0.25">
      <c r="A1519" s="47">
        <v>46256</v>
      </c>
      <c r="B1519" s="48" t="s">
        <v>18</v>
      </c>
      <c r="C1519" s="48" t="s">
        <v>28</v>
      </c>
      <c r="D1519" s="48" t="s">
        <v>29</v>
      </c>
      <c r="E1519" s="49">
        <v>7800</v>
      </c>
      <c r="F1519" s="76">
        <v>5429</v>
      </c>
      <c r="G1519" s="49">
        <v>0</v>
      </c>
      <c r="H1519" s="50">
        <f>IFERROR(Table1[Re-process (Kg)]/Table1[Actual Production (Kg)], "")</f>
        <v>0</v>
      </c>
      <c r="I1519" s="49">
        <f>IFERROR(Table1[[#This Row],[Actual Production (Kg)]]-Table1[[#This Row],[Re-process (Kg)]], "")</f>
        <v>5429</v>
      </c>
      <c r="J1519" s="49">
        <v>22</v>
      </c>
      <c r="K1519" s="72">
        <v>6</v>
      </c>
      <c r="L1519" s="49">
        <f>IF(Table1[[#This Row],[Target Time (Hours)]]="","",Table1[[#This Row],[Target Time (Hours)]]-Table1[[#This Row],[Downtime (Hours)]])</f>
        <v>16</v>
      </c>
      <c r="M1519" s="49">
        <f>IFERROR(Table1[[#This Row],[Capacity (Kg)]]/Table1[[#This Row],[Target Time (Hours)]] * Table1[[#This Row],[Downtime (Hours)]], "")</f>
        <v>2127.2727272727275</v>
      </c>
      <c r="N1519" s="50">
        <f>IFERROR(Table1[[#This Row],[Running Time (hr)]]/Table1[Target Time (Hours)], "")</f>
        <v>0.72727272727272729</v>
      </c>
      <c r="O1519" s="50">
        <f>IFERROR(Table1[[#This Row],[Actual Production (Kg)]]/Table1[Capacity (Kg)], "")</f>
        <v>0.69602564102564102</v>
      </c>
      <c r="P1519" s="50">
        <f>IFERROR(Table1[[#This Row],[Quality Pass Production]]/Table1[[#This Row],[Actual Production (Kg)]], "")</f>
        <v>1</v>
      </c>
      <c r="Q1519" s="50">
        <f>IFERROR(Table1[[#This Row],[Utilization %]]*Table1[[#This Row],[Efficiency %]]*Table1[[#This Row],[Quality %]], "")</f>
        <v>0.50620046620046621</v>
      </c>
      <c r="R1519" s="48" t="s">
        <v>402</v>
      </c>
    </row>
    <row r="1520" spans="1:18" ht="30" customHeight="1" x14ac:dyDescent="0.25">
      <c r="A1520" s="51">
        <v>46256</v>
      </c>
      <c r="B1520" s="52" t="s">
        <v>18</v>
      </c>
      <c r="C1520" s="52" t="s">
        <v>135</v>
      </c>
      <c r="D1520" s="52" t="s">
        <v>29</v>
      </c>
      <c r="E1520" s="53"/>
      <c r="F1520" s="53"/>
      <c r="G1520" s="53"/>
      <c r="H1520" s="57" t="str">
        <f>IFERROR(Table1[Re-process (Kg)]/Table1[Actual Production (Kg)], "")</f>
        <v/>
      </c>
      <c r="I1520" s="53">
        <f>IFERROR(Table1[[#This Row],[Actual Production (Kg)]]-Table1[[#This Row],[Re-process (Kg)]], "")</f>
        <v>0</v>
      </c>
      <c r="J1520" s="53"/>
      <c r="K1520" s="52"/>
      <c r="L1520" s="53" t="str">
        <f>IF(Table1[[#This Row],[Target Time (Hours)]]="","",Table1[[#This Row],[Target Time (Hours)]]-Table1[[#This Row],[Downtime (Hours)]])</f>
        <v/>
      </c>
      <c r="M1520" s="53" t="str">
        <f>IFERROR(Table1[[#This Row],[Capacity (Kg)]]/Table1[[#This Row],[Target Time (Hours)]] * Table1[[#This Row],[Downtime (Hours)]], "")</f>
        <v/>
      </c>
      <c r="N1520" s="57" t="str">
        <f>IFERROR(Table1[[#This Row],[Running Time (hr)]]/Table1[Target Time (Hours)], "")</f>
        <v/>
      </c>
      <c r="O1520" s="57" t="str">
        <f>IFERROR(Table1[[#This Row],[Actual Production (Kg)]]/Table1[Capacity (Kg)], "")</f>
        <v/>
      </c>
      <c r="P1520" s="57" t="str">
        <f>IFERROR(Table1[[#This Row],[Quality Pass Production]]/Table1[[#This Row],[Actual Production (Kg)]], "")</f>
        <v/>
      </c>
      <c r="Q1520" s="57" t="str">
        <f>IFERROR(Table1[[#This Row],[Utilization %]]*Table1[[#This Row],[Efficiency %]]*Table1[[#This Row],[Quality %]], "")</f>
        <v/>
      </c>
      <c r="R1520" s="52"/>
    </row>
    <row r="1521" spans="1:18" ht="30" customHeight="1" x14ac:dyDescent="0.25">
      <c r="A1521" s="47">
        <v>46256</v>
      </c>
      <c r="B1521" s="48" t="s">
        <v>18</v>
      </c>
      <c r="C1521" s="48" t="s">
        <v>30</v>
      </c>
      <c r="D1521" s="48" t="s">
        <v>31</v>
      </c>
      <c r="E1521" s="49">
        <v>9000</v>
      </c>
      <c r="F1521" s="76">
        <v>6435</v>
      </c>
      <c r="G1521" s="49">
        <v>0</v>
      </c>
      <c r="H1521" s="50">
        <f>IFERROR(Table1[Re-process (Kg)]/Table1[Actual Production (Kg)], "")</f>
        <v>0</v>
      </c>
      <c r="I1521" s="49">
        <f>IFERROR(Table1[[#This Row],[Actual Production (Kg)]]-Table1[[#This Row],[Re-process (Kg)]], "")</f>
        <v>6435</v>
      </c>
      <c r="J1521" s="49">
        <v>22</v>
      </c>
      <c r="K1521" s="72"/>
      <c r="L1521" s="49">
        <f>IF(Table1[[#This Row],[Target Time (Hours)]]="","",Table1[[#This Row],[Target Time (Hours)]]-Table1[[#This Row],[Downtime (Hours)]])</f>
        <v>22</v>
      </c>
      <c r="M1521" s="49">
        <f>IFERROR(Table1[[#This Row],[Capacity (Kg)]]/Table1[[#This Row],[Target Time (Hours)]] * Table1[[#This Row],[Downtime (Hours)]], "")</f>
        <v>0</v>
      </c>
      <c r="N1521" s="50">
        <f>IFERROR(Table1[[#This Row],[Running Time (hr)]]/Table1[Target Time (Hours)], "")</f>
        <v>1</v>
      </c>
      <c r="O1521" s="50">
        <f>IFERROR(Table1[[#This Row],[Actual Production (Kg)]]/Table1[Capacity (Kg)], "")</f>
        <v>0.71499999999999997</v>
      </c>
      <c r="P1521" s="50">
        <f>IFERROR(Table1[[#This Row],[Quality Pass Production]]/Table1[[#This Row],[Actual Production (Kg)]], "")</f>
        <v>1</v>
      </c>
      <c r="Q1521" s="50">
        <f>IFERROR(Table1[[#This Row],[Utilization %]]*Table1[[#This Row],[Efficiency %]]*Table1[[#This Row],[Quality %]], "")</f>
        <v>0.71499999999999997</v>
      </c>
    </row>
    <row r="1522" spans="1:18" ht="30" customHeight="1" x14ac:dyDescent="0.25">
      <c r="A1522" s="51">
        <v>46256</v>
      </c>
      <c r="B1522" s="52" t="s">
        <v>18</v>
      </c>
      <c r="C1522" s="52" t="s">
        <v>32</v>
      </c>
      <c r="D1522" s="52" t="s">
        <v>31</v>
      </c>
      <c r="E1522" s="53"/>
      <c r="F1522" s="53"/>
      <c r="G1522" s="53"/>
      <c r="H1522" s="57" t="str">
        <f>IFERROR(Table1[Re-process (Kg)]/Table1[Actual Production (Kg)], "")</f>
        <v/>
      </c>
      <c r="I1522" s="53">
        <f>IFERROR(Table1[[#This Row],[Actual Production (Kg)]]-Table1[[#This Row],[Re-process (Kg)]], "")</f>
        <v>0</v>
      </c>
      <c r="J1522" s="53"/>
      <c r="K1522" s="52"/>
      <c r="L1522" s="53" t="str">
        <f>IF(Table1[[#This Row],[Target Time (Hours)]]="","",Table1[[#This Row],[Target Time (Hours)]]-Table1[[#This Row],[Downtime (Hours)]])</f>
        <v/>
      </c>
      <c r="M1522" s="53" t="str">
        <f>IFERROR(Table1[[#This Row],[Capacity (Kg)]]/Table1[[#This Row],[Target Time (Hours)]] * Table1[[#This Row],[Downtime (Hours)]], "")</f>
        <v/>
      </c>
      <c r="N1522" s="57" t="str">
        <f>IFERROR(Table1[[#This Row],[Running Time (hr)]]/Table1[Target Time (Hours)], "")</f>
        <v/>
      </c>
      <c r="O1522" s="57" t="str">
        <f>IFERROR(Table1[[#This Row],[Actual Production (Kg)]]/Table1[Capacity (Kg)], "")</f>
        <v/>
      </c>
      <c r="P1522" s="57" t="str">
        <f>IFERROR(Table1[[#This Row],[Quality Pass Production]]/Table1[[#This Row],[Actual Production (Kg)]], "")</f>
        <v/>
      </c>
      <c r="Q1522" s="57" t="str">
        <f>IFERROR(Table1[[#This Row],[Utilization %]]*Table1[[#This Row],[Efficiency %]]*Table1[[#This Row],[Quality %]], "")</f>
        <v/>
      </c>
      <c r="R1522" s="52"/>
    </row>
    <row r="1523" spans="1:18" ht="30" customHeight="1" x14ac:dyDescent="0.25">
      <c r="A1523" s="47">
        <v>46256</v>
      </c>
      <c r="B1523" s="48" t="s">
        <v>33</v>
      </c>
      <c r="C1523" s="48" t="s">
        <v>34</v>
      </c>
      <c r="D1523" s="48" t="s">
        <v>35</v>
      </c>
      <c r="E1523" s="49">
        <v>9000</v>
      </c>
      <c r="F1523" s="76">
        <v>7729</v>
      </c>
      <c r="G1523" s="49">
        <v>0</v>
      </c>
      <c r="H1523" s="50">
        <f>IFERROR(Table1[Re-process (Kg)]/Table1[Actual Production (Kg)], "")</f>
        <v>0</v>
      </c>
      <c r="I1523" s="49">
        <f>IFERROR(Table1[[#This Row],[Actual Production (Kg)]]-Table1[[#This Row],[Re-process (Kg)]], "")</f>
        <v>7729</v>
      </c>
      <c r="J1523" s="49">
        <v>22</v>
      </c>
      <c r="K1523" s="72">
        <v>2</v>
      </c>
      <c r="L1523" s="49">
        <f>IF(Table1[[#This Row],[Target Time (Hours)]]="","",Table1[[#This Row],[Target Time (Hours)]]-Table1[[#This Row],[Downtime (Hours)]])</f>
        <v>20</v>
      </c>
      <c r="M1523" s="49">
        <f>IFERROR(Table1[[#This Row],[Capacity (Kg)]]/Table1[[#This Row],[Target Time (Hours)]] * Table1[[#This Row],[Downtime (Hours)]], "")</f>
        <v>818.18181818181813</v>
      </c>
      <c r="N1523" s="50">
        <f>IFERROR(Table1[[#This Row],[Running Time (hr)]]/Table1[Target Time (Hours)], "")</f>
        <v>0.90909090909090906</v>
      </c>
      <c r="O1523" s="50">
        <f>IFERROR(Table1[[#This Row],[Actual Production (Kg)]]/Table1[Capacity (Kg)], "")</f>
        <v>0.85877777777777775</v>
      </c>
      <c r="P1523" s="50">
        <f>IFERROR(Table1[[#This Row],[Quality Pass Production]]/Table1[[#This Row],[Actual Production (Kg)]], "")</f>
        <v>1</v>
      </c>
      <c r="Q1523" s="50">
        <f>IFERROR(Table1[[#This Row],[Utilization %]]*Table1[[#This Row],[Efficiency %]]*Table1[[#This Row],[Quality %]], "")</f>
        <v>0.78070707070707068</v>
      </c>
      <c r="R1523" s="48" t="s">
        <v>403</v>
      </c>
    </row>
    <row r="1524" spans="1:18" ht="45" customHeight="1" x14ac:dyDescent="0.25">
      <c r="A1524" s="47">
        <v>46256</v>
      </c>
      <c r="B1524" s="48" t="s">
        <v>33</v>
      </c>
      <c r="C1524" s="48" t="s">
        <v>36</v>
      </c>
      <c r="D1524" s="48" t="s">
        <v>37</v>
      </c>
      <c r="E1524" s="49">
        <v>8000</v>
      </c>
      <c r="F1524" s="76">
        <v>7510</v>
      </c>
      <c r="G1524" s="49">
        <v>0</v>
      </c>
      <c r="H1524" s="50">
        <f>IFERROR(Table1[Re-process (Kg)]/Table1[Actual Production (Kg)], "")</f>
        <v>0</v>
      </c>
      <c r="I1524" s="49">
        <f>IFERROR(Table1[[#This Row],[Actual Production (Kg)]]-Table1[[#This Row],[Re-process (Kg)]], "")</f>
        <v>7510</v>
      </c>
      <c r="J1524" s="49">
        <v>22</v>
      </c>
      <c r="K1524" s="72">
        <v>3.17</v>
      </c>
      <c r="L1524" s="49">
        <f>IF(Table1[[#This Row],[Target Time (Hours)]]="","",Table1[[#This Row],[Target Time (Hours)]]-Table1[[#This Row],[Downtime (Hours)]])</f>
        <v>18.829999999999998</v>
      </c>
      <c r="M1524" s="49">
        <f>IFERROR(Table1[[#This Row],[Capacity (Kg)]]/Table1[[#This Row],[Target Time (Hours)]] * Table1[[#This Row],[Downtime (Hours)]], "")</f>
        <v>1152.7272727272727</v>
      </c>
      <c r="N1524" s="50">
        <f>IFERROR(Table1[[#This Row],[Running Time (hr)]]/Table1[Target Time (Hours)], "")</f>
        <v>0.85590909090909084</v>
      </c>
      <c r="O1524" s="50">
        <f>IFERROR(Table1[[#This Row],[Actual Production (Kg)]]/Table1[Capacity (Kg)], "")</f>
        <v>0.93874999999999997</v>
      </c>
      <c r="P1524" s="50">
        <f>IFERROR(Table1[[#This Row],[Quality Pass Production]]/Table1[[#This Row],[Actual Production (Kg)]], "")</f>
        <v>1</v>
      </c>
      <c r="Q1524" s="50">
        <f>IFERROR(Table1[[#This Row],[Utilization %]]*Table1[[#This Row],[Efficiency %]]*Table1[[#This Row],[Quality %]], "")</f>
        <v>0.80348465909090905</v>
      </c>
      <c r="R1524" s="48" t="s">
        <v>404</v>
      </c>
    </row>
    <row r="1525" spans="1:18" ht="30" customHeight="1" x14ac:dyDescent="0.25">
      <c r="A1525" s="47">
        <v>46256</v>
      </c>
      <c r="B1525" s="48" t="s">
        <v>33</v>
      </c>
      <c r="C1525" s="48" t="s">
        <v>39</v>
      </c>
      <c r="D1525" s="48" t="s">
        <v>31</v>
      </c>
      <c r="E1525" s="49">
        <v>6000</v>
      </c>
      <c r="F1525" s="76">
        <v>3092</v>
      </c>
      <c r="G1525" s="49">
        <v>0</v>
      </c>
      <c r="H1525" s="50">
        <f>IFERROR(Table1[Re-process (Kg)]/Table1[Actual Production (Kg)], "")</f>
        <v>0</v>
      </c>
      <c r="I1525" s="49">
        <f>IFERROR(Table1[[#This Row],[Actual Production (Kg)]]-Table1[[#This Row],[Re-process (Kg)]], "")</f>
        <v>3092</v>
      </c>
      <c r="J1525" s="49">
        <v>22</v>
      </c>
      <c r="K1525" s="72"/>
      <c r="L1525" s="49">
        <f>IF(Table1[[#This Row],[Target Time (Hours)]]="","",Table1[[#This Row],[Target Time (Hours)]]-Table1[[#This Row],[Downtime (Hours)]])</f>
        <v>22</v>
      </c>
      <c r="M1525" s="49">
        <f>IFERROR(Table1[[#This Row],[Capacity (Kg)]]/Table1[[#This Row],[Target Time (Hours)]] * Table1[[#This Row],[Downtime (Hours)]], "")</f>
        <v>0</v>
      </c>
      <c r="N1525" s="50">
        <f>IFERROR(Table1[[#This Row],[Running Time (hr)]]/Table1[Target Time (Hours)], "")</f>
        <v>1</v>
      </c>
      <c r="O1525" s="50">
        <f>IFERROR(Table1[[#This Row],[Actual Production (Kg)]]/Table1[Capacity (Kg)], "")</f>
        <v>0.51533333333333331</v>
      </c>
      <c r="P1525" s="50">
        <f>IFERROR(Table1[[#This Row],[Quality Pass Production]]/Table1[[#This Row],[Actual Production (Kg)]], "")</f>
        <v>1</v>
      </c>
      <c r="Q1525" s="50">
        <f>IFERROR(Table1[[#This Row],[Utilization %]]*Table1[[#This Row],[Efficiency %]]*Table1[[#This Row],[Quality %]], "")</f>
        <v>0.51533333333333331</v>
      </c>
      <c r="R1525" s="48" t="s">
        <v>383</v>
      </c>
    </row>
    <row r="1526" spans="1:18" ht="45" customHeight="1" x14ac:dyDescent="0.25">
      <c r="A1526" s="54">
        <v>46256</v>
      </c>
      <c r="B1526" s="55" t="s">
        <v>33</v>
      </c>
      <c r="C1526" s="55" t="s">
        <v>40</v>
      </c>
      <c r="D1526" s="55" t="s">
        <v>31</v>
      </c>
      <c r="E1526" s="56">
        <v>5000</v>
      </c>
      <c r="F1526" s="56">
        <v>2822</v>
      </c>
      <c r="G1526" s="56">
        <v>0</v>
      </c>
      <c r="H1526" s="58">
        <f>IFERROR(Table1[Re-process (Kg)]/Table1[Actual Production (Kg)], "")</f>
        <v>0</v>
      </c>
      <c r="I1526" s="56">
        <f>IFERROR(Table1[[#This Row],[Actual Production (Kg)]]-Table1[[#This Row],[Re-process (Kg)]], "")</f>
        <v>2822</v>
      </c>
      <c r="J1526" s="56">
        <v>22</v>
      </c>
      <c r="K1526" s="55"/>
      <c r="L1526" s="56">
        <f>IF(Table1[[#This Row],[Target Time (Hours)]]="","",Table1[[#This Row],[Target Time (Hours)]]-Table1[[#This Row],[Downtime (Hours)]])</f>
        <v>22</v>
      </c>
      <c r="M1526" s="56">
        <f>IFERROR(Table1[[#This Row],[Capacity (Kg)]]/Table1[[#This Row],[Target Time (Hours)]] * Table1[[#This Row],[Downtime (Hours)]], "")</f>
        <v>0</v>
      </c>
      <c r="N1526" s="58">
        <f>IFERROR(Table1[[#This Row],[Running Time (hr)]]/Table1[Target Time (Hours)], "")</f>
        <v>1</v>
      </c>
      <c r="O1526" s="58">
        <f>IFERROR(Table1[[#This Row],[Actual Production (Kg)]]/Table1[Capacity (Kg)], "")</f>
        <v>0.56440000000000001</v>
      </c>
      <c r="P1526" s="58">
        <f>IFERROR(Table1[[#This Row],[Quality Pass Production]]/Table1[[#This Row],[Actual Production (Kg)]], "")</f>
        <v>1</v>
      </c>
      <c r="Q1526" s="58">
        <f>IFERROR(Table1[[#This Row],[Utilization %]]*Table1[[#This Row],[Efficiency %]]*Table1[[#This Row],[Quality %]], "")</f>
        <v>0.56440000000000001</v>
      </c>
      <c r="R1526" s="55" t="s">
        <v>383</v>
      </c>
    </row>
    <row r="1527" spans="1:18" ht="30" customHeight="1" x14ac:dyDescent="0.25">
      <c r="A1527" s="47">
        <v>46257</v>
      </c>
      <c r="B1527" s="48" t="s">
        <v>18</v>
      </c>
      <c r="C1527" s="48" t="s">
        <v>19</v>
      </c>
      <c r="D1527" s="48" t="s">
        <v>20</v>
      </c>
      <c r="E1527" s="49">
        <v>10000</v>
      </c>
      <c r="F1527" s="76">
        <v>6862</v>
      </c>
      <c r="G1527" s="49">
        <v>0</v>
      </c>
      <c r="H1527" s="50">
        <f>IFERROR(Table1[Re-process (Kg)]/Table1[Actual Production (Kg)], "")</f>
        <v>0</v>
      </c>
      <c r="I1527" s="49">
        <f>IFERROR(Table1[[#This Row],[Actual Production (Kg)]]-Table1[[#This Row],[Re-process (Kg)]], "")</f>
        <v>6862</v>
      </c>
      <c r="J1527" s="49">
        <v>22</v>
      </c>
      <c r="K1527" s="72">
        <v>1.45</v>
      </c>
      <c r="L1527" s="49">
        <f>IF(Table1[[#This Row],[Target Time (Hours)]]="","",Table1[[#This Row],[Target Time (Hours)]]-Table1[[#This Row],[Downtime (Hours)]])</f>
        <v>20.55</v>
      </c>
      <c r="M1527" s="49">
        <f>IFERROR(Table1[[#This Row],[Capacity (Kg)]]/Table1[[#This Row],[Target Time (Hours)]] * Table1[[#This Row],[Downtime (Hours)]], "")</f>
        <v>659.09090909090912</v>
      </c>
      <c r="N1527" s="50">
        <f>IFERROR(Table1[[#This Row],[Running Time (hr)]]/Table1[Target Time (Hours)], "")</f>
        <v>0.93409090909090908</v>
      </c>
      <c r="O1527" s="50">
        <f>IFERROR(Table1[[#This Row],[Actual Production (Kg)]]/Table1[Capacity (Kg)], "")</f>
        <v>0.68620000000000003</v>
      </c>
      <c r="P1527" s="50">
        <f>IFERROR(Table1[[#This Row],[Quality Pass Production]]/Table1[[#This Row],[Actual Production (Kg)]], "")</f>
        <v>1</v>
      </c>
      <c r="Q1527" s="50">
        <f>IFERROR(Table1[[#This Row],[Utilization %]]*Table1[[#This Row],[Efficiency %]]*Table1[[#This Row],[Quality %]], "")</f>
        <v>0.64097318181818186</v>
      </c>
      <c r="R1527" s="48" t="s">
        <v>405</v>
      </c>
    </row>
    <row r="1528" spans="1:18" x14ac:dyDescent="0.25">
      <c r="A1528" s="51">
        <v>46257</v>
      </c>
      <c r="B1528" s="52" t="s">
        <v>18</v>
      </c>
      <c r="C1528" s="52" t="s">
        <v>238</v>
      </c>
      <c r="D1528" s="52" t="s">
        <v>20</v>
      </c>
      <c r="E1528" s="53">
        <v>10308</v>
      </c>
      <c r="F1528" s="53">
        <v>10308</v>
      </c>
      <c r="G1528" s="53">
        <v>0</v>
      </c>
      <c r="H1528" s="57">
        <f>IFERROR(Table1[Re-process (Kg)]/Table1[Actual Production (Kg)], "")</f>
        <v>0</v>
      </c>
      <c r="I1528" s="53">
        <f>IFERROR(Table1[[#This Row],[Actual Production (Kg)]]-Table1[[#This Row],[Re-process (Kg)]], "")</f>
        <v>10308</v>
      </c>
      <c r="J1528" s="53"/>
      <c r="K1528" s="52"/>
      <c r="L1528" s="53" t="str">
        <f>IF(Table1[[#This Row],[Target Time (Hours)]]="","",Table1[[#This Row],[Target Time (Hours)]]-Table1[[#This Row],[Downtime (Hours)]])</f>
        <v/>
      </c>
      <c r="M1528" s="53" t="str">
        <f>IFERROR(Table1[[#This Row],[Capacity (Kg)]]/Table1[[#This Row],[Target Time (Hours)]] * Table1[[#This Row],[Downtime (Hours)]], "")</f>
        <v/>
      </c>
      <c r="N1528" s="57" t="str">
        <f>IFERROR(Table1[[#This Row],[Running Time (hr)]]/Table1[Target Time (Hours)], "")</f>
        <v/>
      </c>
      <c r="O1528" s="57">
        <f>IFERROR(Table1[[#This Row],[Actual Production (Kg)]]/Table1[Capacity (Kg)], "")</f>
        <v>1</v>
      </c>
      <c r="P1528" s="57">
        <f>IFERROR(Table1[[#This Row],[Quality Pass Production]]/Table1[[#This Row],[Actual Production (Kg)]], "")</f>
        <v>1</v>
      </c>
      <c r="Q1528" s="57" t="str">
        <f>IFERROR(Table1[[#This Row],[Utilization %]]*Table1[[#This Row],[Efficiency %]]*Table1[[#This Row],[Quality %]], "")</f>
        <v/>
      </c>
      <c r="R1528" s="52"/>
    </row>
    <row r="1529" spans="1:18" x14ac:dyDescent="0.25">
      <c r="A1529" s="47">
        <v>46257</v>
      </c>
      <c r="B1529" s="48" t="s">
        <v>18</v>
      </c>
      <c r="C1529" s="48" t="s">
        <v>22</v>
      </c>
      <c r="D1529" s="48" t="s">
        <v>23</v>
      </c>
      <c r="E1529" s="49">
        <v>4000</v>
      </c>
      <c r="F1529" s="76">
        <v>5501</v>
      </c>
      <c r="G1529" s="49">
        <v>0</v>
      </c>
      <c r="H1529" s="50">
        <f>IFERROR(Table1[Re-process (Kg)]/Table1[Actual Production (Kg)], "")</f>
        <v>0</v>
      </c>
      <c r="I1529" s="49">
        <f>IFERROR(Table1[[#This Row],[Actual Production (Kg)]]-Table1[[#This Row],[Re-process (Kg)]], "")</f>
        <v>5501</v>
      </c>
      <c r="J1529" s="49">
        <v>22</v>
      </c>
      <c r="K1529" s="72"/>
      <c r="L1529" s="49">
        <f>IF(Table1[[#This Row],[Target Time (Hours)]]="","",Table1[[#This Row],[Target Time (Hours)]]-Table1[[#This Row],[Downtime (Hours)]])</f>
        <v>22</v>
      </c>
      <c r="M1529" s="49">
        <f>IFERROR(Table1[[#This Row],[Capacity (Kg)]]/Table1[[#This Row],[Target Time (Hours)]] * Table1[[#This Row],[Downtime (Hours)]], "")</f>
        <v>0</v>
      </c>
      <c r="N1529" s="50">
        <f>IFERROR(Table1[[#This Row],[Running Time (hr)]]/Table1[Target Time (Hours)], "")</f>
        <v>1</v>
      </c>
      <c r="O1529" s="50">
        <f>IFERROR(Table1[[#This Row],[Actual Production (Kg)]]/Table1[Capacity (Kg)], "")</f>
        <v>1.3752500000000001</v>
      </c>
      <c r="P1529" s="50">
        <f>IFERROR(Table1[[#This Row],[Quality Pass Production]]/Table1[[#This Row],[Actual Production (Kg)]], "")</f>
        <v>1</v>
      </c>
      <c r="Q1529" s="50">
        <f>IFERROR(Table1[[#This Row],[Utilization %]]*Table1[[#This Row],[Efficiency %]]*Table1[[#This Row],[Quality %]], "")</f>
        <v>1.3752500000000001</v>
      </c>
    </row>
    <row r="1530" spans="1:18" x14ac:dyDescent="0.25">
      <c r="A1530" s="47">
        <v>46257</v>
      </c>
      <c r="B1530" s="48" t="s">
        <v>18</v>
      </c>
      <c r="C1530" s="48" t="s">
        <v>22</v>
      </c>
      <c r="D1530" s="48" t="s">
        <v>25</v>
      </c>
      <c r="E1530" s="49">
        <v>5000</v>
      </c>
      <c r="F1530" s="76">
        <v>3074</v>
      </c>
      <c r="G1530" s="49">
        <v>0</v>
      </c>
      <c r="H1530" s="50">
        <f>IFERROR(Table1[Re-process (Kg)]/Table1[Actual Production (Kg)], "")</f>
        <v>0</v>
      </c>
      <c r="I1530" s="49">
        <f>IFERROR(Table1[[#This Row],[Actual Production (Kg)]]-Table1[[#This Row],[Re-process (Kg)]], "")</f>
        <v>3074</v>
      </c>
      <c r="J1530" s="49"/>
      <c r="K1530" s="72"/>
      <c r="L1530" s="49" t="str">
        <f>IF(Table1[[#This Row],[Target Time (Hours)]]="","",Table1[[#This Row],[Target Time (Hours)]]-Table1[[#This Row],[Downtime (Hours)]])</f>
        <v/>
      </c>
      <c r="M1530" s="49" t="str">
        <f>IFERROR(Table1[[#This Row],[Capacity (Kg)]]/Table1[[#This Row],[Target Time (Hours)]] * Table1[[#This Row],[Downtime (Hours)]], "")</f>
        <v/>
      </c>
      <c r="N1530" s="50" t="str">
        <f>IFERROR(Table1[[#This Row],[Running Time (hr)]]/Table1[Target Time (Hours)], "")</f>
        <v/>
      </c>
      <c r="O1530" s="50">
        <f>IFERROR(Table1[[#This Row],[Actual Production (Kg)]]/Table1[Capacity (Kg)], "")</f>
        <v>0.61480000000000001</v>
      </c>
      <c r="P1530" s="50">
        <f>IFERROR(Table1[[#This Row],[Quality Pass Production]]/Table1[[#This Row],[Actual Production (Kg)]], "")</f>
        <v>1</v>
      </c>
      <c r="Q1530" s="50" t="str">
        <f>IFERROR(Table1[[#This Row],[Utilization %]]*Table1[[#This Row],[Efficiency %]]*Table1[[#This Row],[Quality %]], "")</f>
        <v/>
      </c>
    </row>
    <row r="1531" spans="1:18" ht="30" customHeight="1" x14ac:dyDescent="0.25">
      <c r="A1531" s="47">
        <v>46257</v>
      </c>
      <c r="B1531" s="48" t="s">
        <v>18</v>
      </c>
      <c r="C1531" s="48" t="s">
        <v>26</v>
      </c>
      <c r="D1531" s="48" t="s">
        <v>25</v>
      </c>
      <c r="E1531" s="49">
        <v>7000</v>
      </c>
      <c r="F1531" s="76">
        <v>6619</v>
      </c>
      <c r="G1531" s="49">
        <v>0</v>
      </c>
      <c r="H1531" s="50">
        <f>IFERROR(Table1[Re-process (Kg)]/Table1[Actual Production (Kg)], "")</f>
        <v>0</v>
      </c>
      <c r="I1531" s="49">
        <f>IFERROR(Table1[[#This Row],[Actual Production (Kg)]]-Table1[[#This Row],[Re-process (Kg)]], "")</f>
        <v>6619</v>
      </c>
      <c r="J1531" s="49">
        <v>22</v>
      </c>
      <c r="K1531" s="72">
        <v>1</v>
      </c>
      <c r="L1531" s="49">
        <f>IF(Table1[[#This Row],[Target Time (Hours)]]="","",Table1[[#This Row],[Target Time (Hours)]]-Table1[[#This Row],[Downtime (Hours)]])</f>
        <v>21</v>
      </c>
      <c r="M1531" s="49">
        <f>IFERROR(Table1[[#This Row],[Capacity (Kg)]]/Table1[[#This Row],[Target Time (Hours)]] * Table1[[#This Row],[Downtime (Hours)]], "")</f>
        <v>318.18181818181819</v>
      </c>
      <c r="N1531" s="50">
        <f>IFERROR(Table1[[#This Row],[Running Time (hr)]]/Table1[Target Time (Hours)], "")</f>
        <v>0.95454545454545459</v>
      </c>
      <c r="O1531" s="50">
        <f>IFERROR(Table1[[#This Row],[Actual Production (Kg)]]/Table1[Capacity (Kg)], "")</f>
        <v>0.94557142857142862</v>
      </c>
      <c r="P1531" s="50">
        <f>IFERROR(Table1[[#This Row],[Quality Pass Production]]/Table1[[#This Row],[Actual Production (Kg)]], "")</f>
        <v>1</v>
      </c>
      <c r="Q1531" s="50">
        <f>IFERROR(Table1[[#This Row],[Utilization %]]*Table1[[#This Row],[Efficiency %]]*Table1[[#This Row],[Quality %]], "")</f>
        <v>0.90259090909090922</v>
      </c>
      <c r="R1531" s="48" t="s">
        <v>406</v>
      </c>
    </row>
    <row r="1532" spans="1:18" ht="30" customHeight="1" x14ac:dyDescent="0.25">
      <c r="A1532" s="47">
        <v>46257</v>
      </c>
      <c r="B1532" s="48" t="s">
        <v>18</v>
      </c>
      <c r="C1532" s="48" t="s">
        <v>28</v>
      </c>
      <c r="D1532" s="48" t="s">
        <v>29</v>
      </c>
      <c r="E1532" s="49">
        <v>7800</v>
      </c>
      <c r="F1532" s="76">
        <v>4895</v>
      </c>
      <c r="G1532" s="49">
        <v>0</v>
      </c>
      <c r="H1532" s="50">
        <f>IFERROR(Table1[Re-process (Kg)]/Table1[Actual Production (Kg)], "")</f>
        <v>0</v>
      </c>
      <c r="I1532" s="49">
        <f>IFERROR(Table1[[#This Row],[Actual Production (Kg)]]-Table1[[#This Row],[Re-process (Kg)]], "")</f>
        <v>4895</v>
      </c>
      <c r="J1532" s="49">
        <v>22</v>
      </c>
      <c r="K1532" s="72">
        <v>6</v>
      </c>
      <c r="L1532" s="49">
        <f>IF(Table1[[#This Row],[Target Time (Hours)]]="","",Table1[[#This Row],[Target Time (Hours)]]-Table1[[#This Row],[Downtime (Hours)]])</f>
        <v>16</v>
      </c>
      <c r="M1532" s="49">
        <f>IFERROR(Table1[[#This Row],[Capacity (Kg)]]/Table1[[#This Row],[Target Time (Hours)]] * Table1[[#This Row],[Downtime (Hours)]], "")</f>
        <v>2127.2727272727275</v>
      </c>
      <c r="N1532" s="50">
        <f>IFERROR(Table1[[#This Row],[Running Time (hr)]]/Table1[Target Time (Hours)], "")</f>
        <v>0.72727272727272729</v>
      </c>
      <c r="O1532" s="50">
        <f>IFERROR(Table1[[#This Row],[Actual Production (Kg)]]/Table1[Capacity (Kg)], "")</f>
        <v>0.62756410256410255</v>
      </c>
      <c r="P1532" s="50">
        <f>IFERROR(Table1[[#This Row],[Quality Pass Production]]/Table1[[#This Row],[Actual Production (Kg)]], "")</f>
        <v>1</v>
      </c>
      <c r="Q1532" s="50">
        <f>IFERROR(Table1[[#This Row],[Utilization %]]*Table1[[#This Row],[Efficiency %]]*Table1[[#This Row],[Quality %]], "")</f>
        <v>0.4564102564102564</v>
      </c>
      <c r="R1532" s="48" t="s">
        <v>407</v>
      </c>
    </row>
    <row r="1533" spans="1:18" ht="30" customHeight="1" x14ac:dyDescent="0.25">
      <c r="A1533" s="51">
        <v>46257</v>
      </c>
      <c r="B1533" s="52" t="s">
        <v>18</v>
      </c>
      <c r="C1533" s="52" t="s">
        <v>135</v>
      </c>
      <c r="D1533" s="52" t="s">
        <v>29</v>
      </c>
      <c r="E1533" s="53"/>
      <c r="F1533" s="53"/>
      <c r="G1533" s="53"/>
      <c r="H1533" s="57" t="str">
        <f>IFERROR(Table1[Re-process (Kg)]/Table1[Actual Production (Kg)], "")</f>
        <v/>
      </c>
      <c r="I1533" s="53">
        <f>IFERROR(Table1[[#This Row],[Actual Production (Kg)]]-Table1[[#This Row],[Re-process (Kg)]], "")</f>
        <v>0</v>
      </c>
      <c r="J1533" s="53"/>
      <c r="K1533" s="52"/>
      <c r="L1533" s="53" t="str">
        <f>IF(Table1[[#This Row],[Target Time (Hours)]]="","",Table1[[#This Row],[Target Time (Hours)]]-Table1[[#This Row],[Downtime (Hours)]])</f>
        <v/>
      </c>
      <c r="M1533" s="53" t="str">
        <f>IFERROR(Table1[[#This Row],[Capacity (Kg)]]/Table1[[#This Row],[Target Time (Hours)]] * Table1[[#This Row],[Downtime (Hours)]], "")</f>
        <v/>
      </c>
      <c r="N1533" s="57" t="str">
        <f>IFERROR(Table1[[#This Row],[Running Time (hr)]]/Table1[Target Time (Hours)], "")</f>
        <v/>
      </c>
      <c r="O1533" s="57" t="str">
        <f>IFERROR(Table1[[#This Row],[Actual Production (Kg)]]/Table1[Capacity (Kg)], "")</f>
        <v/>
      </c>
      <c r="P1533" s="57" t="str">
        <f>IFERROR(Table1[[#This Row],[Quality Pass Production]]/Table1[[#This Row],[Actual Production (Kg)]], "")</f>
        <v/>
      </c>
      <c r="Q1533" s="57" t="str">
        <f>IFERROR(Table1[[#This Row],[Utilization %]]*Table1[[#This Row],[Efficiency %]]*Table1[[#This Row],[Quality %]], "")</f>
        <v/>
      </c>
      <c r="R1533" s="52"/>
    </row>
    <row r="1534" spans="1:18" ht="30" customHeight="1" x14ac:dyDescent="0.25">
      <c r="A1534" s="47">
        <v>46257</v>
      </c>
      <c r="B1534" s="48" t="s">
        <v>18</v>
      </c>
      <c r="C1534" s="48" t="s">
        <v>30</v>
      </c>
      <c r="D1534" s="48" t="s">
        <v>31</v>
      </c>
      <c r="E1534" s="49">
        <v>9000</v>
      </c>
      <c r="F1534" s="76">
        <v>7506</v>
      </c>
      <c r="G1534" s="49">
        <v>0</v>
      </c>
      <c r="H1534" s="50">
        <f>IFERROR(Table1[Re-process (Kg)]/Table1[Actual Production (Kg)], "")</f>
        <v>0</v>
      </c>
      <c r="I1534" s="49">
        <f>IFERROR(Table1[[#This Row],[Actual Production (Kg)]]-Table1[[#This Row],[Re-process (Kg)]], "")</f>
        <v>7506</v>
      </c>
      <c r="J1534" s="49">
        <v>22</v>
      </c>
      <c r="K1534" s="72">
        <v>1</v>
      </c>
      <c r="L1534" s="49">
        <f>IF(Table1[[#This Row],[Target Time (Hours)]]="","",Table1[[#This Row],[Target Time (Hours)]]-Table1[[#This Row],[Downtime (Hours)]])</f>
        <v>21</v>
      </c>
      <c r="M1534" s="49">
        <f>IFERROR(Table1[[#This Row],[Capacity (Kg)]]/Table1[[#This Row],[Target Time (Hours)]] * Table1[[#This Row],[Downtime (Hours)]], "")</f>
        <v>409.09090909090907</v>
      </c>
      <c r="N1534" s="50">
        <f>IFERROR(Table1[[#This Row],[Running Time (hr)]]/Table1[Target Time (Hours)], "")</f>
        <v>0.95454545454545459</v>
      </c>
      <c r="O1534" s="50">
        <f>IFERROR(Table1[[#This Row],[Actual Production (Kg)]]/Table1[Capacity (Kg)], "")</f>
        <v>0.83399999999999996</v>
      </c>
      <c r="P1534" s="50">
        <f>IFERROR(Table1[[#This Row],[Quality Pass Production]]/Table1[[#This Row],[Actual Production (Kg)]], "")</f>
        <v>1</v>
      </c>
      <c r="Q1534" s="50">
        <f>IFERROR(Table1[[#This Row],[Utilization %]]*Table1[[#This Row],[Efficiency %]]*Table1[[#This Row],[Quality %]], "")</f>
        <v>0.79609090909090907</v>
      </c>
      <c r="R1534" s="48" t="s">
        <v>408</v>
      </c>
    </row>
    <row r="1535" spans="1:18" ht="30" customHeight="1" x14ac:dyDescent="0.25">
      <c r="A1535" s="51">
        <v>46257</v>
      </c>
      <c r="B1535" s="52" t="s">
        <v>18</v>
      </c>
      <c r="C1535" s="52" t="s">
        <v>32</v>
      </c>
      <c r="D1535" s="52" t="s">
        <v>31</v>
      </c>
      <c r="E1535" s="53"/>
      <c r="F1535" s="53"/>
      <c r="G1535" s="53"/>
      <c r="H1535" s="57" t="str">
        <f>IFERROR(Table1[Re-process (Kg)]/Table1[Actual Production (Kg)], "")</f>
        <v/>
      </c>
      <c r="I1535" s="53">
        <f>IFERROR(Table1[[#This Row],[Actual Production (Kg)]]-Table1[[#This Row],[Re-process (Kg)]], "")</f>
        <v>0</v>
      </c>
      <c r="J1535" s="53"/>
      <c r="K1535" s="52"/>
      <c r="L1535" s="53" t="str">
        <f>IF(Table1[[#This Row],[Target Time (Hours)]]="","",Table1[[#This Row],[Target Time (Hours)]]-Table1[[#This Row],[Downtime (Hours)]])</f>
        <v/>
      </c>
      <c r="M1535" s="53" t="str">
        <f>IFERROR(Table1[[#This Row],[Capacity (Kg)]]/Table1[[#This Row],[Target Time (Hours)]] * Table1[[#This Row],[Downtime (Hours)]], "")</f>
        <v/>
      </c>
      <c r="N1535" s="57" t="str">
        <f>IFERROR(Table1[[#This Row],[Running Time (hr)]]/Table1[Target Time (Hours)], "")</f>
        <v/>
      </c>
      <c r="O1535" s="57" t="str">
        <f>IFERROR(Table1[[#This Row],[Actual Production (Kg)]]/Table1[Capacity (Kg)], "")</f>
        <v/>
      </c>
      <c r="P1535" s="57" t="str">
        <f>IFERROR(Table1[[#This Row],[Quality Pass Production]]/Table1[[#This Row],[Actual Production (Kg)]], "")</f>
        <v/>
      </c>
      <c r="Q1535" s="57" t="str">
        <f>IFERROR(Table1[[#This Row],[Utilization %]]*Table1[[#This Row],[Efficiency %]]*Table1[[#This Row],[Quality %]], "")</f>
        <v/>
      </c>
      <c r="R1535" s="52"/>
    </row>
    <row r="1536" spans="1:18" ht="30" customHeight="1" x14ac:dyDescent="0.25">
      <c r="A1536" s="47">
        <v>46257</v>
      </c>
      <c r="B1536" s="48" t="s">
        <v>33</v>
      </c>
      <c r="C1536" s="48" t="s">
        <v>34</v>
      </c>
      <c r="D1536" s="48" t="s">
        <v>35</v>
      </c>
      <c r="E1536" s="49">
        <v>9000</v>
      </c>
      <c r="F1536" s="76">
        <v>6654</v>
      </c>
      <c r="G1536" s="49">
        <v>0</v>
      </c>
      <c r="H1536" s="50">
        <f>IFERROR(Table1[Re-process (Kg)]/Table1[Actual Production (Kg)], "")</f>
        <v>0</v>
      </c>
      <c r="I1536" s="49">
        <f>IFERROR(Table1[[#This Row],[Actual Production (Kg)]]-Table1[[#This Row],[Re-process (Kg)]], "")</f>
        <v>6654</v>
      </c>
      <c r="J1536" s="49">
        <v>22</v>
      </c>
      <c r="K1536" s="72"/>
      <c r="L1536" s="49">
        <f>IF(Table1[[#This Row],[Target Time (Hours)]]="","",Table1[[#This Row],[Target Time (Hours)]]-Table1[[#This Row],[Downtime (Hours)]])</f>
        <v>22</v>
      </c>
      <c r="M1536" s="49">
        <f>IFERROR(Table1[[#This Row],[Capacity (Kg)]]/Table1[[#This Row],[Target Time (Hours)]] * Table1[[#This Row],[Downtime (Hours)]], "")</f>
        <v>0</v>
      </c>
      <c r="N1536" s="50">
        <f>IFERROR(Table1[[#This Row],[Running Time (hr)]]/Table1[Target Time (Hours)], "")</f>
        <v>1</v>
      </c>
      <c r="O1536" s="50">
        <f>IFERROR(Table1[[#This Row],[Actual Production (Kg)]]/Table1[Capacity (Kg)], "")</f>
        <v>0.73933333333333329</v>
      </c>
      <c r="P1536" s="50">
        <f>IFERROR(Table1[[#This Row],[Quality Pass Production]]/Table1[[#This Row],[Actual Production (Kg)]], "")</f>
        <v>1</v>
      </c>
      <c r="Q1536" s="50">
        <f>IFERROR(Table1[[#This Row],[Utilization %]]*Table1[[#This Row],[Efficiency %]]*Table1[[#This Row],[Quality %]], "")</f>
        <v>0.73933333333333329</v>
      </c>
    </row>
    <row r="1537" spans="1:18" ht="45" customHeight="1" x14ac:dyDescent="0.25">
      <c r="A1537" s="47">
        <v>46257</v>
      </c>
      <c r="B1537" s="48" t="s">
        <v>33</v>
      </c>
      <c r="C1537" s="48" t="s">
        <v>36</v>
      </c>
      <c r="D1537" s="48" t="s">
        <v>37</v>
      </c>
      <c r="E1537" s="49">
        <v>8000</v>
      </c>
      <c r="F1537" s="76">
        <v>6496</v>
      </c>
      <c r="G1537" s="49">
        <v>0</v>
      </c>
      <c r="H1537" s="50">
        <f>IFERROR(Table1[Re-process (Kg)]/Table1[Actual Production (Kg)], "")</f>
        <v>0</v>
      </c>
      <c r="I1537" s="49">
        <f>IFERROR(Table1[[#This Row],[Actual Production (Kg)]]-Table1[[#This Row],[Re-process (Kg)]], "")</f>
        <v>6496</v>
      </c>
      <c r="J1537" s="49">
        <v>22</v>
      </c>
      <c r="K1537" s="72">
        <v>1.5</v>
      </c>
      <c r="L1537" s="49">
        <f>IF(Table1[[#This Row],[Target Time (Hours)]]="","",Table1[[#This Row],[Target Time (Hours)]]-Table1[[#This Row],[Downtime (Hours)]])</f>
        <v>20.5</v>
      </c>
      <c r="M1537" s="49">
        <f>IFERROR(Table1[[#This Row],[Capacity (Kg)]]/Table1[[#This Row],[Target Time (Hours)]] * Table1[[#This Row],[Downtime (Hours)]], "")</f>
        <v>545.4545454545455</v>
      </c>
      <c r="N1537" s="50">
        <f>IFERROR(Table1[[#This Row],[Running Time (hr)]]/Table1[Target Time (Hours)], "")</f>
        <v>0.93181818181818177</v>
      </c>
      <c r="O1537" s="50">
        <f>IFERROR(Table1[[#This Row],[Actual Production (Kg)]]/Table1[Capacity (Kg)], "")</f>
        <v>0.81200000000000006</v>
      </c>
      <c r="P1537" s="50">
        <f>IFERROR(Table1[[#This Row],[Quality Pass Production]]/Table1[[#This Row],[Actual Production (Kg)]], "")</f>
        <v>1</v>
      </c>
      <c r="Q1537" s="50">
        <f>IFERROR(Table1[[#This Row],[Utilization %]]*Table1[[#This Row],[Efficiency %]]*Table1[[#This Row],[Quality %]], "")</f>
        <v>0.75663636363636366</v>
      </c>
      <c r="R1537" s="48" t="s">
        <v>409</v>
      </c>
    </row>
    <row r="1538" spans="1:18" ht="30" customHeight="1" x14ac:dyDescent="0.25">
      <c r="A1538" s="47">
        <v>46257</v>
      </c>
      <c r="B1538" s="48" t="s">
        <v>33</v>
      </c>
      <c r="C1538" s="48" t="s">
        <v>39</v>
      </c>
      <c r="D1538" s="48" t="s">
        <v>31</v>
      </c>
      <c r="E1538" s="49">
        <v>6000</v>
      </c>
      <c r="F1538" s="76">
        <v>2890</v>
      </c>
      <c r="G1538" s="49">
        <v>0</v>
      </c>
      <c r="H1538" s="50">
        <f>IFERROR(Table1[Re-process (Kg)]/Table1[Actual Production (Kg)], "")</f>
        <v>0</v>
      </c>
      <c r="I1538" s="49">
        <f>IFERROR(Table1[[#This Row],[Actual Production (Kg)]]-Table1[[#This Row],[Re-process (Kg)]], "")</f>
        <v>2890</v>
      </c>
      <c r="J1538" s="49">
        <v>22</v>
      </c>
      <c r="K1538" s="72"/>
      <c r="L1538" s="49">
        <f>IF(Table1[[#This Row],[Target Time (Hours)]]="","",Table1[[#This Row],[Target Time (Hours)]]-Table1[[#This Row],[Downtime (Hours)]])</f>
        <v>22</v>
      </c>
      <c r="M1538" s="49">
        <f>IFERROR(Table1[[#This Row],[Capacity (Kg)]]/Table1[[#This Row],[Target Time (Hours)]] * Table1[[#This Row],[Downtime (Hours)]], "")</f>
        <v>0</v>
      </c>
      <c r="N1538" s="50">
        <f>IFERROR(Table1[[#This Row],[Running Time (hr)]]/Table1[Target Time (Hours)], "")</f>
        <v>1</v>
      </c>
      <c r="O1538" s="50">
        <f>IFERROR(Table1[[#This Row],[Actual Production (Kg)]]/Table1[Capacity (Kg)], "")</f>
        <v>0.48166666666666669</v>
      </c>
      <c r="P1538" s="50">
        <f>IFERROR(Table1[[#This Row],[Quality Pass Production]]/Table1[[#This Row],[Actual Production (Kg)]], "")</f>
        <v>1</v>
      </c>
      <c r="Q1538" s="50">
        <f>IFERROR(Table1[[#This Row],[Utilization %]]*Table1[[#This Row],[Efficiency %]]*Table1[[#This Row],[Quality %]], "")</f>
        <v>0.48166666666666669</v>
      </c>
    </row>
    <row r="1539" spans="1:18" ht="45" customHeight="1" x14ac:dyDescent="0.25">
      <c r="A1539" s="54">
        <v>46257</v>
      </c>
      <c r="B1539" s="55" t="s">
        <v>33</v>
      </c>
      <c r="C1539" s="55" t="s">
        <v>40</v>
      </c>
      <c r="D1539" s="55" t="s">
        <v>31</v>
      </c>
      <c r="E1539" s="56">
        <v>5000</v>
      </c>
      <c r="F1539" s="56">
        <v>2503</v>
      </c>
      <c r="G1539" s="56">
        <v>0</v>
      </c>
      <c r="H1539" s="58">
        <f>IFERROR(Table1[Re-process (Kg)]/Table1[Actual Production (Kg)], "")</f>
        <v>0</v>
      </c>
      <c r="I1539" s="56">
        <f>IFERROR(Table1[[#This Row],[Actual Production (Kg)]]-Table1[[#This Row],[Re-process (Kg)]], "")</f>
        <v>2503</v>
      </c>
      <c r="J1539" s="56">
        <v>22</v>
      </c>
      <c r="K1539" s="55"/>
      <c r="L1539" s="56">
        <f>IF(Table1[[#This Row],[Target Time (Hours)]]="","",Table1[[#This Row],[Target Time (Hours)]]-Table1[[#This Row],[Downtime (Hours)]])</f>
        <v>22</v>
      </c>
      <c r="M1539" s="56">
        <f>IFERROR(Table1[[#This Row],[Capacity (Kg)]]/Table1[[#This Row],[Target Time (Hours)]] * Table1[[#This Row],[Downtime (Hours)]], "")</f>
        <v>0</v>
      </c>
      <c r="N1539" s="58">
        <f>IFERROR(Table1[[#This Row],[Running Time (hr)]]/Table1[Target Time (Hours)], "")</f>
        <v>1</v>
      </c>
      <c r="O1539" s="58">
        <f>IFERROR(Table1[[#This Row],[Actual Production (Kg)]]/Table1[Capacity (Kg)], "")</f>
        <v>0.50060000000000004</v>
      </c>
      <c r="P1539" s="58">
        <f>IFERROR(Table1[[#This Row],[Quality Pass Production]]/Table1[[#This Row],[Actual Production (Kg)]], "")</f>
        <v>1</v>
      </c>
      <c r="Q1539" s="58">
        <f>IFERROR(Table1[[#This Row],[Utilization %]]*Table1[[#This Row],[Efficiency %]]*Table1[[#This Row],[Quality %]], "")</f>
        <v>0.50060000000000004</v>
      </c>
      <c r="R1539" s="55"/>
    </row>
    <row r="1540" spans="1:18" ht="30" customHeight="1" x14ac:dyDescent="0.25">
      <c r="A1540" s="47">
        <v>46258</v>
      </c>
      <c r="B1540" s="48" t="s">
        <v>18</v>
      </c>
      <c r="C1540" s="48" t="s">
        <v>19</v>
      </c>
      <c r="D1540" s="48" t="s">
        <v>20</v>
      </c>
      <c r="E1540" s="49">
        <v>10000</v>
      </c>
      <c r="F1540" s="76">
        <v>7849</v>
      </c>
      <c r="G1540" s="49">
        <v>0</v>
      </c>
      <c r="H1540" s="50">
        <f>IFERROR(Table1[Re-process (Kg)]/Table1[Actual Production (Kg)], "")</f>
        <v>0</v>
      </c>
      <c r="I1540" s="49">
        <f>IFERROR(Table1[[#This Row],[Actual Production (Kg)]]-Table1[[#This Row],[Re-process (Kg)]], "")</f>
        <v>7849</v>
      </c>
      <c r="J1540" s="49">
        <v>22</v>
      </c>
      <c r="K1540" s="72"/>
      <c r="L1540" s="49">
        <f>IF(Table1[[#This Row],[Target Time (Hours)]]="","",Table1[[#This Row],[Target Time (Hours)]]-Table1[[#This Row],[Downtime (Hours)]])</f>
        <v>22</v>
      </c>
      <c r="M1540" s="49">
        <f>IFERROR(Table1[[#This Row],[Capacity (Kg)]]/Table1[[#This Row],[Target Time (Hours)]] * Table1[[#This Row],[Downtime (Hours)]], "")</f>
        <v>0</v>
      </c>
      <c r="N1540" s="50">
        <f>IFERROR(Table1[[#This Row],[Running Time (hr)]]/Table1[Target Time (Hours)], "")</f>
        <v>1</v>
      </c>
      <c r="O1540" s="50">
        <f>IFERROR(Table1[[#This Row],[Actual Production (Kg)]]/Table1[Capacity (Kg)], "")</f>
        <v>0.78490000000000004</v>
      </c>
      <c r="P1540" s="50">
        <f>IFERROR(Table1[[#This Row],[Quality Pass Production]]/Table1[[#This Row],[Actual Production (Kg)]], "")</f>
        <v>1</v>
      </c>
      <c r="Q1540" s="50">
        <f>IFERROR(Table1[[#This Row],[Utilization %]]*Table1[[#This Row],[Efficiency %]]*Table1[[#This Row],[Quality %]], "")</f>
        <v>0.78490000000000004</v>
      </c>
    </row>
    <row r="1541" spans="1:18" x14ac:dyDescent="0.25">
      <c r="A1541" s="51">
        <v>46258</v>
      </c>
      <c r="B1541" s="52" t="s">
        <v>18</v>
      </c>
      <c r="C1541" s="52" t="s">
        <v>238</v>
      </c>
      <c r="D1541" s="52" t="s">
        <v>20</v>
      </c>
      <c r="E1541" s="53">
        <v>10157</v>
      </c>
      <c r="F1541" s="53">
        <v>10157</v>
      </c>
      <c r="G1541" s="53">
        <v>0</v>
      </c>
      <c r="H1541" s="57">
        <f>IFERROR(Table1[Re-process (Kg)]/Table1[Actual Production (Kg)], "")</f>
        <v>0</v>
      </c>
      <c r="I1541" s="53">
        <f>IFERROR(Table1[[#This Row],[Actual Production (Kg)]]-Table1[[#This Row],[Re-process (Kg)]], "")</f>
        <v>10157</v>
      </c>
      <c r="J1541" s="53"/>
      <c r="K1541" s="52"/>
      <c r="L1541" s="53" t="str">
        <f>IF(Table1[[#This Row],[Target Time (Hours)]]="","",Table1[[#This Row],[Target Time (Hours)]]-Table1[[#This Row],[Downtime (Hours)]])</f>
        <v/>
      </c>
      <c r="M1541" s="53" t="str">
        <f>IFERROR(Table1[[#This Row],[Capacity (Kg)]]/Table1[[#This Row],[Target Time (Hours)]] * Table1[[#This Row],[Downtime (Hours)]], "")</f>
        <v/>
      </c>
      <c r="N1541" s="57" t="str">
        <f>IFERROR(Table1[[#This Row],[Running Time (hr)]]/Table1[Target Time (Hours)], "")</f>
        <v/>
      </c>
      <c r="O1541" s="57">
        <f>IFERROR(Table1[[#This Row],[Actual Production (Kg)]]/Table1[Capacity (Kg)], "")</f>
        <v>1</v>
      </c>
      <c r="P1541" s="57">
        <f>IFERROR(Table1[[#This Row],[Quality Pass Production]]/Table1[[#This Row],[Actual Production (Kg)]], "")</f>
        <v>1</v>
      </c>
      <c r="Q1541" s="57" t="str">
        <f>IFERROR(Table1[[#This Row],[Utilization %]]*Table1[[#This Row],[Efficiency %]]*Table1[[#This Row],[Quality %]], "")</f>
        <v/>
      </c>
      <c r="R1541" s="52"/>
    </row>
    <row r="1542" spans="1:18" x14ac:dyDescent="0.25">
      <c r="A1542" s="47">
        <v>46258</v>
      </c>
      <c r="B1542" s="48" t="s">
        <v>18</v>
      </c>
      <c r="C1542" s="48" t="s">
        <v>22</v>
      </c>
      <c r="D1542" s="48" t="s">
        <v>23</v>
      </c>
      <c r="E1542" s="49">
        <v>4000</v>
      </c>
      <c r="F1542" s="76">
        <v>5331</v>
      </c>
      <c r="G1542" s="49">
        <v>0</v>
      </c>
      <c r="H1542" s="50">
        <f>IFERROR(Table1[Re-process (Kg)]/Table1[Actual Production (Kg)], "")</f>
        <v>0</v>
      </c>
      <c r="I1542" s="49">
        <f>IFERROR(Table1[[#This Row],[Actual Production (Kg)]]-Table1[[#This Row],[Re-process (Kg)]], "")</f>
        <v>5331</v>
      </c>
      <c r="J1542" s="49">
        <v>22</v>
      </c>
      <c r="K1542" s="72"/>
      <c r="L1542" s="49">
        <f>IF(Table1[[#This Row],[Target Time (Hours)]]="","",Table1[[#This Row],[Target Time (Hours)]]-Table1[[#This Row],[Downtime (Hours)]])</f>
        <v>22</v>
      </c>
      <c r="M1542" s="49">
        <f>IFERROR(Table1[[#This Row],[Capacity (Kg)]]/Table1[[#This Row],[Target Time (Hours)]] * Table1[[#This Row],[Downtime (Hours)]], "")</f>
        <v>0</v>
      </c>
      <c r="N1542" s="50">
        <f>IFERROR(Table1[[#This Row],[Running Time (hr)]]/Table1[Target Time (Hours)], "")</f>
        <v>1</v>
      </c>
      <c r="O1542" s="50">
        <f>IFERROR(Table1[[#This Row],[Actual Production (Kg)]]/Table1[Capacity (Kg)], "")</f>
        <v>1.3327500000000001</v>
      </c>
      <c r="P1542" s="50">
        <f>IFERROR(Table1[[#This Row],[Quality Pass Production]]/Table1[[#This Row],[Actual Production (Kg)]], "")</f>
        <v>1</v>
      </c>
      <c r="Q1542" s="50">
        <f>IFERROR(Table1[[#This Row],[Utilization %]]*Table1[[#This Row],[Efficiency %]]*Table1[[#This Row],[Quality %]], "")</f>
        <v>1.3327500000000001</v>
      </c>
    </row>
    <row r="1543" spans="1:18" x14ac:dyDescent="0.25">
      <c r="A1543" s="47">
        <v>46258</v>
      </c>
      <c r="B1543" s="48" t="s">
        <v>18</v>
      </c>
      <c r="C1543" s="48" t="s">
        <v>22</v>
      </c>
      <c r="D1543" s="48" t="s">
        <v>25</v>
      </c>
      <c r="E1543" s="49">
        <v>5000</v>
      </c>
      <c r="F1543" s="76">
        <v>3192</v>
      </c>
      <c r="G1543" s="49">
        <v>0</v>
      </c>
      <c r="H1543" s="50">
        <f>IFERROR(Table1[Re-process (Kg)]/Table1[Actual Production (Kg)], "")</f>
        <v>0</v>
      </c>
      <c r="I1543" s="49">
        <f>IFERROR(Table1[[#This Row],[Actual Production (Kg)]]-Table1[[#This Row],[Re-process (Kg)]], "")</f>
        <v>3192</v>
      </c>
      <c r="J1543" s="49"/>
      <c r="K1543" s="72"/>
      <c r="L1543" s="49" t="str">
        <f>IF(Table1[[#This Row],[Target Time (Hours)]]="","",Table1[[#This Row],[Target Time (Hours)]]-Table1[[#This Row],[Downtime (Hours)]])</f>
        <v/>
      </c>
      <c r="M1543" s="49" t="str">
        <f>IFERROR(Table1[[#This Row],[Capacity (Kg)]]/Table1[[#This Row],[Target Time (Hours)]] * Table1[[#This Row],[Downtime (Hours)]], "")</f>
        <v/>
      </c>
      <c r="N1543" s="50" t="str">
        <f>IFERROR(Table1[[#This Row],[Running Time (hr)]]/Table1[Target Time (Hours)], "")</f>
        <v/>
      </c>
      <c r="O1543" s="50">
        <f>IFERROR(Table1[[#This Row],[Actual Production (Kg)]]/Table1[Capacity (Kg)], "")</f>
        <v>0.63839999999999997</v>
      </c>
      <c r="P1543" s="50">
        <f>IFERROR(Table1[[#This Row],[Quality Pass Production]]/Table1[[#This Row],[Actual Production (Kg)]], "")</f>
        <v>1</v>
      </c>
      <c r="Q1543" s="50" t="str">
        <f>IFERROR(Table1[[#This Row],[Utilization %]]*Table1[[#This Row],[Efficiency %]]*Table1[[#This Row],[Quality %]], "")</f>
        <v/>
      </c>
    </row>
    <row r="1544" spans="1:18" x14ac:dyDescent="0.25">
      <c r="A1544" s="47">
        <v>46258</v>
      </c>
      <c r="B1544" s="48" t="s">
        <v>18</v>
      </c>
      <c r="C1544" s="48" t="s">
        <v>26</v>
      </c>
      <c r="D1544" s="48" t="s">
        <v>25</v>
      </c>
      <c r="E1544" s="49">
        <v>7000</v>
      </c>
      <c r="F1544" s="76">
        <v>7351</v>
      </c>
      <c r="G1544" s="49">
        <v>0</v>
      </c>
      <c r="H1544" s="50">
        <f>IFERROR(Table1[Re-process (Kg)]/Table1[Actual Production (Kg)], "")</f>
        <v>0</v>
      </c>
      <c r="I1544" s="49">
        <f>IFERROR(Table1[[#This Row],[Actual Production (Kg)]]-Table1[[#This Row],[Re-process (Kg)]], "")</f>
        <v>7351</v>
      </c>
      <c r="J1544" s="49">
        <v>22</v>
      </c>
      <c r="K1544" s="72"/>
      <c r="L1544" s="49">
        <f>IF(Table1[[#This Row],[Target Time (Hours)]]="","",Table1[[#This Row],[Target Time (Hours)]]-Table1[[#This Row],[Downtime (Hours)]])</f>
        <v>22</v>
      </c>
      <c r="M1544" s="49">
        <f>IFERROR(Table1[[#This Row],[Capacity (Kg)]]/Table1[[#This Row],[Target Time (Hours)]] * Table1[[#This Row],[Downtime (Hours)]], "")</f>
        <v>0</v>
      </c>
      <c r="N1544" s="50">
        <f>IFERROR(Table1[[#This Row],[Running Time (hr)]]/Table1[Target Time (Hours)], "")</f>
        <v>1</v>
      </c>
      <c r="O1544" s="50">
        <f>IFERROR(Table1[[#This Row],[Actual Production (Kg)]]/Table1[Capacity (Kg)], "")</f>
        <v>1.050142857142857</v>
      </c>
      <c r="P1544" s="50">
        <f>IFERROR(Table1[[#This Row],[Quality Pass Production]]/Table1[[#This Row],[Actual Production (Kg)]], "")</f>
        <v>1</v>
      </c>
      <c r="Q1544" s="50">
        <f>IFERROR(Table1[[#This Row],[Utilization %]]*Table1[[#This Row],[Efficiency %]]*Table1[[#This Row],[Quality %]], "")</f>
        <v>1.050142857142857</v>
      </c>
    </row>
    <row r="1545" spans="1:18" ht="30" customHeight="1" x14ac:dyDescent="0.25">
      <c r="A1545" s="47">
        <v>46258</v>
      </c>
      <c r="B1545" s="48" t="s">
        <v>18</v>
      </c>
      <c r="C1545" s="48" t="s">
        <v>28</v>
      </c>
      <c r="D1545" s="48" t="s">
        <v>29</v>
      </c>
      <c r="E1545" s="49">
        <v>7800</v>
      </c>
      <c r="F1545" s="76">
        <v>6618</v>
      </c>
      <c r="G1545" s="49">
        <v>0</v>
      </c>
      <c r="H1545" s="50">
        <f>IFERROR(Table1[Re-process (Kg)]/Table1[Actual Production (Kg)], "")</f>
        <v>0</v>
      </c>
      <c r="I1545" s="49">
        <f>IFERROR(Table1[[#This Row],[Actual Production (Kg)]]-Table1[[#This Row],[Re-process (Kg)]], "")</f>
        <v>6618</v>
      </c>
      <c r="J1545" s="49">
        <v>22</v>
      </c>
      <c r="K1545" s="72">
        <v>5</v>
      </c>
      <c r="L1545" s="49">
        <f>IF(Table1[[#This Row],[Target Time (Hours)]]="","",Table1[[#This Row],[Target Time (Hours)]]-Table1[[#This Row],[Downtime (Hours)]])</f>
        <v>17</v>
      </c>
      <c r="M1545" s="49">
        <f>IFERROR(Table1[[#This Row],[Capacity (Kg)]]/Table1[[#This Row],[Target Time (Hours)]] * Table1[[#This Row],[Downtime (Hours)]], "")</f>
        <v>1772.7272727272727</v>
      </c>
      <c r="N1545" s="50">
        <f>IFERROR(Table1[[#This Row],[Running Time (hr)]]/Table1[Target Time (Hours)], "")</f>
        <v>0.77272727272727271</v>
      </c>
      <c r="O1545" s="50">
        <f>IFERROR(Table1[[#This Row],[Actual Production (Kg)]]/Table1[Capacity (Kg)], "")</f>
        <v>0.84846153846153849</v>
      </c>
      <c r="P1545" s="50">
        <f>IFERROR(Table1[[#This Row],[Quality Pass Production]]/Table1[[#This Row],[Actual Production (Kg)]], "")</f>
        <v>1</v>
      </c>
      <c r="Q1545" s="50">
        <f>IFERROR(Table1[[#This Row],[Utilization %]]*Table1[[#This Row],[Efficiency %]]*Table1[[#This Row],[Quality %]], "")</f>
        <v>0.65562937062937066</v>
      </c>
      <c r="R1545" s="48" t="s">
        <v>410</v>
      </c>
    </row>
    <row r="1546" spans="1:18" ht="30" customHeight="1" x14ac:dyDescent="0.25">
      <c r="A1546" s="51">
        <v>46258</v>
      </c>
      <c r="B1546" s="52" t="s">
        <v>18</v>
      </c>
      <c r="C1546" s="52" t="s">
        <v>135</v>
      </c>
      <c r="D1546" s="52" t="s">
        <v>29</v>
      </c>
      <c r="E1546" s="53"/>
      <c r="F1546" s="53"/>
      <c r="G1546" s="53"/>
      <c r="H1546" s="57" t="str">
        <f>IFERROR(Table1[Re-process (Kg)]/Table1[Actual Production (Kg)], "")</f>
        <v/>
      </c>
      <c r="I1546" s="53">
        <f>IFERROR(Table1[[#This Row],[Actual Production (Kg)]]-Table1[[#This Row],[Re-process (Kg)]], "")</f>
        <v>0</v>
      </c>
      <c r="J1546" s="53"/>
      <c r="K1546" s="52"/>
      <c r="L1546" s="53" t="str">
        <f>IF(Table1[[#This Row],[Target Time (Hours)]]="","",Table1[[#This Row],[Target Time (Hours)]]-Table1[[#This Row],[Downtime (Hours)]])</f>
        <v/>
      </c>
      <c r="M1546" s="53" t="str">
        <f>IFERROR(Table1[[#This Row],[Capacity (Kg)]]/Table1[[#This Row],[Target Time (Hours)]] * Table1[[#This Row],[Downtime (Hours)]], "")</f>
        <v/>
      </c>
      <c r="N1546" s="57" t="str">
        <f>IFERROR(Table1[[#This Row],[Running Time (hr)]]/Table1[Target Time (Hours)], "")</f>
        <v/>
      </c>
      <c r="O1546" s="57" t="str">
        <f>IFERROR(Table1[[#This Row],[Actual Production (Kg)]]/Table1[Capacity (Kg)], "")</f>
        <v/>
      </c>
      <c r="P1546" s="57" t="str">
        <f>IFERROR(Table1[[#This Row],[Quality Pass Production]]/Table1[[#This Row],[Actual Production (Kg)]], "")</f>
        <v/>
      </c>
      <c r="Q1546" s="57" t="str">
        <f>IFERROR(Table1[[#This Row],[Utilization %]]*Table1[[#This Row],[Efficiency %]]*Table1[[#This Row],[Quality %]], "")</f>
        <v/>
      </c>
      <c r="R1546" s="52"/>
    </row>
    <row r="1547" spans="1:18" ht="30" customHeight="1" x14ac:dyDescent="0.25">
      <c r="A1547" s="47">
        <v>46258</v>
      </c>
      <c r="B1547" s="48" t="s">
        <v>18</v>
      </c>
      <c r="C1547" s="48" t="s">
        <v>30</v>
      </c>
      <c r="D1547" s="48" t="s">
        <v>31</v>
      </c>
      <c r="E1547" s="49">
        <v>9000</v>
      </c>
      <c r="F1547" s="76">
        <v>8156</v>
      </c>
      <c r="G1547" s="49">
        <v>0</v>
      </c>
      <c r="H1547" s="50">
        <f>IFERROR(Table1[Re-process (Kg)]/Table1[Actual Production (Kg)], "")</f>
        <v>0</v>
      </c>
      <c r="I1547" s="49">
        <f>IFERROR(Table1[[#This Row],[Actual Production (Kg)]]-Table1[[#This Row],[Re-process (Kg)]], "")</f>
        <v>8156</v>
      </c>
      <c r="J1547" s="49">
        <v>22</v>
      </c>
      <c r="K1547" s="72"/>
      <c r="L1547" s="49">
        <f>IF(Table1[[#This Row],[Target Time (Hours)]]="","",Table1[[#This Row],[Target Time (Hours)]]-Table1[[#This Row],[Downtime (Hours)]])</f>
        <v>22</v>
      </c>
      <c r="M1547" s="49">
        <f>IFERROR(Table1[[#This Row],[Capacity (Kg)]]/Table1[[#This Row],[Target Time (Hours)]] * Table1[[#This Row],[Downtime (Hours)]], "")</f>
        <v>0</v>
      </c>
      <c r="N1547" s="50">
        <f>IFERROR(Table1[[#This Row],[Running Time (hr)]]/Table1[Target Time (Hours)], "")</f>
        <v>1</v>
      </c>
      <c r="O1547" s="50">
        <f>IFERROR(Table1[[#This Row],[Actual Production (Kg)]]/Table1[Capacity (Kg)], "")</f>
        <v>0.90622222222222226</v>
      </c>
      <c r="P1547" s="50">
        <f>IFERROR(Table1[[#This Row],[Quality Pass Production]]/Table1[[#This Row],[Actual Production (Kg)]], "")</f>
        <v>1</v>
      </c>
      <c r="Q1547" s="50">
        <f>IFERROR(Table1[[#This Row],[Utilization %]]*Table1[[#This Row],[Efficiency %]]*Table1[[#This Row],[Quality %]], "")</f>
        <v>0.90622222222222226</v>
      </c>
    </row>
    <row r="1548" spans="1:18" ht="30" customHeight="1" x14ac:dyDescent="0.25">
      <c r="A1548" s="51">
        <v>46258</v>
      </c>
      <c r="B1548" s="52" t="s">
        <v>18</v>
      </c>
      <c r="C1548" s="52" t="s">
        <v>32</v>
      </c>
      <c r="D1548" s="52" t="s">
        <v>31</v>
      </c>
      <c r="E1548" s="53"/>
      <c r="F1548" s="53"/>
      <c r="G1548" s="53"/>
      <c r="H1548" s="57" t="str">
        <f>IFERROR(Table1[Re-process (Kg)]/Table1[Actual Production (Kg)], "")</f>
        <v/>
      </c>
      <c r="I1548" s="53">
        <f>IFERROR(Table1[[#This Row],[Actual Production (Kg)]]-Table1[[#This Row],[Re-process (Kg)]], "")</f>
        <v>0</v>
      </c>
      <c r="J1548" s="53"/>
      <c r="K1548" s="52"/>
      <c r="L1548" s="53" t="str">
        <f>IF(Table1[[#This Row],[Target Time (Hours)]]="","",Table1[[#This Row],[Target Time (Hours)]]-Table1[[#This Row],[Downtime (Hours)]])</f>
        <v/>
      </c>
      <c r="M1548" s="53" t="str">
        <f>IFERROR(Table1[[#This Row],[Capacity (Kg)]]/Table1[[#This Row],[Target Time (Hours)]] * Table1[[#This Row],[Downtime (Hours)]], "")</f>
        <v/>
      </c>
      <c r="N1548" s="57" t="str">
        <f>IFERROR(Table1[[#This Row],[Running Time (hr)]]/Table1[Target Time (Hours)], "")</f>
        <v/>
      </c>
      <c r="O1548" s="57" t="str">
        <f>IFERROR(Table1[[#This Row],[Actual Production (Kg)]]/Table1[Capacity (Kg)], "")</f>
        <v/>
      </c>
      <c r="P1548" s="57" t="str">
        <f>IFERROR(Table1[[#This Row],[Quality Pass Production]]/Table1[[#This Row],[Actual Production (Kg)]], "")</f>
        <v/>
      </c>
      <c r="Q1548" s="57" t="str">
        <f>IFERROR(Table1[[#This Row],[Utilization %]]*Table1[[#This Row],[Efficiency %]]*Table1[[#This Row],[Quality %]], "")</f>
        <v/>
      </c>
      <c r="R1548" s="52"/>
    </row>
    <row r="1549" spans="1:18" ht="30" customHeight="1" x14ac:dyDescent="0.25">
      <c r="A1549" s="47">
        <v>46258</v>
      </c>
      <c r="B1549" s="48" t="s">
        <v>33</v>
      </c>
      <c r="C1549" s="48" t="s">
        <v>34</v>
      </c>
      <c r="D1549" s="48" t="s">
        <v>35</v>
      </c>
      <c r="E1549" s="49">
        <v>9000</v>
      </c>
      <c r="F1549" s="76">
        <v>7611</v>
      </c>
      <c r="G1549" s="49">
        <v>0</v>
      </c>
      <c r="H1549" s="50">
        <f>IFERROR(Table1[Re-process (Kg)]/Table1[Actual Production (Kg)], "")</f>
        <v>0</v>
      </c>
      <c r="I1549" s="49">
        <f>IFERROR(Table1[[#This Row],[Actual Production (Kg)]]-Table1[[#This Row],[Re-process (Kg)]], "")</f>
        <v>7611</v>
      </c>
      <c r="J1549" s="49">
        <v>22</v>
      </c>
      <c r="K1549" s="72"/>
      <c r="L1549" s="49">
        <f>IF(Table1[[#This Row],[Target Time (Hours)]]="","",Table1[[#This Row],[Target Time (Hours)]]-Table1[[#This Row],[Downtime (Hours)]])</f>
        <v>22</v>
      </c>
      <c r="M1549" s="49">
        <f>IFERROR(Table1[[#This Row],[Capacity (Kg)]]/Table1[[#This Row],[Target Time (Hours)]] * Table1[[#This Row],[Downtime (Hours)]], "")</f>
        <v>0</v>
      </c>
      <c r="N1549" s="50">
        <f>IFERROR(Table1[[#This Row],[Running Time (hr)]]/Table1[Target Time (Hours)], "")</f>
        <v>1</v>
      </c>
      <c r="O1549" s="50">
        <f>IFERROR(Table1[[#This Row],[Actual Production (Kg)]]/Table1[Capacity (Kg)], "")</f>
        <v>0.84566666666666668</v>
      </c>
      <c r="P1549" s="50">
        <f>IFERROR(Table1[[#This Row],[Quality Pass Production]]/Table1[[#This Row],[Actual Production (Kg)]], "")</f>
        <v>1</v>
      </c>
      <c r="Q1549" s="50">
        <f>IFERROR(Table1[[#This Row],[Utilization %]]*Table1[[#This Row],[Efficiency %]]*Table1[[#This Row],[Quality %]], "")</f>
        <v>0.84566666666666668</v>
      </c>
    </row>
    <row r="1550" spans="1:18" ht="45" customHeight="1" x14ac:dyDescent="0.25">
      <c r="A1550" s="47">
        <v>46258</v>
      </c>
      <c r="B1550" s="48" t="s">
        <v>33</v>
      </c>
      <c r="C1550" s="48" t="s">
        <v>36</v>
      </c>
      <c r="D1550" s="48" t="s">
        <v>37</v>
      </c>
      <c r="E1550" s="49">
        <v>8000</v>
      </c>
      <c r="F1550" s="76">
        <v>7576</v>
      </c>
      <c r="G1550" s="49">
        <v>0</v>
      </c>
      <c r="H1550" s="50">
        <f>IFERROR(Table1[Re-process (Kg)]/Table1[Actual Production (Kg)], "")</f>
        <v>0</v>
      </c>
      <c r="I1550" s="49">
        <f>IFERROR(Table1[[#This Row],[Actual Production (Kg)]]-Table1[[#This Row],[Re-process (Kg)]], "")</f>
        <v>7576</v>
      </c>
      <c r="J1550" s="49">
        <v>22</v>
      </c>
      <c r="K1550" s="72">
        <v>1.5</v>
      </c>
      <c r="L1550" s="49">
        <f>IF(Table1[[#This Row],[Target Time (Hours)]]="","",Table1[[#This Row],[Target Time (Hours)]]-Table1[[#This Row],[Downtime (Hours)]])</f>
        <v>20.5</v>
      </c>
      <c r="M1550" s="49">
        <f>IFERROR(Table1[[#This Row],[Capacity (Kg)]]/Table1[[#This Row],[Target Time (Hours)]] * Table1[[#This Row],[Downtime (Hours)]], "")</f>
        <v>545.4545454545455</v>
      </c>
      <c r="N1550" s="50">
        <f>IFERROR(Table1[[#This Row],[Running Time (hr)]]/Table1[Target Time (Hours)], "")</f>
        <v>0.93181818181818177</v>
      </c>
      <c r="O1550" s="50">
        <f>IFERROR(Table1[[#This Row],[Actual Production (Kg)]]/Table1[Capacity (Kg)], "")</f>
        <v>0.94699999999999995</v>
      </c>
      <c r="P1550" s="50">
        <f>IFERROR(Table1[[#This Row],[Quality Pass Production]]/Table1[[#This Row],[Actual Production (Kg)]], "")</f>
        <v>1</v>
      </c>
      <c r="Q1550" s="50">
        <f>IFERROR(Table1[[#This Row],[Utilization %]]*Table1[[#This Row],[Efficiency %]]*Table1[[#This Row],[Quality %]], "")</f>
        <v>0.88243181818181804</v>
      </c>
      <c r="R1550" s="48" t="s">
        <v>409</v>
      </c>
    </row>
    <row r="1551" spans="1:18" ht="30" customHeight="1" x14ac:dyDescent="0.25">
      <c r="A1551" s="47">
        <v>46258</v>
      </c>
      <c r="B1551" s="48" t="s">
        <v>33</v>
      </c>
      <c r="C1551" s="48" t="s">
        <v>39</v>
      </c>
      <c r="D1551" s="48" t="s">
        <v>31</v>
      </c>
      <c r="E1551" s="49">
        <v>6000</v>
      </c>
      <c r="F1551" s="76">
        <v>3686</v>
      </c>
      <c r="G1551" s="49">
        <v>0</v>
      </c>
      <c r="H1551" s="50">
        <f>IFERROR(Table1[Re-process (Kg)]/Table1[Actual Production (Kg)], "")</f>
        <v>0</v>
      </c>
      <c r="I1551" s="49">
        <f>IFERROR(Table1[[#This Row],[Actual Production (Kg)]]-Table1[[#This Row],[Re-process (Kg)]], "")</f>
        <v>3686</v>
      </c>
      <c r="J1551" s="49">
        <v>22</v>
      </c>
      <c r="K1551" s="72"/>
      <c r="L1551" s="49">
        <f>IF(Table1[[#This Row],[Target Time (Hours)]]="","",Table1[[#This Row],[Target Time (Hours)]]-Table1[[#This Row],[Downtime (Hours)]])</f>
        <v>22</v>
      </c>
      <c r="M1551" s="49">
        <f>IFERROR(Table1[[#This Row],[Capacity (Kg)]]/Table1[[#This Row],[Target Time (Hours)]] * Table1[[#This Row],[Downtime (Hours)]], "")</f>
        <v>0</v>
      </c>
      <c r="N1551" s="50">
        <f>IFERROR(Table1[[#This Row],[Running Time (hr)]]/Table1[Target Time (Hours)], "")</f>
        <v>1</v>
      </c>
      <c r="O1551" s="50">
        <f>IFERROR(Table1[[#This Row],[Actual Production (Kg)]]/Table1[Capacity (Kg)], "")</f>
        <v>0.61433333333333329</v>
      </c>
      <c r="P1551" s="50">
        <f>IFERROR(Table1[[#This Row],[Quality Pass Production]]/Table1[[#This Row],[Actual Production (Kg)]], "")</f>
        <v>1</v>
      </c>
      <c r="Q1551" s="50">
        <f>IFERROR(Table1[[#This Row],[Utilization %]]*Table1[[#This Row],[Efficiency %]]*Table1[[#This Row],[Quality %]], "")</f>
        <v>0.61433333333333329</v>
      </c>
    </row>
    <row r="1552" spans="1:18" ht="45" customHeight="1" x14ac:dyDescent="0.25">
      <c r="A1552" s="54">
        <v>46258</v>
      </c>
      <c r="B1552" s="55" t="s">
        <v>33</v>
      </c>
      <c r="C1552" s="55" t="s">
        <v>40</v>
      </c>
      <c r="D1552" s="55" t="s">
        <v>31</v>
      </c>
      <c r="E1552" s="56">
        <v>5000</v>
      </c>
      <c r="F1552" s="56">
        <v>3765</v>
      </c>
      <c r="G1552" s="56">
        <v>0</v>
      </c>
      <c r="H1552" s="58">
        <f>IFERROR(Table1[Re-process (Kg)]/Table1[Actual Production (Kg)], "")</f>
        <v>0</v>
      </c>
      <c r="I1552" s="56">
        <f>IFERROR(Table1[[#This Row],[Actual Production (Kg)]]-Table1[[#This Row],[Re-process (Kg)]], "")</f>
        <v>3765</v>
      </c>
      <c r="J1552" s="56">
        <v>22</v>
      </c>
      <c r="K1552" s="55"/>
      <c r="L1552" s="56">
        <f>IF(Table1[[#This Row],[Target Time (Hours)]]="","",Table1[[#This Row],[Target Time (Hours)]]-Table1[[#This Row],[Downtime (Hours)]])</f>
        <v>22</v>
      </c>
      <c r="M1552" s="56">
        <f>IFERROR(Table1[[#This Row],[Capacity (Kg)]]/Table1[[#This Row],[Target Time (Hours)]] * Table1[[#This Row],[Downtime (Hours)]], "")</f>
        <v>0</v>
      </c>
      <c r="N1552" s="58">
        <f>IFERROR(Table1[[#This Row],[Running Time (hr)]]/Table1[Target Time (Hours)], "")</f>
        <v>1</v>
      </c>
      <c r="O1552" s="58">
        <f>IFERROR(Table1[[#This Row],[Actual Production (Kg)]]/Table1[Capacity (Kg)], "")</f>
        <v>0.753</v>
      </c>
      <c r="P1552" s="58">
        <f>IFERROR(Table1[[#This Row],[Quality Pass Production]]/Table1[[#This Row],[Actual Production (Kg)]], "")</f>
        <v>1</v>
      </c>
      <c r="Q1552" s="58">
        <f>IFERROR(Table1[[#This Row],[Utilization %]]*Table1[[#This Row],[Efficiency %]]*Table1[[#This Row],[Quality %]], "")</f>
        <v>0.753</v>
      </c>
      <c r="R1552" s="55"/>
    </row>
    <row r="1553" spans="1:18" ht="30" customHeight="1" x14ac:dyDescent="0.25">
      <c r="A1553" s="47">
        <v>46259</v>
      </c>
      <c r="B1553" s="48" t="s">
        <v>18</v>
      </c>
      <c r="C1553" s="48" t="s">
        <v>19</v>
      </c>
      <c r="D1553" s="48" t="s">
        <v>20</v>
      </c>
      <c r="E1553" s="49">
        <v>10000</v>
      </c>
      <c r="F1553" s="76">
        <v>7556</v>
      </c>
      <c r="G1553" s="49">
        <v>0</v>
      </c>
      <c r="H1553" s="50">
        <f>IFERROR(Table1[Re-process (Kg)]/Table1[Actual Production (Kg)], "")</f>
        <v>0</v>
      </c>
      <c r="I1553" s="49">
        <f>IFERROR(Table1[[#This Row],[Actual Production (Kg)]]-Table1[[#This Row],[Re-process (Kg)]], "")</f>
        <v>7556</v>
      </c>
      <c r="J1553" s="49">
        <v>22</v>
      </c>
      <c r="K1553" s="72">
        <v>1</v>
      </c>
      <c r="L1553" s="49">
        <f>IF(Table1[[#This Row],[Target Time (Hours)]]="","",Table1[[#This Row],[Target Time (Hours)]]-Table1[[#This Row],[Downtime (Hours)]])</f>
        <v>21</v>
      </c>
      <c r="M1553" s="49">
        <f>IFERROR(Table1[[#This Row],[Capacity (Kg)]]/Table1[[#This Row],[Target Time (Hours)]] * Table1[[#This Row],[Downtime (Hours)]], "")</f>
        <v>454.54545454545456</v>
      </c>
      <c r="N1553" s="50">
        <f>IFERROR(Table1[[#This Row],[Running Time (hr)]]/Table1[Target Time (Hours)], "")</f>
        <v>0.95454545454545459</v>
      </c>
      <c r="O1553" s="50">
        <f>IFERROR(Table1[[#This Row],[Actual Production (Kg)]]/Table1[Capacity (Kg)], "")</f>
        <v>0.75560000000000005</v>
      </c>
      <c r="P1553" s="50">
        <f>IFERROR(Table1[[#This Row],[Quality Pass Production]]/Table1[[#This Row],[Actual Production (Kg)]], "")</f>
        <v>1</v>
      </c>
      <c r="Q1553" s="50">
        <f>IFERROR(Table1[[#This Row],[Utilization %]]*Table1[[#This Row],[Efficiency %]]*Table1[[#This Row],[Quality %]], "")</f>
        <v>0.72125454545454548</v>
      </c>
      <c r="R1553" s="48" t="s">
        <v>411</v>
      </c>
    </row>
    <row r="1554" spans="1:18" x14ac:dyDescent="0.25">
      <c r="A1554" s="51">
        <v>46259</v>
      </c>
      <c r="B1554" s="52" t="s">
        <v>18</v>
      </c>
      <c r="C1554" s="52" t="s">
        <v>238</v>
      </c>
      <c r="D1554" s="52" t="s">
        <v>20</v>
      </c>
      <c r="E1554" s="53">
        <v>9636</v>
      </c>
      <c r="F1554" s="53">
        <v>9636</v>
      </c>
      <c r="G1554" s="53">
        <v>0</v>
      </c>
      <c r="H1554" s="57">
        <f>IFERROR(Table1[Re-process (Kg)]/Table1[Actual Production (Kg)], "")</f>
        <v>0</v>
      </c>
      <c r="I1554" s="53">
        <f>IFERROR(Table1[[#This Row],[Actual Production (Kg)]]-Table1[[#This Row],[Re-process (Kg)]], "")</f>
        <v>9636</v>
      </c>
      <c r="J1554" s="53"/>
      <c r="K1554" s="52"/>
      <c r="L1554" s="53" t="str">
        <f>IF(Table1[[#This Row],[Target Time (Hours)]]="","",Table1[[#This Row],[Target Time (Hours)]]-Table1[[#This Row],[Downtime (Hours)]])</f>
        <v/>
      </c>
      <c r="M1554" s="53" t="str">
        <f>IFERROR(Table1[[#This Row],[Capacity (Kg)]]/Table1[[#This Row],[Target Time (Hours)]] * Table1[[#This Row],[Downtime (Hours)]], "")</f>
        <v/>
      </c>
      <c r="N1554" s="57" t="str">
        <f>IFERROR(Table1[[#This Row],[Running Time (hr)]]/Table1[Target Time (Hours)], "")</f>
        <v/>
      </c>
      <c r="O1554" s="57">
        <f>IFERROR(Table1[[#This Row],[Actual Production (Kg)]]/Table1[Capacity (Kg)], "")</f>
        <v>1</v>
      </c>
      <c r="P1554" s="57">
        <f>IFERROR(Table1[[#This Row],[Quality Pass Production]]/Table1[[#This Row],[Actual Production (Kg)]], "")</f>
        <v>1</v>
      </c>
      <c r="Q1554" s="57" t="str">
        <f>IFERROR(Table1[[#This Row],[Utilization %]]*Table1[[#This Row],[Efficiency %]]*Table1[[#This Row],[Quality %]], "")</f>
        <v/>
      </c>
      <c r="R1554" s="52"/>
    </row>
    <row r="1555" spans="1:18" x14ac:dyDescent="0.25">
      <c r="A1555" s="47">
        <v>46259</v>
      </c>
      <c r="B1555" s="48" t="s">
        <v>18</v>
      </c>
      <c r="C1555" s="48" t="s">
        <v>22</v>
      </c>
      <c r="D1555" s="48" t="s">
        <v>23</v>
      </c>
      <c r="E1555" s="49">
        <v>4000</v>
      </c>
      <c r="F1555" s="76">
        <v>6205</v>
      </c>
      <c r="G1555" s="49">
        <v>0</v>
      </c>
      <c r="H1555" s="50">
        <f>IFERROR(Table1[Re-process (Kg)]/Table1[Actual Production (Kg)], "")</f>
        <v>0</v>
      </c>
      <c r="I1555" s="49">
        <f>IFERROR(Table1[[#This Row],[Actual Production (Kg)]]-Table1[[#This Row],[Re-process (Kg)]], "")</f>
        <v>6205</v>
      </c>
      <c r="J1555" s="49">
        <v>22</v>
      </c>
      <c r="K1555" s="72"/>
      <c r="L1555" s="49">
        <f>IF(Table1[[#This Row],[Target Time (Hours)]]="","",Table1[[#This Row],[Target Time (Hours)]]-Table1[[#This Row],[Downtime (Hours)]])</f>
        <v>22</v>
      </c>
      <c r="M1555" s="49">
        <f>IFERROR(Table1[[#This Row],[Capacity (Kg)]]/Table1[[#This Row],[Target Time (Hours)]] * Table1[[#This Row],[Downtime (Hours)]], "")</f>
        <v>0</v>
      </c>
      <c r="N1555" s="50">
        <f>IFERROR(Table1[[#This Row],[Running Time (hr)]]/Table1[Target Time (Hours)], "")</f>
        <v>1</v>
      </c>
      <c r="O1555" s="50">
        <f>IFERROR(Table1[[#This Row],[Actual Production (Kg)]]/Table1[Capacity (Kg)], "")</f>
        <v>1.55125</v>
      </c>
      <c r="P1555" s="50">
        <f>IFERROR(Table1[[#This Row],[Quality Pass Production]]/Table1[[#This Row],[Actual Production (Kg)]], "")</f>
        <v>1</v>
      </c>
      <c r="Q1555" s="50">
        <f>IFERROR(Table1[[#This Row],[Utilization %]]*Table1[[#This Row],[Efficiency %]]*Table1[[#This Row],[Quality %]], "")</f>
        <v>1.55125</v>
      </c>
    </row>
    <row r="1556" spans="1:18" ht="30" customHeight="1" x14ac:dyDescent="0.25">
      <c r="A1556" s="47">
        <v>46259</v>
      </c>
      <c r="B1556" s="48" t="s">
        <v>18</v>
      </c>
      <c r="C1556" s="48" t="s">
        <v>22</v>
      </c>
      <c r="D1556" s="48" t="s">
        <v>25</v>
      </c>
      <c r="E1556" s="49">
        <v>5000</v>
      </c>
      <c r="F1556" s="76">
        <v>2001</v>
      </c>
      <c r="G1556" s="49">
        <v>0</v>
      </c>
      <c r="H1556" s="50">
        <f>IFERROR(Table1[Re-process (Kg)]/Table1[Actual Production (Kg)], "")</f>
        <v>0</v>
      </c>
      <c r="I1556" s="49">
        <f>IFERROR(Table1[[#This Row],[Actual Production (Kg)]]-Table1[[#This Row],[Re-process (Kg)]], "")</f>
        <v>2001</v>
      </c>
      <c r="J1556" s="49"/>
      <c r="K1556" s="72">
        <v>0.5</v>
      </c>
      <c r="L1556" s="49" t="str">
        <f>IF(Table1[[#This Row],[Target Time (Hours)]]="","",Table1[[#This Row],[Target Time (Hours)]]-Table1[[#This Row],[Downtime (Hours)]])</f>
        <v/>
      </c>
      <c r="M1556" s="49" t="str">
        <f>IFERROR(Table1[[#This Row],[Capacity (Kg)]]/Table1[[#This Row],[Target Time (Hours)]] * Table1[[#This Row],[Downtime (Hours)]], "")</f>
        <v/>
      </c>
      <c r="N1556" s="50" t="str">
        <f>IFERROR(Table1[[#This Row],[Running Time (hr)]]/Table1[Target Time (Hours)], "")</f>
        <v/>
      </c>
      <c r="O1556" s="50">
        <f>IFERROR(Table1[[#This Row],[Actual Production (Kg)]]/Table1[Capacity (Kg)], "")</f>
        <v>0.4002</v>
      </c>
      <c r="P1556" s="50">
        <f>IFERROR(Table1[[#This Row],[Quality Pass Production]]/Table1[[#This Row],[Actual Production (Kg)]], "")</f>
        <v>1</v>
      </c>
      <c r="Q1556" s="50" t="str">
        <f>IFERROR(Table1[[#This Row],[Utilization %]]*Table1[[#This Row],[Efficiency %]]*Table1[[#This Row],[Quality %]], "")</f>
        <v/>
      </c>
      <c r="R1556" s="48" t="s">
        <v>412</v>
      </c>
    </row>
    <row r="1557" spans="1:18" x14ac:dyDescent="0.25">
      <c r="A1557" s="47">
        <v>46259</v>
      </c>
      <c r="B1557" s="48" t="s">
        <v>18</v>
      </c>
      <c r="C1557" s="48" t="s">
        <v>26</v>
      </c>
      <c r="D1557" s="48" t="s">
        <v>25</v>
      </c>
      <c r="E1557" s="49">
        <v>7000</v>
      </c>
      <c r="F1557" s="76">
        <v>7318</v>
      </c>
      <c r="G1557" s="49">
        <v>0</v>
      </c>
      <c r="H1557" s="50">
        <f>IFERROR(Table1[Re-process (Kg)]/Table1[Actual Production (Kg)], "")</f>
        <v>0</v>
      </c>
      <c r="I1557" s="49">
        <f>IFERROR(Table1[[#This Row],[Actual Production (Kg)]]-Table1[[#This Row],[Re-process (Kg)]], "")</f>
        <v>7318</v>
      </c>
      <c r="J1557" s="49">
        <v>22</v>
      </c>
      <c r="K1557" s="72"/>
      <c r="L1557" s="49">
        <f>IF(Table1[[#This Row],[Target Time (Hours)]]="","",Table1[[#This Row],[Target Time (Hours)]]-Table1[[#This Row],[Downtime (Hours)]])</f>
        <v>22</v>
      </c>
      <c r="M1557" s="49">
        <f>IFERROR(Table1[[#This Row],[Capacity (Kg)]]/Table1[[#This Row],[Target Time (Hours)]] * Table1[[#This Row],[Downtime (Hours)]], "")</f>
        <v>0</v>
      </c>
      <c r="N1557" s="50">
        <f>IFERROR(Table1[[#This Row],[Running Time (hr)]]/Table1[Target Time (Hours)], "")</f>
        <v>1</v>
      </c>
      <c r="O1557" s="50">
        <f>IFERROR(Table1[[#This Row],[Actual Production (Kg)]]/Table1[Capacity (Kg)], "")</f>
        <v>1.0454285714285714</v>
      </c>
      <c r="P1557" s="50">
        <f>IFERROR(Table1[[#This Row],[Quality Pass Production]]/Table1[[#This Row],[Actual Production (Kg)]], "")</f>
        <v>1</v>
      </c>
      <c r="Q1557" s="50">
        <f>IFERROR(Table1[[#This Row],[Utilization %]]*Table1[[#This Row],[Efficiency %]]*Table1[[#This Row],[Quality %]], "")</f>
        <v>1.0454285714285714</v>
      </c>
    </row>
    <row r="1558" spans="1:18" ht="30" customHeight="1" x14ac:dyDescent="0.25">
      <c r="A1558" s="47">
        <v>46259</v>
      </c>
      <c r="B1558" s="48" t="s">
        <v>18</v>
      </c>
      <c r="C1558" s="48" t="s">
        <v>28</v>
      </c>
      <c r="D1558" s="48" t="s">
        <v>29</v>
      </c>
      <c r="E1558" s="49">
        <v>7800</v>
      </c>
      <c r="F1558" s="76">
        <v>6820</v>
      </c>
      <c r="G1558" s="49">
        <v>0</v>
      </c>
      <c r="H1558" s="50">
        <f>IFERROR(Table1[Re-process (Kg)]/Table1[Actual Production (Kg)], "")</f>
        <v>0</v>
      </c>
      <c r="I1558" s="49">
        <f>IFERROR(Table1[[#This Row],[Actual Production (Kg)]]-Table1[[#This Row],[Re-process (Kg)]], "")</f>
        <v>6820</v>
      </c>
      <c r="J1558" s="49">
        <v>22</v>
      </c>
      <c r="K1558" s="72">
        <v>5</v>
      </c>
      <c r="L1558" s="49">
        <f>IF(Table1[[#This Row],[Target Time (Hours)]]="","",Table1[[#This Row],[Target Time (Hours)]]-Table1[[#This Row],[Downtime (Hours)]])</f>
        <v>17</v>
      </c>
      <c r="M1558" s="49">
        <f>IFERROR(Table1[[#This Row],[Capacity (Kg)]]/Table1[[#This Row],[Target Time (Hours)]] * Table1[[#This Row],[Downtime (Hours)]], "")</f>
        <v>1772.7272727272727</v>
      </c>
      <c r="N1558" s="50">
        <f>IFERROR(Table1[[#This Row],[Running Time (hr)]]/Table1[Target Time (Hours)], "")</f>
        <v>0.77272727272727271</v>
      </c>
      <c r="O1558" s="50">
        <f>IFERROR(Table1[[#This Row],[Actual Production (Kg)]]/Table1[Capacity (Kg)], "")</f>
        <v>0.87435897435897436</v>
      </c>
      <c r="P1558" s="50">
        <f>IFERROR(Table1[[#This Row],[Quality Pass Production]]/Table1[[#This Row],[Actual Production (Kg)]], "")</f>
        <v>1</v>
      </c>
      <c r="Q1558" s="50">
        <f>IFERROR(Table1[[#This Row],[Utilization %]]*Table1[[#This Row],[Efficiency %]]*Table1[[#This Row],[Quality %]], "")</f>
        <v>0.67564102564102557</v>
      </c>
      <c r="R1558" s="48" t="s">
        <v>410</v>
      </c>
    </row>
    <row r="1559" spans="1:18" ht="30" customHeight="1" x14ac:dyDescent="0.25">
      <c r="A1559" s="51">
        <v>46259</v>
      </c>
      <c r="B1559" s="52" t="s">
        <v>18</v>
      </c>
      <c r="C1559" s="52" t="s">
        <v>135</v>
      </c>
      <c r="D1559" s="52" t="s">
        <v>29</v>
      </c>
      <c r="E1559" s="53"/>
      <c r="F1559" s="53"/>
      <c r="G1559" s="53"/>
      <c r="H1559" s="57" t="str">
        <f>IFERROR(Table1[Re-process (Kg)]/Table1[Actual Production (Kg)], "")</f>
        <v/>
      </c>
      <c r="I1559" s="53">
        <f>IFERROR(Table1[[#This Row],[Actual Production (Kg)]]-Table1[[#This Row],[Re-process (Kg)]], "")</f>
        <v>0</v>
      </c>
      <c r="J1559" s="53"/>
      <c r="K1559" s="52"/>
      <c r="L1559" s="53" t="str">
        <f>IF(Table1[[#This Row],[Target Time (Hours)]]="","",Table1[[#This Row],[Target Time (Hours)]]-Table1[[#This Row],[Downtime (Hours)]])</f>
        <v/>
      </c>
      <c r="M1559" s="53" t="str">
        <f>IFERROR(Table1[[#This Row],[Capacity (Kg)]]/Table1[[#This Row],[Target Time (Hours)]] * Table1[[#This Row],[Downtime (Hours)]], "")</f>
        <v/>
      </c>
      <c r="N1559" s="57" t="str">
        <f>IFERROR(Table1[[#This Row],[Running Time (hr)]]/Table1[Target Time (Hours)], "")</f>
        <v/>
      </c>
      <c r="O1559" s="57" t="str">
        <f>IFERROR(Table1[[#This Row],[Actual Production (Kg)]]/Table1[Capacity (Kg)], "")</f>
        <v/>
      </c>
      <c r="P1559" s="57" t="str">
        <f>IFERROR(Table1[[#This Row],[Quality Pass Production]]/Table1[[#This Row],[Actual Production (Kg)]], "")</f>
        <v/>
      </c>
      <c r="Q1559" s="57" t="str">
        <f>IFERROR(Table1[[#This Row],[Utilization %]]*Table1[[#This Row],[Efficiency %]]*Table1[[#This Row],[Quality %]], "")</f>
        <v/>
      </c>
      <c r="R1559" s="52"/>
    </row>
    <row r="1560" spans="1:18" ht="30" customHeight="1" x14ac:dyDescent="0.25">
      <c r="A1560" s="47">
        <v>46259</v>
      </c>
      <c r="B1560" s="48" t="s">
        <v>18</v>
      </c>
      <c r="C1560" s="48" t="s">
        <v>30</v>
      </c>
      <c r="D1560" s="48" t="s">
        <v>31</v>
      </c>
      <c r="E1560" s="49">
        <v>9000</v>
      </c>
      <c r="F1560" s="76">
        <v>7445</v>
      </c>
      <c r="G1560" s="49">
        <v>0</v>
      </c>
      <c r="H1560" s="50">
        <f>IFERROR(Table1[Re-process (Kg)]/Table1[Actual Production (Kg)], "")</f>
        <v>0</v>
      </c>
      <c r="I1560" s="49">
        <f>IFERROR(Table1[[#This Row],[Actual Production (Kg)]]-Table1[[#This Row],[Re-process (Kg)]], "")</f>
        <v>7445</v>
      </c>
      <c r="J1560" s="49">
        <v>22</v>
      </c>
      <c r="K1560" s="72"/>
      <c r="L1560" s="49">
        <f>IF(Table1[[#This Row],[Target Time (Hours)]]="","",Table1[[#This Row],[Target Time (Hours)]]-Table1[[#This Row],[Downtime (Hours)]])</f>
        <v>22</v>
      </c>
      <c r="M1560" s="49">
        <f>IFERROR(Table1[[#This Row],[Capacity (Kg)]]/Table1[[#This Row],[Target Time (Hours)]] * Table1[[#This Row],[Downtime (Hours)]], "")</f>
        <v>0</v>
      </c>
      <c r="N1560" s="50">
        <f>IFERROR(Table1[[#This Row],[Running Time (hr)]]/Table1[Target Time (Hours)], "")</f>
        <v>1</v>
      </c>
      <c r="O1560" s="50">
        <f>IFERROR(Table1[[#This Row],[Actual Production (Kg)]]/Table1[Capacity (Kg)], "")</f>
        <v>0.82722222222222219</v>
      </c>
      <c r="P1560" s="50">
        <f>IFERROR(Table1[[#This Row],[Quality Pass Production]]/Table1[[#This Row],[Actual Production (Kg)]], "")</f>
        <v>1</v>
      </c>
      <c r="Q1560" s="50">
        <f>IFERROR(Table1[[#This Row],[Utilization %]]*Table1[[#This Row],[Efficiency %]]*Table1[[#This Row],[Quality %]], "")</f>
        <v>0.82722222222222219</v>
      </c>
    </row>
    <row r="1561" spans="1:18" ht="30" customHeight="1" x14ac:dyDescent="0.25">
      <c r="A1561" s="51">
        <v>46259</v>
      </c>
      <c r="B1561" s="52" t="s">
        <v>18</v>
      </c>
      <c r="C1561" s="52" t="s">
        <v>32</v>
      </c>
      <c r="D1561" s="52" t="s">
        <v>31</v>
      </c>
      <c r="E1561" s="53"/>
      <c r="F1561" s="53"/>
      <c r="G1561" s="53"/>
      <c r="H1561" s="57" t="str">
        <f>IFERROR(Table1[Re-process (Kg)]/Table1[Actual Production (Kg)], "")</f>
        <v/>
      </c>
      <c r="I1561" s="53">
        <f>IFERROR(Table1[[#This Row],[Actual Production (Kg)]]-Table1[[#This Row],[Re-process (Kg)]], "")</f>
        <v>0</v>
      </c>
      <c r="J1561" s="53"/>
      <c r="K1561" s="52"/>
      <c r="L1561" s="53" t="str">
        <f>IF(Table1[[#This Row],[Target Time (Hours)]]="","",Table1[[#This Row],[Target Time (Hours)]]-Table1[[#This Row],[Downtime (Hours)]])</f>
        <v/>
      </c>
      <c r="M1561" s="53" t="str">
        <f>IFERROR(Table1[[#This Row],[Capacity (Kg)]]/Table1[[#This Row],[Target Time (Hours)]] * Table1[[#This Row],[Downtime (Hours)]], "")</f>
        <v/>
      </c>
      <c r="N1561" s="57" t="str">
        <f>IFERROR(Table1[[#This Row],[Running Time (hr)]]/Table1[Target Time (Hours)], "")</f>
        <v/>
      </c>
      <c r="O1561" s="57" t="str">
        <f>IFERROR(Table1[[#This Row],[Actual Production (Kg)]]/Table1[Capacity (Kg)], "")</f>
        <v/>
      </c>
      <c r="P1561" s="57" t="str">
        <f>IFERROR(Table1[[#This Row],[Quality Pass Production]]/Table1[[#This Row],[Actual Production (Kg)]], "")</f>
        <v/>
      </c>
      <c r="Q1561" s="57" t="str">
        <f>IFERROR(Table1[[#This Row],[Utilization %]]*Table1[[#This Row],[Efficiency %]]*Table1[[#This Row],[Quality %]], "")</f>
        <v/>
      </c>
      <c r="R1561" s="52"/>
    </row>
    <row r="1562" spans="1:18" ht="30" customHeight="1" x14ac:dyDescent="0.25">
      <c r="A1562" s="47">
        <v>46259</v>
      </c>
      <c r="B1562" s="48" t="s">
        <v>33</v>
      </c>
      <c r="C1562" s="48" t="s">
        <v>34</v>
      </c>
      <c r="D1562" s="48" t="s">
        <v>35</v>
      </c>
      <c r="E1562" s="49">
        <v>9000</v>
      </c>
      <c r="F1562" s="76">
        <v>5992</v>
      </c>
      <c r="G1562" s="49">
        <v>0</v>
      </c>
      <c r="H1562" s="50">
        <f>IFERROR(Table1[Re-process (Kg)]/Table1[Actual Production (Kg)], "")</f>
        <v>0</v>
      </c>
      <c r="I1562" s="49">
        <f>IFERROR(Table1[[#This Row],[Actual Production (Kg)]]-Table1[[#This Row],[Re-process (Kg)]], "")</f>
        <v>5992</v>
      </c>
      <c r="J1562" s="49">
        <v>22</v>
      </c>
      <c r="K1562" s="72"/>
      <c r="L1562" s="49">
        <f>IF(Table1[[#This Row],[Target Time (Hours)]]="","",Table1[[#This Row],[Target Time (Hours)]]-Table1[[#This Row],[Downtime (Hours)]])</f>
        <v>22</v>
      </c>
      <c r="M1562" s="49">
        <f>IFERROR(Table1[[#This Row],[Capacity (Kg)]]/Table1[[#This Row],[Target Time (Hours)]] * Table1[[#This Row],[Downtime (Hours)]], "")</f>
        <v>0</v>
      </c>
      <c r="N1562" s="50">
        <f>IFERROR(Table1[[#This Row],[Running Time (hr)]]/Table1[Target Time (Hours)], "")</f>
        <v>1</v>
      </c>
      <c r="O1562" s="50">
        <f>IFERROR(Table1[[#This Row],[Actual Production (Kg)]]/Table1[Capacity (Kg)], "")</f>
        <v>0.6657777777777778</v>
      </c>
      <c r="P1562" s="50">
        <f>IFERROR(Table1[[#This Row],[Quality Pass Production]]/Table1[[#This Row],[Actual Production (Kg)]], "")</f>
        <v>1</v>
      </c>
      <c r="Q1562" s="50">
        <f>IFERROR(Table1[[#This Row],[Utilization %]]*Table1[[#This Row],[Efficiency %]]*Table1[[#This Row],[Quality %]], "")</f>
        <v>0.6657777777777778</v>
      </c>
    </row>
    <row r="1563" spans="1:18" ht="45" customHeight="1" x14ac:dyDescent="0.25">
      <c r="A1563" s="47">
        <v>46259</v>
      </c>
      <c r="B1563" s="48" t="s">
        <v>33</v>
      </c>
      <c r="C1563" s="48" t="s">
        <v>36</v>
      </c>
      <c r="D1563" s="48" t="s">
        <v>37</v>
      </c>
      <c r="E1563" s="49">
        <v>8000</v>
      </c>
      <c r="F1563" s="76">
        <v>6129</v>
      </c>
      <c r="G1563" s="49">
        <v>0</v>
      </c>
      <c r="H1563" s="50">
        <f>IFERROR(Table1[Re-process (Kg)]/Table1[Actual Production (Kg)], "")</f>
        <v>0</v>
      </c>
      <c r="I1563" s="49">
        <f>IFERROR(Table1[[#This Row],[Actual Production (Kg)]]-Table1[[#This Row],[Re-process (Kg)]], "")</f>
        <v>6129</v>
      </c>
      <c r="J1563" s="49">
        <v>22</v>
      </c>
      <c r="K1563" s="72">
        <v>1.5</v>
      </c>
      <c r="L1563" s="49">
        <f>IF(Table1[[#This Row],[Target Time (Hours)]]="","",Table1[[#This Row],[Target Time (Hours)]]-Table1[[#This Row],[Downtime (Hours)]])</f>
        <v>20.5</v>
      </c>
      <c r="M1563" s="49">
        <f>IFERROR(Table1[[#This Row],[Capacity (Kg)]]/Table1[[#This Row],[Target Time (Hours)]] * Table1[[#This Row],[Downtime (Hours)]], "")</f>
        <v>545.4545454545455</v>
      </c>
      <c r="N1563" s="50">
        <f>IFERROR(Table1[[#This Row],[Running Time (hr)]]/Table1[Target Time (Hours)], "")</f>
        <v>0.93181818181818177</v>
      </c>
      <c r="O1563" s="50">
        <f>IFERROR(Table1[[#This Row],[Actual Production (Kg)]]/Table1[Capacity (Kg)], "")</f>
        <v>0.76612499999999994</v>
      </c>
      <c r="P1563" s="50">
        <f>IFERROR(Table1[[#This Row],[Quality Pass Production]]/Table1[[#This Row],[Actual Production (Kg)]], "")</f>
        <v>1</v>
      </c>
      <c r="Q1563" s="50">
        <f>IFERROR(Table1[[#This Row],[Utilization %]]*Table1[[#This Row],[Efficiency %]]*Table1[[#This Row],[Quality %]], "")</f>
        <v>0.71388920454545446</v>
      </c>
      <c r="R1563" s="48" t="s">
        <v>413</v>
      </c>
    </row>
    <row r="1564" spans="1:18" ht="30" customHeight="1" x14ac:dyDescent="0.25">
      <c r="A1564" s="47">
        <v>46259</v>
      </c>
      <c r="B1564" s="48" t="s">
        <v>33</v>
      </c>
      <c r="C1564" s="48" t="s">
        <v>39</v>
      </c>
      <c r="D1564" s="48" t="s">
        <v>31</v>
      </c>
      <c r="E1564" s="49">
        <v>6000</v>
      </c>
      <c r="F1564" s="76">
        <v>1738</v>
      </c>
      <c r="G1564" s="49">
        <v>0</v>
      </c>
      <c r="H1564" s="50">
        <f>IFERROR(Table1[Re-process (Kg)]/Table1[Actual Production (Kg)], "")</f>
        <v>0</v>
      </c>
      <c r="I1564" s="49">
        <f>IFERROR(Table1[[#This Row],[Actual Production (Kg)]]-Table1[[#This Row],[Re-process (Kg)]], "")</f>
        <v>1738</v>
      </c>
      <c r="J1564" s="49">
        <v>22</v>
      </c>
      <c r="K1564" s="72">
        <v>5.5</v>
      </c>
      <c r="L1564" s="49">
        <f>IF(Table1[[#This Row],[Target Time (Hours)]]="","",Table1[[#This Row],[Target Time (Hours)]]-Table1[[#This Row],[Downtime (Hours)]])</f>
        <v>16.5</v>
      </c>
      <c r="M1564" s="49">
        <f>IFERROR(Table1[[#This Row],[Capacity (Kg)]]/Table1[[#This Row],[Target Time (Hours)]] * Table1[[#This Row],[Downtime (Hours)]], "")</f>
        <v>1500</v>
      </c>
      <c r="N1564" s="50">
        <f>IFERROR(Table1[[#This Row],[Running Time (hr)]]/Table1[Target Time (Hours)], "")</f>
        <v>0.75</v>
      </c>
      <c r="O1564" s="50">
        <f>IFERROR(Table1[[#This Row],[Actual Production (Kg)]]/Table1[Capacity (Kg)], "")</f>
        <v>0.28966666666666668</v>
      </c>
      <c r="P1564" s="50">
        <f>IFERROR(Table1[[#This Row],[Quality Pass Production]]/Table1[[#This Row],[Actual Production (Kg)]], "")</f>
        <v>1</v>
      </c>
      <c r="Q1564" s="50">
        <f>IFERROR(Table1[[#This Row],[Utilization %]]*Table1[[#This Row],[Efficiency %]]*Table1[[#This Row],[Quality %]], "")</f>
        <v>0.21725</v>
      </c>
      <c r="R1564" s="48" t="s">
        <v>414</v>
      </c>
    </row>
    <row r="1565" spans="1:18" ht="45" customHeight="1" x14ac:dyDescent="0.25">
      <c r="A1565" s="54">
        <v>46259</v>
      </c>
      <c r="B1565" s="55" t="s">
        <v>33</v>
      </c>
      <c r="C1565" s="55" t="s">
        <v>40</v>
      </c>
      <c r="D1565" s="55" t="s">
        <v>31</v>
      </c>
      <c r="E1565" s="56">
        <v>5000</v>
      </c>
      <c r="F1565" s="56">
        <v>2044</v>
      </c>
      <c r="G1565" s="56">
        <v>0</v>
      </c>
      <c r="H1565" s="58">
        <f>IFERROR(Table1[Re-process (Kg)]/Table1[Actual Production (Kg)], "")</f>
        <v>0</v>
      </c>
      <c r="I1565" s="56">
        <f>IFERROR(Table1[[#This Row],[Actual Production (Kg)]]-Table1[[#This Row],[Re-process (Kg)]], "")</f>
        <v>2044</v>
      </c>
      <c r="J1565" s="56">
        <v>22</v>
      </c>
      <c r="K1565" s="55">
        <v>3</v>
      </c>
      <c r="L1565" s="56">
        <f>IF(Table1[[#This Row],[Target Time (Hours)]]="","",Table1[[#This Row],[Target Time (Hours)]]-Table1[[#This Row],[Downtime (Hours)]])</f>
        <v>19</v>
      </c>
      <c r="M1565" s="56">
        <f>IFERROR(Table1[[#This Row],[Capacity (Kg)]]/Table1[[#This Row],[Target Time (Hours)]] * Table1[[#This Row],[Downtime (Hours)]], "")</f>
        <v>681.81818181818187</v>
      </c>
      <c r="N1565" s="58">
        <f>IFERROR(Table1[[#This Row],[Running Time (hr)]]/Table1[Target Time (Hours)], "")</f>
        <v>0.86363636363636365</v>
      </c>
      <c r="O1565" s="58">
        <f>IFERROR(Table1[[#This Row],[Actual Production (Kg)]]/Table1[Capacity (Kg)], "")</f>
        <v>0.4088</v>
      </c>
      <c r="P1565" s="58">
        <f>IFERROR(Table1[[#This Row],[Quality Pass Production]]/Table1[[#This Row],[Actual Production (Kg)]], "")</f>
        <v>1</v>
      </c>
      <c r="Q1565" s="58">
        <f>IFERROR(Table1[[#This Row],[Utilization %]]*Table1[[#This Row],[Efficiency %]]*Table1[[#This Row],[Quality %]], "")</f>
        <v>0.35305454545454545</v>
      </c>
      <c r="R1565" s="55" t="s">
        <v>415</v>
      </c>
    </row>
    <row r="1566" spans="1:18" ht="30" customHeight="1" x14ac:dyDescent="0.25">
      <c r="A1566" s="47">
        <v>46260</v>
      </c>
      <c r="B1566" s="48" t="s">
        <v>18</v>
      </c>
      <c r="C1566" s="48" t="s">
        <v>19</v>
      </c>
      <c r="D1566" s="48" t="s">
        <v>20</v>
      </c>
      <c r="E1566" s="49">
        <v>10000</v>
      </c>
      <c r="F1566" s="76">
        <v>6854</v>
      </c>
      <c r="G1566" s="49">
        <v>0</v>
      </c>
      <c r="H1566" s="50">
        <f>IFERROR(Table1[Re-process (Kg)]/Table1[Actual Production (Kg)], "")</f>
        <v>0</v>
      </c>
      <c r="I1566" s="49">
        <f>IFERROR(Table1[[#This Row],[Actual Production (Kg)]]-Table1[[#This Row],[Re-process (Kg)]], "")</f>
        <v>6854</v>
      </c>
      <c r="J1566" s="49">
        <v>22</v>
      </c>
      <c r="K1566" s="72"/>
      <c r="L1566" s="49">
        <f>IF(Table1[[#This Row],[Target Time (Hours)]]="","",Table1[[#This Row],[Target Time (Hours)]]-Table1[[#This Row],[Downtime (Hours)]])</f>
        <v>22</v>
      </c>
      <c r="M1566" s="49">
        <f>IFERROR(Table1[[#This Row],[Capacity (Kg)]]/Table1[[#This Row],[Target Time (Hours)]] * Table1[[#This Row],[Downtime (Hours)]], "")</f>
        <v>0</v>
      </c>
      <c r="N1566" s="50">
        <f>IFERROR(Table1[[#This Row],[Running Time (hr)]]/Table1[Target Time (Hours)], "")</f>
        <v>1</v>
      </c>
      <c r="O1566" s="50">
        <f>IFERROR(Table1[[#This Row],[Actual Production (Kg)]]/Table1[Capacity (Kg)], "")</f>
        <v>0.68540000000000001</v>
      </c>
      <c r="P1566" s="50">
        <f>IFERROR(Table1[[#This Row],[Quality Pass Production]]/Table1[[#This Row],[Actual Production (Kg)]], "")</f>
        <v>1</v>
      </c>
      <c r="Q1566" s="50">
        <f>IFERROR(Table1[[#This Row],[Utilization %]]*Table1[[#This Row],[Efficiency %]]*Table1[[#This Row],[Quality %]], "")</f>
        <v>0.68540000000000001</v>
      </c>
    </row>
    <row r="1567" spans="1:18" x14ac:dyDescent="0.25">
      <c r="A1567" s="51">
        <v>46260</v>
      </c>
      <c r="B1567" s="52" t="s">
        <v>18</v>
      </c>
      <c r="C1567" s="52" t="s">
        <v>238</v>
      </c>
      <c r="D1567" s="52" t="s">
        <v>20</v>
      </c>
      <c r="E1567" s="53">
        <v>8054</v>
      </c>
      <c r="F1567" s="53">
        <v>8054</v>
      </c>
      <c r="G1567" s="53">
        <v>0</v>
      </c>
      <c r="H1567" s="57">
        <f>IFERROR(Table1[Re-process (Kg)]/Table1[Actual Production (Kg)], "")</f>
        <v>0</v>
      </c>
      <c r="I1567" s="53">
        <f>IFERROR(Table1[[#This Row],[Actual Production (Kg)]]-Table1[[#This Row],[Re-process (Kg)]], "")</f>
        <v>8054</v>
      </c>
      <c r="J1567" s="53"/>
      <c r="K1567" s="52"/>
      <c r="L1567" s="53" t="str">
        <f>IF(Table1[[#This Row],[Target Time (Hours)]]="","",Table1[[#This Row],[Target Time (Hours)]]-Table1[[#This Row],[Downtime (Hours)]])</f>
        <v/>
      </c>
      <c r="M1567" s="53" t="str">
        <f>IFERROR(Table1[[#This Row],[Capacity (Kg)]]/Table1[[#This Row],[Target Time (Hours)]] * Table1[[#This Row],[Downtime (Hours)]], "")</f>
        <v/>
      </c>
      <c r="N1567" s="57" t="str">
        <f>IFERROR(Table1[[#This Row],[Running Time (hr)]]/Table1[Target Time (Hours)], "")</f>
        <v/>
      </c>
      <c r="O1567" s="57">
        <f>IFERROR(Table1[[#This Row],[Actual Production (Kg)]]/Table1[Capacity (Kg)], "")</f>
        <v>1</v>
      </c>
      <c r="P1567" s="57">
        <f>IFERROR(Table1[[#This Row],[Quality Pass Production]]/Table1[[#This Row],[Actual Production (Kg)]], "")</f>
        <v>1</v>
      </c>
      <c r="Q1567" s="57" t="str">
        <f>IFERROR(Table1[[#This Row],[Utilization %]]*Table1[[#This Row],[Efficiency %]]*Table1[[#This Row],[Quality %]], "")</f>
        <v/>
      </c>
      <c r="R1567" s="52"/>
    </row>
    <row r="1568" spans="1:18" x14ac:dyDescent="0.25">
      <c r="A1568" s="47">
        <v>46260</v>
      </c>
      <c r="B1568" s="48" t="s">
        <v>18</v>
      </c>
      <c r="C1568" s="48" t="s">
        <v>22</v>
      </c>
      <c r="D1568" s="48" t="s">
        <v>23</v>
      </c>
      <c r="E1568" s="49">
        <v>4000</v>
      </c>
      <c r="F1568" s="76">
        <v>4147</v>
      </c>
      <c r="G1568" s="49">
        <v>0</v>
      </c>
      <c r="H1568" s="50">
        <f>IFERROR(Table1[Re-process (Kg)]/Table1[Actual Production (Kg)], "")</f>
        <v>0</v>
      </c>
      <c r="I1568" s="49">
        <f>IFERROR(Table1[[#This Row],[Actual Production (Kg)]]-Table1[[#This Row],[Re-process (Kg)]], "")</f>
        <v>4147</v>
      </c>
      <c r="J1568" s="49">
        <v>22</v>
      </c>
      <c r="K1568" s="72"/>
      <c r="L1568" s="49">
        <f>IF(Table1[[#This Row],[Target Time (Hours)]]="","",Table1[[#This Row],[Target Time (Hours)]]-Table1[[#This Row],[Downtime (Hours)]])</f>
        <v>22</v>
      </c>
      <c r="M1568" s="49">
        <f>IFERROR(Table1[[#This Row],[Capacity (Kg)]]/Table1[[#This Row],[Target Time (Hours)]] * Table1[[#This Row],[Downtime (Hours)]], "")</f>
        <v>0</v>
      </c>
      <c r="N1568" s="50">
        <f>IFERROR(Table1[[#This Row],[Running Time (hr)]]/Table1[Target Time (Hours)], "")</f>
        <v>1</v>
      </c>
      <c r="O1568" s="50">
        <f>IFERROR(Table1[[#This Row],[Actual Production (Kg)]]/Table1[Capacity (Kg)], "")</f>
        <v>1.0367500000000001</v>
      </c>
      <c r="P1568" s="50">
        <f>IFERROR(Table1[[#This Row],[Quality Pass Production]]/Table1[[#This Row],[Actual Production (Kg)]], "")</f>
        <v>1</v>
      </c>
      <c r="Q1568" s="50">
        <f>IFERROR(Table1[[#This Row],[Utilization %]]*Table1[[#This Row],[Efficiency %]]*Table1[[#This Row],[Quality %]], "")</f>
        <v>1.0367500000000001</v>
      </c>
    </row>
    <row r="1569" spans="1:18" ht="30" customHeight="1" x14ac:dyDescent="0.25">
      <c r="A1569" s="47">
        <v>46260</v>
      </c>
      <c r="B1569" s="48" t="s">
        <v>18</v>
      </c>
      <c r="C1569" s="48" t="s">
        <v>22</v>
      </c>
      <c r="D1569" s="48" t="s">
        <v>25</v>
      </c>
      <c r="E1569" s="49">
        <v>5000</v>
      </c>
      <c r="F1569" s="76">
        <v>4872</v>
      </c>
      <c r="G1569" s="49">
        <v>0</v>
      </c>
      <c r="H1569" s="50">
        <f>IFERROR(Table1[Re-process (Kg)]/Table1[Actual Production (Kg)], "")</f>
        <v>0</v>
      </c>
      <c r="I1569" s="49">
        <f>IFERROR(Table1[[#This Row],[Actual Production (Kg)]]-Table1[[#This Row],[Re-process (Kg)]], "")</f>
        <v>4872</v>
      </c>
      <c r="J1569" s="49"/>
      <c r="K1569" s="72">
        <v>0.5</v>
      </c>
      <c r="L1569" s="49" t="str">
        <f>IF(Table1[[#This Row],[Target Time (Hours)]]="","",Table1[[#This Row],[Target Time (Hours)]]-Table1[[#This Row],[Downtime (Hours)]])</f>
        <v/>
      </c>
      <c r="M1569" s="49" t="str">
        <f>IFERROR(Table1[[#This Row],[Capacity (Kg)]]/Table1[[#This Row],[Target Time (Hours)]] * Table1[[#This Row],[Downtime (Hours)]], "")</f>
        <v/>
      </c>
      <c r="N1569" s="50" t="str">
        <f>IFERROR(Table1[[#This Row],[Running Time (hr)]]/Table1[Target Time (Hours)], "")</f>
        <v/>
      </c>
      <c r="O1569" s="50">
        <f>IFERROR(Table1[[#This Row],[Actual Production (Kg)]]/Table1[Capacity (Kg)], "")</f>
        <v>0.97440000000000004</v>
      </c>
      <c r="P1569" s="50">
        <f>IFERROR(Table1[[#This Row],[Quality Pass Production]]/Table1[[#This Row],[Actual Production (Kg)]], "")</f>
        <v>1</v>
      </c>
      <c r="Q1569" s="50" t="str">
        <f>IFERROR(Table1[[#This Row],[Utilization %]]*Table1[[#This Row],[Efficiency %]]*Table1[[#This Row],[Quality %]], "")</f>
        <v/>
      </c>
      <c r="R1569" s="48" t="s">
        <v>416</v>
      </c>
    </row>
    <row r="1570" spans="1:18" ht="60" customHeight="1" x14ac:dyDescent="0.25">
      <c r="A1570" s="47">
        <v>46260</v>
      </c>
      <c r="B1570" s="48" t="s">
        <v>18</v>
      </c>
      <c r="C1570" s="48" t="s">
        <v>26</v>
      </c>
      <c r="D1570" s="48" t="s">
        <v>25</v>
      </c>
      <c r="E1570" s="49">
        <v>7000</v>
      </c>
      <c r="F1570" s="76">
        <v>4099</v>
      </c>
      <c r="G1570" s="49">
        <v>0</v>
      </c>
      <c r="H1570" s="50">
        <f>IFERROR(Table1[Re-process (Kg)]/Table1[Actual Production (Kg)], "")</f>
        <v>0</v>
      </c>
      <c r="I1570" s="49">
        <f>IFERROR(Table1[[#This Row],[Actual Production (Kg)]]-Table1[[#This Row],[Re-process (Kg)]], "")</f>
        <v>4099</v>
      </c>
      <c r="J1570" s="49">
        <v>22</v>
      </c>
      <c r="K1570" s="72">
        <v>9</v>
      </c>
      <c r="L1570" s="49">
        <f>IF(Table1[[#This Row],[Target Time (Hours)]]="","",Table1[[#This Row],[Target Time (Hours)]]-Table1[[#This Row],[Downtime (Hours)]])</f>
        <v>13</v>
      </c>
      <c r="M1570" s="49">
        <f>IFERROR(Table1[[#This Row],[Capacity (Kg)]]/Table1[[#This Row],[Target Time (Hours)]] * Table1[[#This Row],[Downtime (Hours)]], "")</f>
        <v>2863.6363636363635</v>
      </c>
      <c r="N1570" s="50">
        <f>IFERROR(Table1[[#This Row],[Running Time (hr)]]/Table1[Target Time (Hours)], "")</f>
        <v>0.59090909090909094</v>
      </c>
      <c r="O1570" s="50">
        <f>IFERROR(Table1[[#This Row],[Actual Production (Kg)]]/Table1[Capacity (Kg)], "")</f>
        <v>0.58557142857142852</v>
      </c>
      <c r="P1570" s="50">
        <f>IFERROR(Table1[[#This Row],[Quality Pass Production]]/Table1[[#This Row],[Actual Production (Kg)]], "")</f>
        <v>1</v>
      </c>
      <c r="Q1570" s="50">
        <f>IFERROR(Table1[[#This Row],[Utilization %]]*Table1[[#This Row],[Efficiency %]]*Table1[[#This Row],[Quality %]], "")</f>
        <v>0.3460194805194805</v>
      </c>
      <c r="R1570" s="48" t="s">
        <v>417</v>
      </c>
    </row>
    <row r="1571" spans="1:18" ht="30" customHeight="1" x14ac:dyDescent="0.25">
      <c r="A1571" s="47">
        <v>46260</v>
      </c>
      <c r="B1571" s="48" t="s">
        <v>18</v>
      </c>
      <c r="C1571" s="48" t="s">
        <v>28</v>
      </c>
      <c r="D1571" s="48" t="s">
        <v>29</v>
      </c>
      <c r="E1571" s="49">
        <v>7800</v>
      </c>
      <c r="F1571" s="76">
        <v>5565</v>
      </c>
      <c r="G1571" s="49">
        <v>0</v>
      </c>
      <c r="H1571" s="50">
        <f>IFERROR(Table1[Re-process (Kg)]/Table1[Actual Production (Kg)], "")</f>
        <v>0</v>
      </c>
      <c r="I1571" s="49">
        <f>IFERROR(Table1[[#This Row],[Actual Production (Kg)]]-Table1[[#This Row],[Re-process (Kg)]], "")</f>
        <v>5565</v>
      </c>
      <c r="J1571" s="49">
        <v>22</v>
      </c>
      <c r="K1571" s="72">
        <v>6</v>
      </c>
      <c r="L1571" s="49">
        <f>IF(Table1[[#This Row],[Target Time (Hours)]]="","",Table1[[#This Row],[Target Time (Hours)]]-Table1[[#This Row],[Downtime (Hours)]])</f>
        <v>16</v>
      </c>
      <c r="M1571" s="49">
        <f>IFERROR(Table1[[#This Row],[Capacity (Kg)]]/Table1[[#This Row],[Target Time (Hours)]] * Table1[[#This Row],[Downtime (Hours)]], "")</f>
        <v>2127.2727272727275</v>
      </c>
      <c r="N1571" s="50">
        <f>IFERROR(Table1[[#This Row],[Running Time (hr)]]/Table1[Target Time (Hours)], "")</f>
        <v>0.72727272727272729</v>
      </c>
      <c r="O1571" s="50">
        <f>IFERROR(Table1[[#This Row],[Actual Production (Kg)]]/Table1[Capacity (Kg)], "")</f>
        <v>0.71346153846153848</v>
      </c>
      <c r="P1571" s="50">
        <f>IFERROR(Table1[[#This Row],[Quality Pass Production]]/Table1[[#This Row],[Actual Production (Kg)]], "")</f>
        <v>1</v>
      </c>
      <c r="Q1571" s="50">
        <f>IFERROR(Table1[[#This Row],[Utilization %]]*Table1[[#This Row],[Efficiency %]]*Table1[[#This Row],[Quality %]], "")</f>
        <v>0.51888111888111887</v>
      </c>
      <c r="R1571" s="48" t="s">
        <v>407</v>
      </c>
    </row>
    <row r="1572" spans="1:18" ht="30" customHeight="1" x14ac:dyDescent="0.25">
      <c r="A1572" s="51">
        <v>46260</v>
      </c>
      <c r="B1572" s="52" t="s">
        <v>18</v>
      </c>
      <c r="C1572" s="52" t="s">
        <v>135</v>
      </c>
      <c r="D1572" s="52" t="s">
        <v>29</v>
      </c>
      <c r="E1572" s="53"/>
      <c r="F1572" s="53"/>
      <c r="G1572" s="53"/>
      <c r="H1572" s="57" t="str">
        <f>IFERROR(Table1[Re-process (Kg)]/Table1[Actual Production (Kg)], "")</f>
        <v/>
      </c>
      <c r="I1572" s="53">
        <f>IFERROR(Table1[[#This Row],[Actual Production (Kg)]]-Table1[[#This Row],[Re-process (Kg)]], "")</f>
        <v>0</v>
      </c>
      <c r="J1572" s="53"/>
      <c r="K1572" s="52"/>
      <c r="L1572" s="53" t="str">
        <f>IF(Table1[[#This Row],[Target Time (Hours)]]="","",Table1[[#This Row],[Target Time (Hours)]]-Table1[[#This Row],[Downtime (Hours)]])</f>
        <v/>
      </c>
      <c r="M1572" s="53" t="str">
        <f>IFERROR(Table1[[#This Row],[Capacity (Kg)]]/Table1[[#This Row],[Target Time (Hours)]] * Table1[[#This Row],[Downtime (Hours)]], "")</f>
        <v/>
      </c>
      <c r="N1572" s="57" t="str">
        <f>IFERROR(Table1[[#This Row],[Running Time (hr)]]/Table1[Target Time (Hours)], "")</f>
        <v/>
      </c>
      <c r="O1572" s="57" t="str">
        <f>IFERROR(Table1[[#This Row],[Actual Production (Kg)]]/Table1[Capacity (Kg)], "")</f>
        <v/>
      </c>
      <c r="P1572" s="57" t="str">
        <f>IFERROR(Table1[[#This Row],[Quality Pass Production]]/Table1[[#This Row],[Actual Production (Kg)]], "")</f>
        <v/>
      </c>
      <c r="Q1572" s="57" t="str">
        <f>IFERROR(Table1[[#This Row],[Utilization %]]*Table1[[#This Row],[Efficiency %]]*Table1[[#This Row],[Quality %]], "")</f>
        <v/>
      </c>
      <c r="R1572" s="52"/>
    </row>
    <row r="1573" spans="1:18" ht="30" customHeight="1" x14ac:dyDescent="0.25">
      <c r="A1573" s="47">
        <v>46260</v>
      </c>
      <c r="B1573" s="48" t="s">
        <v>18</v>
      </c>
      <c r="C1573" s="48" t="s">
        <v>30</v>
      </c>
      <c r="D1573" s="48" t="s">
        <v>31</v>
      </c>
      <c r="E1573" s="49">
        <v>9000</v>
      </c>
      <c r="F1573" s="76">
        <v>7630</v>
      </c>
      <c r="G1573" s="49">
        <v>0</v>
      </c>
      <c r="H1573" s="50">
        <f>IFERROR(Table1[Re-process (Kg)]/Table1[Actual Production (Kg)], "")</f>
        <v>0</v>
      </c>
      <c r="I1573" s="49">
        <f>IFERROR(Table1[[#This Row],[Actual Production (Kg)]]-Table1[[#This Row],[Re-process (Kg)]], "")</f>
        <v>7630</v>
      </c>
      <c r="J1573" s="49">
        <v>22</v>
      </c>
      <c r="K1573" s="72"/>
      <c r="L1573" s="49">
        <f>IF(Table1[[#This Row],[Target Time (Hours)]]="","",Table1[[#This Row],[Target Time (Hours)]]-Table1[[#This Row],[Downtime (Hours)]])</f>
        <v>22</v>
      </c>
      <c r="M1573" s="49">
        <f>IFERROR(Table1[[#This Row],[Capacity (Kg)]]/Table1[[#This Row],[Target Time (Hours)]] * Table1[[#This Row],[Downtime (Hours)]], "")</f>
        <v>0</v>
      </c>
      <c r="N1573" s="50">
        <f>IFERROR(Table1[[#This Row],[Running Time (hr)]]/Table1[Target Time (Hours)], "")</f>
        <v>1</v>
      </c>
      <c r="O1573" s="50">
        <f>IFERROR(Table1[[#This Row],[Actual Production (Kg)]]/Table1[Capacity (Kg)], "")</f>
        <v>0.84777777777777774</v>
      </c>
      <c r="P1573" s="50">
        <f>IFERROR(Table1[[#This Row],[Quality Pass Production]]/Table1[[#This Row],[Actual Production (Kg)]], "")</f>
        <v>1</v>
      </c>
      <c r="Q1573" s="50">
        <f>IFERROR(Table1[[#This Row],[Utilization %]]*Table1[[#This Row],[Efficiency %]]*Table1[[#This Row],[Quality %]], "")</f>
        <v>0.84777777777777774</v>
      </c>
    </row>
    <row r="1574" spans="1:18" ht="30" customHeight="1" x14ac:dyDescent="0.25">
      <c r="A1574" s="51">
        <v>46260</v>
      </c>
      <c r="B1574" s="52" t="s">
        <v>18</v>
      </c>
      <c r="C1574" s="52" t="s">
        <v>32</v>
      </c>
      <c r="D1574" s="52" t="s">
        <v>31</v>
      </c>
      <c r="E1574" s="53"/>
      <c r="F1574" s="53"/>
      <c r="G1574" s="53"/>
      <c r="H1574" s="57" t="str">
        <f>IFERROR(Table1[Re-process (Kg)]/Table1[Actual Production (Kg)], "")</f>
        <v/>
      </c>
      <c r="I1574" s="53">
        <f>IFERROR(Table1[[#This Row],[Actual Production (Kg)]]-Table1[[#This Row],[Re-process (Kg)]], "")</f>
        <v>0</v>
      </c>
      <c r="J1574" s="53"/>
      <c r="K1574" s="52"/>
      <c r="L1574" s="53" t="str">
        <f>IF(Table1[[#This Row],[Target Time (Hours)]]="","",Table1[[#This Row],[Target Time (Hours)]]-Table1[[#This Row],[Downtime (Hours)]])</f>
        <v/>
      </c>
      <c r="M1574" s="53" t="str">
        <f>IFERROR(Table1[[#This Row],[Capacity (Kg)]]/Table1[[#This Row],[Target Time (Hours)]] * Table1[[#This Row],[Downtime (Hours)]], "")</f>
        <v/>
      </c>
      <c r="N1574" s="57" t="str">
        <f>IFERROR(Table1[[#This Row],[Running Time (hr)]]/Table1[Target Time (Hours)], "")</f>
        <v/>
      </c>
      <c r="O1574" s="57" t="str">
        <f>IFERROR(Table1[[#This Row],[Actual Production (Kg)]]/Table1[Capacity (Kg)], "")</f>
        <v/>
      </c>
      <c r="P1574" s="57" t="str">
        <f>IFERROR(Table1[[#This Row],[Quality Pass Production]]/Table1[[#This Row],[Actual Production (Kg)]], "")</f>
        <v/>
      </c>
      <c r="Q1574" s="57" t="str">
        <f>IFERROR(Table1[[#This Row],[Utilization %]]*Table1[[#This Row],[Efficiency %]]*Table1[[#This Row],[Quality %]], "")</f>
        <v/>
      </c>
      <c r="R1574" s="52"/>
    </row>
    <row r="1575" spans="1:18" ht="30" customHeight="1" x14ac:dyDescent="0.25">
      <c r="A1575" s="47">
        <v>46260</v>
      </c>
      <c r="B1575" s="48" t="s">
        <v>33</v>
      </c>
      <c r="C1575" s="48" t="s">
        <v>34</v>
      </c>
      <c r="D1575" s="48" t="s">
        <v>35</v>
      </c>
      <c r="E1575" s="49">
        <v>9000</v>
      </c>
      <c r="F1575" s="76">
        <v>7116</v>
      </c>
      <c r="G1575" s="49">
        <v>0</v>
      </c>
      <c r="H1575" s="50">
        <f>IFERROR(Table1[Re-process (Kg)]/Table1[Actual Production (Kg)], "")</f>
        <v>0</v>
      </c>
      <c r="I1575" s="49">
        <f>IFERROR(Table1[[#This Row],[Actual Production (Kg)]]-Table1[[#This Row],[Re-process (Kg)]], "")</f>
        <v>7116</v>
      </c>
      <c r="J1575" s="49">
        <v>22</v>
      </c>
      <c r="K1575" s="72"/>
      <c r="L1575" s="49">
        <f>IF(Table1[[#This Row],[Target Time (Hours)]]="","",Table1[[#This Row],[Target Time (Hours)]]-Table1[[#This Row],[Downtime (Hours)]])</f>
        <v>22</v>
      </c>
      <c r="M1575" s="49">
        <f>IFERROR(Table1[[#This Row],[Capacity (Kg)]]/Table1[[#This Row],[Target Time (Hours)]] * Table1[[#This Row],[Downtime (Hours)]], "")</f>
        <v>0</v>
      </c>
      <c r="N1575" s="50">
        <f>IFERROR(Table1[[#This Row],[Running Time (hr)]]/Table1[Target Time (Hours)], "")</f>
        <v>1</v>
      </c>
      <c r="O1575" s="50">
        <f>IFERROR(Table1[[#This Row],[Actual Production (Kg)]]/Table1[Capacity (Kg)], "")</f>
        <v>0.79066666666666663</v>
      </c>
      <c r="P1575" s="50">
        <f>IFERROR(Table1[[#This Row],[Quality Pass Production]]/Table1[[#This Row],[Actual Production (Kg)]], "")</f>
        <v>1</v>
      </c>
      <c r="Q1575" s="50">
        <f>IFERROR(Table1[[#This Row],[Utilization %]]*Table1[[#This Row],[Efficiency %]]*Table1[[#This Row],[Quality %]], "")</f>
        <v>0.79066666666666663</v>
      </c>
    </row>
    <row r="1576" spans="1:18" ht="60" customHeight="1" x14ac:dyDescent="0.25">
      <c r="A1576" s="47">
        <v>46260</v>
      </c>
      <c r="B1576" s="48" t="s">
        <v>33</v>
      </c>
      <c r="C1576" s="48" t="s">
        <v>36</v>
      </c>
      <c r="D1576" s="48" t="s">
        <v>37</v>
      </c>
      <c r="E1576" s="49">
        <v>8000</v>
      </c>
      <c r="F1576" s="76">
        <v>6067</v>
      </c>
      <c r="G1576" s="49">
        <v>0</v>
      </c>
      <c r="H1576" s="50">
        <f>IFERROR(Table1[Re-process (Kg)]/Table1[Actual Production (Kg)], "")</f>
        <v>0</v>
      </c>
      <c r="I1576" s="49">
        <f>IFERROR(Table1[[#This Row],[Actual Production (Kg)]]-Table1[[#This Row],[Re-process (Kg)]], "")</f>
        <v>6067</v>
      </c>
      <c r="J1576" s="49">
        <v>22</v>
      </c>
      <c r="K1576" s="72">
        <v>3.05</v>
      </c>
      <c r="L1576" s="49">
        <f>IF(Table1[[#This Row],[Target Time (Hours)]]="","",Table1[[#This Row],[Target Time (Hours)]]-Table1[[#This Row],[Downtime (Hours)]])</f>
        <v>18.95</v>
      </c>
      <c r="M1576" s="49">
        <f>IFERROR(Table1[[#This Row],[Capacity (Kg)]]/Table1[[#This Row],[Target Time (Hours)]] * Table1[[#This Row],[Downtime (Hours)]], "")</f>
        <v>1109.090909090909</v>
      </c>
      <c r="N1576" s="50">
        <f>IFERROR(Table1[[#This Row],[Running Time (hr)]]/Table1[Target Time (Hours)], "")</f>
        <v>0.86136363636363633</v>
      </c>
      <c r="O1576" s="50">
        <f>IFERROR(Table1[[#This Row],[Actual Production (Kg)]]/Table1[Capacity (Kg)], "")</f>
        <v>0.75837500000000002</v>
      </c>
      <c r="P1576" s="50">
        <f>IFERROR(Table1[[#This Row],[Quality Pass Production]]/Table1[[#This Row],[Actual Production (Kg)]], "")</f>
        <v>1</v>
      </c>
      <c r="Q1576" s="50">
        <f>IFERROR(Table1[[#This Row],[Utilization %]]*Table1[[#This Row],[Efficiency %]]*Table1[[#This Row],[Quality %]], "")</f>
        <v>0.65323664772727275</v>
      </c>
      <c r="R1576" s="48" t="s">
        <v>418</v>
      </c>
    </row>
    <row r="1577" spans="1:18" ht="30" customHeight="1" x14ac:dyDescent="0.25">
      <c r="A1577" s="47">
        <v>46260</v>
      </c>
      <c r="B1577" s="48" t="s">
        <v>33</v>
      </c>
      <c r="C1577" s="48" t="s">
        <v>39</v>
      </c>
      <c r="D1577" s="48" t="s">
        <v>31</v>
      </c>
      <c r="E1577" s="49">
        <v>6000</v>
      </c>
      <c r="F1577" s="76">
        <v>3205</v>
      </c>
      <c r="G1577" s="49">
        <v>0</v>
      </c>
      <c r="H1577" s="50">
        <f>IFERROR(Table1[Re-process (Kg)]/Table1[Actual Production (Kg)], "")</f>
        <v>0</v>
      </c>
      <c r="I1577" s="49">
        <f>IFERROR(Table1[[#This Row],[Actual Production (Kg)]]-Table1[[#This Row],[Re-process (Kg)]], "")</f>
        <v>3205</v>
      </c>
      <c r="J1577" s="49">
        <v>22</v>
      </c>
      <c r="K1577" s="72">
        <v>5.5</v>
      </c>
      <c r="L1577" s="49">
        <f>IF(Table1[[#This Row],[Target Time (Hours)]]="","",Table1[[#This Row],[Target Time (Hours)]]-Table1[[#This Row],[Downtime (Hours)]])</f>
        <v>16.5</v>
      </c>
      <c r="M1577" s="49">
        <f>IFERROR(Table1[[#This Row],[Capacity (Kg)]]/Table1[[#This Row],[Target Time (Hours)]] * Table1[[#This Row],[Downtime (Hours)]], "")</f>
        <v>1500</v>
      </c>
      <c r="N1577" s="50">
        <f>IFERROR(Table1[[#This Row],[Running Time (hr)]]/Table1[Target Time (Hours)], "")</f>
        <v>0.75</v>
      </c>
      <c r="O1577" s="50">
        <f>IFERROR(Table1[[#This Row],[Actual Production (Kg)]]/Table1[Capacity (Kg)], "")</f>
        <v>0.53416666666666668</v>
      </c>
      <c r="P1577" s="50">
        <f>IFERROR(Table1[[#This Row],[Quality Pass Production]]/Table1[[#This Row],[Actual Production (Kg)]], "")</f>
        <v>1</v>
      </c>
      <c r="Q1577" s="50">
        <f>IFERROR(Table1[[#This Row],[Utilization %]]*Table1[[#This Row],[Efficiency %]]*Table1[[#This Row],[Quality %]], "")</f>
        <v>0.40062500000000001</v>
      </c>
      <c r="R1577" s="48" t="s">
        <v>414</v>
      </c>
    </row>
    <row r="1578" spans="1:18" ht="45" customHeight="1" x14ac:dyDescent="0.25">
      <c r="A1578" s="54">
        <v>46260</v>
      </c>
      <c r="B1578" s="55" t="s">
        <v>33</v>
      </c>
      <c r="C1578" s="55" t="s">
        <v>40</v>
      </c>
      <c r="D1578" s="55" t="s">
        <v>31</v>
      </c>
      <c r="E1578" s="56">
        <v>5000</v>
      </c>
      <c r="F1578" s="56">
        <v>4066</v>
      </c>
      <c r="G1578" s="56">
        <v>0</v>
      </c>
      <c r="H1578" s="58">
        <f>IFERROR(Table1[Re-process (Kg)]/Table1[Actual Production (Kg)], "")</f>
        <v>0</v>
      </c>
      <c r="I1578" s="56">
        <f>IFERROR(Table1[[#This Row],[Actual Production (Kg)]]-Table1[[#This Row],[Re-process (Kg)]], "")</f>
        <v>4066</v>
      </c>
      <c r="J1578" s="56">
        <v>22</v>
      </c>
      <c r="K1578" s="55">
        <v>3</v>
      </c>
      <c r="L1578" s="56">
        <f>IF(Table1[[#This Row],[Target Time (Hours)]]="","",Table1[[#This Row],[Target Time (Hours)]]-Table1[[#This Row],[Downtime (Hours)]])</f>
        <v>19</v>
      </c>
      <c r="M1578" s="56">
        <f>IFERROR(Table1[[#This Row],[Capacity (Kg)]]/Table1[[#This Row],[Target Time (Hours)]] * Table1[[#This Row],[Downtime (Hours)]], "")</f>
        <v>681.81818181818187</v>
      </c>
      <c r="N1578" s="58">
        <f>IFERROR(Table1[[#This Row],[Running Time (hr)]]/Table1[Target Time (Hours)], "")</f>
        <v>0.86363636363636365</v>
      </c>
      <c r="O1578" s="58">
        <f>IFERROR(Table1[[#This Row],[Actual Production (Kg)]]/Table1[Capacity (Kg)], "")</f>
        <v>0.81320000000000003</v>
      </c>
      <c r="P1578" s="58">
        <f>IFERROR(Table1[[#This Row],[Quality Pass Production]]/Table1[[#This Row],[Actual Production (Kg)]], "")</f>
        <v>1</v>
      </c>
      <c r="Q1578" s="58">
        <f>IFERROR(Table1[[#This Row],[Utilization %]]*Table1[[#This Row],[Efficiency %]]*Table1[[#This Row],[Quality %]], "")</f>
        <v>0.70230909090909099</v>
      </c>
      <c r="R1578" s="55" t="s">
        <v>415</v>
      </c>
    </row>
    <row r="1579" spans="1:18" ht="30" customHeight="1" x14ac:dyDescent="0.25">
      <c r="A1579" s="47">
        <v>46261</v>
      </c>
      <c r="B1579" s="48" t="s">
        <v>18</v>
      </c>
      <c r="C1579" s="48" t="s">
        <v>19</v>
      </c>
      <c r="D1579" s="48" t="s">
        <v>20</v>
      </c>
      <c r="E1579" s="34">
        <v>13000</v>
      </c>
      <c r="F1579" s="76">
        <v>11295</v>
      </c>
      <c r="G1579" s="49">
        <v>0</v>
      </c>
      <c r="H1579" s="50">
        <f>IFERROR(Table1[Re-process (Kg)]/Table1[Actual Production (Kg)], "")</f>
        <v>0</v>
      </c>
      <c r="I1579" s="49">
        <f>IFERROR(Table1[[#This Row],[Actual Production (Kg)]]-Table1[[#This Row],[Re-process (Kg)]], "")</f>
        <v>11295</v>
      </c>
      <c r="J1579" s="49">
        <v>22</v>
      </c>
      <c r="K1579" s="72">
        <v>1.2</v>
      </c>
      <c r="L1579" s="49">
        <f>IF(Table1[[#This Row],[Target Time (Hours)]]="","",Table1[[#This Row],[Target Time (Hours)]]-Table1[[#This Row],[Downtime (Hours)]])</f>
        <v>20.8</v>
      </c>
      <c r="M1579" s="49">
        <f>IFERROR(Table1[[#This Row],[Capacity (Kg)]]/Table1[[#This Row],[Target Time (Hours)]] * Table1[[#This Row],[Downtime (Hours)]], "")</f>
        <v>709.09090909090901</v>
      </c>
      <c r="N1579" s="50">
        <f>IFERROR(Table1[[#This Row],[Running Time (hr)]]/Table1[Target Time (Hours)], "")</f>
        <v>0.94545454545454544</v>
      </c>
      <c r="O1579" s="50">
        <f>IFERROR(Table1[[#This Row],[Actual Production (Kg)]]/Table1[Capacity (Kg)], "")</f>
        <v>0.86884615384615382</v>
      </c>
      <c r="P1579" s="50">
        <f>IFERROR(Table1[[#This Row],[Quality Pass Production]]/Table1[[#This Row],[Actual Production (Kg)]], "")</f>
        <v>1</v>
      </c>
      <c r="Q1579" s="50">
        <f>IFERROR(Table1[[#This Row],[Utilization %]]*Table1[[#This Row],[Efficiency %]]*Table1[[#This Row],[Quality %]], "")</f>
        <v>0.82145454545454544</v>
      </c>
      <c r="R1579" s="48" t="s">
        <v>419</v>
      </c>
    </row>
    <row r="1580" spans="1:18" x14ac:dyDescent="0.25">
      <c r="A1580" s="51">
        <v>46261</v>
      </c>
      <c r="B1580" s="52" t="s">
        <v>18</v>
      </c>
      <c r="C1580" s="52" t="s">
        <v>238</v>
      </c>
      <c r="D1580" s="52" t="s">
        <v>20</v>
      </c>
      <c r="E1580" s="79">
        <f>Table1[[#This Row],[Actual Production (Kg)]]</f>
        <v>10687</v>
      </c>
      <c r="F1580" s="53">
        <v>10687</v>
      </c>
      <c r="G1580" s="53">
        <v>0</v>
      </c>
      <c r="H1580" s="57">
        <f>IFERROR(Table1[Re-process (Kg)]/Table1[Actual Production (Kg)], "")</f>
        <v>0</v>
      </c>
      <c r="I1580" s="53">
        <f>IFERROR(Table1[[#This Row],[Actual Production (Kg)]]-Table1[[#This Row],[Re-process (Kg)]], "")</f>
        <v>10687</v>
      </c>
      <c r="J1580" s="53"/>
      <c r="K1580" s="52"/>
      <c r="L1580" s="53" t="str">
        <f>IF(Table1[[#This Row],[Target Time (Hours)]]="","",Table1[[#This Row],[Target Time (Hours)]]-Table1[[#This Row],[Downtime (Hours)]])</f>
        <v/>
      </c>
      <c r="M1580" s="53" t="str">
        <f>IFERROR(Table1[[#This Row],[Capacity (Kg)]]/Table1[[#This Row],[Target Time (Hours)]] * Table1[[#This Row],[Downtime (Hours)]], "")</f>
        <v/>
      </c>
      <c r="N1580" s="57" t="str">
        <f>IFERROR(Table1[[#This Row],[Running Time (hr)]]/Table1[Target Time (Hours)], "")</f>
        <v/>
      </c>
      <c r="O1580" s="57">
        <f>IFERROR(Table1[[#This Row],[Actual Production (Kg)]]/Table1[Capacity (Kg)], "")</f>
        <v>1</v>
      </c>
      <c r="P1580" s="57">
        <f>IFERROR(Table1[[#This Row],[Quality Pass Production]]/Table1[[#This Row],[Actual Production (Kg)]], "")</f>
        <v>1</v>
      </c>
      <c r="Q1580" s="57" t="str">
        <f>IFERROR(Table1[[#This Row],[Utilization %]]*Table1[[#This Row],[Efficiency %]]*Table1[[#This Row],[Quality %]], "")</f>
        <v/>
      </c>
      <c r="R1580" s="52"/>
    </row>
    <row r="1581" spans="1:18" x14ac:dyDescent="0.25">
      <c r="A1581" s="47">
        <v>46261</v>
      </c>
      <c r="B1581" s="48" t="s">
        <v>18</v>
      </c>
      <c r="C1581" s="48" t="s">
        <v>22</v>
      </c>
      <c r="D1581" s="48" t="s">
        <v>23</v>
      </c>
      <c r="E1581" s="34">
        <v>10000</v>
      </c>
      <c r="F1581" s="76">
        <v>6583</v>
      </c>
      <c r="G1581" s="49">
        <v>0</v>
      </c>
      <c r="H1581" s="50">
        <f>IFERROR(Table1[Re-process (Kg)]/Table1[Actual Production (Kg)], "")</f>
        <v>0</v>
      </c>
      <c r="I1581" s="49">
        <f>IFERROR(Table1[[#This Row],[Actual Production (Kg)]]-Table1[[#This Row],[Re-process (Kg)]], "")</f>
        <v>6583</v>
      </c>
      <c r="J1581" s="49">
        <v>22</v>
      </c>
      <c r="K1581" s="72"/>
      <c r="L1581" s="49">
        <f>IF(Table1[[#This Row],[Target Time (Hours)]]="","",Table1[[#This Row],[Target Time (Hours)]]-Table1[[#This Row],[Downtime (Hours)]])</f>
        <v>22</v>
      </c>
      <c r="M1581" s="49">
        <f>IFERROR(Table1[[#This Row],[Capacity (Kg)]]/Table1[[#This Row],[Target Time (Hours)]] * Table1[[#This Row],[Downtime (Hours)]], "")</f>
        <v>0</v>
      </c>
      <c r="N1581" s="50">
        <f>IFERROR(Table1[[#This Row],[Running Time (hr)]]/Table1[Target Time (Hours)], "")</f>
        <v>1</v>
      </c>
      <c r="O1581" s="50">
        <f>IFERROR(Table1[[#This Row],[Actual Production (Kg)]]/Table1[Capacity (Kg)], "")</f>
        <v>0.6583</v>
      </c>
      <c r="P1581" s="50">
        <f>IFERROR(Table1[[#This Row],[Quality Pass Production]]/Table1[[#This Row],[Actual Production (Kg)]], "")</f>
        <v>1</v>
      </c>
      <c r="Q1581" s="50">
        <f>IFERROR(Table1[[#This Row],[Utilization %]]*Table1[[#This Row],[Efficiency %]]*Table1[[#This Row],[Quality %]], "")</f>
        <v>0.6583</v>
      </c>
    </row>
    <row r="1582" spans="1:18" x14ac:dyDescent="0.25">
      <c r="A1582" s="47">
        <v>46261</v>
      </c>
      <c r="B1582" s="48" t="s">
        <v>18</v>
      </c>
      <c r="C1582" s="48" t="s">
        <v>22</v>
      </c>
      <c r="D1582" s="48" t="s">
        <v>25</v>
      </c>
      <c r="E1582" s="30">
        <v>5000</v>
      </c>
      <c r="F1582" s="76">
        <v>7608</v>
      </c>
      <c r="G1582" s="49">
        <v>0</v>
      </c>
      <c r="H1582" s="50">
        <f>IFERROR(Table1[Re-process (Kg)]/Table1[Actual Production (Kg)], "")</f>
        <v>0</v>
      </c>
      <c r="I1582" s="49">
        <f>IFERROR(Table1[[#This Row],[Actual Production (Kg)]]-Table1[[#This Row],[Re-process (Kg)]], "")</f>
        <v>7608</v>
      </c>
      <c r="J1582" s="49"/>
      <c r="K1582" s="72"/>
      <c r="L1582" s="49" t="str">
        <f>IF(Table1[[#This Row],[Target Time (Hours)]]="","",Table1[[#This Row],[Target Time (Hours)]]-Table1[[#This Row],[Downtime (Hours)]])</f>
        <v/>
      </c>
      <c r="M1582" s="49" t="str">
        <f>IFERROR(Table1[[#This Row],[Capacity (Kg)]]/Table1[[#This Row],[Target Time (Hours)]] * Table1[[#This Row],[Downtime (Hours)]], "")</f>
        <v/>
      </c>
      <c r="N1582" s="50" t="str">
        <f>IFERROR(Table1[[#This Row],[Running Time (hr)]]/Table1[Target Time (Hours)], "")</f>
        <v/>
      </c>
      <c r="O1582" s="50">
        <f>IFERROR(Table1[[#This Row],[Actual Production (Kg)]]/Table1[Capacity (Kg)], "")</f>
        <v>1.5216000000000001</v>
      </c>
      <c r="P1582" s="50">
        <f>IFERROR(Table1[[#This Row],[Quality Pass Production]]/Table1[[#This Row],[Actual Production (Kg)]], "")</f>
        <v>1</v>
      </c>
      <c r="Q1582" s="50" t="str">
        <f>IFERROR(Table1[[#This Row],[Utilization %]]*Table1[[#This Row],[Efficiency %]]*Table1[[#This Row],[Quality %]], "")</f>
        <v/>
      </c>
    </row>
    <row r="1583" spans="1:18" ht="45" customHeight="1" x14ac:dyDescent="0.25">
      <c r="A1583" s="47">
        <v>46261</v>
      </c>
      <c r="B1583" s="48" t="s">
        <v>18</v>
      </c>
      <c r="C1583" s="48" t="s">
        <v>26</v>
      </c>
      <c r="D1583" s="48" t="s">
        <v>25</v>
      </c>
      <c r="E1583" s="34">
        <v>9500</v>
      </c>
      <c r="F1583" s="76">
        <v>8427</v>
      </c>
      <c r="G1583" s="49">
        <v>0</v>
      </c>
      <c r="H1583" s="50">
        <f>IFERROR(Table1[Re-process (Kg)]/Table1[Actual Production (Kg)], "")</f>
        <v>0</v>
      </c>
      <c r="I1583" s="49">
        <f>IFERROR(Table1[[#This Row],[Actual Production (Kg)]]-Table1[[#This Row],[Re-process (Kg)]], "")</f>
        <v>8427</v>
      </c>
      <c r="J1583" s="49">
        <v>22</v>
      </c>
      <c r="K1583" s="72">
        <v>6.5</v>
      </c>
      <c r="L1583" s="49">
        <f>IF(Table1[[#This Row],[Target Time (Hours)]]="","",Table1[[#This Row],[Target Time (Hours)]]-Table1[[#This Row],[Downtime (Hours)]])</f>
        <v>15.5</v>
      </c>
      <c r="M1583" s="49">
        <f>IFERROR(Table1[[#This Row],[Capacity (Kg)]]/Table1[[#This Row],[Target Time (Hours)]] * Table1[[#This Row],[Downtime (Hours)]], "")</f>
        <v>2806.818181818182</v>
      </c>
      <c r="N1583" s="50">
        <f>IFERROR(Table1[[#This Row],[Running Time (hr)]]/Table1[Target Time (Hours)], "")</f>
        <v>0.70454545454545459</v>
      </c>
      <c r="O1583" s="50">
        <f>IFERROR(Table1[[#This Row],[Actual Production (Kg)]]/Table1[Capacity (Kg)], "")</f>
        <v>0.88705263157894731</v>
      </c>
      <c r="P1583" s="50">
        <f>IFERROR(Table1[[#This Row],[Quality Pass Production]]/Table1[[#This Row],[Actual Production (Kg)]], "")</f>
        <v>1</v>
      </c>
      <c r="Q1583" s="50">
        <f>IFERROR(Table1[[#This Row],[Utilization %]]*Table1[[#This Row],[Efficiency %]]*Table1[[#This Row],[Quality %]], "")</f>
        <v>0.62496889952153112</v>
      </c>
      <c r="R1583" s="48" t="s">
        <v>420</v>
      </c>
    </row>
    <row r="1584" spans="1:18" ht="30" customHeight="1" x14ac:dyDescent="0.25">
      <c r="A1584" s="47">
        <v>46261</v>
      </c>
      <c r="B1584" s="48" t="s">
        <v>18</v>
      </c>
      <c r="C1584" s="48" t="s">
        <v>28</v>
      </c>
      <c r="D1584" s="48" t="s">
        <v>29</v>
      </c>
      <c r="E1584" s="30">
        <v>11700</v>
      </c>
      <c r="F1584" s="76">
        <v>6270</v>
      </c>
      <c r="G1584" s="49">
        <v>0</v>
      </c>
      <c r="H1584" s="50">
        <f>IFERROR(Table1[Re-process (Kg)]/Table1[Actual Production (Kg)], "")</f>
        <v>0</v>
      </c>
      <c r="I1584" s="49">
        <f>IFERROR(Table1[[#This Row],[Actual Production (Kg)]]-Table1[[#This Row],[Re-process (Kg)]], "")</f>
        <v>6270</v>
      </c>
      <c r="J1584" s="49">
        <v>22</v>
      </c>
      <c r="K1584" s="72"/>
      <c r="L1584" s="49">
        <f>IF(Table1[[#This Row],[Target Time (Hours)]]="","",Table1[[#This Row],[Target Time (Hours)]]-Table1[[#This Row],[Downtime (Hours)]])</f>
        <v>22</v>
      </c>
      <c r="M1584" s="49">
        <f>IFERROR(Table1[[#This Row],[Capacity (Kg)]]/Table1[[#This Row],[Target Time (Hours)]] * Table1[[#This Row],[Downtime (Hours)]], "")</f>
        <v>0</v>
      </c>
      <c r="N1584" s="50">
        <f>IFERROR(Table1[[#This Row],[Running Time (hr)]]/Table1[Target Time (Hours)], "")</f>
        <v>1</v>
      </c>
      <c r="O1584" s="50">
        <f>IFERROR(Table1[[#This Row],[Actual Production (Kg)]]/Table1[Capacity (Kg)], "")</f>
        <v>0.53589743589743588</v>
      </c>
      <c r="P1584" s="50">
        <f>IFERROR(Table1[[#This Row],[Quality Pass Production]]/Table1[[#This Row],[Actual Production (Kg)]], "")</f>
        <v>1</v>
      </c>
      <c r="Q1584" s="50">
        <f>IFERROR(Table1[[#This Row],[Utilization %]]*Table1[[#This Row],[Efficiency %]]*Table1[[#This Row],[Quality %]], "")</f>
        <v>0.53589743589743588</v>
      </c>
    </row>
    <row r="1585" spans="1:18" ht="30" customHeight="1" x14ac:dyDescent="0.25">
      <c r="A1585" s="51">
        <v>46261</v>
      </c>
      <c r="B1585" s="52" t="s">
        <v>18</v>
      </c>
      <c r="C1585" s="52" t="s">
        <v>135</v>
      </c>
      <c r="D1585" s="52" t="s">
        <v>29</v>
      </c>
      <c r="E1585" s="38"/>
      <c r="F1585" s="53"/>
      <c r="G1585" s="53"/>
      <c r="H1585" s="57" t="str">
        <f>IFERROR(Table1[Re-process (Kg)]/Table1[Actual Production (Kg)], "")</f>
        <v/>
      </c>
      <c r="I1585" s="53">
        <f>IFERROR(Table1[[#This Row],[Actual Production (Kg)]]-Table1[[#This Row],[Re-process (Kg)]], "")</f>
        <v>0</v>
      </c>
      <c r="J1585" s="53"/>
      <c r="K1585" s="52"/>
      <c r="L1585" s="53" t="str">
        <f>IF(Table1[[#This Row],[Target Time (Hours)]]="","",Table1[[#This Row],[Target Time (Hours)]]-Table1[[#This Row],[Downtime (Hours)]])</f>
        <v/>
      </c>
      <c r="M1585" s="53" t="str">
        <f>IFERROR(Table1[[#This Row],[Capacity (Kg)]]/Table1[[#This Row],[Target Time (Hours)]] * Table1[[#This Row],[Downtime (Hours)]], "")</f>
        <v/>
      </c>
      <c r="N1585" s="57" t="str">
        <f>IFERROR(Table1[[#This Row],[Running Time (hr)]]/Table1[Target Time (Hours)], "")</f>
        <v/>
      </c>
      <c r="O1585" s="57" t="str">
        <f>IFERROR(Table1[[#This Row],[Actual Production (Kg)]]/Table1[Capacity (Kg)], "")</f>
        <v/>
      </c>
      <c r="P1585" s="57" t="str">
        <f>IFERROR(Table1[[#This Row],[Quality Pass Production]]/Table1[[#This Row],[Actual Production (Kg)]], "")</f>
        <v/>
      </c>
      <c r="Q1585" s="57" t="str">
        <f>IFERROR(Table1[[#This Row],[Utilization %]]*Table1[[#This Row],[Efficiency %]]*Table1[[#This Row],[Quality %]], "")</f>
        <v/>
      </c>
      <c r="R1585" s="52"/>
    </row>
    <row r="1586" spans="1:18" ht="30" customHeight="1" x14ac:dyDescent="0.25">
      <c r="A1586" s="47">
        <v>46261</v>
      </c>
      <c r="B1586" s="48" t="s">
        <v>18</v>
      </c>
      <c r="C1586" s="48" t="s">
        <v>30</v>
      </c>
      <c r="D1586" s="48" t="s">
        <v>31</v>
      </c>
      <c r="E1586" s="30">
        <v>13500</v>
      </c>
      <c r="F1586" s="76">
        <v>10587</v>
      </c>
      <c r="G1586" s="49">
        <v>0</v>
      </c>
      <c r="H1586" s="50">
        <f>IFERROR(Table1[Re-process (Kg)]/Table1[Actual Production (Kg)], "")</f>
        <v>0</v>
      </c>
      <c r="I1586" s="49">
        <f>IFERROR(Table1[[#This Row],[Actual Production (Kg)]]-Table1[[#This Row],[Re-process (Kg)]], "")</f>
        <v>10587</v>
      </c>
      <c r="J1586" s="49">
        <v>22</v>
      </c>
      <c r="K1586" s="72"/>
      <c r="L1586" s="49">
        <f>IF(Table1[[#This Row],[Target Time (Hours)]]="","",Table1[[#This Row],[Target Time (Hours)]]-Table1[[#This Row],[Downtime (Hours)]])</f>
        <v>22</v>
      </c>
      <c r="M1586" s="49">
        <f>IFERROR(Table1[[#This Row],[Capacity (Kg)]]/Table1[[#This Row],[Target Time (Hours)]] * Table1[[#This Row],[Downtime (Hours)]], "")</f>
        <v>0</v>
      </c>
      <c r="N1586" s="50">
        <f>IFERROR(Table1[[#This Row],[Running Time (hr)]]/Table1[Target Time (Hours)], "")</f>
        <v>1</v>
      </c>
      <c r="O1586" s="50">
        <f>IFERROR(Table1[[#This Row],[Actual Production (Kg)]]/Table1[Capacity (Kg)], "")</f>
        <v>0.78422222222222226</v>
      </c>
      <c r="P1586" s="50">
        <f>IFERROR(Table1[[#This Row],[Quality Pass Production]]/Table1[[#This Row],[Actual Production (Kg)]], "")</f>
        <v>1</v>
      </c>
      <c r="Q1586" s="50">
        <f>IFERROR(Table1[[#This Row],[Utilization %]]*Table1[[#This Row],[Efficiency %]]*Table1[[#This Row],[Quality %]], "")</f>
        <v>0.78422222222222226</v>
      </c>
    </row>
    <row r="1587" spans="1:18" ht="30" customHeight="1" x14ac:dyDescent="0.25">
      <c r="A1587" s="51">
        <v>46261</v>
      </c>
      <c r="B1587" s="52" t="s">
        <v>18</v>
      </c>
      <c r="C1587" s="52" t="s">
        <v>32</v>
      </c>
      <c r="D1587" s="52" t="s">
        <v>31</v>
      </c>
      <c r="E1587" s="79"/>
      <c r="F1587" s="53"/>
      <c r="G1587" s="53"/>
      <c r="H1587" s="57" t="str">
        <f>IFERROR(Table1[Re-process (Kg)]/Table1[Actual Production (Kg)], "")</f>
        <v/>
      </c>
      <c r="I1587" s="53">
        <f>IFERROR(Table1[[#This Row],[Actual Production (Kg)]]-Table1[[#This Row],[Re-process (Kg)]], "")</f>
        <v>0</v>
      </c>
      <c r="J1587" s="53"/>
      <c r="K1587" s="52"/>
      <c r="L1587" s="53" t="str">
        <f>IF(Table1[[#This Row],[Target Time (Hours)]]="","",Table1[[#This Row],[Target Time (Hours)]]-Table1[[#This Row],[Downtime (Hours)]])</f>
        <v/>
      </c>
      <c r="M1587" s="53" t="str">
        <f>IFERROR(Table1[[#This Row],[Capacity (Kg)]]/Table1[[#This Row],[Target Time (Hours)]] * Table1[[#This Row],[Downtime (Hours)]], "")</f>
        <v/>
      </c>
      <c r="N1587" s="57" t="str">
        <f>IFERROR(Table1[[#This Row],[Running Time (hr)]]/Table1[Target Time (Hours)], "")</f>
        <v/>
      </c>
      <c r="O1587" s="57" t="str">
        <f>IFERROR(Table1[[#This Row],[Actual Production (Kg)]]/Table1[Capacity (Kg)], "")</f>
        <v/>
      </c>
      <c r="P1587" s="57" t="str">
        <f>IFERROR(Table1[[#This Row],[Quality Pass Production]]/Table1[[#This Row],[Actual Production (Kg)]], "")</f>
        <v/>
      </c>
      <c r="Q1587" s="57" t="str">
        <f>IFERROR(Table1[[#This Row],[Utilization %]]*Table1[[#This Row],[Efficiency %]]*Table1[[#This Row],[Quality %]], "")</f>
        <v/>
      </c>
      <c r="R1587" s="52"/>
    </row>
    <row r="1588" spans="1:18" ht="30" customHeight="1" x14ac:dyDescent="0.25">
      <c r="A1588" s="47">
        <v>46261</v>
      </c>
      <c r="B1588" s="48" t="s">
        <v>33</v>
      </c>
      <c r="C1588" s="48" t="s">
        <v>34</v>
      </c>
      <c r="D1588" s="48" t="s">
        <v>35</v>
      </c>
      <c r="E1588" s="30">
        <v>13500</v>
      </c>
      <c r="F1588" s="76">
        <v>11403</v>
      </c>
      <c r="G1588" s="49">
        <v>0</v>
      </c>
      <c r="H1588" s="50">
        <f>IFERROR(Table1[Re-process (Kg)]/Table1[Actual Production (Kg)], "")</f>
        <v>0</v>
      </c>
      <c r="I1588" s="49">
        <f>IFERROR(Table1[[#This Row],[Actual Production (Kg)]]-Table1[[#This Row],[Re-process (Kg)]], "")</f>
        <v>11403</v>
      </c>
      <c r="J1588" s="49">
        <v>22</v>
      </c>
      <c r="K1588" s="72"/>
      <c r="L1588" s="49">
        <f>IF(Table1[[#This Row],[Target Time (Hours)]]="","",Table1[[#This Row],[Target Time (Hours)]]-Table1[[#This Row],[Downtime (Hours)]])</f>
        <v>22</v>
      </c>
      <c r="M1588" s="49">
        <f>IFERROR(Table1[[#This Row],[Capacity (Kg)]]/Table1[[#This Row],[Target Time (Hours)]] * Table1[[#This Row],[Downtime (Hours)]], "")</f>
        <v>0</v>
      </c>
      <c r="N1588" s="50">
        <f>IFERROR(Table1[[#This Row],[Running Time (hr)]]/Table1[Target Time (Hours)], "")</f>
        <v>1</v>
      </c>
      <c r="O1588" s="50">
        <f>IFERROR(Table1[[#This Row],[Actual Production (Kg)]]/Table1[Capacity (Kg)], "")</f>
        <v>0.84466666666666668</v>
      </c>
      <c r="P1588" s="50">
        <f>IFERROR(Table1[[#This Row],[Quality Pass Production]]/Table1[[#This Row],[Actual Production (Kg)]], "")</f>
        <v>1</v>
      </c>
      <c r="Q1588" s="50">
        <f>IFERROR(Table1[[#This Row],[Utilization %]]*Table1[[#This Row],[Efficiency %]]*Table1[[#This Row],[Quality %]], "")</f>
        <v>0.84466666666666668</v>
      </c>
    </row>
    <row r="1589" spans="1:18" ht="30" customHeight="1" x14ac:dyDescent="0.25">
      <c r="A1589" s="47">
        <v>46261</v>
      </c>
      <c r="B1589" s="48" t="s">
        <v>33</v>
      </c>
      <c r="C1589" s="48" t="s">
        <v>36</v>
      </c>
      <c r="D1589" s="48" t="s">
        <v>37</v>
      </c>
      <c r="E1589" s="34">
        <v>12000</v>
      </c>
      <c r="F1589" s="76">
        <v>10474</v>
      </c>
      <c r="G1589" s="49">
        <v>0</v>
      </c>
      <c r="H1589" s="50">
        <f>IFERROR(Table1[Re-process (Kg)]/Table1[Actual Production (Kg)], "")</f>
        <v>0</v>
      </c>
      <c r="I1589" s="49">
        <f>IFERROR(Table1[[#This Row],[Actual Production (Kg)]]-Table1[[#This Row],[Re-process (Kg)]], "")</f>
        <v>10474</v>
      </c>
      <c r="J1589" s="49">
        <v>22</v>
      </c>
      <c r="K1589" s="72">
        <v>1.5</v>
      </c>
      <c r="L1589" s="49">
        <f>IF(Table1[[#This Row],[Target Time (Hours)]]="","",Table1[[#This Row],[Target Time (Hours)]]-Table1[[#This Row],[Downtime (Hours)]])</f>
        <v>20.5</v>
      </c>
      <c r="M1589" s="49">
        <f>IFERROR(Table1[[#This Row],[Capacity (Kg)]]/Table1[[#This Row],[Target Time (Hours)]] * Table1[[#This Row],[Downtime (Hours)]], "")</f>
        <v>818.18181818181824</v>
      </c>
      <c r="N1589" s="50">
        <f>IFERROR(Table1[[#This Row],[Running Time (hr)]]/Table1[Target Time (Hours)], "")</f>
        <v>0.93181818181818177</v>
      </c>
      <c r="O1589" s="50">
        <f>IFERROR(Table1[[#This Row],[Actual Production (Kg)]]/Table1[Capacity (Kg)], "")</f>
        <v>0.87283333333333335</v>
      </c>
      <c r="P1589" s="50">
        <f>IFERROR(Table1[[#This Row],[Quality Pass Production]]/Table1[[#This Row],[Actual Production (Kg)]], "")</f>
        <v>1</v>
      </c>
      <c r="Q1589" s="50">
        <f>IFERROR(Table1[[#This Row],[Utilization %]]*Table1[[#This Row],[Efficiency %]]*Table1[[#This Row],[Quality %]], "")</f>
        <v>0.81332196969696968</v>
      </c>
      <c r="R1589" s="48" t="s">
        <v>421</v>
      </c>
    </row>
    <row r="1590" spans="1:18" ht="30" customHeight="1" x14ac:dyDescent="0.25">
      <c r="A1590" s="47">
        <v>46261</v>
      </c>
      <c r="B1590" s="48" t="s">
        <v>33</v>
      </c>
      <c r="C1590" s="48" t="s">
        <v>39</v>
      </c>
      <c r="D1590" s="48" t="s">
        <v>31</v>
      </c>
      <c r="E1590" s="30">
        <v>9000</v>
      </c>
      <c r="F1590" s="76">
        <v>4313</v>
      </c>
      <c r="G1590" s="49">
        <v>0</v>
      </c>
      <c r="H1590" s="50">
        <f>IFERROR(Table1[Re-process (Kg)]/Table1[Actual Production (Kg)], "")</f>
        <v>0</v>
      </c>
      <c r="I1590" s="49">
        <f>IFERROR(Table1[[#This Row],[Actual Production (Kg)]]-Table1[[#This Row],[Re-process (Kg)]], "")</f>
        <v>4313</v>
      </c>
      <c r="J1590" s="49">
        <v>22</v>
      </c>
      <c r="K1590" s="72"/>
      <c r="L1590" s="49">
        <f>IF(Table1[[#This Row],[Target Time (Hours)]]="","",Table1[[#This Row],[Target Time (Hours)]]-Table1[[#This Row],[Downtime (Hours)]])</f>
        <v>22</v>
      </c>
      <c r="M1590" s="49">
        <f>IFERROR(Table1[[#This Row],[Capacity (Kg)]]/Table1[[#This Row],[Target Time (Hours)]] * Table1[[#This Row],[Downtime (Hours)]], "")</f>
        <v>0</v>
      </c>
      <c r="N1590" s="50">
        <f>IFERROR(Table1[[#This Row],[Running Time (hr)]]/Table1[Target Time (Hours)], "")</f>
        <v>1</v>
      </c>
      <c r="O1590" s="50">
        <f>IFERROR(Table1[[#This Row],[Actual Production (Kg)]]/Table1[Capacity (Kg)], "")</f>
        <v>0.47922222222222222</v>
      </c>
      <c r="P1590" s="50">
        <f>IFERROR(Table1[[#This Row],[Quality Pass Production]]/Table1[[#This Row],[Actual Production (Kg)]], "")</f>
        <v>1</v>
      </c>
      <c r="Q1590" s="50">
        <f>IFERROR(Table1[[#This Row],[Utilization %]]*Table1[[#This Row],[Efficiency %]]*Table1[[#This Row],[Quality %]], "")</f>
        <v>0.47922222222222222</v>
      </c>
    </row>
    <row r="1591" spans="1:18" ht="45" customHeight="1" x14ac:dyDescent="0.25">
      <c r="A1591" s="54">
        <v>46261</v>
      </c>
      <c r="B1591" s="55" t="s">
        <v>33</v>
      </c>
      <c r="C1591" s="55" t="s">
        <v>40</v>
      </c>
      <c r="D1591" s="55" t="s">
        <v>31</v>
      </c>
      <c r="E1591" s="43">
        <v>7500</v>
      </c>
      <c r="F1591" s="56">
        <v>3564</v>
      </c>
      <c r="G1591" s="56">
        <v>0</v>
      </c>
      <c r="H1591" s="58">
        <f>IFERROR(Table1[Re-process (Kg)]/Table1[Actual Production (Kg)], "")</f>
        <v>0</v>
      </c>
      <c r="I1591" s="56">
        <f>IFERROR(Table1[[#This Row],[Actual Production (Kg)]]-Table1[[#This Row],[Re-process (Kg)]], "")</f>
        <v>3564</v>
      </c>
      <c r="J1591" s="56">
        <v>22</v>
      </c>
      <c r="K1591" s="55"/>
      <c r="L1591" s="56">
        <f>IF(Table1[[#This Row],[Target Time (Hours)]]="","",Table1[[#This Row],[Target Time (Hours)]]-Table1[[#This Row],[Downtime (Hours)]])</f>
        <v>22</v>
      </c>
      <c r="M1591" s="56">
        <f>IFERROR(Table1[[#This Row],[Capacity (Kg)]]/Table1[[#This Row],[Target Time (Hours)]] * Table1[[#This Row],[Downtime (Hours)]], "")</f>
        <v>0</v>
      </c>
      <c r="N1591" s="58">
        <f>IFERROR(Table1[[#This Row],[Running Time (hr)]]/Table1[Target Time (Hours)], "")</f>
        <v>1</v>
      </c>
      <c r="O1591" s="58">
        <f>IFERROR(Table1[[#This Row],[Actual Production (Kg)]]/Table1[Capacity (Kg)], "")</f>
        <v>0.47520000000000001</v>
      </c>
      <c r="P1591" s="58">
        <f>IFERROR(Table1[[#This Row],[Quality Pass Production]]/Table1[[#This Row],[Actual Production (Kg)]], "")</f>
        <v>1</v>
      </c>
      <c r="Q1591" s="58">
        <f>IFERROR(Table1[[#This Row],[Utilization %]]*Table1[[#This Row],[Efficiency %]]*Table1[[#This Row],[Quality %]], "")</f>
        <v>0.47520000000000001</v>
      </c>
      <c r="R1591" s="55"/>
    </row>
    <row r="1592" spans="1:18" ht="30" customHeight="1" x14ac:dyDescent="0.25">
      <c r="A1592" s="47">
        <v>46263</v>
      </c>
      <c r="B1592" s="48" t="s">
        <v>18</v>
      </c>
      <c r="C1592" s="48" t="s">
        <v>19</v>
      </c>
      <c r="D1592" s="48" t="s">
        <v>20</v>
      </c>
      <c r="E1592" s="34">
        <v>10000</v>
      </c>
      <c r="F1592" s="76">
        <v>7673</v>
      </c>
      <c r="G1592" s="49">
        <v>0</v>
      </c>
      <c r="H1592" s="50">
        <f>IFERROR(Table1[Re-process (Kg)]/Table1[Actual Production (Kg)], "")</f>
        <v>0</v>
      </c>
      <c r="I1592" s="49">
        <f>IFERROR(Table1[[#This Row],[Actual Production (Kg)]]-Table1[[#This Row],[Re-process (Kg)]], "")</f>
        <v>7673</v>
      </c>
      <c r="J1592" s="49">
        <v>22</v>
      </c>
      <c r="K1592" s="72">
        <v>1</v>
      </c>
      <c r="L1592" s="49">
        <f>IF(Table1[[#This Row],[Target Time (Hours)]]="","",Table1[[#This Row],[Target Time (Hours)]]-Table1[[#This Row],[Downtime (Hours)]])</f>
        <v>21</v>
      </c>
      <c r="M1592" s="49">
        <f>IFERROR(Table1[[#This Row],[Capacity (Kg)]]/Table1[[#This Row],[Target Time (Hours)]] * Table1[[#This Row],[Downtime (Hours)]], "")</f>
        <v>454.54545454545456</v>
      </c>
      <c r="N1592" s="50">
        <f>IFERROR(Table1[[#This Row],[Running Time (hr)]]/Table1[Target Time (Hours)], "")</f>
        <v>0.95454545454545459</v>
      </c>
      <c r="O1592" s="50">
        <f>IFERROR(Table1[[#This Row],[Actual Production (Kg)]]/Table1[Capacity (Kg)], "")</f>
        <v>0.76729999999999998</v>
      </c>
      <c r="P1592" s="50">
        <f>IFERROR(Table1[[#This Row],[Quality Pass Production]]/Table1[[#This Row],[Actual Production (Kg)]], "")</f>
        <v>1</v>
      </c>
      <c r="Q1592" s="50">
        <f>IFERROR(Table1[[#This Row],[Utilization %]]*Table1[[#This Row],[Efficiency %]]*Table1[[#This Row],[Quality %]], "")</f>
        <v>0.73242272727272728</v>
      </c>
      <c r="R1592" s="48" t="s">
        <v>422</v>
      </c>
    </row>
    <row r="1593" spans="1:18" x14ac:dyDescent="0.25">
      <c r="A1593" s="51">
        <v>46263</v>
      </c>
      <c r="B1593" s="52" t="s">
        <v>18</v>
      </c>
      <c r="C1593" s="52" t="s">
        <v>238</v>
      </c>
      <c r="D1593" s="52" t="s">
        <v>20</v>
      </c>
      <c r="E1593" s="79">
        <v>9738</v>
      </c>
      <c r="F1593" s="53">
        <v>9738</v>
      </c>
      <c r="G1593" s="53">
        <v>0</v>
      </c>
      <c r="H1593" s="57">
        <f>IFERROR(Table1[Re-process (Kg)]/Table1[Actual Production (Kg)], "")</f>
        <v>0</v>
      </c>
      <c r="I1593" s="53">
        <f>IFERROR(Table1[[#This Row],[Actual Production (Kg)]]-Table1[[#This Row],[Re-process (Kg)]], "")</f>
        <v>9738</v>
      </c>
      <c r="J1593" s="53"/>
      <c r="K1593" s="52"/>
      <c r="L1593" s="53" t="str">
        <f>IF(Table1[[#This Row],[Target Time (Hours)]]="","",Table1[[#This Row],[Target Time (Hours)]]-Table1[[#This Row],[Downtime (Hours)]])</f>
        <v/>
      </c>
      <c r="M1593" s="53" t="str">
        <f>IFERROR(Table1[[#This Row],[Capacity (Kg)]]/Table1[[#This Row],[Target Time (Hours)]] * Table1[[#This Row],[Downtime (Hours)]], "")</f>
        <v/>
      </c>
      <c r="N1593" s="57" t="str">
        <f>IFERROR(Table1[[#This Row],[Running Time (hr)]]/Table1[Target Time (Hours)], "")</f>
        <v/>
      </c>
      <c r="O1593" s="57">
        <f>IFERROR(Table1[[#This Row],[Actual Production (Kg)]]/Table1[Capacity (Kg)], "")</f>
        <v>1</v>
      </c>
      <c r="P1593" s="57">
        <f>IFERROR(Table1[[#This Row],[Quality Pass Production]]/Table1[[#This Row],[Actual Production (Kg)]], "")</f>
        <v>1</v>
      </c>
      <c r="Q1593" s="57" t="str">
        <f>IFERROR(Table1[[#This Row],[Utilization %]]*Table1[[#This Row],[Efficiency %]]*Table1[[#This Row],[Quality %]], "")</f>
        <v/>
      </c>
      <c r="R1593" s="52"/>
    </row>
    <row r="1594" spans="1:18" x14ac:dyDescent="0.25">
      <c r="A1594" s="47">
        <v>46263</v>
      </c>
      <c r="B1594" s="48" t="s">
        <v>18</v>
      </c>
      <c r="C1594" s="48" t="s">
        <v>22</v>
      </c>
      <c r="D1594" s="48" t="s">
        <v>23</v>
      </c>
      <c r="E1594" s="34">
        <v>5000</v>
      </c>
      <c r="F1594" s="76">
        <v>5649</v>
      </c>
      <c r="G1594" s="49">
        <v>0</v>
      </c>
      <c r="H1594" s="50">
        <f>IFERROR(Table1[Re-process (Kg)]/Table1[Actual Production (Kg)], "")</f>
        <v>0</v>
      </c>
      <c r="I1594" s="49">
        <f>IFERROR(Table1[[#This Row],[Actual Production (Kg)]]-Table1[[#This Row],[Re-process (Kg)]], "")</f>
        <v>5649</v>
      </c>
      <c r="J1594" s="49">
        <v>22</v>
      </c>
      <c r="K1594" s="72"/>
      <c r="L1594" s="49">
        <f>IF(Table1[[#This Row],[Target Time (Hours)]]="","",Table1[[#This Row],[Target Time (Hours)]]-Table1[[#This Row],[Downtime (Hours)]])</f>
        <v>22</v>
      </c>
      <c r="M1594" s="49">
        <f>IFERROR(Table1[[#This Row],[Capacity (Kg)]]/Table1[[#This Row],[Target Time (Hours)]] * Table1[[#This Row],[Downtime (Hours)]], "")</f>
        <v>0</v>
      </c>
      <c r="N1594" s="50">
        <f>IFERROR(Table1[[#This Row],[Running Time (hr)]]/Table1[Target Time (Hours)], "")</f>
        <v>1</v>
      </c>
      <c r="O1594" s="50">
        <f>IFERROR(Table1[[#This Row],[Actual Production (Kg)]]/Table1[Capacity (Kg)], "")</f>
        <v>1.1297999999999999</v>
      </c>
      <c r="P1594" s="50">
        <f>IFERROR(Table1[[#This Row],[Quality Pass Production]]/Table1[[#This Row],[Actual Production (Kg)]], "")</f>
        <v>1</v>
      </c>
      <c r="Q1594" s="50">
        <f>IFERROR(Table1[[#This Row],[Utilization %]]*Table1[[#This Row],[Efficiency %]]*Table1[[#This Row],[Quality %]], "")</f>
        <v>1.1297999999999999</v>
      </c>
    </row>
    <row r="1595" spans="1:18" x14ac:dyDescent="0.25">
      <c r="A1595" s="47">
        <v>46263</v>
      </c>
      <c r="B1595" s="48" t="s">
        <v>18</v>
      </c>
      <c r="C1595" s="48" t="s">
        <v>22</v>
      </c>
      <c r="D1595" s="48" t="s">
        <v>25</v>
      </c>
      <c r="E1595" s="30">
        <v>4000</v>
      </c>
      <c r="F1595" s="76">
        <v>3064</v>
      </c>
      <c r="G1595" s="49">
        <v>0</v>
      </c>
      <c r="H1595" s="50">
        <f>IFERROR(Table1[Re-process (Kg)]/Table1[Actual Production (Kg)], "")</f>
        <v>0</v>
      </c>
      <c r="I1595" s="49">
        <f>IFERROR(Table1[[#This Row],[Actual Production (Kg)]]-Table1[[#This Row],[Re-process (Kg)]], "")</f>
        <v>3064</v>
      </c>
      <c r="J1595" s="49"/>
      <c r="K1595" s="72">
        <v>1</v>
      </c>
      <c r="L1595" s="49" t="str">
        <f>IF(Table1[[#This Row],[Target Time (Hours)]]="","",Table1[[#This Row],[Target Time (Hours)]]-Table1[[#This Row],[Downtime (Hours)]])</f>
        <v/>
      </c>
      <c r="M1595" s="49" t="str">
        <f>IFERROR(Table1[[#This Row],[Capacity (Kg)]]/Table1[[#This Row],[Target Time (Hours)]] * Table1[[#This Row],[Downtime (Hours)]], "")</f>
        <v/>
      </c>
      <c r="N1595" s="50" t="str">
        <f>IFERROR(Table1[[#This Row],[Running Time (hr)]]/Table1[Target Time (Hours)], "")</f>
        <v/>
      </c>
      <c r="O1595" s="50">
        <f>IFERROR(Table1[[#This Row],[Actual Production (Kg)]]/Table1[Capacity (Kg)], "")</f>
        <v>0.76600000000000001</v>
      </c>
      <c r="P1595" s="50">
        <f>IFERROR(Table1[[#This Row],[Quality Pass Production]]/Table1[[#This Row],[Actual Production (Kg)]], "")</f>
        <v>1</v>
      </c>
      <c r="Q1595" s="50" t="str">
        <f>IFERROR(Table1[[#This Row],[Utilization %]]*Table1[[#This Row],[Efficiency %]]*Table1[[#This Row],[Quality %]], "")</f>
        <v/>
      </c>
      <c r="R1595" s="48" t="s">
        <v>423</v>
      </c>
    </row>
    <row r="1596" spans="1:18" x14ac:dyDescent="0.25">
      <c r="A1596" s="47">
        <v>46263</v>
      </c>
      <c r="B1596" s="48" t="s">
        <v>18</v>
      </c>
      <c r="C1596" s="48" t="s">
        <v>26</v>
      </c>
      <c r="D1596" s="48" t="s">
        <v>25</v>
      </c>
      <c r="E1596" s="34">
        <v>7000</v>
      </c>
      <c r="F1596" s="76">
        <v>6944</v>
      </c>
      <c r="G1596" s="49">
        <v>0</v>
      </c>
      <c r="H1596" s="50">
        <f>IFERROR(Table1[Re-process (Kg)]/Table1[Actual Production (Kg)], "")</f>
        <v>0</v>
      </c>
      <c r="I1596" s="49">
        <f>IFERROR(Table1[[#This Row],[Actual Production (Kg)]]-Table1[[#This Row],[Re-process (Kg)]], "")</f>
        <v>6944</v>
      </c>
      <c r="J1596" s="49">
        <v>22</v>
      </c>
      <c r="K1596" s="72"/>
      <c r="L1596" s="49">
        <f>IF(Table1[[#This Row],[Target Time (Hours)]]="","",Table1[[#This Row],[Target Time (Hours)]]-Table1[[#This Row],[Downtime (Hours)]])</f>
        <v>22</v>
      </c>
      <c r="M1596" s="49">
        <f>IFERROR(Table1[[#This Row],[Capacity (Kg)]]/Table1[[#This Row],[Target Time (Hours)]] * Table1[[#This Row],[Downtime (Hours)]], "")</f>
        <v>0</v>
      </c>
      <c r="N1596" s="50">
        <f>IFERROR(Table1[[#This Row],[Running Time (hr)]]/Table1[Target Time (Hours)], "")</f>
        <v>1</v>
      </c>
      <c r="O1596" s="50">
        <f>IFERROR(Table1[[#This Row],[Actual Production (Kg)]]/Table1[Capacity (Kg)], "")</f>
        <v>0.99199999999999999</v>
      </c>
      <c r="P1596" s="50">
        <f>IFERROR(Table1[[#This Row],[Quality Pass Production]]/Table1[[#This Row],[Actual Production (Kg)]], "")</f>
        <v>1</v>
      </c>
      <c r="Q1596" s="50">
        <f>IFERROR(Table1[[#This Row],[Utilization %]]*Table1[[#This Row],[Efficiency %]]*Table1[[#This Row],[Quality %]], "")</f>
        <v>0.99199999999999999</v>
      </c>
    </row>
    <row r="1597" spans="1:18" ht="30" customHeight="1" x14ac:dyDescent="0.25">
      <c r="A1597" s="47">
        <v>46263</v>
      </c>
      <c r="B1597" s="48" t="s">
        <v>18</v>
      </c>
      <c r="C1597" s="48" t="s">
        <v>28</v>
      </c>
      <c r="D1597" s="48" t="s">
        <v>29</v>
      </c>
      <c r="E1597" s="30">
        <v>7800</v>
      </c>
      <c r="F1597" s="76">
        <v>6346</v>
      </c>
      <c r="G1597" s="49">
        <v>0</v>
      </c>
      <c r="H1597" s="50">
        <f>IFERROR(Table1[Re-process (Kg)]/Table1[Actual Production (Kg)], "")</f>
        <v>0</v>
      </c>
      <c r="I1597" s="49">
        <f>IFERROR(Table1[[#This Row],[Actual Production (Kg)]]-Table1[[#This Row],[Re-process (Kg)]], "")</f>
        <v>6346</v>
      </c>
      <c r="J1597" s="49">
        <v>22</v>
      </c>
      <c r="K1597" s="72"/>
      <c r="L1597" s="49">
        <f>IF(Table1[[#This Row],[Target Time (Hours)]]="","",Table1[[#This Row],[Target Time (Hours)]]-Table1[[#This Row],[Downtime (Hours)]])</f>
        <v>22</v>
      </c>
      <c r="M1597" s="49">
        <f>IFERROR(Table1[[#This Row],[Capacity (Kg)]]/Table1[[#This Row],[Target Time (Hours)]] * Table1[[#This Row],[Downtime (Hours)]], "")</f>
        <v>0</v>
      </c>
      <c r="N1597" s="50">
        <f>IFERROR(Table1[[#This Row],[Running Time (hr)]]/Table1[Target Time (Hours)], "")</f>
        <v>1</v>
      </c>
      <c r="O1597" s="50">
        <f>IFERROR(Table1[[#This Row],[Actual Production (Kg)]]/Table1[Capacity (Kg)], "")</f>
        <v>0.81358974358974356</v>
      </c>
      <c r="P1597" s="50">
        <f>IFERROR(Table1[[#This Row],[Quality Pass Production]]/Table1[[#This Row],[Actual Production (Kg)]], "")</f>
        <v>1</v>
      </c>
      <c r="Q1597" s="50">
        <f>IFERROR(Table1[[#This Row],[Utilization %]]*Table1[[#This Row],[Efficiency %]]*Table1[[#This Row],[Quality %]], "")</f>
        <v>0.81358974358974356</v>
      </c>
    </row>
    <row r="1598" spans="1:18" ht="30" customHeight="1" x14ac:dyDescent="0.25">
      <c r="A1598" s="51">
        <v>46263</v>
      </c>
      <c r="B1598" s="52" t="s">
        <v>18</v>
      </c>
      <c r="C1598" s="52" t="s">
        <v>135</v>
      </c>
      <c r="D1598" s="52" t="s">
        <v>29</v>
      </c>
      <c r="E1598" s="38"/>
      <c r="F1598" s="53"/>
      <c r="G1598" s="53"/>
      <c r="H1598" s="57" t="str">
        <f>IFERROR(Table1[Re-process (Kg)]/Table1[Actual Production (Kg)], "")</f>
        <v/>
      </c>
      <c r="I1598" s="53">
        <f>IFERROR(Table1[[#This Row],[Actual Production (Kg)]]-Table1[[#This Row],[Re-process (Kg)]], "")</f>
        <v>0</v>
      </c>
      <c r="J1598" s="53"/>
      <c r="K1598" s="52"/>
      <c r="L1598" s="53" t="str">
        <f>IF(Table1[[#This Row],[Target Time (Hours)]]="","",Table1[[#This Row],[Target Time (Hours)]]-Table1[[#This Row],[Downtime (Hours)]])</f>
        <v/>
      </c>
      <c r="M1598" s="53" t="str">
        <f>IFERROR(Table1[[#This Row],[Capacity (Kg)]]/Table1[[#This Row],[Target Time (Hours)]] * Table1[[#This Row],[Downtime (Hours)]], "")</f>
        <v/>
      </c>
      <c r="N1598" s="57" t="str">
        <f>IFERROR(Table1[[#This Row],[Running Time (hr)]]/Table1[Target Time (Hours)], "")</f>
        <v/>
      </c>
      <c r="O1598" s="57" t="str">
        <f>IFERROR(Table1[[#This Row],[Actual Production (Kg)]]/Table1[Capacity (Kg)], "")</f>
        <v/>
      </c>
      <c r="P1598" s="57" t="str">
        <f>IFERROR(Table1[[#This Row],[Quality Pass Production]]/Table1[[#This Row],[Actual Production (Kg)]], "")</f>
        <v/>
      </c>
      <c r="Q1598" s="57" t="str">
        <f>IFERROR(Table1[[#This Row],[Utilization %]]*Table1[[#This Row],[Efficiency %]]*Table1[[#This Row],[Quality %]], "")</f>
        <v/>
      </c>
      <c r="R1598" s="52"/>
    </row>
    <row r="1599" spans="1:18" ht="30" customHeight="1" x14ac:dyDescent="0.25">
      <c r="A1599" s="47">
        <v>46263</v>
      </c>
      <c r="B1599" s="48" t="s">
        <v>18</v>
      </c>
      <c r="C1599" s="48" t="s">
        <v>30</v>
      </c>
      <c r="D1599" s="48" t="s">
        <v>31</v>
      </c>
      <c r="E1599" s="30">
        <v>9000</v>
      </c>
      <c r="F1599" s="76">
        <v>7427</v>
      </c>
      <c r="G1599" s="49">
        <v>0</v>
      </c>
      <c r="H1599" s="50">
        <f>IFERROR(Table1[Re-process (Kg)]/Table1[Actual Production (Kg)], "")</f>
        <v>0</v>
      </c>
      <c r="I1599" s="49">
        <f>IFERROR(Table1[[#This Row],[Actual Production (Kg)]]-Table1[[#This Row],[Re-process (Kg)]], "")</f>
        <v>7427</v>
      </c>
      <c r="J1599" s="49">
        <v>22</v>
      </c>
      <c r="K1599" s="72"/>
      <c r="L1599" s="49">
        <f>IF(Table1[[#This Row],[Target Time (Hours)]]="","",Table1[[#This Row],[Target Time (Hours)]]-Table1[[#This Row],[Downtime (Hours)]])</f>
        <v>22</v>
      </c>
      <c r="M1599" s="49">
        <f>IFERROR(Table1[[#This Row],[Capacity (Kg)]]/Table1[[#This Row],[Target Time (Hours)]] * Table1[[#This Row],[Downtime (Hours)]], "")</f>
        <v>0</v>
      </c>
      <c r="N1599" s="50">
        <f>IFERROR(Table1[[#This Row],[Running Time (hr)]]/Table1[Target Time (Hours)], "")</f>
        <v>1</v>
      </c>
      <c r="O1599" s="50">
        <f>IFERROR(Table1[[#This Row],[Actual Production (Kg)]]/Table1[Capacity (Kg)], "")</f>
        <v>0.82522222222222219</v>
      </c>
      <c r="P1599" s="50">
        <f>IFERROR(Table1[[#This Row],[Quality Pass Production]]/Table1[[#This Row],[Actual Production (Kg)]], "")</f>
        <v>1</v>
      </c>
      <c r="Q1599" s="50">
        <f>IFERROR(Table1[[#This Row],[Utilization %]]*Table1[[#This Row],[Efficiency %]]*Table1[[#This Row],[Quality %]], "")</f>
        <v>0.82522222222222219</v>
      </c>
    </row>
    <row r="1600" spans="1:18" ht="30" customHeight="1" x14ac:dyDescent="0.25">
      <c r="A1600" s="51">
        <v>46263</v>
      </c>
      <c r="B1600" s="52" t="s">
        <v>18</v>
      </c>
      <c r="C1600" s="52" t="s">
        <v>32</v>
      </c>
      <c r="D1600" s="52" t="s">
        <v>31</v>
      </c>
      <c r="E1600" s="79"/>
      <c r="F1600" s="53"/>
      <c r="G1600" s="53"/>
      <c r="H1600" s="57" t="str">
        <f>IFERROR(Table1[Re-process (Kg)]/Table1[Actual Production (Kg)], "")</f>
        <v/>
      </c>
      <c r="I1600" s="53">
        <f>IFERROR(Table1[[#This Row],[Actual Production (Kg)]]-Table1[[#This Row],[Re-process (Kg)]], "")</f>
        <v>0</v>
      </c>
      <c r="J1600" s="53"/>
      <c r="K1600" s="52"/>
      <c r="L1600" s="53" t="str">
        <f>IF(Table1[[#This Row],[Target Time (Hours)]]="","",Table1[[#This Row],[Target Time (Hours)]]-Table1[[#This Row],[Downtime (Hours)]])</f>
        <v/>
      </c>
      <c r="M1600" s="53" t="str">
        <f>IFERROR(Table1[[#This Row],[Capacity (Kg)]]/Table1[[#This Row],[Target Time (Hours)]] * Table1[[#This Row],[Downtime (Hours)]], "")</f>
        <v/>
      </c>
      <c r="N1600" s="57" t="str">
        <f>IFERROR(Table1[[#This Row],[Running Time (hr)]]/Table1[Target Time (Hours)], "")</f>
        <v/>
      </c>
      <c r="O1600" s="57" t="str">
        <f>IFERROR(Table1[[#This Row],[Actual Production (Kg)]]/Table1[Capacity (Kg)], "")</f>
        <v/>
      </c>
      <c r="P1600" s="57" t="str">
        <f>IFERROR(Table1[[#This Row],[Quality Pass Production]]/Table1[[#This Row],[Actual Production (Kg)]], "")</f>
        <v/>
      </c>
      <c r="Q1600" s="57" t="str">
        <f>IFERROR(Table1[[#This Row],[Utilization %]]*Table1[[#This Row],[Efficiency %]]*Table1[[#This Row],[Quality %]], "")</f>
        <v/>
      </c>
      <c r="R1600" s="52"/>
    </row>
    <row r="1601" spans="1:18" ht="30" customHeight="1" x14ac:dyDescent="0.25">
      <c r="A1601" s="47">
        <v>46263</v>
      </c>
      <c r="B1601" s="48" t="s">
        <v>33</v>
      </c>
      <c r="C1601" s="48" t="s">
        <v>34</v>
      </c>
      <c r="D1601" s="48" t="s">
        <v>35</v>
      </c>
      <c r="E1601" s="30">
        <v>9000</v>
      </c>
      <c r="F1601" s="76">
        <v>7736</v>
      </c>
      <c r="G1601" s="49">
        <v>0</v>
      </c>
      <c r="H1601" s="50">
        <f>IFERROR(Table1[Re-process (Kg)]/Table1[Actual Production (Kg)], "")</f>
        <v>0</v>
      </c>
      <c r="I1601" s="49">
        <f>IFERROR(Table1[[#This Row],[Actual Production (Kg)]]-Table1[[#This Row],[Re-process (Kg)]], "")</f>
        <v>7736</v>
      </c>
      <c r="J1601" s="49">
        <v>22</v>
      </c>
      <c r="K1601" s="72"/>
      <c r="L1601" s="49">
        <f>IF(Table1[[#This Row],[Target Time (Hours)]]="","",Table1[[#This Row],[Target Time (Hours)]]-Table1[[#This Row],[Downtime (Hours)]])</f>
        <v>22</v>
      </c>
      <c r="M1601" s="49">
        <f>IFERROR(Table1[[#This Row],[Capacity (Kg)]]/Table1[[#This Row],[Target Time (Hours)]] * Table1[[#This Row],[Downtime (Hours)]], "")</f>
        <v>0</v>
      </c>
      <c r="N1601" s="50">
        <f>IFERROR(Table1[[#This Row],[Running Time (hr)]]/Table1[Target Time (Hours)], "")</f>
        <v>1</v>
      </c>
      <c r="O1601" s="50">
        <f>IFERROR(Table1[[#This Row],[Actual Production (Kg)]]/Table1[Capacity (Kg)], "")</f>
        <v>0.85955555555555552</v>
      </c>
      <c r="P1601" s="50">
        <f>IFERROR(Table1[[#This Row],[Quality Pass Production]]/Table1[[#This Row],[Actual Production (Kg)]], "")</f>
        <v>1</v>
      </c>
      <c r="Q1601" s="50">
        <f>IFERROR(Table1[[#This Row],[Utilization %]]*Table1[[#This Row],[Efficiency %]]*Table1[[#This Row],[Quality %]], "")</f>
        <v>0.85955555555555552</v>
      </c>
    </row>
    <row r="1602" spans="1:18" ht="30" customHeight="1" x14ac:dyDescent="0.25">
      <c r="A1602" s="47">
        <v>46263</v>
      </c>
      <c r="B1602" s="48" t="s">
        <v>33</v>
      </c>
      <c r="C1602" s="48" t="s">
        <v>36</v>
      </c>
      <c r="D1602" s="48" t="s">
        <v>37</v>
      </c>
      <c r="E1602" s="34">
        <v>8000</v>
      </c>
      <c r="F1602" s="76">
        <v>8217</v>
      </c>
      <c r="G1602" s="49">
        <v>0</v>
      </c>
      <c r="H1602" s="50">
        <f>IFERROR(Table1[Re-process (Kg)]/Table1[Actual Production (Kg)], "")</f>
        <v>0</v>
      </c>
      <c r="I1602" s="49">
        <f>IFERROR(Table1[[#This Row],[Actual Production (Kg)]]-Table1[[#This Row],[Re-process (Kg)]], "")</f>
        <v>8217</v>
      </c>
      <c r="J1602" s="49">
        <v>22</v>
      </c>
      <c r="K1602" s="72">
        <v>1.5</v>
      </c>
      <c r="L1602" s="49">
        <f>IF(Table1[[#This Row],[Target Time (Hours)]]="","",Table1[[#This Row],[Target Time (Hours)]]-Table1[[#This Row],[Downtime (Hours)]])</f>
        <v>20.5</v>
      </c>
      <c r="M1602" s="49">
        <f>IFERROR(Table1[[#This Row],[Capacity (Kg)]]/Table1[[#This Row],[Target Time (Hours)]] * Table1[[#This Row],[Downtime (Hours)]], "")</f>
        <v>545.4545454545455</v>
      </c>
      <c r="N1602" s="50">
        <f>IFERROR(Table1[[#This Row],[Running Time (hr)]]/Table1[Target Time (Hours)], "")</f>
        <v>0.93181818181818177</v>
      </c>
      <c r="O1602" s="50">
        <f>IFERROR(Table1[[#This Row],[Actual Production (Kg)]]/Table1[Capacity (Kg)], "")</f>
        <v>1.0271250000000001</v>
      </c>
      <c r="P1602" s="50">
        <f>IFERROR(Table1[[#This Row],[Quality Pass Production]]/Table1[[#This Row],[Actual Production (Kg)]], "")</f>
        <v>1</v>
      </c>
      <c r="Q1602" s="50">
        <f>IFERROR(Table1[[#This Row],[Utilization %]]*Table1[[#This Row],[Efficiency %]]*Table1[[#This Row],[Quality %]], "")</f>
        <v>0.95709374999999997</v>
      </c>
      <c r="R1602" s="48" t="s">
        <v>421</v>
      </c>
    </row>
    <row r="1603" spans="1:18" ht="30" customHeight="1" x14ac:dyDescent="0.25">
      <c r="A1603" s="47">
        <v>46263</v>
      </c>
      <c r="B1603" s="48" t="s">
        <v>33</v>
      </c>
      <c r="C1603" s="48" t="s">
        <v>39</v>
      </c>
      <c r="D1603" s="48" t="s">
        <v>31</v>
      </c>
      <c r="E1603" s="30">
        <v>6000</v>
      </c>
      <c r="F1603" s="76">
        <v>2901</v>
      </c>
      <c r="G1603" s="49">
        <v>0</v>
      </c>
      <c r="H1603" s="50">
        <f>IFERROR(Table1[Re-process (Kg)]/Table1[Actual Production (Kg)], "")</f>
        <v>0</v>
      </c>
      <c r="I1603" s="49">
        <f>IFERROR(Table1[[#This Row],[Actual Production (Kg)]]-Table1[[#This Row],[Re-process (Kg)]], "")</f>
        <v>2901</v>
      </c>
      <c r="J1603" s="49">
        <v>22</v>
      </c>
      <c r="K1603" s="72">
        <v>4.8499999999999996</v>
      </c>
      <c r="L1603" s="49">
        <f>IF(Table1[[#This Row],[Target Time (Hours)]]="","",Table1[[#This Row],[Target Time (Hours)]]-Table1[[#This Row],[Downtime (Hours)]])</f>
        <v>17.149999999999999</v>
      </c>
      <c r="M1603" s="49">
        <f>IFERROR(Table1[[#This Row],[Capacity (Kg)]]/Table1[[#This Row],[Target Time (Hours)]] * Table1[[#This Row],[Downtime (Hours)]], "")</f>
        <v>1322.7272727272727</v>
      </c>
      <c r="N1603" s="50">
        <f>IFERROR(Table1[[#This Row],[Running Time (hr)]]/Table1[Target Time (Hours)], "")</f>
        <v>0.77954545454545443</v>
      </c>
      <c r="O1603" s="50">
        <f>IFERROR(Table1[[#This Row],[Actual Production (Kg)]]/Table1[Capacity (Kg)], "")</f>
        <v>0.48349999999999999</v>
      </c>
      <c r="P1603" s="50">
        <f>IFERROR(Table1[[#This Row],[Quality Pass Production]]/Table1[[#This Row],[Actual Production (Kg)]], "")</f>
        <v>1</v>
      </c>
      <c r="Q1603" s="50">
        <f>IFERROR(Table1[[#This Row],[Utilization %]]*Table1[[#This Row],[Efficiency %]]*Table1[[#This Row],[Quality %]], "")</f>
        <v>0.37691022727272722</v>
      </c>
      <c r="R1603" s="48" t="s">
        <v>424</v>
      </c>
    </row>
    <row r="1604" spans="1:18" ht="45" customHeight="1" x14ac:dyDescent="0.25">
      <c r="A1604" s="54">
        <v>46263</v>
      </c>
      <c r="B1604" s="55" t="s">
        <v>33</v>
      </c>
      <c r="C1604" s="55" t="s">
        <v>40</v>
      </c>
      <c r="D1604" s="55" t="s">
        <v>31</v>
      </c>
      <c r="E1604" s="43">
        <v>5000</v>
      </c>
      <c r="F1604" s="56">
        <v>4386</v>
      </c>
      <c r="G1604" s="56">
        <v>0</v>
      </c>
      <c r="H1604" s="58">
        <f>IFERROR(Table1[Re-process (Kg)]/Table1[Actual Production (Kg)], "")</f>
        <v>0</v>
      </c>
      <c r="I1604" s="56">
        <f>IFERROR(Table1[[#This Row],[Actual Production (Kg)]]-Table1[[#This Row],[Re-process (Kg)]], "")</f>
        <v>4386</v>
      </c>
      <c r="J1604" s="56">
        <v>22</v>
      </c>
      <c r="K1604" s="55"/>
      <c r="L1604" s="56">
        <f>IF(Table1[[#This Row],[Target Time (Hours)]]="","",Table1[[#This Row],[Target Time (Hours)]]-Table1[[#This Row],[Downtime (Hours)]])</f>
        <v>22</v>
      </c>
      <c r="M1604" s="56">
        <f>IFERROR(Table1[[#This Row],[Capacity (Kg)]]/Table1[[#This Row],[Target Time (Hours)]] * Table1[[#This Row],[Downtime (Hours)]], "")</f>
        <v>0</v>
      </c>
      <c r="N1604" s="58">
        <f>IFERROR(Table1[[#This Row],[Running Time (hr)]]/Table1[Target Time (Hours)], "")</f>
        <v>1</v>
      </c>
      <c r="O1604" s="58">
        <f>IFERROR(Table1[[#This Row],[Actual Production (Kg)]]/Table1[Capacity (Kg)], "")</f>
        <v>0.87719999999999998</v>
      </c>
      <c r="P1604" s="58">
        <f>IFERROR(Table1[[#This Row],[Quality Pass Production]]/Table1[[#This Row],[Actual Production (Kg)]], "")</f>
        <v>1</v>
      </c>
      <c r="Q1604" s="58">
        <f>IFERROR(Table1[[#This Row],[Utilization %]]*Table1[[#This Row],[Efficiency %]]*Table1[[#This Row],[Quality %]], "")</f>
        <v>0.87719999999999998</v>
      </c>
      <c r="R1604" s="55"/>
    </row>
    <row r="1605" spans="1:18" ht="45" customHeight="1" x14ac:dyDescent="0.25">
      <c r="A1605" s="47">
        <v>46264</v>
      </c>
      <c r="B1605" s="48" t="s">
        <v>18</v>
      </c>
      <c r="C1605" s="48" t="s">
        <v>19</v>
      </c>
      <c r="D1605" s="48" t="s">
        <v>20</v>
      </c>
      <c r="E1605" s="34">
        <v>10000</v>
      </c>
      <c r="F1605" s="76">
        <v>7805</v>
      </c>
      <c r="G1605" s="49">
        <v>0</v>
      </c>
      <c r="H1605" s="50">
        <f>IFERROR(Table1[Re-process (Kg)]/Table1[Actual Production (Kg)], "")</f>
        <v>0</v>
      </c>
      <c r="I1605" s="49">
        <f>IFERROR(Table1[[#This Row],[Actual Production (Kg)]]-Table1[[#This Row],[Re-process (Kg)]], "")</f>
        <v>7805</v>
      </c>
      <c r="J1605" s="49">
        <v>22</v>
      </c>
      <c r="K1605" s="72">
        <v>2.15</v>
      </c>
      <c r="L1605" s="49">
        <f>IF(Table1[[#This Row],[Target Time (Hours)]]="","",Table1[[#This Row],[Target Time (Hours)]]-Table1[[#This Row],[Downtime (Hours)]])</f>
        <v>19.850000000000001</v>
      </c>
      <c r="M1605" s="49">
        <f>IFERROR(Table1[[#This Row],[Capacity (Kg)]]/Table1[[#This Row],[Target Time (Hours)]] * Table1[[#This Row],[Downtime (Hours)]], "")</f>
        <v>977.27272727272725</v>
      </c>
      <c r="N1605" s="50">
        <f>IFERROR(Table1[[#This Row],[Running Time (hr)]]/Table1[Target Time (Hours)], "")</f>
        <v>0.90227272727272734</v>
      </c>
      <c r="O1605" s="50">
        <f>IFERROR(Table1[[#This Row],[Actual Production (Kg)]]/Table1[Capacity (Kg)], "")</f>
        <v>0.78049999999999997</v>
      </c>
      <c r="P1605" s="50">
        <f>IFERROR(Table1[[#This Row],[Quality Pass Production]]/Table1[[#This Row],[Actual Production (Kg)]], "")</f>
        <v>1</v>
      </c>
      <c r="Q1605" s="50">
        <f>IFERROR(Table1[[#This Row],[Utilization %]]*Table1[[#This Row],[Efficiency %]]*Table1[[#This Row],[Quality %]], "")</f>
        <v>0.70422386363636369</v>
      </c>
      <c r="R1605" s="48" t="s">
        <v>425</v>
      </c>
    </row>
    <row r="1606" spans="1:18" x14ac:dyDescent="0.25">
      <c r="A1606" s="51">
        <v>46264</v>
      </c>
      <c r="B1606" s="52" t="s">
        <v>18</v>
      </c>
      <c r="C1606" s="52" t="s">
        <v>238</v>
      </c>
      <c r="D1606" s="52" t="s">
        <v>20</v>
      </c>
      <c r="E1606" s="79">
        <v>9508</v>
      </c>
      <c r="F1606" s="53">
        <v>9508</v>
      </c>
      <c r="G1606" s="53">
        <v>0</v>
      </c>
      <c r="H1606" s="57">
        <f>IFERROR(Table1[Re-process (Kg)]/Table1[Actual Production (Kg)], "")</f>
        <v>0</v>
      </c>
      <c r="I1606" s="53">
        <f>IFERROR(Table1[[#This Row],[Actual Production (Kg)]]-Table1[[#This Row],[Re-process (Kg)]], "")</f>
        <v>9508</v>
      </c>
      <c r="J1606" s="53"/>
      <c r="K1606" s="52"/>
      <c r="L1606" s="53" t="str">
        <f>IF(Table1[[#This Row],[Target Time (Hours)]]="","",Table1[[#This Row],[Target Time (Hours)]]-Table1[[#This Row],[Downtime (Hours)]])</f>
        <v/>
      </c>
      <c r="M1606" s="53" t="str">
        <f>IFERROR(Table1[[#This Row],[Capacity (Kg)]]/Table1[[#This Row],[Target Time (Hours)]] * Table1[[#This Row],[Downtime (Hours)]], "")</f>
        <v/>
      </c>
      <c r="N1606" s="57" t="str">
        <f>IFERROR(Table1[[#This Row],[Running Time (hr)]]/Table1[Target Time (Hours)], "")</f>
        <v/>
      </c>
      <c r="O1606" s="57">
        <f>IFERROR(Table1[[#This Row],[Actual Production (Kg)]]/Table1[Capacity (Kg)], "")</f>
        <v>1</v>
      </c>
      <c r="P1606" s="57">
        <f>IFERROR(Table1[[#This Row],[Quality Pass Production]]/Table1[[#This Row],[Actual Production (Kg)]], "")</f>
        <v>1</v>
      </c>
      <c r="Q1606" s="57" t="str">
        <f>IFERROR(Table1[[#This Row],[Utilization %]]*Table1[[#This Row],[Efficiency %]]*Table1[[#This Row],[Quality %]], "")</f>
        <v/>
      </c>
      <c r="R1606" s="52"/>
    </row>
    <row r="1607" spans="1:18" x14ac:dyDescent="0.25">
      <c r="A1607" s="47">
        <v>46264</v>
      </c>
      <c r="B1607" s="48" t="s">
        <v>18</v>
      </c>
      <c r="C1607" s="48" t="s">
        <v>22</v>
      </c>
      <c r="D1607" s="48" t="s">
        <v>23</v>
      </c>
      <c r="E1607" s="34">
        <v>5000</v>
      </c>
      <c r="F1607" s="76">
        <v>6866</v>
      </c>
      <c r="G1607" s="49">
        <v>0</v>
      </c>
      <c r="H1607" s="50">
        <f>IFERROR(Table1[Re-process (Kg)]/Table1[Actual Production (Kg)], "")</f>
        <v>0</v>
      </c>
      <c r="I1607" s="49">
        <f>IFERROR(Table1[[#This Row],[Actual Production (Kg)]]-Table1[[#This Row],[Re-process (Kg)]], "")</f>
        <v>6866</v>
      </c>
      <c r="J1607" s="49">
        <v>22</v>
      </c>
      <c r="K1607" s="72"/>
      <c r="L1607" s="49">
        <f>IF(Table1[[#This Row],[Target Time (Hours)]]="","",Table1[[#This Row],[Target Time (Hours)]]-Table1[[#This Row],[Downtime (Hours)]])</f>
        <v>22</v>
      </c>
      <c r="M1607" s="49">
        <f>IFERROR(Table1[[#This Row],[Capacity (Kg)]]/Table1[[#This Row],[Target Time (Hours)]] * Table1[[#This Row],[Downtime (Hours)]], "")</f>
        <v>0</v>
      </c>
      <c r="N1607" s="50">
        <f>IFERROR(Table1[[#This Row],[Running Time (hr)]]/Table1[Target Time (Hours)], "")</f>
        <v>1</v>
      </c>
      <c r="O1607" s="50">
        <f>IFERROR(Table1[[#This Row],[Actual Production (Kg)]]/Table1[Capacity (Kg)], "")</f>
        <v>1.3732</v>
      </c>
      <c r="P1607" s="50">
        <f>IFERROR(Table1[[#This Row],[Quality Pass Production]]/Table1[[#This Row],[Actual Production (Kg)]], "")</f>
        <v>1</v>
      </c>
      <c r="Q1607" s="50">
        <f>IFERROR(Table1[[#This Row],[Utilization %]]*Table1[[#This Row],[Efficiency %]]*Table1[[#This Row],[Quality %]], "")</f>
        <v>1.3732</v>
      </c>
    </row>
    <row r="1608" spans="1:18" x14ac:dyDescent="0.25">
      <c r="A1608" s="47">
        <v>46264</v>
      </c>
      <c r="B1608" s="48" t="s">
        <v>18</v>
      </c>
      <c r="C1608" s="48" t="s">
        <v>22</v>
      </c>
      <c r="D1608" s="48" t="s">
        <v>25</v>
      </c>
      <c r="E1608" s="30">
        <v>4000</v>
      </c>
      <c r="F1608" s="76">
        <v>1976</v>
      </c>
      <c r="G1608" s="49">
        <v>0</v>
      </c>
      <c r="H1608" s="50">
        <f>IFERROR(Table1[Re-process (Kg)]/Table1[Actual Production (Kg)], "")</f>
        <v>0</v>
      </c>
      <c r="I1608" s="49">
        <f>IFERROR(Table1[[#This Row],[Actual Production (Kg)]]-Table1[[#This Row],[Re-process (Kg)]], "")</f>
        <v>1976</v>
      </c>
      <c r="J1608" s="49"/>
      <c r="K1608" s="72"/>
      <c r="L1608" s="49" t="str">
        <f>IF(Table1[[#This Row],[Target Time (Hours)]]="","",Table1[[#This Row],[Target Time (Hours)]]-Table1[[#This Row],[Downtime (Hours)]])</f>
        <v/>
      </c>
      <c r="M1608" s="49" t="str">
        <f>IFERROR(Table1[[#This Row],[Capacity (Kg)]]/Table1[[#This Row],[Target Time (Hours)]] * Table1[[#This Row],[Downtime (Hours)]], "")</f>
        <v/>
      </c>
      <c r="N1608" s="50" t="str">
        <f>IFERROR(Table1[[#This Row],[Running Time (hr)]]/Table1[Target Time (Hours)], "")</f>
        <v/>
      </c>
      <c r="O1608" s="50">
        <f>IFERROR(Table1[[#This Row],[Actual Production (Kg)]]/Table1[Capacity (Kg)], "")</f>
        <v>0.49399999999999999</v>
      </c>
      <c r="P1608" s="50">
        <f>IFERROR(Table1[[#This Row],[Quality Pass Production]]/Table1[[#This Row],[Actual Production (Kg)]], "")</f>
        <v>1</v>
      </c>
      <c r="Q1608" s="50" t="str">
        <f>IFERROR(Table1[[#This Row],[Utilization %]]*Table1[[#This Row],[Efficiency %]]*Table1[[#This Row],[Quality %]], "")</f>
        <v/>
      </c>
    </row>
    <row r="1609" spans="1:18" x14ac:dyDescent="0.25">
      <c r="A1609" s="47">
        <v>46264</v>
      </c>
      <c r="B1609" s="48" t="s">
        <v>18</v>
      </c>
      <c r="C1609" s="48" t="s">
        <v>26</v>
      </c>
      <c r="D1609" s="48" t="s">
        <v>25</v>
      </c>
      <c r="E1609" s="34">
        <v>7000</v>
      </c>
      <c r="F1609" s="76">
        <v>7670</v>
      </c>
      <c r="G1609" s="49">
        <v>0</v>
      </c>
      <c r="H1609" s="50">
        <f>IFERROR(Table1[Re-process (Kg)]/Table1[Actual Production (Kg)], "")</f>
        <v>0</v>
      </c>
      <c r="I1609" s="49">
        <f>IFERROR(Table1[[#This Row],[Actual Production (Kg)]]-Table1[[#This Row],[Re-process (Kg)]], "")</f>
        <v>7670</v>
      </c>
      <c r="J1609" s="49">
        <v>22</v>
      </c>
      <c r="K1609" s="72"/>
      <c r="L1609" s="49">
        <f>IF(Table1[[#This Row],[Target Time (Hours)]]="","",Table1[[#This Row],[Target Time (Hours)]]-Table1[[#This Row],[Downtime (Hours)]])</f>
        <v>22</v>
      </c>
      <c r="M1609" s="49">
        <f>IFERROR(Table1[[#This Row],[Capacity (Kg)]]/Table1[[#This Row],[Target Time (Hours)]] * Table1[[#This Row],[Downtime (Hours)]], "")</f>
        <v>0</v>
      </c>
      <c r="N1609" s="50">
        <f>IFERROR(Table1[[#This Row],[Running Time (hr)]]/Table1[Target Time (Hours)], "")</f>
        <v>1</v>
      </c>
      <c r="O1609" s="50">
        <f>IFERROR(Table1[[#This Row],[Actual Production (Kg)]]/Table1[Capacity (Kg)], "")</f>
        <v>1.0957142857142856</v>
      </c>
      <c r="P1609" s="50">
        <f>IFERROR(Table1[[#This Row],[Quality Pass Production]]/Table1[[#This Row],[Actual Production (Kg)]], "")</f>
        <v>1</v>
      </c>
      <c r="Q1609" s="50">
        <f>IFERROR(Table1[[#This Row],[Utilization %]]*Table1[[#This Row],[Efficiency %]]*Table1[[#This Row],[Quality %]], "")</f>
        <v>1.0957142857142856</v>
      </c>
    </row>
    <row r="1610" spans="1:18" ht="30" customHeight="1" x14ac:dyDescent="0.25">
      <c r="A1610" s="47">
        <v>46264</v>
      </c>
      <c r="B1610" s="48" t="s">
        <v>18</v>
      </c>
      <c r="C1610" s="48" t="s">
        <v>28</v>
      </c>
      <c r="D1610" s="48" t="s">
        <v>29</v>
      </c>
      <c r="E1610" s="30">
        <v>7800</v>
      </c>
      <c r="F1610" s="76">
        <v>7201</v>
      </c>
      <c r="G1610" s="49">
        <v>0</v>
      </c>
      <c r="H1610" s="50">
        <f>IFERROR(Table1[Re-process (Kg)]/Table1[Actual Production (Kg)], "")</f>
        <v>0</v>
      </c>
      <c r="I1610" s="49">
        <f>IFERROR(Table1[[#This Row],[Actual Production (Kg)]]-Table1[[#This Row],[Re-process (Kg)]], "")</f>
        <v>7201</v>
      </c>
      <c r="J1610" s="49">
        <v>22</v>
      </c>
      <c r="K1610" s="72">
        <v>2</v>
      </c>
      <c r="L1610" s="49">
        <f>IF(Table1[[#This Row],[Target Time (Hours)]]="","",Table1[[#This Row],[Target Time (Hours)]]-Table1[[#This Row],[Downtime (Hours)]])</f>
        <v>20</v>
      </c>
      <c r="M1610" s="49">
        <f>IFERROR(Table1[[#This Row],[Capacity (Kg)]]/Table1[[#This Row],[Target Time (Hours)]] * Table1[[#This Row],[Downtime (Hours)]], "")</f>
        <v>709.09090909090912</v>
      </c>
      <c r="N1610" s="50">
        <f>IFERROR(Table1[[#This Row],[Running Time (hr)]]/Table1[Target Time (Hours)], "")</f>
        <v>0.90909090909090906</v>
      </c>
      <c r="O1610" s="50">
        <f>IFERROR(Table1[[#This Row],[Actual Production (Kg)]]/Table1[Capacity (Kg)], "")</f>
        <v>0.92320512820512823</v>
      </c>
      <c r="P1610" s="50">
        <f>IFERROR(Table1[[#This Row],[Quality Pass Production]]/Table1[[#This Row],[Actual Production (Kg)]], "")</f>
        <v>1</v>
      </c>
      <c r="Q1610" s="50">
        <f>IFERROR(Table1[[#This Row],[Utilization %]]*Table1[[#This Row],[Efficiency %]]*Table1[[#This Row],[Quality %]], "")</f>
        <v>0.83927738927738926</v>
      </c>
      <c r="R1610" s="48" t="s">
        <v>426</v>
      </c>
    </row>
    <row r="1611" spans="1:18" ht="30" customHeight="1" x14ac:dyDescent="0.25">
      <c r="A1611" s="51">
        <v>46264</v>
      </c>
      <c r="B1611" s="52" t="s">
        <v>18</v>
      </c>
      <c r="C1611" s="52" t="s">
        <v>135</v>
      </c>
      <c r="D1611" s="52" t="s">
        <v>29</v>
      </c>
      <c r="E1611" s="38"/>
      <c r="F1611" s="53"/>
      <c r="G1611" s="53"/>
      <c r="H1611" s="57" t="str">
        <f>IFERROR(Table1[Re-process (Kg)]/Table1[Actual Production (Kg)], "")</f>
        <v/>
      </c>
      <c r="I1611" s="53">
        <f>IFERROR(Table1[[#This Row],[Actual Production (Kg)]]-Table1[[#This Row],[Re-process (Kg)]], "")</f>
        <v>0</v>
      </c>
      <c r="J1611" s="53"/>
      <c r="K1611" s="52"/>
      <c r="L1611" s="53" t="str">
        <f>IF(Table1[[#This Row],[Target Time (Hours)]]="","",Table1[[#This Row],[Target Time (Hours)]]-Table1[[#This Row],[Downtime (Hours)]])</f>
        <v/>
      </c>
      <c r="M1611" s="53" t="str">
        <f>IFERROR(Table1[[#This Row],[Capacity (Kg)]]/Table1[[#This Row],[Target Time (Hours)]] * Table1[[#This Row],[Downtime (Hours)]], "")</f>
        <v/>
      </c>
      <c r="N1611" s="57" t="str">
        <f>IFERROR(Table1[[#This Row],[Running Time (hr)]]/Table1[Target Time (Hours)], "")</f>
        <v/>
      </c>
      <c r="O1611" s="57" t="str">
        <f>IFERROR(Table1[[#This Row],[Actual Production (Kg)]]/Table1[Capacity (Kg)], "")</f>
        <v/>
      </c>
      <c r="P1611" s="57" t="str">
        <f>IFERROR(Table1[[#This Row],[Quality Pass Production]]/Table1[[#This Row],[Actual Production (Kg)]], "")</f>
        <v/>
      </c>
      <c r="Q1611" s="57" t="str">
        <f>IFERROR(Table1[[#This Row],[Utilization %]]*Table1[[#This Row],[Efficiency %]]*Table1[[#This Row],[Quality %]], "")</f>
        <v/>
      </c>
      <c r="R1611" s="52"/>
    </row>
    <row r="1612" spans="1:18" ht="30" customHeight="1" x14ac:dyDescent="0.25">
      <c r="A1612" s="47">
        <v>46264</v>
      </c>
      <c r="B1612" s="48" t="s">
        <v>18</v>
      </c>
      <c r="C1612" s="48" t="s">
        <v>30</v>
      </c>
      <c r="D1612" s="48" t="s">
        <v>31</v>
      </c>
      <c r="E1612" s="30">
        <v>9000</v>
      </c>
      <c r="F1612" s="76">
        <v>5757</v>
      </c>
      <c r="G1612" s="49">
        <v>0</v>
      </c>
      <c r="H1612" s="50">
        <f>IFERROR(Table1[Re-process (Kg)]/Table1[Actual Production (Kg)], "")</f>
        <v>0</v>
      </c>
      <c r="I1612" s="49">
        <f>IFERROR(Table1[[#This Row],[Actual Production (Kg)]]-Table1[[#This Row],[Re-process (Kg)]], "")</f>
        <v>5757</v>
      </c>
      <c r="J1612" s="49">
        <v>22</v>
      </c>
      <c r="K1612" s="72"/>
      <c r="L1612" s="49">
        <f>IF(Table1[[#This Row],[Target Time (Hours)]]="","",Table1[[#This Row],[Target Time (Hours)]]-Table1[[#This Row],[Downtime (Hours)]])</f>
        <v>22</v>
      </c>
      <c r="M1612" s="49">
        <f>IFERROR(Table1[[#This Row],[Capacity (Kg)]]/Table1[[#This Row],[Target Time (Hours)]] * Table1[[#This Row],[Downtime (Hours)]], "")</f>
        <v>0</v>
      </c>
      <c r="N1612" s="50">
        <f>IFERROR(Table1[[#This Row],[Running Time (hr)]]/Table1[Target Time (Hours)], "")</f>
        <v>1</v>
      </c>
      <c r="O1612" s="50">
        <f>IFERROR(Table1[[#This Row],[Actual Production (Kg)]]/Table1[Capacity (Kg)], "")</f>
        <v>0.63966666666666672</v>
      </c>
      <c r="P1612" s="50">
        <f>IFERROR(Table1[[#This Row],[Quality Pass Production]]/Table1[[#This Row],[Actual Production (Kg)]], "")</f>
        <v>1</v>
      </c>
      <c r="Q1612" s="50">
        <f>IFERROR(Table1[[#This Row],[Utilization %]]*Table1[[#This Row],[Efficiency %]]*Table1[[#This Row],[Quality %]], "")</f>
        <v>0.63966666666666672</v>
      </c>
    </row>
    <row r="1613" spans="1:18" ht="30" customHeight="1" x14ac:dyDescent="0.25">
      <c r="A1613" s="51">
        <v>46264</v>
      </c>
      <c r="B1613" s="52" t="s">
        <v>18</v>
      </c>
      <c r="C1613" s="52" t="s">
        <v>32</v>
      </c>
      <c r="D1613" s="52" t="s">
        <v>31</v>
      </c>
      <c r="E1613" s="79"/>
      <c r="F1613" s="53"/>
      <c r="G1613" s="53"/>
      <c r="H1613" s="57" t="str">
        <f>IFERROR(Table1[Re-process (Kg)]/Table1[Actual Production (Kg)], "")</f>
        <v/>
      </c>
      <c r="I1613" s="53">
        <f>IFERROR(Table1[[#This Row],[Actual Production (Kg)]]-Table1[[#This Row],[Re-process (Kg)]], "")</f>
        <v>0</v>
      </c>
      <c r="J1613" s="53"/>
      <c r="K1613" s="52"/>
      <c r="L1613" s="53" t="str">
        <f>IF(Table1[[#This Row],[Target Time (Hours)]]="","",Table1[[#This Row],[Target Time (Hours)]]-Table1[[#This Row],[Downtime (Hours)]])</f>
        <v/>
      </c>
      <c r="M1613" s="53" t="str">
        <f>IFERROR(Table1[[#This Row],[Capacity (Kg)]]/Table1[[#This Row],[Target Time (Hours)]] * Table1[[#This Row],[Downtime (Hours)]], "")</f>
        <v/>
      </c>
      <c r="N1613" s="57" t="str">
        <f>IFERROR(Table1[[#This Row],[Running Time (hr)]]/Table1[Target Time (Hours)], "")</f>
        <v/>
      </c>
      <c r="O1613" s="57" t="str">
        <f>IFERROR(Table1[[#This Row],[Actual Production (Kg)]]/Table1[Capacity (Kg)], "")</f>
        <v/>
      </c>
      <c r="P1613" s="57" t="str">
        <f>IFERROR(Table1[[#This Row],[Quality Pass Production]]/Table1[[#This Row],[Actual Production (Kg)]], "")</f>
        <v/>
      </c>
      <c r="Q1613" s="57" t="str">
        <f>IFERROR(Table1[[#This Row],[Utilization %]]*Table1[[#This Row],[Efficiency %]]*Table1[[#This Row],[Quality %]], "")</f>
        <v/>
      </c>
      <c r="R1613" s="52"/>
    </row>
    <row r="1614" spans="1:18" ht="45" customHeight="1" x14ac:dyDescent="0.25">
      <c r="A1614" s="47">
        <v>46264</v>
      </c>
      <c r="B1614" s="48" t="s">
        <v>33</v>
      </c>
      <c r="C1614" s="48" t="s">
        <v>34</v>
      </c>
      <c r="D1614" s="48" t="s">
        <v>35</v>
      </c>
      <c r="E1614" s="30">
        <v>9000</v>
      </c>
      <c r="F1614" s="76">
        <v>7535</v>
      </c>
      <c r="G1614" s="49">
        <v>0</v>
      </c>
      <c r="H1614" s="50">
        <f>IFERROR(Table1[Re-process (Kg)]/Table1[Actual Production (Kg)], "")</f>
        <v>0</v>
      </c>
      <c r="I1614" s="49">
        <f>IFERROR(Table1[[#This Row],[Actual Production (Kg)]]-Table1[[#This Row],[Re-process (Kg)]], "")</f>
        <v>7535</v>
      </c>
      <c r="J1614" s="49">
        <v>22</v>
      </c>
      <c r="K1614" s="72">
        <v>3.65</v>
      </c>
      <c r="L1614" s="49">
        <f>IF(Table1[[#This Row],[Target Time (Hours)]]="","",Table1[[#This Row],[Target Time (Hours)]]-Table1[[#This Row],[Downtime (Hours)]])</f>
        <v>18.350000000000001</v>
      </c>
      <c r="M1614" s="49">
        <f>IFERROR(Table1[[#This Row],[Capacity (Kg)]]/Table1[[#This Row],[Target Time (Hours)]] * Table1[[#This Row],[Downtime (Hours)]], "")</f>
        <v>1493.181818181818</v>
      </c>
      <c r="N1614" s="50">
        <f>IFERROR(Table1[[#This Row],[Running Time (hr)]]/Table1[Target Time (Hours)], "")</f>
        <v>0.83409090909090911</v>
      </c>
      <c r="O1614" s="50">
        <f>IFERROR(Table1[[#This Row],[Actual Production (Kg)]]/Table1[Capacity (Kg)], "")</f>
        <v>0.8372222222222222</v>
      </c>
      <c r="P1614" s="50">
        <f>IFERROR(Table1[[#This Row],[Quality Pass Production]]/Table1[[#This Row],[Actual Production (Kg)]], "")</f>
        <v>1</v>
      </c>
      <c r="Q1614" s="50">
        <f>IFERROR(Table1[[#This Row],[Utilization %]]*Table1[[#This Row],[Efficiency %]]*Table1[[#This Row],[Quality %]], "")</f>
        <v>0.69831944444444449</v>
      </c>
      <c r="R1614" s="48" t="s">
        <v>427</v>
      </c>
    </row>
    <row r="1615" spans="1:18" ht="30" customHeight="1" x14ac:dyDescent="0.25">
      <c r="A1615" s="47">
        <v>46264</v>
      </c>
      <c r="B1615" s="48" t="s">
        <v>33</v>
      </c>
      <c r="C1615" s="48" t="s">
        <v>36</v>
      </c>
      <c r="D1615" s="48" t="s">
        <v>37</v>
      </c>
      <c r="E1615" s="34">
        <v>8000</v>
      </c>
      <c r="F1615" s="76">
        <v>8459</v>
      </c>
      <c r="G1615" s="49">
        <v>0</v>
      </c>
      <c r="H1615" s="50">
        <f>IFERROR(Table1[Re-process (Kg)]/Table1[Actual Production (Kg)], "")</f>
        <v>0</v>
      </c>
      <c r="I1615" s="49">
        <f>IFERROR(Table1[[#This Row],[Actual Production (Kg)]]-Table1[[#This Row],[Re-process (Kg)]], "")</f>
        <v>8459</v>
      </c>
      <c r="J1615" s="49">
        <v>22</v>
      </c>
      <c r="K1615" s="72">
        <v>1.5</v>
      </c>
      <c r="L1615" s="49">
        <f>IF(Table1[[#This Row],[Target Time (Hours)]]="","",Table1[[#This Row],[Target Time (Hours)]]-Table1[[#This Row],[Downtime (Hours)]])</f>
        <v>20.5</v>
      </c>
      <c r="M1615" s="49">
        <f>IFERROR(Table1[[#This Row],[Capacity (Kg)]]/Table1[[#This Row],[Target Time (Hours)]] * Table1[[#This Row],[Downtime (Hours)]], "")</f>
        <v>545.4545454545455</v>
      </c>
      <c r="N1615" s="50">
        <f>IFERROR(Table1[[#This Row],[Running Time (hr)]]/Table1[Target Time (Hours)], "")</f>
        <v>0.93181818181818177</v>
      </c>
      <c r="O1615" s="50">
        <f>IFERROR(Table1[[#This Row],[Actual Production (Kg)]]/Table1[Capacity (Kg)], "")</f>
        <v>1.057375</v>
      </c>
      <c r="P1615" s="50">
        <f>IFERROR(Table1[[#This Row],[Quality Pass Production]]/Table1[[#This Row],[Actual Production (Kg)]], "")</f>
        <v>1</v>
      </c>
      <c r="Q1615" s="50">
        <f>IFERROR(Table1[[#This Row],[Utilization %]]*Table1[[#This Row],[Efficiency %]]*Table1[[#This Row],[Quality %]], "")</f>
        <v>0.98528124999999989</v>
      </c>
      <c r="R1615" s="48" t="s">
        <v>421</v>
      </c>
    </row>
    <row r="1616" spans="1:18" ht="30" customHeight="1" x14ac:dyDescent="0.25">
      <c r="A1616" s="47">
        <v>46264</v>
      </c>
      <c r="B1616" s="48" t="s">
        <v>33</v>
      </c>
      <c r="C1616" s="48" t="s">
        <v>39</v>
      </c>
      <c r="D1616" s="48" t="s">
        <v>31</v>
      </c>
      <c r="E1616" s="30">
        <v>6000</v>
      </c>
      <c r="F1616" s="76">
        <v>3854</v>
      </c>
      <c r="G1616" s="49">
        <v>0</v>
      </c>
      <c r="H1616" s="50">
        <f>IFERROR(Table1[Re-process (Kg)]/Table1[Actual Production (Kg)], "")</f>
        <v>0</v>
      </c>
      <c r="I1616" s="49">
        <f>IFERROR(Table1[[#This Row],[Actual Production (Kg)]]-Table1[[#This Row],[Re-process (Kg)]], "")</f>
        <v>3854</v>
      </c>
      <c r="J1616" s="49">
        <v>22</v>
      </c>
      <c r="K1616" s="72"/>
      <c r="L1616" s="49">
        <f>IF(Table1[[#This Row],[Target Time (Hours)]]="","",Table1[[#This Row],[Target Time (Hours)]]-Table1[[#This Row],[Downtime (Hours)]])</f>
        <v>22</v>
      </c>
      <c r="M1616" s="49">
        <f>IFERROR(Table1[[#This Row],[Capacity (Kg)]]/Table1[[#This Row],[Target Time (Hours)]] * Table1[[#This Row],[Downtime (Hours)]], "")</f>
        <v>0</v>
      </c>
      <c r="N1616" s="50">
        <f>IFERROR(Table1[[#This Row],[Running Time (hr)]]/Table1[Target Time (Hours)], "")</f>
        <v>1</v>
      </c>
      <c r="O1616" s="50">
        <f>IFERROR(Table1[[#This Row],[Actual Production (Kg)]]/Table1[Capacity (Kg)], "")</f>
        <v>0.64233333333333331</v>
      </c>
      <c r="P1616" s="50">
        <f>IFERROR(Table1[[#This Row],[Quality Pass Production]]/Table1[[#This Row],[Actual Production (Kg)]], "")</f>
        <v>1</v>
      </c>
      <c r="Q1616" s="50">
        <f>IFERROR(Table1[[#This Row],[Utilization %]]*Table1[[#This Row],[Efficiency %]]*Table1[[#This Row],[Quality %]], "")</f>
        <v>0.64233333333333331</v>
      </c>
    </row>
    <row r="1617" spans="1:18" ht="45" customHeight="1" x14ac:dyDescent="0.25">
      <c r="A1617" s="54">
        <v>46264</v>
      </c>
      <c r="B1617" s="55" t="s">
        <v>33</v>
      </c>
      <c r="C1617" s="55" t="s">
        <v>40</v>
      </c>
      <c r="D1617" s="55" t="s">
        <v>31</v>
      </c>
      <c r="E1617" s="43">
        <v>5000</v>
      </c>
      <c r="F1617" s="56">
        <v>3713</v>
      </c>
      <c r="G1617" s="56">
        <v>0</v>
      </c>
      <c r="H1617" s="58">
        <f>IFERROR(Table1[Re-process (Kg)]/Table1[Actual Production (Kg)], "")</f>
        <v>0</v>
      </c>
      <c r="I1617" s="56">
        <f>IFERROR(Table1[[#This Row],[Actual Production (Kg)]]-Table1[[#This Row],[Re-process (Kg)]], "")</f>
        <v>3713</v>
      </c>
      <c r="J1617" s="56">
        <v>22</v>
      </c>
      <c r="K1617" s="55"/>
      <c r="L1617" s="56">
        <f>IF(Table1[[#This Row],[Target Time (Hours)]]="","",Table1[[#This Row],[Target Time (Hours)]]-Table1[[#This Row],[Downtime (Hours)]])</f>
        <v>22</v>
      </c>
      <c r="M1617" s="56">
        <f>IFERROR(Table1[[#This Row],[Capacity (Kg)]]/Table1[[#This Row],[Target Time (Hours)]] * Table1[[#This Row],[Downtime (Hours)]], "")</f>
        <v>0</v>
      </c>
      <c r="N1617" s="58">
        <f>IFERROR(Table1[[#This Row],[Running Time (hr)]]/Table1[Target Time (Hours)], "")</f>
        <v>1</v>
      </c>
      <c r="O1617" s="58">
        <f>IFERROR(Table1[[#This Row],[Actual Production (Kg)]]/Table1[Capacity (Kg)], "")</f>
        <v>0.74260000000000004</v>
      </c>
      <c r="P1617" s="58">
        <f>IFERROR(Table1[[#This Row],[Quality Pass Production]]/Table1[[#This Row],[Actual Production (Kg)]], "")</f>
        <v>1</v>
      </c>
      <c r="Q1617" s="58">
        <f>IFERROR(Table1[[#This Row],[Utilization %]]*Table1[[#This Row],[Efficiency %]]*Table1[[#This Row],[Quality %]], "")</f>
        <v>0.74260000000000004</v>
      </c>
      <c r="R1617" s="55"/>
    </row>
    <row r="1618" spans="1:18" ht="30" customHeight="1" x14ac:dyDescent="0.25">
      <c r="A1618" s="47">
        <v>46265</v>
      </c>
      <c r="B1618" s="48" t="s">
        <v>18</v>
      </c>
      <c r="C1618" s="48" t="s">
        <v>19</v>
      </c>
      <c r="D1618" s="48" t="s">
        <v>20</v>
      </c>
      <c r="E1618" s="34">
        <v>10000</v>
      </c>
      <c r="F1618" s="76">
        <v>7505</v>
      </c>
      <c r="G1618" s="49">
        <v>0</v>
      </c>
      <c r="H1618" s="50">
        <f>IFERROR(Table1[Re-process (Kg)]/Table1[Actual Production (Kg)], "")</f>
        <v>0</v>
      </c>
      <c r="I1618" s="49">
        <f>IFERROR(Table1[[#This Row],[Actual Production (Kg)]]-Table1[[#This Row],[Re-process (Kg)]], "")</f>
        <v>7505</v>
      </c>
      <c r="J1618" s="49">
        <v>22</v>
      </c>
      <c r="K1618" s="72"/>
      <c r="L1618" s="49">
        <f>IF(Table1[[#This Row],[Target Time (Hours)]]="","",Table1[[#This Row],[Target Time (Hours)]]-Table1[[#This Row],[Downtime (Hours)]])</f>
        <v>22</v>
      </c>
      <c r="M1618" s="49">
        <f>IFERROR(Table1[[#This Row],[Capacity (Kg)]]/Table1[[#This Row],[Target Time (Hours)]] * Table1[[#This Row],[Downtime (Hours)]], "")</f>
        <v>0</v>
      </c>
      <c r="N1618" s="50">
        <f>IFERROR(Table1[[#This Row],[Running Time (hr)]]/Table1[Target Time (Hours)], "")</f>
        <v>1</v>
      </c>
      <c r="O1618" s="50">
        <f>IFERROR(Table1[[#This Row],[Actual Production (Kg)]]/Table1[Capacity (Kg)], "")</f>
        <v>0.75049999999999994</v>
      </c>
      <c r="P1618" s="50">
        <f>IFERROR(Table1[[#This Row],[Quality Pass Production]]/Table1[[#This Row],[Actual Production (Kg)]], "")</f>
        <v>1</v>
      </c>
      <c r="Q1618" s="50">
        <f>IFERROR(Table1[[#This Row],[Utilization %]]*Table1[[#This Row],[Efficiency %]]*Table1[[#This Row],[Quality %]], "")</f>
        <v>0.75049999999999994</v>
      </c>
    </row>
    <row r="1619" spans="1:18" x14ac:dyDescent="0.25">
      <c r="A1619" s="51">
        <v>46265</v>
      </c>
      <c r="B1619" s="52" t="s">
        <v>18</v>
      </c>
      <c r="C1619" s="52" t="s">
        <v>238</v>
      </c>
      <c r="D1619" s="52" t="s">
        <v>20</v>
      </c>
      <c r="E1619" s="79">
        <v>10082</v>
      </c>
      <c r="F1619" s="53">
        <v>10082</v>
      </c>
      <c r="G1619" s="53">
        <v>0</v>
      </c>
      <c r="H1619" s="57">
        <f>IFERROR(Table1[Re-process (Kg)]/Table1[Actual Production (Kg)], "")</f>
        <v>0</v>
      </c>
      <c r="I1619" s="53">
        <f>IFERROR(Table1[[#This Row],[Actual Production (Kg)]]-Table1[[#This Row],[Re-process (Kg)]], "")</f>
        <v>10082</v>
      </c>
      <c r="J1619" s="53"/>
      <c r="K1619" s="52"/>
      <c r="L1619" s="53" t="str">
        <f>IF(Table1[[#This Row],[Target Time (Hours)]]="","",Table1[[#This Row],[Target Time (Hours)]]-Table1[[#This Row],[Downtime (Hours)]])</f>
        <v/>
      </c>
      <c r="M1619" s="53" t="str">
        <f>IFERROR(Table1[[#This Row],[Capacity (Kg)]]/Table1[[#This Row],[Target Time (Hours)]] * Table1[[#This Row],[Downtime (Hours)]], "")</f>
        <v/>
      </c>
      <c r="N1619" s="57" t="str">
        <f>IFERROR(Table1[[#This Row],[Running Time (hr)]]/Table1[Target Time (Hours)], "")</f>
        <v/>
      </c>
      <c r="O1619" s="57">
        <f>IFERROR(Table1[[#This Row],[Actual Production (Kg)]]/Table1[Capacity (Kg)], "")</f>
        <v>1</v>
      </c>
      <c r="P1619" s="57">
        <f>IFERROR(Table1[[#This Row],[Quality Pass Production]]/Table1[[#This Row],[Actual Production (Kg)]], "")</f>
        <v>1</v>
      </c>
      <c r="Q1619" s="57" t="str">
        <f>IFERROR(Table1[[#This Row],[Utilization %]]*Table1[[#This Row],[Efficiency %]]*Table1[[#This Row],[Quality %]], "")</f>
        <v/>
      </c>
      <c r="R1619" s="52"/>
    </row>
    <row r="1620" spans="1:18" x14ac:dyDescent="0.25">
      <c r="A1620" s="47">
        <v>46265</v>
      </c>
      <c r="B1620" s="48" t="s">
        <v>18</v>
      </c>
      <c r="C1620" s="48" t="s">
        <v>22</v>
      </c>
      <c r="D1620" s="48" t="s">
        <v>23</v>
      </c>
      <c r="E1620" s="34">
        <v>5000</v>
      </c>
      <c r="F1620" s="76">
        <v>6454</v>
      </c>
      <c r="G1620" s="49">
        <v>0</v>
      </c>
      <c r="H1620" s="50">
        <f>IFERROR(Table1[Re-process (Kg)]/Table1[Actual Production (Kg)], "")</f>
        <v>0</v>
      </c>
      <c r="I1620" s="49">
        <f>IFERROR(Table1[[#This Row],[Actual Production (Kg)]]-Table1[[#This Row],[Re-process (Kg)]], "")</f>
        <v>6454</v>
      </c>
      <c r="J1620" s="49">
        <v>22</v>
      </c>
      <c r="K1620" s="72"/>
      <c r="L1620" s="49">
        <f>IF(Table1[[#This Row],[Target Time (Hours)]]="","",Table1[[#This Row],[Target Time (Hours)]]-Table1[[#This Row],[Downtime (Hours)]])</f>
        <v>22</v>
      </c>
      <c r="M1620" s="49">
        <f>IFERROR(Table1[[#This Row],[Capacity (Kg)]]/Table1[[#This Row],[Target Time (Hours)]] * Table1[[#This Row],[Downtime (Hours)]], "")</f>
        <v>0</v>
      </c>
      <c r="N1620" s="50">
        <f>IFERROR(Table1[[#This Row],[Running Time (hr)]]/Table1[Target Time (Hours)], "")</f>
        <v>1</v>
      </c>
      <c r="O1620" s="50">
        <f>IFERROR(Table1[[#This Row],[Actual Production (Kg)]]/Table1[Capacity (Kg)], "")</f>
        <v>1.2907999999999999</v>
      </c>
      <c r="P1620" s="50">
        <f>IFERROR(Table1[[#This Row],[Quality Pass Production]]/Table1[[#This Row],[Actual Production (Kg)]], "")</f>
        <v>1</v>
      </c>
      <c r="Q1620" s="50">
        <f>IFERROR(Table1[[#This Row],[Utilization %]]*Table1[[#This Row],[Efficiency %]]*Table1[[#This Row],[Quality %]], "")</f>
        <v>1.2907999999999999</v>
      </c>
    </row>
    <row r="1621" spans="1:18" x14ac:dyDescent="0.25">
      <c r="A1621" s="47">
        <v>46265</v>
      </c>
      <c r="B1621" s="48" t="s">
        <v>18</v>
      </c>
      <c r="C1621" s="48" t="s">
        <v>22</v>
      </c>
      <c r="D1621" s="48" t="s">
        <v>25</v>
      </c>
      <c r="E1621" s="30">
        <v>4000</v>
      </c>
      <c r="F1621" s="76">
        <v>1761</v>
      </c>
      <c r="G1621" s="49">
        <v>0</v>
      </c>
      <c r="H1621" s="50">
        <f>IFERROR(Table1[Re-process (Kg)]/Table1[Actual Production (Kg)], "")</f>
        <v>0</v>
      </c>
      <c r="I1621" s="49">
        <f>IFERROR(Table1[[#This Row],[Actual Production (Kg)]]-Table1[[#This Row],[Re-process (Kg)]], "")</f>
        <v>1761</v>
      </c>
      <c r="J1621" s="49"/>
      <c r="K1621" s="72"/>
      <c r="L1621" s="49" t="str">
        <f>IF(Table1[[#This Row],[Target Time (Hours)]]="","",Table1[[#This Row],[Target Time (Hours)]]-Table1[[#This Row],[Downtime (Hours)]])</f>
        <v/>
      </c>
      <c r="M1621" s="49" t="str">
        <f>IFERROR(Table1[[#This Row],[Capacity (Kg)]]/Table1[[#This Row],[Target Time (Hours)]] * Table1[[#This Row],[Downtime (Hours)]], "")</f>
        <v/>
      </c>
      <c r="N1621" s="50" t="str">
        <f>IFERROR(Table1[[#This Row],[Running Time (hr)]]/Table1[Target Time (Hours)], "")</f>
        <v/>
      </c>
      <c r="O1621" s="50">
        <f>IFERROR(Table1[[#This Row],[Actual Production (Kg)]]/Table1[Capacity (Kg)], "")</f>
        <v>0.44024999999999997</v>
      </c>
      <c r="P1621" s="50">
        <f>IFERROR(Table1[[#This Row],[Quality Pass Production]]/Table1[[#This Row],[Actual Production (Kg)]], "")</f>
        <v>1</v>
      </c>
      <c r="Q1621" s="50" t="str">
        <f>IFERROR(Table1[[#This Row],[Utilization %]]*Table1[[#This Row],[Efficiency %]]*Table1[[#This Row],[Quality %]], "")</f>
        <v/>
      </c>
    </row>
    <row r="1622" spans="1:18" x14ac:dyDescent="0.25">
      <c r="A1622" s="47">
        <v>46265</v>
      </c>
      <c r="B1622" s="48" t="s">
        <v>18</v>
      </c>
      <c r="C1622" s="48" t="s">
        <v>26</v>
      </c>
      <c r="D1622" s="48" t="s">
        <v>25</v>
      </c>
      <c r="E1622" s="34">
        <v>7000</v>
      </c>
      <c r="F1622" s="76">
        <v>7551</v>
      </c>
      <c r="G1622" s="49">
        <v>0</v>
      </c>
      <c r="H1622" s="50">
        <f>IFERROR(Table1[Re-process (Kg)]/Table1[Actual Production (Kg)], "")</f>
        <v>0</v>
      </c>
      <c r="I1622" s="49">
        <f>IFERROR(Table1[[#This Row],[Actual Production (Kg)]]-Table1[[#This Row],[Re-process (Kg)]], "")</f>
        <v>7551</v>
      </c>
      <c r="J1622" s="49">
        <v>22</v>
      </c>
      <c r="K1622" s="72"/>
      <c r="L1622" s="49">
        <f>IF(Table1[[#This Row],[Target Time (Hours)]]="","",Table1[[#This Row],[Target Time (Hours)]]-Table1[[#This Row],[Downtime (Hours)]])</f>
        <v>22</v>
      </c>
      <c r="M1622" s="49">
        <f>IFERROR(Table1[[#This Row],[Capacity (Kg)]]/Table1[[#This Row],[Target Time (Hours)]] * Table1[[#This Row],[Downtime (Hours)]], "")</f>
        <v>0</v>
      </c>
      <c r="N1622" s="50">
        <f>IFERROR(Table1[[#This Row],[Running Time (hr)]]/Table1[Target Time (Hours)], "")</f>
        <v>1</v>
      </c>
      <c r="O1622" s="50">
        <f>IFERROR(Table1[[#This Row],[Actual Production (Kg)]]/Table1[Capacity (Kg)], "")</f>
        <v>1.0787142857142857</v>
      </c>
      <c r="P1622" s="50">
        <f>IFERROR(Table1[[#This Row],[Quality Pass Production]]/Table1[[#This Row],[Actual Production (Kg)]], "")</f>
        <v>1</v>
      </c>
      <c r="Q1622" s="50">
        <f>IFERROR(Table1[[#This Row],[Utilization %]]*Table1[[#This Row],[Efficiency %]]*Table1[[#This Row],[Quality %]], "")</f>
        <v>1.0787142857142857</v>
      </c>
    </row>
    <row r="1623" spans="1:18" ht="30" customHeight="1" x14ac:dyDescent="0.25">
      <c r="A1623" s="47">
        <v>46265</v>
      </c>
      <c r="B1623" s="48" t="s">
        <v>18</v>
      </c>
      <c r="C1623" s="48" t="s">
        <v>28</v>
      </c>
      <c r="D1623" s="48" t="s">
        <v>29</v>
      </c>
      <c r="E1623" s="30">
        <v>7800</v>
      </c>
      <c r="F1623" s="76">
        <v>6198</v>
      </c>
      <c r="G1623" s="49">
        <v>0</v>
      </c>
      <c r="H1623" s="50">
        <f>IFERROR(Table1[Re-process (Kg)]/Table1[Actual Production (Kg)], "")</f>
        <v>0</v>
      </c>
      <c r="I1623" s="49">
        <f>IFERROR(Table1[[#This Row],[Actual Production (Kg)]]-Table1[[#This Row],[Re-process (Kg)]], "")</f>
        <v>6198</v>
      </c>
      <c r="J1623" s="49">
        <v>22</v>
      </c>
      <c r="K1623" s="72">
        <v>4</v>
      </c>
      <c r="L1623" s="49">
        <f>IF(Table1[[#This Row],[Target Time (Hours)]]="","",Table1[[#This Row],[Target Time (Hours)]]-Table1[[#This Row],[Downtime (Hours)]])</f>
        <v>18</v>
      </c>
      <c r="M1623" s="49">
        <f>IFERROR(Table1[[#This Row],[Capacity (Kg)]]/Table1[[#This Row],[Target Time (Hours)]] * Table1[[#This Row],[Downtime (Hours)]], "")</f>
        <v>1418.1818181818182</v>
      </c>
      <c r="N1623" s="50">
        <f>IFERROR(Table1[[#This Row],[Running Time (hr)]]/Table1[Target Time (Hours)], "")</f>
        <v>0.81818181818181823</v>
      </c>
      <c r="O1623" s="50">
        <f>IFERROR(Table1[[#This Row],[Actual Production (Kg)]]/Table1[Capacity (Kg)], "")</f>
        <v>0.79461538461538461</v>
      </c>
      <c r="P1623" s="50">
        <f>IFERROR(Table1[[#This Row],[Quality Pass Production]]/Table1[[#This Row],[Actual Production (Kg)]], "")</f>
        <v>1</v>
      </c>
      <c r="Q1623" s="50">
        <f>IFERROR(Table1[[#This Row],[Utilization %]]*Table1[[#This Row],[Efficiency %]]*Table1[[#This Row],[Quality %]], "")</f>
        <v>0.65013986013986014</v>
      </c>
      <c r="R1623" s="48" t="s">
        <v>428</v>
      </c>
    </row>
    <row r="1624" spans="1:18" ht="30" customHeight="1" x14ac:dyDescent="0.25">
      <c r="A1624" s="51">
        <v>46265</v>
      </c>
      <c r="B1624" s="52" t="s">
        <v>18</v>
      </c>
      <c r="C1624" s="52" t="s">
        <v>135</v>
      </c>
      <c r="D1624" s="52" t="s">
        <v>29</v>
      </c>
      <c r="E1624" s="38"/>
      <c r="F1624" s="53"/>
      <c r="G1624" s="53"/>
      <c r="H1624" s="57" t="str">
        <f>IFERROR(Table1[Re-process (Kg)]/Table1[Actual Production (Kg)], "")</f>
        <v/>
      </c>
      <c r="I1624" s="53">
        <f>IFERROR(Table1[[#This Row],[Actual Production (Kg)]]-Table1[[#This Row],[Re-process (Kg)]], "")</f>
        <v>0</v>
      </c>
      <c r="J1624" s="53"/>
      <c r="K1624" s="52"/>
      <c r="L1624" s="53" t="str">
        <f>IF(Table1[[#This Row],[Target Time (Hours)]]="","",Table1[[#This Row],[Target Time (Hours)]]-Table1[[#This Row],[Downtime (Hours)]])</f>
        <v/>
      </c>
      <c r="M1624" s="53" t="str">
        <f>IFERROR(Table1[[#This Row],[Capacity (Kg)]]/Table1[[#This Row],[Target Time (Hours)]] * Table1[[#This Row],[Downtime (Hours)]], "")</f>
        <v/>
      </c>
      <c r="N1624" s="57" t="str">
        <f>IFERROR(Table1[[#This Row],[Running Time (hr)]]/Table1[Target Time (Hours)], "")</f>
        <v/>
      </c>
      <c r="O1624" s="57" t="str">
        <f>IFERROR(Table1[[#This Row],[Actual Production (Kg)]]/Table1[Capacity (Kg)], "")</f>
        <v/>
      </c>
      <c r="P1624" s="57" t="str">
        <f>IFERROR(Table1[[#This Row],[Quality Pass Production]]/Table1[[#This Row],[Actual Production (Kg)]], "")</f>
        <v/>
      </c>
      <c r="Q1624" s="57" t="str">
        <f>IFERROR(Table1[[#This Row],[Utilization %]]*Table1[[#This Row],[Efficiency %]]*Table1[[#This Row],[Quality %]], "")</f>
        <v/>
      </c>
      <c r="R1624" s="52"/>
    </row>
    <row r="1625" spans="1:18" ht="30" customHeight="1" x14ac:dyDescent="0.25">
      <c r="A1625" s="47">
        <v>46265</v>
      </c>
      <c r="B1625" s="48" t="s">
        <v>18</v>
      </c>
      <c r="C1625" s="48" t="s">
        <v>30</v>
      </c>
      <c r="D1625" s="48" t="s">
        <v>31</v>
      </c>
      <c r="E1625" s="30">
        <v>9000</v>
      </c>
      <c r="F1625" s="76">
        <v>7818</v>
      </c>
      <c r="G1625" s="49">
        <v>0</v>
      </c>
      <c r="H1625" s="50">
        <f>IFERROR(Table1[Re-process (Kg)]/Table1[Actual Production (Kg)], "")</f>
        <v>0</v>
      </c>
      <c r="I1625" s="49">
        <f>IFERROR(Table1[[#This Row],[Actual Production (Kg)]]-Table1[[#This Row],[Re-process (Kg)]], "")</f>
        <v>7818</v>
      </c>
      <c r="J1625" s="49">
        <v>22</v>
      </c>
      <c r="K1625" s="72">
        <v>1</v>
      </c>
      <c r="L1625" s="49">
        <f>IF(Table1[[#This Row],[Target Time (Hours)]]="","",Table1[[#This Row],[Target Time (Hours)]]-Table1[[#This Row],[Downtime (Hours)]])</f>
        <v>21</v>
      </c>
      <c r="M1625" s="49">
        <f>IFERROR(Table1[[#This Row],[Capacity (Kg)]]/Table1[[#This Row],[Target Time (Hours)]] * Table1[[#This Row],[Downtime (Hours)]], "")</f>
        <v>409.09090909090907</v>
      </c>
      <c r="N1625" s="50">
        <f>IFERROR(Table1[[#This Row],[Running Time (hr)]]/Table1[Target Time (Hours)], "")</f>
        <v>0.95454545454545459</v>
      </c>
      <c r="O1625" s="50">
        <f>IFERROR(Table1[[#This Row],[Actual Production (Kg)]]/Table1[Capacity (Kg)], "")</f>
        <v>0.8686666666666667</v>
      </c>
      <c r="P1625" s="50">
        <f>IFERROR(Table1[[#This Row],[Quality Pass Production]]/Table1[[#This Row],[Actual Production (Kg)]], "")</f>
        <v>1</v>
      </c>
      <c r="Q1625" s="50">
        <f>IFERROR(Table1[[#This Row],[Utilization %]]*Table1[[#This Row],[Efficiency %]]*Table1[[#This Row],[Quality %]], "")</f>
        <v>0.82918181818181824</v>
      </c>
      <c r="R1625" s="48" t="s">
        <v>429</v>
      </c>
    </row>
    <row r="1626" spans="1:18" ht="30" customHeight="1" x14ac:dyDescent="0.25">
      <c r="A1626" s="51">
        <v>46265</v>
      </c>
      <c r="B1626" s="52" t="s">
        <v>18</v>
      </c>
      <c r="C1626" s="52" t="s">
        <v>32</v>
      </c>
      <c r="D1626" s="52" t="s">
        <v>31</v>
      </c>
      <c r="E1626" s="79"/>
      <c r="F1626" s="53"/>
      <c r="G1626" s="53"/>
      <c r="H1626" s="57" t="str">
        <f>IFERROR(Table1[Re-process (Kg)]/Table1[Actual Production (Kg)], "")</f>
        <v/>
      </c>
      <c r="I1626" s="53">
        <f>IFERROR(Table1[[#This Row],[Actual Production (Kg)]]-Table1[[#This Row],[Re-process (Kg)]], "")</f>
        <v>0</v>
      </c>
      <c r="J1626" s="53"/>
      <c r="K1626" s="52"/>
      <c r="L1626" s="53" t="str">
        <f>IF(Table1[[#This Row],[Target Time (Hours)]]="","",Table1[[#This Row],[Target Time (Hours)]]-Table1[[#This Row],[Downtime (Hours)]])</f>
        <v/>
      </c>
      <c r="M1626" s="53" t="str">
        <f>IFERROR(Table1[[#This Row],[Capacity (Kg)]]/Table1[[#This Row],[Target Time (Hours)]] * Table1[[#This Row],[Downtime (Hours)]], "")</f>
        <v/>
      </c>
      <c r="N1626" s="57" t="str">
        <f>IFERROR(Table1[[#This Row],[Running Time (hr)]]/Table1[Target Time (Hours)], "")</f>
        <v/>
      </c>
      <c r="O1626" s="57" t="str">
        <f>IFERROR(Table1[[#This Row],[Actual Production (Kg)]]/Table1[Capacity (Kg)], "")</f>
        <v/>
      </c>
      <c r="P1626" s="57" t="str">
        <f>IFERROR(Table1[[#This Row],[Quality Pass Production]]/Table1[[#This Row],[Actual Production (Kg)]], "")</f>
        <v/>
      </c>
      <c r="Q1626" s="57" t="str">
        <f>IFERROR(Table1[[#This Row],[Utilization %]]*Table1[[#This Row],[Efficiency %]]*Table1[[#This Row],[Quality %]], "")</f>
        <v/>
      </c>
      <c r="R1626" s="52"/>
    </row>
    <row r="1627" spans="1:18" ht="30" customHeight="1" x14ac:dyDescent="0.25">
      <c r="A1627" s="47">
        <v>46265</v>
      </c>
      <c r="B1627" s="48" t="s">
        <v>33</v>
      </c>
      <c r="C1627" s="48" t="s">
        <v>34</v>
      </c>
      <c r="D1627" s="48" t="s">
        <v>35</v>
      </c>
      <c r="E1627" s="30">
        <v>9000</v>
      </c>
      <c r="F1627" s="76">
        <v>7567</v>
      </c>
      <c r="G1627" s="49">
        <v>0</v>
      </c>
      <c r="H1627" s="50">
        <f>IFERROR(Table1[Re-process (Kg)]/Table1[Actual Production (Kg)], "")</f>
        <v>0</v>
      </c>
      <c r="I1627" s="49">
        <f>IFERROR(Table1[[#This Row],[Actual Production (Kg)]]-Table1[[#This Row],[Re-process (Kg)]], "")</f>
        <v>7567</v>
      </c>
      <c r="J1627" s="49">
        <v>22</v>
      </c>
      <c r="K1627" s="72"/>
      <c r="L1627" s="49">
        <f>IF(Table1[[#This Row],[Target Time (Hours)]]="","",Table1[[#This Row],[Target Time (Hours)]]-Table1[[#This Row],[Downtime (Hours)]])</f>
        <v>22</v>
      </c>
      <c r="M1627" s="49">
        <f>IFERROR(Table1[[#This Row],[Capacity (Kg)]]/Table1[[#This Row],[Target Time (Hours)]] * Table1[[#This Row],[Downtime (Hours)]], "")</f>
        <v>0</v>
      </c>
      <c r="N1627" s="50">
        <f>IFERROR(Table1[[#This Row],[Running Time (hr)]]/Table1[Target Time (Hours)], "")</f>
        <v>1</v>
      </c>
      <c r="O1627" s="50">
        <f>IFERROR(Table1[[#This Row],[Actual Production (Kg)]]/Table1[Capacity (Kg)], "")</f>
        <v>0.84077777777777774</v>
      </c>
      <c r="P1627" s="50">
        <f>IFERROR(Table1[[#This Row],[Quality Pass Production]]/Table1[[#This Row],[Actual Production (Kg)]], "")</f>
        <v>1</v>
      </c>
      <c r="Q1627" s="50">
        <f>IFERROR(Table1[[#This Row],[Utilization %]]*Table1[[#This Row],[Efficiency %]]*Table1[[#This Row],[Quality %]], "")</f>
        <v>0.84077777777777774</v>
      </c>
    </row>
    <row r="1628" spans="1:18" ht="30" customHeight="1" x14ac:dyDescent="0.25">
      <c r="A1628" s="47">
        <v>46265</v>
      </c>
      <c r="B1628" s="48" t="s">
        <v>33</v>
      </c>
      <c r="C1628" s="48" t="s">
        <v>36</v>
      </c>
      <c r="D1628" s="48" t="s">
        <v>37</v>
      </c>
      <c r="E1628" s="34">
        <v>8000</v>
      </c>
      <c r="F1628" s="76">
        <v>8500</v>
      </c>
      <c r="G1628" s="49">
        <v>0</v>
      </c>
      <c r="H1628" s="50">
        <f>IFERROR(Table1[Re-process (Kg)]/Table1[Actual Production (Kg)], "")</f>
        <v>0</v>
      </c>
      <c r="I1628" s="49">
        <f>IFERROR(Table1[[#This Row],[Actual Production (Kg)]]-Table1[[#This Row],[Re-process (Kg)]], "")</f>
        <v>8500</v>
      </c>
      <c r="J1628" s="49">
        <v>22</v>
      </c>
      <c r="K1628" s="72">
        <v>1.5</v>
      </c>
      <c r="L1628" s="49">
        <f>IF(Table1[[#This Row],[Target Time (Hours)]]="","",Table1[[#This Row],[Target Time (Hours)]]-Table1[[#This Row],[Downtime (Hours)]])</f>
        <v>20.5</v>
      </c>
      <c r="M1628" s="49">
        <f>IFERROR(Table1[[#This Row],[Capacity (Kg)]]/Table1[[#This Row],[Target Time (Hours)]] * Table1[[#This Row],[Downtime (Hours)]], "")</f>
        <v>545.4545454545455</v>
      </c>
      <c r="N1628" s="50">
        <f>IFERROR(Table1[[#This Row],[Running Time (hr)]]/Table1[Target Time (Hours)], "")</f>
        <v>0.93181818181818177</v>
      </c>
      <c r="O1628" s="50">
        <f>IFERROR(Table1[[#This Row],[Actual Production (Kg)]]/Table1[Capacity (Kg)], "")</f>
        <v>1.0625</v>
      </c>
      <c r="P1628" s="50">
        <f>IFERROR(Table1[[#This Row],[Quality Pass Production]]/Table1[[#This Row],[Actual Production (Kg)]], "")</f>
        <v>1</v>
      </c>
      <c r="Q1628" s="50">
        <f>IFERROR(Table1[[#This Row],[Utilization %]]*Table1[[#This Row],[Efficiency %]]*Table1[[#This Row],[Quality %]], "")</f>
        <v>0.99005681818181812</v>
      </c>
      <c r="R1628" s="48" t="s">
        <v>421</v>
      </c>
    </row>
    <row r="1629" spans="1:18" ht="30" customHeight="1" x14ac:dyDescent="0.25">
      <c r="A1629" s="47">
        <v>46265</v>
      </c>
      <c r="B1629" s="48" t="s">
        <v>33</v>
      </c>
      <c r="C1629" s="48" t="s">
        <v>39</v>
      </c>
      <c r="D1629" s="48" t="s">
        <v>31</v>
      </c>
      <c r="E1629" s="30">
        <v>6000</v>
      </c>
      <c r="F1629" s="76">
        <v>3138</v>
      </c>
      <c r="G1629" s="49">
        <v>0</v>
      </c>
      <c r="H1629" s="50">
        <f>IFERROR(Table1[Re-process (Kg)]/Table1[Actual Production (Kg)], "")</f>
        <v>0</v>
      </c>
      <c r="I1629" s="49">
        <f>IFERROR(Table1[[#This Row],[Actual Production (Kg)]]-Table1[[#This Row],[Re-process (Kg)]], "")</f>
        <v>3138</v>
      </c>
      <c r="J1629" s="49">
        <v>22</v>
      </c>
      <c r="K1629" s="72"/>
      <c r="L1629" s="49">
        <f>IF(Table1[[#This Row],[Target Time (Hours)]]="","",Table1[[#This Row],[Target Time (Hours)]]-Table1[[#This Row],[Downtime (Hours)]])</f>
        <v>22</v>
      </c>
      <c r="M1629" s="49">
        <f>IFERROR(Table1[[#This Row],[Capacity (Kg)]]/Table1[[#This Row],[Target Time (Hours)]] * Table1[[#This Row],[Downtime (Hours)]], "")</f>
        <v>0</v>
      </c>
      <c r="N1629" s="50">
        <f>IFERROR(Table1[[#This Row],[Running Time (hr)]]/Table1[Target Time (Hours)], "")</f>
        <v>1</v>
      </c>
      <c r="O1629" s="50">
        <f>IFERROR(Table1[[#This Row],[Actual Production (Kg)]]/Table1[Capacity (Kg)], "")</f>
        <v>0.52300000000000002</v>
      </c>
      <c r="P1629" s="50">
        <f>IFERROR(Table1[[#This Row],[Quality Pass Production]]/Table1[[#This Row],[Actual Production (Kg)]], "")</f>
        <v>1</v>
      </c>
      <c r="Q1629" s="50">
        <f>IFERROR(Table1[[#This Row],[Utilization %]]*Table1[[#This Row],[Efficiency %]]*Table1[[#This Row],[Quality %]], "")</f>
        <v>0.52300000000000002</v>
      </c>
    </row>
    <row r="1630" spans="1:18" ht="45" customHeight="1" x14ac:dyDescent="0.25">
      <c r="A1630" s="54">
        <v>46265</v>
      </c>
      <c r="B1630" s="55" t="s">
        <v>33</v>
      </c>
      <c r="C1630" s="55" t="s">
        <v>40</v>
      </c>
      <c r="D1630" s="55" t="s">
        <v>31</v>
      </c>
      <c r="E1630" s="43">
        <v>5000</v>
      </c>
      <c r="F1630" s="56">
        <v>3000</v>
      </c>
      <c r="G1630" s="56">
        <v>0</v>
      </c>
      <c r="H1630" s="58">
        <f>IFERROR(Table1[Re-process (Kg)]/Table1[Actual Production (Kg)], "")</f>
        <v>0</v>
      </c>
      <c r="I1630" s="56">
        <f>IFERROR(Table1[[#This Row],[Actual Production (Kg)]]-Table1[[#This Row],[Re-process (Kg)]], "")</f>
        <v>3000</v>
      </c>
      <c r="J1630" s="56">
        <v>22</v>
      </c>
      <c r="K1630" s="55">
        <v>3</v>
      </c>
      <c r="L1630" s="56">
        <f>IF(Table1[[#This Row],[Target Time (Hours)]]="","",Table1[[#This Row],[Target Time (Hours)]]-Table1[[#This Row],[Downtime (Hours)]])</f>
        <v>19</v>
      </c>
      <c r="M1630" s="56">
        <f>IFERROR(Table1[[#This Row],[Capacity (Kg)]]/Table1[[#This Row],[Target Time (Hours)]] * Table1[[#This Row],[Downtime (Hours)]], "")</f>
        <v>681.81818181818187</v>
      </c>
      <c r="N1630" s="58">
        <f>IFERROR(Table1[[#This Row],[Running Time (hr)]]/Table1[Target Time (Hours)], "")</f>
        <v>0.86363636363636365</v>
      </c>
      <c r="O1630" s="58">
        <f>IFERROR(Table1[[#This Row],[Actual Production (Kg)]]/Table1[Capacity (Kg)], "")</f>
        <v>0.6</v>
      </c>
      <c r="P1630" s="58">
        <f>IFERROR(Table1[[#This Row],[Quality Pass Production]]/Table1[[#This Row],[Actual Production (Kg)]], "")</f>
        <v>1</v>
      </c>
      <c r="Q1630" s="58">
        <f>IFERROR(Table1[[#This Row],[Utilization %]]*Table1[[#This Row],[Efficiency %]]*Table1[[#This Row],[Quality %]], "")</f>
        <v>0.51818181818181819</v>
      </c>
      <c r="R1630" s="55" t="s">
        <v>430</v>
      </c>
    </row>
    <row r="1631" spans="1:18" ht="45" customHeight="1" x14ac:dyDescent="0.25">
      <c r="A1631" s="47">
        <v>46266</v>
      </c>
      <c r="B1631" s="48" t="s">
        <v>18</v>
      </c>
      <c r="C1631" s="48" t="s">
        <v>19</v>
      </c>
      <c r="D1631" s="48" t="s">
        <v>20</v>
      </c>
      <c r="E1631" s="34">
        <v>10000</v>
      </c>
      <c r="F1631" s="76">
        <v>7948</v>
      </c>
      <c r="G1631" s="49">
        <v>0</v>
      </c>
      <c r="H1631" s="50">
        <f>IFERROR(Table1[Re-process (Kg)]/Table1[Actual Production (Kg)], "")</f>
        <v>0</v>
      </c>
      <c r="I1631" s="49">
        <f>IFERROR(Table1[[#This Row],[Actual Production (Kg)]]-Table1[[#This Row],[Re-process (Kg)]], "")</f>
        <v>7948</v>
      </c>
      <c r="J1631" s="49">
        <v>22</v>
      </c>
      <c r="K1631" s="72">
        <v>2</v>
      </c>
      <c r="L1631" s="49">
        <f>IF(Table1[[#This Row],[Target Time (Hours)]]="","",Table1[[#This Row],[Target Time (Hours)]]-Table1[[#This Row],[Downtime (Hours)]])</f>
        <v>20</v>
      </c>
      <c r="M1631" s="49">
        <f>IFERROR(Table1[[#This Row],[Capacity (Kg)]]/Table1[[#This Row],[Target Time (Hours)]] * Table1[[#This Row],[Downtime (Hours)]], "")</f>
        <v>909.09090909090912</v>
      </c>
      <c r="N1631" s="50">
        <f>IFERROR(Table1[[#This Row],[Running Time (hr)]]/Table1[Target Time (Hours)], "")</f>
        <v>0.90909090909090906</v>
      </c>
      <c r="O1631" s="50">
        <f>IFERROR(Table1[[#This Row],[Actual Production (Kg)]]/Table1[Capacity (Kg)], "")</f>
        <v>0.79479999999999995</v>
      </c>
      <c r="P1631" s="50">
        <f>IFERROR(Table1[[#This Row],[Quality Pass Production]]/Table1[[#This Row],[Actual Production (Kg)]], "")</f>
        <v>1</v>
      </c>
      <c r="Q1631" s="50">
        <f>IFERROR(Table1[[#This Row],[Utilization %]]*Table1[[#This Row],[Efficiency %]]*Table1[[#This Row],[Quality %]], "")</f>
        <v>0.72254545454545449</v>
      </c>
      <c r="R1631" s="48" t="s">
        <v>431</v>
      </c>
    </row>
    <row r="1632" spans="1:18" x14ac:dyDescent="0.25">
      <c r="A1632" s="51">
        <v>46266</v>
      </c>
      <c r="B1632" s="52" t="s">
        <v>18</v>
      </c>
      <c r="C1632" s="52" t="s">
        <v>238</v>
      </c>
      <c r="D1632" s="52" t="s">
        <v>20</v>
      </c>
      <c r="E1632" s="79">
        <v>10082</v>
      </c>
      <c r="F1632" s="53">
        <v>10739</v>
      </c>
      <c r="G1632" s="53">
        <v>0</v>
      </c>
      <c r="H1632" s="57">
        <f>IFERROR(Table1[Re-process (Kg)]/Table1[Actual Production (Kg)], "")</f>
        <v>0</v>
      </c>
      <c r="I1632" s="53">
        <f>IFERROR(Table1[[#This Row],[Actual Production (Kg)]]-Table1[[#This Row],[Re-process (Kg)]], "")</f>
        <v>10739</v>
      </c>
      <c r="J1632" s="53"/>
      <c r="K1632" s="52"/>
      <c r="L1632" s="53" t="str">
        <f>IF(Table1[[#This Row],[Target Time (Hours)]]="","",Table1[[#This Row],[Target Time (Hours)]]-Table1[[#This Row],[Downtime (Hours)]])</f>
        <v/>
      </c>
      <c r="M1632" s="53" t="str">
        <f>IFERROR(Table1[[#This Row],[Capacity (Kg)]]/Table1[[#This Row],[Target Time (Hours)]] * Table1[[#This Row],[Downtime (Hours)]], "")</f>
        <v/>
      </c>
      <c r="N1632" s="57" t="str">
        <f>IFERROR(Table1[[#This Row],[Running Time (hr)]]/Table1[Target Time (Hours)], "")</f>
        <v/>
      </c>
      <c r="O1632" s="57">
        <f>IFERROR(Table1[[#This Row],[Actual Production (Kg)]]/Table1[Capacity (Kg)], "")</f>
        <v>1.0651656417377504</v>
      </c>
      <c r="P1632" s="57">
        <f>IFERROR(Table1[[#This Row],[Quality Pass Production]]/Table1[[#This Row],[Actual Production (Kg)]], "")</f>
        <v>1</v>
      </c>
      <c r="Q1632" s="57" t="str">
        <f>IFERROR(Table1[[#This Row],[Utilization %]]*Table1[[#This Row],[Efficiency %]]*Table1[[#This Row],[Quality %]], "")</f>
        <v/>
      </c>
      <c r="R1632" s="52"/>
    </row>
    <row r="1633" spans="1:18" x14ac:dyDescent="0.25">
      <c r="A1633" s="47">
        <v>46266</v>
      </c>
      <c r="B1633" s="48" t="s">
        <v>18</v>
      </c>
      <c r="C1633" s="48" t="s">
        <v>22</v>
      </c>
      <c r="D1633" s="48" t="s">
        <v>23</v>
      </c>
      <c r="E1633" s="34">
        <v>5000</v>
      </c>
      <c r="F1633" s="76">
        <v>6256</v>
      </c>
      <c r="G1633" s="49">
        <v>0</v>
      </c>
      <c r="H1633" s="50">
        <f>IFERROR(Table1[Re-process (Kg)]/Table1[Actual Production (Kg)], "")</f>
        <v>0</v>
      </c>
      <c r="I1633" s="49">
        <f>IFERROR(Table1[[#This Row],[Actual Production (Kg)]]-Table1[[#This Row],[Re-process (Kg)]], "")</f>
        <v>6256</v>
      </c>
      <c r="J1633" s="49">
        <v>22</v>
      </c>
      <c r="K1633" s="72"/>
      <c r="L1633" s="49">
        <f>IF(Table1[[#This Row],[Target Time (Hours)]]="","",Table1[[#This Row],[Target Time (Hours)]]-Table1[[#This Row],[Downtime (Hours)]])</f>
        <v>22</v>
      </c>
      <c r="M1633" s="49">
        <f>IFERROR(Table1[[#This Row],[Capacity (Kg)]]/Table1[[#This Row],[Target Time (Hours)]] * Table1[[#This Row],[Downtime (Hours)]], "")</f>
        <v>0</v>
      </c>
      <c r="N1633" s="50">
        <f>IFERROR(Table1[[#This Row],[Running Time (hr)]]/Table1[Target Time (Hours)], "")</f>
        <v>1</v>
      </c>
      <c r="O1633" s="50">
        <f>IFERROR(Table1[[#This Row],[Actual Production (Kg)]]/Table1[Capacity (Kg)], "")</f>
        <v>1.2512000000000001</v>
      </c>
      <c r="P1633" s="50">
        <f>IFERROR(Table1[[#This Row],[Quality Pass Production]]/Table1[[#This Row],[Actual Production (Kg)]], "")</f>
        <v>1</v>
      </c>
      <c r="Q1633" s="50">
        <f>IFERROR(Table1[[#This Row],[Utilization %]]*Table1[[#This Row],[Efficiency %]]*Table1[[#This Row],[Quality %]], "")</f>
        <v>1.2512000000000001</v>
      </c>
    </row>
    <row r="1634" spans="1:18" x14ac:dyDescent="0.25">
      <c r="A1634" s="47">
        <v>46266</v>
      </c>
      <c r="B1634" s="48" t="s">
        <v>18</v>
      </c>
      <c r="C1634" s="48" t="s">
        <v>22</v>
      </c>
      <c r="D1634" s="48" t="s">
        <v>25</v>
      </c>
      <c r="E1634" s="30">
        <v>4000</v>
      </c>
      <c r="F1634" s="76">
        <v>2205</v>
      </c>
      <c r="G1634" s="49">
        <v>0</v>
      </c>
      <c r="H1634" s="50">
        <f>IFERROR(Table1[Re-process (Kg)]/Table1[Actual Production (Kg)], "")</f>
        <v>0</v>
      </c>
      <c r="I1634" s="49">
        <f>IFERROR(Table1[[#This Row],[Actual Production (Kg)]]-Table1[[#This Row],[Re-process (Kg)]], "")</f>
        <v>2205</v>
      </c>
      <c r="J1634" s="49"/>
      <c r="K1634" s="72"/>
      <c r="L1634" s="49" t="str">
        <f>IF(Table1[[#This Row],[Target Time (Hours)]]="","",Table1[[#This Row],[Target Time (Hours)]]-Table1[[#This Row],[Downtime (Hours)]])</f>
        <v/>
      </c>
      <c r="M1634" s="49" t="str">
        <f>IFERROR(Table1[[#This Row],[Capacity (Kg)]]/Table1[[#This Row],[Target Time (Hours)]] * Table1[[#This Row],[Downtime (Hours)]], "")</f>
        <v/>
      </c>
      <c r="N1634" s="50" t="str">
        <f>IFERROR(Table1[[#This Row],[Running Time (hr)]]/Table1[Target Time (Hours)], "")</f>
        <v/>
      </c>
      <c r="O1634" s="50">
        <f>IFERROR(Table1[[#This Row],[Actual Production (Kg)]]/Table1[Capacity (Kg)], "")</f>
        <v>0.55125000000000002</v>
      </c>
      <c r="P1634" s="50">
        <f>IFERROR(Table1[[#This Row],[Quality Pass Production]]/Table1[[#This Row],[Actual Production (Kg)]], "")</f>
        <v>1</v>
      </c>
      <c r="Q1634" s="50" t="str">
        <f>IFERROR(Table1[[#This Row],[Utilization %]]*Table1[[#This Row],[Efficiency %]]*Table1[[#This Row],[Quality %]], "")</f>
        <v/>
      </c>
    </row>
    <row r="1635" spans="1:18" x14ac:dyDescent="0.25">
      <c r="A1635" s="47">
        <v>46266</v>
      </c>
      <c r="B1635" s="48" t="s">
        <v>18</v>
      </c>
      <c r="C1635" s="48" t="s">
        <v>26</v>
      </c>
      <c r="D1635" s="48" t="s">
        <v>25</v>
      </c>
      <c r="E1635" s="34">
        <v>7000</v>
      </c>
      <c r="F1635" s="76">
        <v>6947</v>
      </c>
      <c r="G1635" s="49">
        <v>0</v>
      </c>
      <c r="H1635" s="50">
        <f>IFERROR(Table1[Re-process (Kg)]/Table1[Actual Production (Kg)], "")</f>
        <v>0</v>
      </c>
      <c r="I1635" s="49">
        <f>IFERROR(Table1[[#This Row],[Actual Production (Kg)]]-Table1[[#This Row],[Re-process (Kg)]], "")</f>
        <v>6947</v>
      </c>
      <c r="J1635" s="49">
        <v>22</v>
      </c>
      <c r="K1635" s="72"/>
      <c r="L1635" s="49">
        <f>IF(Table1[[#This Row],[Target Time (Hours)]]="","",Table1[[#This Row],[Target Time (Hours)]]-Table1[[#This Row],[Downtime (Hours)]])</f>
        <v>22</v>
      </c>
      <c r="M1635" s="49">
        <f>IFERROR(Table1[[#This Row],[Capacity (Kg)]]/Table1[[#This Row],[Target Time (Hours)]] * Table1[[#This Row],[Downtime (Hours)]], "")</f>
        <v>0</v>
      </c>
      <c r="N1635" s="50">
        <f>IFERROR(Table1[[#This Row],[Running Time (hr)]]/Table1[Target Time (Hours)], "")</f>
        <v>1</v>
      </c>
      <c r="O1635" s="50">
        <f>IFERROR(Table1[[#This Row],[Actual Production (Kg)]]/Table1[Capacity (Kg)], "")</f>
        <v>0.99242857142857144</v>
      </c>
      <c r="P1635" s="50">
        <f>IFERROR(Table1[[#This Row],[Quality Pass Production]]/Table1[[#This Row],[Actual Production (Kg)]], "")</f>
        <v>1</v>
      </c>
      <c r="Q1635" s="50">
        <f>IFERROR(Table1[[#This Row],[Utilization %]]*Table1[[#This Row],[Efficiency %]]*Table1[[#This Row],[Quality %]], "")</f>
        <v>0.99242857142857144</v>
      </c>
    </row>
    <row r="1636" spans="1:18" ht="30" customHeight="1" x14ac:dyDescent="0.25">
      <c r="A1636" s="47">
        <v>46266</v>
      </c>
      <c r="B1636" s="48" t="s">
        <v>18</v>
      </c>
      <c r="C1636" s="48" t="s">
        <v>28</v>
      </c>
      <c r="D1636" s="48" t="s">
        <v>29</v>
      </c>
      <c r="E1636" s="30">
        <v>7800</v>
      </c>
      <c r="F1636" s="76">
        <v>8436</v>
      </c>
      <c r="G1636" s="49">
        <v>0</v>
      </c>
      <c r="H1636" s="50">
        <f>IFERROR(Table1[Re-process (Kg)]/Table1[Actual Production (Kg)], "")</f>
        <v>0</v>
      </c>
      <c r="I1636" s="49">
        <f>IFERROR(Table1[[#This Row],[Actual Production (Kg)]]-Table1[[#This Row],[Re-process (Kg)]], "")</f>
        <v>8436</v>
      </c>
      <c r="J1636" s="49">
        <v>22</v>
      </c>
      <c r="K1636" s="72"/>
      <c r="L1636" s="49">
        <f>IF(Table1[[#This Row],[Target Time (Hours)]]="","",Table1[[#This Row],[Target Time (Hours)]]-Table1[[#This Row],[Downtime (Hours)]])</f>
        <v>22</v>
      </c>
      <c r="M1636" s="49">
        <f>IFERROR(Table1[[#This Row],[Capacity (Kg)]]/Table1[[#This Row],[Target Time (Hours)]] * Table1[[#This Row],[Downtime (Hours)]], "")</f>
        <v>0</v>
      </c>
      <c r="N1636" s="50">
        <f>IFERROR(Table1[[#This Row],[Running Time (hr)]]/Table1[Target Time (Hours)], "")</f>
        <v>1</v>
      </c>
      <c r="O1636" s="50">
        <f>IFERROR(Table1[[#This Row],[Actual Production (Kg)]]/Table1[Capacity (Kg)], "")</f>
        <v>1.0815384615384616</v>
      </c>
      <c r="P1636" s="50">
        <f>IFERROR(Table1[[#This Row],[Quality Pass Production]]/Table1[[#This Row],[Actual Production (Kg)]], "")</f>
        <v>1</v>
      </c>
      <c r="Q1636" s="50">
        <f>IFERROR(Table1[[#This Row],[Utilization %]]*Table1[[#This Row],[Efficiency %]]*Table1[[#This Row],[Quality %]], "")</f>
        <v>1.0815384615384616</v>
      </c>
    </row>
    <row r="1637" spans="1:18" ht="30" customHeight="1" x14ac:dyDescent="0.25">
      <c r="A1637" s="51">
        <v>46266</v>
      </c>
      <c r="B1637" s="52" t="s">
        <v>18</v>
      </c>
      <c r="C1637" s="52" t="s">
        <v>135</v>
      </c>
      <c r="D1637" s="52" t="s">
        <v>29</v>
      </c>
      <c r="E1637" s="38"/>
      <c r="F1637" s="53"/>
      <c r="G1637" s="53"/>
      <c r="H1637" s="57" t="str">
        <f>IFERROR(Table1[Re-process (Kg)]/Table1[Actual Production (Kg)], "")</f>
        <v/>
      </c>
      <c r="I1637" s="53">
        <f>IFERROR(Table1[[#This Row],[Actual Production (Kg)]]-Table1[[#This Row],[Re-process (Kg)]], "")</f>
        <v>0</v>
      </c>
      <c r="J1637" s="53"/>
      <c r="K1637" s="52"/>
      <c r="L1637" s="53" t="str">
        <f>IF(Table1[[#This Row],[Target Time (Hours)]]="","",Table1[[#This Row],[Target Time (Hours)]]-Table1[[#This Row],[Downtime (Hours)]])</f>
        <v/>
      </c>
      <c r="M1637" s="53" t="str">
        <f>IFERROR(Table1[[#This Row],[Capacity (Kg)]]/Table1[[#This Row],[Target Time (Hours)]] * Table1[[#This Row],[Downtime (Hours)]], "")</f>
        <v/>
      </c>
      <c r="N1637" s="57" t="str">
        <f>IFERROR(Table1[[#This Row],[Running Time (hr)]]/Table1[Target Time (Hours)], "")</f>
        <v/>
      </c>
      <c r="O1637" s="57" t="str">
        <f>IFERROR(Table1[[#This Row],[Actual Production (Kg)]]/Table1[Capacity (Kg)], "")</f>
        <v/>
      </c>
      <c r="P1637" s="57" t="str">
        <f>IFERROR(Table1[[#This Row],[Quality Pass Production]]/Table1[[#This Row],[Actual Production (Kg)]], "")</f>
        <v/>
      </c>
      <c r="Q1637" s="57" t="str">
        <f>IFERROR(Table1[[#This Row],[Utilization %]]*Table1[[#This Row],[Efficiency %]]*Table1[[#This Row],[Quality %]], "")</f>
        <v/>
      </c>
      <c r="R1637" s="52"/>
    </row>
    <row r="1638" spans="1:18" ht="30" customHeight="1" x14ac:dyDescent="0.25">
      <c r="A1638" s="47">
        <v>46266</v>
      </c>
      <c r="B1638" s="48" t="s">
        <v>18</v>
      </c>
      <c r="C1638" s="48" t="s">
        <v>30</v>
      </c>
      <c r="D1638" s="48" t="s">
        <v>31</v>
      </c>
      <c r="E1638" s="30">
        <v>9000</v>
      </c>
      <c r="F1638" s="76">
        <v>6839</v>
      </c>
      <c r="G1638" s="49">
        <v>0</v>
      </c>
      <c r="H1638" s="50">
        <f>IFERROR(Table1[Re-process (Kg)]/Table1[Actual Production (Kg)], "")</f>
        <v>0</v>
      </c>
      <c r="I1638" s="49">
        <f>IFERROR(Table1[[#This Row],[Actual Production (Kg)]]-Table1[[#This Row],[Re-process (Kg)]], "")</f>
        <v>6839</v>
      </c>
      <c r="J1638" s="49">
        <v>22</v>
      </c>
      <c r="K1638" s="72"/>
      <c r="L1638" s="49">
        <f>IF(Table1[[#This Row],[Target Time (Hours)]]="","",Table1[[#This Row],[Target Time (Hours)]]-Table1[[#This Row],[Downtime (Hours)]])</f>
        <v>22</v>
      </c>
      <c r="M1638" s="49">
        <f>IFERROR(Table1[[#This Row],[Capacity (Kg)]]/Table1[[#This Row],[Target Time (Hours)]] * Table1[[#This Row],[Downtime (Hours)]], "")</f>
        <v>0</v>
      </c>
      <c r="N1638" s="50">
        <f>IFERROR(Table1[[#This Row],[Running Time (hr)]]/Table1[Target Time (Hours)], "")</f>
        <v>1</v>
      </c>
      <c r="O1638" s="50">
        <f>IFERROR(Table1[[#This Row],[Actual Production (Kg)]]/Table1[Capacity (Kg)], "")</f>
        <v>0.75988888888888884</v>
      </c>
      <c r="P1638" s="50">
        <f>IFERROR(Table1[[#This Row],[Quality Pass Production]]/Table1[[#This Row],[Actual Production (Kg)]], "")</f>
        <v>1</v>
      </c>
      <c r="Q1638" s="50">
        <f>IFERROR(Table1[[#This Row],[Utilization %]]*Table1[[#This Row],[Efficiency %]]*Table1[[#This Row],[Quality %]], "")</f>
        <v>0.75988888888888884</v>
      </c>
    </row>
    <row r="1639" spans="1:18" ht="30" customHeight="1" x14ac:dyDescent="0.25">
      <c r="A1639" s="51">
        <v>46266</v>
      </c>
      <c r="B1639" s="52" t="s">
        <v>18</v>
      </c>
      <c r="C1639" s="52" t="s">
        <v>32</v>
      </c>
      <c r="D1639" s="52" t="s">
        <v>31</v>
      </c>
      <c r="E1639" s="79"/>
      <c r="F1639" s="53"/>
      <c r="G1639" s="53"/>
      <c r="H1639" s="57" t="str">
        <f>IFERROR(Table1[Re-process (Kg)]/Table1[Actual Production (Kg)], "")</f>
        <v/>
      </c>
      <c r="I1639" s="53">
        <f>IFERROR(Table1[[#This Row],[Actual Production (Kg)]]-Table1[[#This Row],[Re-process (Kg)]], "")</f>
        <v>0</v>
      </c>
      <c r="J1639" s="53"/>
      <c r="K1639" s="52"/>
      <c r="L1639" s="53" t="str">
        <f>IF(Table1[[#This Row],[Target Time (Hours)]]="","",Table1[[#This Row],[Target Time (Hours)]]-Table1[[#This Row],[Downtime (Hours)]])</f>
        <v/>
      </c>
      <c r="M1639" s="53" t="str">
        <f>IFERROR(Table1[[#This Row],[Capacity (Kg)]]/Table1[[#This Row],[Target Time (Hours)]] * Table1[[#This Row],[Downtime (Hours)]], "")</f>
        <v/>
      </c>
      <c r="N1639" s="57" t="str">
        <f>IFERROR(Table1[[#This Row],[Running Time (hr)]]/Table1[Target Time (Hours)], "")</f>
        <v/>
      </c>
      <c r="O1639" s="57" t="str">
        <f>IFERROR(Table1[[#This Row],[Actual Production (Kg)]]/Table1[Capacity (Kg)], "")</f>
        <v/>
      </c>
      <c r="P1639" s="57" t="str">
        <f>IFERROR(Table1[[#This Row],[Quality Pass Production]]/Table1[[#This Row],[Actual Production (Kg)]], "")</f>
        <v/>
      </c>
      <c r="Q1639" s="57" t="str">
        <f>IFERROR(Table1[[#This Row],[Utilization %]]*Table1[[#This Row],[Efficiency %]]*Table1[[#This Row],[Quality %]], "")</f>
        <v/>
      </c>
      <c r="R1639" s="52"/>
    </row>
    <row r="1640" spans="1:18" ht="30" customHeight="1" x14ac:dyDescent="0.25">
      <c r="A1640" s="47">
        <v>46266</v>
      </c>
      <c r="B1640" s="48" t="s">
        <v>33</v>
      </c>
      <c r="C1640" s="48" t="s">
        <v>34</v>
      </c>
      <c r="D1640" s="48" t="s">
        <v>35</v>
      </c>
      <c r="E1640" s="30">
        <v>9000</v>
      </c>
      <c r="F1640" s="76">
        <v>8215</v>
      </c>
      <c r="G1640" s="49">
        <v>0</v>
      </c>
      <c r="H1640" s="50">
        <f>IFERROR(Table1[Re-process (Kg)]/Table1[Actual Production (Kg)], "")</f>
        <v>0</v>
      </c>
      <c r="I1640" s="49">
        <f>IFERROR(Table1[[#This Row],[Actual Production (Kg)]]-Table1[[#This Row],[Re-process (Kg)]], "")</f>
        <v>8215</v>
      </c>
      <c r="J1640" s="49">
        <v>22</v>
      </c>
      <c r="K1640" s="72"/>
      <c r="L1640" s="49">
        <f>IF(Table1[[#This Row],[Target Time (Hours)]]="","",Table1[[#This Row],[Target Time (Hours)]]-Table1[[#This Row],[Downtime (Hours)]])</f>
        <v>22</v>
      </c>
      <c r="M1640" s="49">
        <f>IFERROR(Table1[[#This Row],[Capacity (Kg)]]/Table1[[#This Row],[Target Time (Hours)]] * Table1[[#This Row],[Downtime (Hours)]], "")</f>
        <v>0</v>
      </c>
      <c r="N1640" s="50">
        <f>IFERROR(Table1[[#This Row],[Running Time (hr)]]/Table1[Target Time (Hours)], "")</f>
        <v>1</v>
      </c>
      <c r="O1640" s="50">
        <f>IFERROR(Table1[[#This Row],[Actual Production (Kg)]]/Table1[Capacity (Kg)], "")</f>
        <v>0.9127777777777778</v>
      </c>
      <c r="P1640" s="50">
        <f>IFERROR(Table1[[#This Row],[Quality Pass Production]]/Table1[[#This Row],[Actual Production (Kg)]], "")</f>
        <v>1</v>
      </c>
      <c r="Q1640" s="50">
        <f>IFERROR(Table1[[#This Row],[Utilization %]]*Table1[[#This Row],[Efficiency %]]*Table1[[#This Row],[Quality %]], "")</f>
        <v>0.9127777777777778</v>
      </c>
    </row>
    <row r="1641" spans="1:18" x14ac:dyDescent="0.25">
      <c r="A1641" s="47">
        <v>46266</v>
      </c>
      <c r="B1641" s="48" t="s">
        <v>33</v>
      </c>
      <c r="C1641" s="48" t="s">
        <v>36</v>
      </c>
      <c r="D1641" s="48" t="s">
        <v>37</v>
      </c>
      <c r="E1641" s="34">
        <v>8000</v>
      </c>
      <c r="F1641" s="76">
        <v>7593</v>
      </c>
      <c r="G1641" s="49">
        <v>0</v>
      </c>
      <c r="H1641" s="50">
        <f>IFERROR(Table1[Re-process (Kg)]/Table1[Actual Production (Kg)], "")</f>
        <v>0</v>
      </c>
      <c r="I1641" s="49">
        <f>IFERROR(Table1[[#This Row],[Actual Production (Kg)]]-Table1[[#This Row],[Re-process (Kg)]], "")</f>
        <v>7593</v>
      </c>
      <c r="J1641" s="49">
        <v>22</v>
      </c>
      <c r="K1641" s="72">
        <v>1.5</v>
      </c>
      <c r="L1641" s="49">
        <f>IF(Table1[[#This Row],[Target Time (Hours)]]="","",Table1[[#This Row],[Target Time (Hours)]]-Table1[[#This Row],[Downtime (Hours)]])</f>
        <v>20.5</v>
      </c>
      <c r="M1641" s="49">
        <f>IFERROR(Table1[[#This Row],[Capacity (Kg)]]/Table1[[#This Row],[Target Time (Hours)]] * Table1[[#This Row],[Downtime (Hours)]], "")</f>
        <v>545.4545454545455</v>
      </c>
      <c r="N1641" s="50">
        <f>IFERROR(Table1[[#This Row],[Running Time (hr)]]/Table1[Target Time (Hours)], "")</f>
        <v>0.93181818181818177</v>
      </c>
      <c r="O1641" s="50">
        <f>IFERROR(Table1[[#This Row],[Actual Production (Kg)]]/Table1[Capacity (Kg)], "")</f>
        <v>0.949125</v>
      </c>
      <c r="P1641" s="50">
        <f>IFERROR(Table1[[#This Row],[Quality Pass Production]]/Table1[[#This Row],[Actual Production (Kg)]], "")</f>
        <v>1</v>
      </c>
      <c r="Q1641" s="50">
        <f>IFERROR(Table1[[#This Row],[Utilization %]]*Table1[[#This Row],[Efficiency %]]*Table1[[#This Row],[Quality %]], "")</f>
        <v>0.88441193181818178</v>
      </c>
      <c r="R1641" s="48" t="s">
        <v>432</v>
      </c>
    </row>
    <row r="1642" spans="1:18" ht="30" customHeight="1" x14ac:dyDescent="0.25">
      <c r="A1642" s="47">
        <v>46266</v>
      </c>
      <c r="B1642" s="48" t="s">
        <v>33</v>
      </c>
      <c r="C1642" s="48" t="s">
        <v>39</v>
      </c>
      <c r="D1642" s="48" t="s">
        <v>31</v>
      </c>
      <c r="E1642" s="30">
        <v>6000</v>
      </c>
      <c r="F1642" s="76">
        <v>4345</v>
      </c>
      <c r="G1642" s="49">
        <v>0</v>
      </c>
      <c r="H1642" s="50">
        <f>IFERROR(Table1[Re-process (Kg)]/Table1[Actual Production (Kg)], "")</f>
        <v>0</v>
      </c>
      <c r="I1642" s="49">
        <f>IFERROR(Table1[[#This Row],[Actual Production (Kg)]]-Table1[[#This Row],[Re-process (Kg)]], "")</f>
        <v>4345</v>
      </c>
      <c r="J1642" s="49">
        <v>22</v>
      </c>
      <c r="K1642" s="72"/>
      <c r="L1642" s="49">
        <f>IF(Table1[[#This Row],[Target Time (Hours)]]="","",Table1[[#This Row],[Target Time (Hours)]]-Table1[[#This Row],[Downtime (Hours)]])</f>
        <v>22</v>
      </c>
      <c r="M1642" s="49">
        <f>IFERROR(Table1[[#This Row],[Capacity (Kg)]]/Table1[[#This Row],[Target Time (Hours)]] * Table1[[#This Row],[Downtime (Hours)]], "")</f>
        <v>0</v>
      </c>
      <c r="N1642" s="50">
        <f>IFERROR(Table1[[#This Row],[Running Time (hr)]]/Table1[Target Time (Hours)], "")</f>
        <v>1</v>
      </c>
      <c r="O1642" s="50">
        <f>IFERROR(Table1[[#This Row],[Actual Production (Kg)]]/Table1[Capacity (Kg)], "")</f>
        <v>0.72416666666666663</v>
      </c>
      <c r="P1642" s="50">
        <f>IFERROR(Table1[[#This Row],[Quality Pass Production]]/Table1[[#This Row],[Actual Production (Kg)]], "")</f>
        <v>1</v>
      </c>
      <c r="Q1642" s="50">
        <f>IFERROR(Table1[[#This Row],[Utilization %]]*Table1[[#This Row],[Efficiency %]]*Table1[[#This Row],[Quality %]], "")</f>
        <v>0.72416666666666663</v>
      </c>
    </row>
    <row r="1643" spans="1:18" ht="45" customHeight="1" x14ac:dyDescent="0.25">
      <c r="A1643" s="54">
        <v>46266</v>
      </c>
      <c r="B1643" s="55" t="s">
        <v>33</v>
      </c>
      <c r="C1643" s="55" t="s">
        <v>40</v>
      </c>
      <c r="D1643" s="55" t="s">
        <v>31</v>
      </c>
      <c r="E1643" s="43">
        <v>5000</v>
      </c>
      <c r="F1643" s="56">
        <v>2118</v>
      </c>
      <c r="G1643" s="56">
        <v>0</v>
      </c>
      <c r="H1643" s="58">
        <f>IFERROR(Table1[Re-process (Kg)]/Table1[Actual Production (Kg)], "")</f>
        <v>0</v>
      </c>
      <c r="I1643" s="56">
        <f>IFERROR(Table1[[#This Row],[Actual Production (Kg)]]-Table1[[#This Row],[Re-process (Kg)]], "")</f>
        <v>2118</v>
      </c>
      <c r="J1643" s="56">
        <v>22</v>
      </c>
      <c r="K1643" s="55">
        <v>4</v>
      </c>
      <c r="L1643" s="56">
        <f>IF(Table1[[#This Row],[Target Time (Hours)]]="","",Table1[[#This Row],[Target Time (Hours)]]-Table1[[#This Row],[Downtime (Hours)]])</f>
        <v>18</v>
      </c>
      <c r="M1643" s="56">
        <f>IFERROR(Table1[[#This Row],[Capacity (Kg)]]/Table1[[#This Row],[Target Time (Hours)]] * Table1[[#This Row],[Downtime (Hours)]], "")</f>
        <v>909.09090909090912</v>
      </c>
      <c r="N1643" s="58">
        <f>IFERROR(Table1[[#This Row],[Running Time (hr)]]/Table1[Target Time (Hours)], "")</f>
        <v>0.81818181818181823</v>
      </c>
      <c r="O1643" s="58">
        <f>IFERROR(Table1[[#This Row],[Actual Production (Kg)]]/Table1[Capacity (Kg)], "")</f>
        <v>0.42359999999999998</v>
      </c>
      <c r="P1643" s="58">
        <f>IFERROR(Table1[[#This Row],[Quality Pass Production]]/Table1[[#This Row],[Actual Production (Kg)]], "")</f>
        <v>1</v>
      </c>
      <c r="Q1643" s="58">
        <f>IFERROR(Table1[[#This Row],[Utilization %]]*Table1[[#This Row],[Efficiency %]]*Table1[[#This Row],[Quality %]], "")</f>
        <v>0.34658181818181816</v>
      </c>
      <c r="R1643" s="55" t="s">
        <v>433</v>
      </c>
    </row>
    <row r="1644" spans="1:18" ht="45" customHeight="1" x14ac:dyDescent="0.25">
      <c r="A1644" s="47">
        <v>46267</v>
      </c>
      <c r="B1644" s="48" t="s">
        <v>18</v>
      </c>
      <c r="C1644" s="48" t="s">
        <v>19</v>
      </c>
      <c r="D1644" s="48" t="s">
        <v>20</v>
      </c>
      <c r="E1644" s="34">
        <v>10000</v>
      </c>
      <c r="F1644" s="76">
        <v>6628</v>
      </c>
      <c r="G1644" s="49">
        <v>0</v>
      </c>
      <c r="H1644" s="50">
        <f>IFERROR(Table1[Re-process (Kg)]/Table1[Actual Production (Kg)], "")</f>
        <v>0</v>
      </c>
      <c r="I1644" s="49">
        <f>IFERROR(Table1[[#This Row],[Actual Production (Kg)]]-Table1[[#This Row],[Re-process (Kg)]], "")</f>
        <v>6628</v>
      </c>
      <c r="J1644" s="49">
        <v>22</v>
      </c>
      <c r="K1644" s="72">
        <v>7.6</v>
      </c>
      <c r="L1644" s="49">
        <f>IF(Table1[[#This Row],[Target Time (Hours)]]="","",Table1[[#This Row],[Target Time (Hours)]]-Table1[[#This Row],[Downtime (Hours)]])</f>
        <v>14.4</v>
      </c>
      <c r="M1644" s="49">
        <f>IFERROR(Table1[[#This Row],[Capacity (Kg)]]/Table1[[#This Row],[Target Time (Hours)]] * Table1[[#This Row],[Downtime (Hours)]], "")</f>
        <v>3454.5454545454545</v>
      </c>
      <c r="N1644" s="50">
        <f>IFERROR(Table1[[#This Row],[Running Time (hr)]]/Table1[Target Time (Hours)], "")</f>
        <v>0.65454545454545454</v>
      </c>
      <c r="O1644" s="50">
        <f>IFERROR(Table1[[#This Row],[Actual Production (Kg)]]/Table1[Capacity (Kg)], "")</f>
        <v>0.66279999999999994</v>
      </c>
      <c r="P1644" s="50">
        <f>IFERROR(Table1[[#This Row],[Quality Pass Production]]/Table1[[#This Row],[Actual Production (Kg)]], "")</f>
        <v>1</v>
      </c>
      <c r="Q1644" s="50">
        <f>IFERROR(Table1[[#This Row],[Utilization %]]*Table1[[#This Row],[Efficiency %]]*Table1[[#This Row],[Quality %]], "")</f>
        <v>0.43383272727272726</v>
      </c>
      <c r="R1644" s="48" t="s">
        <v>434</v>
      </c>
    </row>
    <row r="1645" spans="1:18" x14ac:dyDescent="0.25">
      <c r="A1645" s="51">
        <v>46267</v>
      </c>
      <c r="B1645" s="52" t="s">
        <v>18</v>
      </c>
      <c r="C1645" s="52" t="s">
        <v>238</v>
      </c>
      <c r="D1645" s="52" t="s">
        <v>20</v>
      </c>
      <c r="E1645" s="79">
        <v>9579</v>
      </c>
      <c r="F1645" s="53">
        <v>9579</v>
      </c>
      <c r="G1645" s="53">
        <v>0</v>
      </c>
      <c r="H1645" s="57">
        <f>IFERROR(Table1[Re-process (Kg)]/Table1[Actual Production (Kg)], "")</f>
        <v>0</v>
      </c>
      <c r="I1645" s="53">
        <f>IFERROR(Table1[[#This Row],[Actual Production (Kg)]]-Table1[[#This Row],[Re-process (Kg)]], "")</f>
        <v>9579</v>
      </c>
      <c r="J1645" s="53"/>
      <c r="K1645" s="52"/>
      <c r="L1645" s="53" t="str">
        <f>IF(Table1[[#This Row],[Target Time (Hours)]]="","",Table1[[#This Row],[Target Time (Hours)]]-Table1[[#This Row],[Downtime (Hours)]])</f>
        <v/>
      </c>
      <c r="M1645" s="53" t="str">
        <f>IFERROR(Table1[[#This Row],[Capacity (Kg)]]/Table1[[#This Row],[Target Time (Hours)]] * Table1[[#This Row],[Downtime (Hours)]], "")</f>
        <v/>
      </c>
      <c r="N1645" s="57" t="str">
        <f>IFERROR(Table1[[#This Row],[Running Time (hr)]]/Table1[Target Time (Hours)], "")</f>
        <v/>
      </c>
      <c r="O1645" s="57">
        <f>IFERROR(Table1[[#This Row],[Actual Production (Kg)]]/Table1[Capacity (Kg)], "")</f>
        <v>1</v>
      </c>
      <c r="P1645" s="57">
        <f>IFERROR(Table1[[#This Row],[Quality Pass Production]]/Table1[[#This Row],[Actual Production (Kg)]], "")</f>
        <v>1</v>
      </c>
      <c r="Q1645" s="57" t="str">
        <f>IFERROR(Table1[[#This Row],[Utilization %]]*Table1[[#This Row],[Efficiency %]]*Table1[[#This Row],[Quality %]], "")</f>
        <v/>
      </c>
      <c r="R1645" s="52"/>
    </row>
    <row r="1646" spans="1:18" x14ac:dyDescent="0.25">
      <c r="A1646" s="47">
        <v>46267</v>
      </c>
      <c r="B1646" s="48" t="s">
        <v>18</v>
      </c>
      <c r="C1646" s="48" t="s">
        <v>22</v>
      </c>
      <c r="D1646" s="48" t="s">
        <v>23</v>
      </c>
      <c r="E1646" s="34">
        <v>5000</v>
      </c>
      <c r="F1646" s="76">
        <v>4457</v>
      </c>
      <c r="G1646" s="49">
        <v>0</v>
      </c>
      <c r="H1646" s="50">
        <f>IFERROR(Table1[Re-process (Kg)]/Table1[Actual Production (Kg)], "")</f>
        <v>0</v>
      </c>
      <c r="I1646" s="49">
        <f>IFERROR(Table1[[#This Row],[Actual Production (Kg)]]-Table1[[#This Row],[Re-process (Kg)]], "")</f>
        <v>4457</v>
      </c>
      <c r="J1646" s="49">
        <v>22</v>
      </c>
      <c r="K1646" s="72"/>
      <c r="L1646" s="49">
        <f>IF(Table1[[#This Row],[Target Time (Hours)]]="","",Table1[[#This Row],[Target Time (Hours)]]-Table1[[#This Row],[Downtime (Hours)]])</f>
        <v>22</v>
      </c>
      <c r="M1646" s="49">
        <f>IFERROR(Table1[[#This Row],[Capacity (Kg)]]/Table1[[#This Row],[Target Time (Hours)]] * Table1[[#This Row],[Downtime (Hours)]], "")</f>
        <v>0</v>
      </c>
      <c r="N1646" s="50">
        <f>IFERROR(Table1[[#This Row],[Running Time (hr)]]/Table1[Target Time (Hours)], "")</f>
        <v>1</v>
      </c>
      <c r="O1646" s="50">
        <f>IFERROR(Table1[[#This Row],[Actual Production (Kg)]]/Table1[Capacity (Kg)], "")</f>
        <v>0.89139999999999997</v>
      </c>
      <c r="P1646" s="50">
        <f>IFERROR(Table1[[#This Row],[Quality Pass Production]]/Table1[[#This Row],[Actual Production (Kg)]], "")</f>
        <v>1</v>
      </c>
      <c r="Q1646" s="50">
        <f>IFERROR(Table1[[#This Row],[Utilization %]]*Table1[[#This Row],[Efficiency %]]*Table1[[#This Row],[Quality %]], "")</f>
        <v>0.89139999999999997</v>
      </c>
    </row>
    <row r="1647" spans="1:18" x14ac:dyDescent="0.25">
      <c r="A1647" s="47">
        <v>46267</v>
      </c>
      <c r="B1647" s="48" t="s">
        <v>18</v>
      </c>
      <c r="C1647" s="48" t="s">
        <v>22</v>
      </c>
      <c r="D1647" s="48" t="s">
        <v>25</v>
      </c>
      <c r="E1647" s="30">
        <v>4000</v>
      </c>
      <c r="F1647" s="76">
        <v>5045</v>
      </c>
      <c r="G1647" s="49">
        <v>0</v>
      </c>
      <c r="H1647" s="50">
        <f>IFERROR(Table1[Re-process (Kg)]/Table1[Actual Production (Kg)], "")</f>
        <v>0</v>
      </c>
      <c r="I1647" s="49">
        <f>IFERROR(Table1[[#This Row],[Actual Production (Kg)]]-Table1[[#This Row],[Re-process (Kg)]], "")</f>
        <v>5045</v>
      </c>
      <c r="J1647" s="49"/>
      <c r="K1647" s="72"/>
      <c r="L1647" s="49" t="str">
        <f>IF(Table1[[#This Row],[Target Time (Hours)]]="","",Table1[[#This Row],[Target Time (Hours)]]-Table1[[#This Row],[Downtime (Hours)]])</f>
        <v/>
      </c>
      <c r="M1647" s="49" t="str">
        <f>IFERROR(Table1[[#This Row],[Capacity (Kg)]]/Table1[[#This Row],[Target Time (Hours)]] * Table1[[#This Row],[Downtime (Hours)]], "")</f>
        <v/>
      </c>
      <c r="N1647" s="50" t="str">
        <f>IFERROR(Table1[[#This Row],[Running Time (hr)]]/Table1[Target Time (Hours)], "")</f>
        <v/>
      </c>
      <c r="O1647" s="50">
        <f>IFERROR(Table1[[#This Row],[Actual Production (Kg)]]/Table1[Capacity (Kg)], "")</f>
        <v>1.26125</v>
      </c>
      <c r="P1647" s="50">
        <f>IFERROR(Table1[[#This Row],[Quality Pass Production]]/Table1[[#This Row],[Actual Production (Kg)]], "")</f>
        <v>1</v>
      </c>
      <c r="Q1647" s="50" t="str">
        <f>IFERROR(Table1[[#This Row],[Utilization %]]*Table1[[#This Row],[Efficiency %]]*Table1[[#This Row],[Quality %]], "")</f>
        <v/>
      </c>
    </row>
    <row r="1648" spans="1:18" ht="45" customHeight="1" x14ac:dyDescent="0.25">
      <c r="A1648" s="47">
        <v>46267</v>
      </c>
      <c r="B1648" s="48" t="s">
        <v>18</v>
      </c>
      <c r="C1648" s="48" t="s">
        <v>26</v>
      </c>
      <c r="D1648" s="48" t="s">
        <v>25</v>
      </c>
      <c r="E1648" s="34">
        <v>7000</v>
      </c>
      <c r="F1648" s="76">
        <v>4899</v>
      </c>
      <c r="G1648" s="49">
        <v>0</v>
      </c>
      <c r="H1648" s="50">
        <f>IFERROR(Table1[Re-process (Kg)]/Table1[Actual Production (Kg)], "")</f>
        <v>0</v>
      </c>
      <c r="I1648" s="49">
        <f>IFERROR(Table1[[#This Row],[Actual Production (Kg)]]-Table1[[#This Row],[Re-process (Kg)]], "")</f>
        <v>4899</v>
      </c>
      <c r="J1648" s="49">
        <v>22</v>
      </c>
      <c r="K1648" s="72">
        <v>6.6</v>
      </c>
      <c r="L1648" s="49">
        <f>IF(Table1[[#This Row],[Target Time (Hours)]]="","",Table1[[#This Row],[Target Time (Hours)]]-Table1[[#This Row],[Downtime (Hours)]])</f>
        <v>15.4</v>
      </c>
      <c r="M1648" s="49">
        <f>IFERROR(Table1[[#This Row],[Capacity (Kg)]]/Table1[[#This Row],[Target Time (Hours)]] * Table1[[#This Row],[Downtime (Hours)]], "")</f>
        <v>2100</v>
      </c>
      <c r="N1648" s="50">
        <f>IFERROR(Table1[[#This Row],[Running Time (hr)]]/Table1[Target Time (Hours)], "")</f>
        <v>0.70000000000000007</v>
      </c>
      <c r="O1648" s="50">
        <f>IFERROR(Table1[[#This Row],[Actual Production (Kg)]]/Table1[Capacity (Kg)], "")</f>
        <v>0.69985714285714284</v>
      </c>
      <c r="P1648" s="50">
        <f>IFERROR(Table1[[#This Row],[Quality Pass Production]]/Table1[[#This Row],[Actual Production (Kg)]], "")</f>
        <v>1</v>
      </c>
      <c r="Q1648" s="50">
        <f>IFERROR(Table1[[#This Row],[Utilization %]]*Table1[[#This Row],[Efficiency %]]*Table1[[#This Row],[Quality %]], "")</f>
        <v>0.48990000000000006</v>
      </c>
      <c r="R1648" s="48" t="s">
        <v>435</v>
      </c>
    </row>
    <row r="1649" spans="1:18" ht="30" customHeight="1" x14ac:dyDescent="0.25">
      <c r="A1649" s="47">
        <v>46267</v>
      </c>
      <c r="B1649" s="48" t="s">
        <v>18</v>
      </c>
      <c r="C1649" s="48" t="s">
        <v>28</v>
      </c>
      <c r="D1649" s="48" t="s">
        <v>29</v>
      </c>
      <c r="E1649" s="30">
        <v>7800</v>
      </c>
      <c r="F1649" s="76">
        <v>4613</v>
      </c>
      <c r="G1649" s="49">
        <v>0</v>
      </c>
      <c r="H1649" s="50">
        <f>IFERROR(Table1[Re-process (Kg)]/Table1[Actual Production (Kg)], "")</f>
        <v>0</v>
      </c>
      <c r="I1649" s="49">
        <f>IFERROR(Table1[[#This Row],[Actual Production (Kg)]]-Table1[[#This Row],[Re-process (Kg)]], "")</f>
        <v>4613</v>
      </c>
      <c r="J1649" s="49">
        <v>22</v>
      </c>
      <c r="K1649" s="72">
        <v>3</v>
      </c>
      <c r="L1649" s="49">
        <f>IF(Table1[[#This Row],[Target Time (Hours)]]="","",Table1[[#This Row],[Target Time (Hours)]]-Table1[[#This Row],[Downtime (Hours)]])</f>
        <v>19</v>
      </c>
      <c r="M1649" s="49">
        <f>IFERROR(Table1[[#This Row],[Capacity (Kg)]]/Table1[[#This Row],[Target Time (Hours)]] * Table1[[#This Row],[Downtime (Hours)]], "")</f>
        <v>1063.6363636363637</v>
      </c>
      <c r="N1649" s="50">
        <f>IFERROR(Table1[[#This Row],[Running Time (hr)]]/Table1[Target Time (Hours)], "")</f>
        <v>0.86363636363636365</v>
      </c>
      <c r="O1649" s="50">
        <f>IFERROR(Table1[[#This Row],[Actual Production (Kg)]]/Table1[Capacity (Kg)], "")</f>
        <v>0.59141025641025646</v>
      </c>
      <c r="P1649" s="50">
        <f>IFERROR(Table1[[#This Row],[Quality Pass Production]]/Table1[[#This Row],[Actual Production (Kg)]], "")</f>
        <v>1</v>
      </c>
      <c r="Q1649" s="50">
        <f>IFERROR(Table1[[#This Row],[Utilization %]]*Table1[[#This Row],[Efficiency %]]*Table1[[#This Row],[Quality %]], "")</f>
        <v>0.5107634032634033</v>
      </c>
      <c r="R1649" s="48" t="s">
        <v>436</v>
      </c>
    </row>
    <row r="1650" spans="1:18" ht="30" customHeight="1" x14ac:dyDescent="0.25">
      <c r="A1650" s="51">
        <v>46267</v>
      </c>
      <c r="B1650" s="52" t="s">
        <v>18</v>
      </c>
      <c r="C1650" s="52" t="s">
        <v>135</v>
      </c>
      <c r="D1650" s="52" t="s">
        <v>29</v>
      </c>
      <c r="E1650" s="38"/>
      <c r="F1650" s="53"/>
      <c r="G1650" s="53"/>
      <c r="H1650" s="57" t="str">
        <f>IFERROR(Table1[Re-process (Kg)]/Table1[Actual Production (Kg)], "")</f>
        <v/>
      </c>
      <c r="I1650" s="53">
        <f>IFERROR(Table1[[#This Row],[Actual Production (Kg)]]-Table1[[#This Row],[Re-process (Kg)]], "")</f>
        <v>0</v>
      </c>
      <c r="J1650" s="53"/>
      <c r="K1650" s="52"/>
      <c r="L1650" s="53" t="str">
        <f>IF(Table1[[#This Row],[Target Time (Hours)]]="","",Table1[[#This Row],[Target Time (Hours)]]-Table1[[#This Row],[Downtime (Hours)]])</f>
        <v/>
      </c>
      <c r="M1650" s="53" t="str">
        <f>IFERROR(Table1[[#This Row],[Capacity (Kg)]]/Table1[[#This Row],[Target Time (Hours)]] * Table1[[#This Row],[Downtime (Hours)]], "")</f>
        <v/>
      </c>
      <c r="N1650" s="57" t="str">
        <f>IFERROR(Table1[[#This Row],[Running Time (hr)]]/Table1[Target Time (Hours)], "")</f>
        <v/>
      </c>
      <c r="O1650" s="57" t="str">
        <f>IFERROR(Table1[[#This Row],[Actual Production (Kg)]]/Table1[Capacity (Kg)], "")</f>
        <v/>
      </c>
      <c r="P1650" s="57" t="str">
        <f>IFERROR(Table1[[#This Row],[Quality Pass Production]]/Table1[[#This Row],[Actual Production (Kg)]], "")</f>
        <v/>
      </c>
      <c r="Q1650" s="57" t="str">
        <f>IFERROR(Table1[[#This Row],[Utilization %]]*Table1[[#This Row],[Efficiency %]]*Table1[[#This Row],[Quality %]], "")</f>
        <v/>
      </c>
      <c r="R1650" s="52"/>
    </row>
    <row r="1651" spans="1:18" ht="30" customHeight="1" x14ac:dyDescent="0.25">
      <c r="A1651" s="47">
        <v>46267</v>
      </c>
      <c r="B1651" s="48" t="s">
        <v>18</v>
      </c>
      <c r="C1651" s="48" t="s">
        <v>30</v>
      </c>
      <c r="D1651" s="48" t="s">
        <v>31</v>
      </c>
      <c r="E1651" s="30">
        <v>9000</v>
      </c>
      <c r="F1651" s="76">
        <v>6867</v>
      </c>
      <c r="G1651" s="49">
        <v>0</v>
      </c>
      <c r="H1651" s="50">
        <f>IFERROR(Table1[Re-process (Kg)]/Table1[Actual Production (Kg)], "")</f>
        <v>0</v>
      </c>
      <c r="I1651" s="49">
        <f>IFERROR(Table1[[#This Row],[Actual Production (Kg)]]-Table1[[#This Row],[Re-process (Kg)]], "")</f>
        <v>6867</v>
      </c>
      <c r="J1651" s="49">
        <v>22</v>
      </c>
      <c r="K1651" s="72"/>
      <c r="L1651" s="49">
        <f>IF(Table1[[#This Row],[Target Time (Hours)]]="","",Table1[[#This Row],[Target Time (Hours)]]-Table1[[#This Row],[Downtime (Hours)]])</f>
        <v>22</v>
      </c>
      <c r="M1651" s="49">
        <f>IFERROR(Table1[[#This Row],[Capacity (Kg)]]/Table1[[#This Row],[Target Time (Hours)]] * Table1[[#This Row],[Downtime (Hours)]], "")</f>
        <v>0</v>
      </c>
      <c r="N1651" s="50">
        <f>IFERROR(Table1[[#This Row],[Running Time (hr)]]/Table1[Target Time (Hours)], "")</f>
        <v>1</v>
      </c>
      <c r="O1651" s="50">
        <f>IFERROR(Table1[[#This Row],[Actual Production (Kg)]]/Table1[Capacity (Kg)], "")</f>
        <v>0.76300000000000001</v>
      </c>
      <c r="P1651" s="50">
        <f>IFERROR(Table1[[#This Row],[Quality Pass Production]]/Table1[[#This Row],[Actual Production (Kg)]], "")</f>
        <v>1</v>
      </c>
      <c r="Q1651" s="50">
        <f>IFERROR(Table1[[#This Row],[Utilization %]]*Table1[[#This Row],[Efficiency %]]*Table1[[#This Row],[Quality %]], "")</f>
        <v>0.76300000000000001</v>
      </c>
    </row>
    <row r="1652" spans="1:18" ht="30" customHeight="1" x14ac:dyDescent="0.25">
      <c r="A1652" s="51">
        <v>46267</v>
      </c>
      <c r="B1652" s="52" t="s">
        <v>18</v>
      </c>
      <c r="C1652" s="52" t="s">
        <v>32</v>
      </c>
      <c r="D1652" s="52" t="s">
        <v>31</v>
      </c>
      <c r="E1652" s="79"/>
      <c r="F1652" s="53">
        <v>852</v>
      </c>
      <c r="G1652" s="53"/>
      <c r="H1652" s="57">
        <f>IFERROR(Table1[Re-process (Kg)]/Table1[Actual Production (Kg)], "")</f>
        <v>0</v>
      </c>
      <c r="I1652" s="53">
        <f>IFERROR(Table1[[#This Row],[Actual Production (Kg)]]-Table1[[#This Row],[Re-process (Kg)]], "")</f>
        <v>852</v>
      </c>
      <c r="J1652" s="53"/>
      <c r="K1652" s="52"/>
      <c r="L1652" s="53" t="str">
        <f>IF(Table1[[#This Row],[Target Time (Hours)]]="","",Table1[[#This Row],[Target Time (Hours)]]-Table1[[#This Row],[Downtime (Hours)]])</f>
        <v/>
      </c>
      <c r="M1652" s="53" t="str">
        <f>IFERROR(Table1[[#This Row],[Capacity (Kg)]]/Table1[[#This Row],[Target Time (Hours)]] * Table1[[#This Row],[Downtime (Hours)]], "")</f>
        <v/>
      </c>
      <c r="N1652" s="57" t="str">
        <f>IFERROR(Table1[[#This Row],[Running Time (hr)]]/Table1[Target Time (Hours)], "")</f>
        <v/>
      </c>
      <c r="O1652" s="57" t="str">
        <f>IFERROR(Table1[[#This Row],[Actual Production (Kg)]]/Table1[Capacity (Kg)], "")</f>
        <v/>
      </c>
      <c r="P1652" s="57">
        <f>IFERROR(Table1[[#This Row],[Quality Pass Production]]/Table1[[#This Row],[Actual Production (Kg)]], "")</f>
        <v>1</v>
      </c>
      <c r="Q1652" s="57" t="str">
        <f>IFERROR(Table1[[#This Row],[Utilization %]]*Table1[[#This Row],[Efficiency %]]*Table1[[#This Row],[Quality %]], "")</f>
        <v/>
      </c>
      <c r="R1652" s="52"/>
    </row>
    <row r="1653" spans="1:18" ht="30" customHeight="1" x14ac:dyDescent="0.25">
      <c r="A1653" s="47">
        <v>46267</v>
      </c>
      <c r="B1653" s="48" t="s">
        <v>33</v>
      </c>
      <c r="C1653" s="48" t="s">
        <v>34</v>
      </c>
      <c r="D1653" s="48" t="s">
        <v>35</v>
      </c>
      <c r="E1653" s="30">
        <v>9000</v>
      </c>
      <c r="F1653" s="76">
        <v>7039</v>
      </c>
      <c r="G1653" s="49">
        <v>0</v>
      </c>
      <c r="H1653" s="50">
        <f>IFERROR(Table1[Re-process (Kg)]/Table1[Actual Production (Kg)], "")</f>
        <v>0</v>
      </c>
      <c r="I1653" s="49">
        <f>IFERROR(Table1[[#This Row],[Actual Production (Kg)]]-Table1[[#This Row],[Re-process (Kg)]], "")</f>
        <v>7039</v>
      </c>
      <c r="J1653" s="49">
        <v>22</v>
      </c>
      <c r="K1653" s="72"/>
      <c r="L1653" s="49">
        <f>IF(Table1[[#This Row],[Target Time (Hours)]]="","",Table1[[#This Row],[Target Time (Hours)]]-Table1[[#This Row],[Downtime (Hours)]])</f>
        <v>22</v>
      </c>
      <c r="M1653" s="49">
        <f>IFERROR(Table1[[#This Row],[Capacity (Kg)]]/Table1[[#This Row],[Target Time (Hours)]] * Table1[[#This Row],[Downtime (Hours)]], "")</f>
        <v>0</v>
      </c>
      <c r="N1653" s="50">
        <f>IFERROR(Table1[[#This Row],[Running Time (hr)]]/Table1[Target Time (Hours)], "")</f>
        <v>1</v>
      </c>
      <c r="O1653" s="50">
        <f>IFERROR(Table1[[#This Row],[Actual Production (Kg)]]/Table1[Capacity (Kg)], "")</f>
        <v>0.78211111111111109</v>
      </c>
      <c r="P1653" s="50">
        <f>IFERROR(Table1[[#This Row],[Quality Pass Production]]/Table1[[#This Row],[Actual Production (Kg)]], "")</f>
        <v>1</v>
      </c>
      <c r="Q1653" s="50">
        <f>IFERROR(Table1[[#This Row],[Utilization %]]*Table1[[#This Row],[Efficiency %]]*Table1[[#This Row],[Quality %]], "")</f>
        <v>0.78211111111111109</v>
      </c>
    </row>
    <row r="1654" spans="1:18" ht="30" customHeight="1" x14ac:dyDescent="0.25">
      <c r="A1654" s="47">
        <v>46267</v>
      </c>
      <c r="B1654" s="48" t="s">
        <v>33</v>
      </c>
      <c r="C1654" s="48" t="s">
        <v>36</v>
      </c>
      <c r="D1654" s="48" t="s">
        <v>37</v>
      </c>
      <c r="E1654" s="34">
        <v>8000</v>
      </c>
      <c r="F1654" s="76">
        <v>5359</v>
      </c>
      <c r="G1654" s="49">
        <v>0</v>
      </c>
      <c r="H1654" s="50">
        <f>IFERROR(Table1[Re-process (Kg)]/Table1[Actual Production (Kg)], "")</f>
        <v>0</v>
      </c>
      <c r="I1654" s="49">
        <f>IFERROR(Table1[[#This Row],[Actual Production (Kg)]]-Table1[[#This Row],[Re-process (Kg)]], "")</f>
        <v>5359</v>
      </c>
      <c r="J1654" s="49">
        <v>22</v>
      </c>
      <c r="K1654" s="72">
        <v>4.6500000000000004</v>
      </c>
      <c r="L1654" s="49">
        <f>IF(Table1[[#This Row],[Target Time (Hours)]]="","",Table1[[#This Row],[Target Time (Hours)]]-Table1[[#This Row],[Downtime (Hours)]])</f>
        <v>17.350000000000001</v>
      </c>
      <c r="M1654" s="49">
        <f>IFERROR(Table1[[#This Row],[Capacity (Kg)]]/Table1[[#This Row],[Target Time (Hours)]] * Table1[[#This Row],[Downtime (Hours)]], "")</f>
        <v>1690.909090909091</v>
      </c>
      <c r="N1654" s="50">
        <f>IFERROR(Table1[[#This Row],[Running Time (hr)]]/Table1[Target Time (Hours)], "")</f>
        <v>0.78863636363636369</v>
      </c>
      <c r="O1654" s="50">
        <f>IFERROR(Table1[[#This Row],[Actual Production (Kg)]]/Table1[Capacity (Kg)], "")</f>
        <v>0.669875</v>
      </c>
      <c r="P1654" s="50">
        <f>IFERROR(Table1[[#This Row],[Quality Pass Production]]/Table1[[#This Row],[Actual Production (Kg)]], "")</f>
        <v>1</v>
      </c>
      <c r="Q1654" s="50">
        <f>IFERROR(Table1[[#This Row],[Utilization %]]*Table1[[#This Row],[Efficiency %]]*Table1[[#This Row],[Quality %]], "")</f>
        <v>0.52828778409090915</v>
      </c>
      <c r="R1654" s="48" t="s">
        <v>437</v>
      </c>
    </row>
    <row r="1655" spans="1:18" ht="30" customHeight="1" x14ac:dyDescent="0.25">
      <c r="A1655" s="47">
        <v>46267</v>
      </c>
      <c r="B1655" s="48" t="s">
        <v>33</v>
      </c>
      <c r="C1655" s="48" t="s">
        <v>39</v>
      </c>
      <c r="D1655" s="48" t="s">
        <v>31</v>
      </c>
      <c r="E1655" s="30">
        <v>6000</v>
      </c>
      <c r="F1655" s="76">
        <v>2197</v>
      </c>
      <c r="G1655" s="49">
        <v>0</v>
      </c>
      <c r="H1655" s="50">
        <f>IFERROR(Table1[Re-process (Kg)]/Table1[Actual Production (Kg)], "")</f>
        <v>0</v>
      </c>
      <c r="I1655" s="49">
        <f>IFERROR(Table1[[#This Row],[Actual Production (Kg)]]-Table1[[#This Row],[Re-process (Kg)]], "")</f>
        <v>2197</v>
      </c>
      <c r="J1655" s="49">
        <v>22</v>
      </c>
      <c r="K1655" s="72"/>
      <c r="L1655" s="49">
        <f>IF(Table1[[#This Row],[Target Time (Hours)]]="","",Table1[[#This Row],[Target Time (Hours)]]-Table1[[#This Row],[Downtime (Hours)]])</f>
        <v>22</v>
      </c>
      <c r="M1655" s="49">
        <f>IFERROR(Table1[[#This Row],[Capacity (Kg)]]/Table1[[#This Row],[Target Time (Hours)]] * Table1[[#This Row],[Downtime (Hours)]], "")</f>
        <v>0</v>
      </c>
      <c r="N1655" s="50">
        <f>IFERROR(Table1[[#This Row],[Running Time (hr)]]/Table1[Target Time (Hours)], "")</f>
        <v>1</v>
      </c>
      <c r="O1655" s="50">
        <f>IFERROR(Table1[[#This Row],[Actual Production (Kg)]]/Table1[Capacity (Kg)], "")</f>
        <v>0.36616666666666664</v>
      </c>
      <c r="P1655" s="50">
        <f>IFERROR(Table1[[#This Row],[Quality Pass Production]]/Table1[[#This Row],[Actual Production (Kg)]], "")</f>
        <v>1</v>
      </c>
      <c r="Q1655" s="50">
        <f>IFERROR(Table1[[#This Row],[Utilization %]]*Table1[[#This Row],[Efficiency %]]*Table1[[#This Row],[Quality %]], "")</f>
        <v>0.36616666666666664</v>
      </c>
    </row>
    <row r="1656" spans="1:18" ht="45" customHeight="1" x14ac:dyDescent="0.25">
      <c r="A1656" s="54">
        <v>46267</v>
      </c>
      <c r="B1656" s="55" t="s">
        <v>33</v>
      </c>
      <c r="C1656" s="55" t="s">
        <v>40</v>
      </c>
      <c r="D1656" s="55" t="s">
        <v>31</v>
      </c>
      <c r="E1656" s="43">
        <v>5000</v>
      </c>
      <c r="F1656" s="56">
        <v>1952</v>
      </c>
      <c r="G1656" s="56">
        <v>0</v>
      </c>
      <c r="H1656" s="58">
        <f>IFERROR(Table1[Re-process (Kg)]/Table1[Actual Production (Kg)], "")</f>
        <v>0</v>
      </c>
      <c r="I1656" s="56">
        <f>IFERROR(Table1[[#This Row],[Actual Production (Kg)]]-Table1[[#This Row],[Re-process (Kg)]], "")</f>
        <v>1952</v>
      </c>
      <c r="J1656" s="56">
        <v>22</v>
      </c>
      <c r="K1656" s="55"/>
      <c r="L1656" s="56">
        <f>IF(Table1[[#This Row],[Target Time (Hours)]]="","",Table1[[#This Row],[Target Time (Hours)]]-Table1[[#This Row],[Downtime (Hours)]])</f>
        <v>22</v>
      </c>
      <c r="M1656" s="56">
        <f>IFERROR(Table1[[#This Row],[Capacity (Kg)]]/Table1[[#This Row],[Target Time (Hours)]] * Table1[[#This Row],[Downtime (Hours)]], "")</f>
        <v>0</v>
      </c>
      <c r="N1656" s="58">
        <f>IFERROR(Table1[[#This Row],[Running Time (hr)]]/Table1[Target Time (Hours)], "")</f>
        <v>1</v>
      </c>
      <c r="O1656" s="58">
        <f>IFERROR(Table1[[#This Row],[Actual Production (Kg)]]/Table1[Capacity (Kg)], "")</f>
        <v>0.39040000000000002</v>
      </c>
      <c r="P1656" s="58">
        <f>IFERROR(Table1[[#This Row],[Quality Pass Production]]/Table1[[#This Row],[Actual Production (Kg)]], "")</f>
        <v>1</v>
      </c>
      <c r="Q1656" s="58">
        <f>IFERROR(Table1[[#This Row],[Utilization %]]*Table1[[#This Row],[Efficiency %]]*Table1[[#This Row],[Quality %]], "")</f>
        <v>0.39040000000000002</v>
      </c>
      <c r="R1656" s="55"/>
    </row>
    <row r="1657" spans="1:18" ht="30" customHeight="1" x14ac:dyDescent="0.25">
      <c r="A1657" s="47">
        <v>46268</v>
      </c>
      <c r="B1657" s="48" t="s">
        <v>18</v>
      </c>
      <c r="C1657" s="48" t="s">
        <v>19</v>
      </c>
      <c r="D1657" s="48" t="s">
        <v>20</v>
      </c>
      <c r="E1657" s="34">
        <v>10000</v>
      </c>
      <c r="F1657" s="76">
        <v>7889</v>
      </c>
      <c r="G1657" s="49">
        <v>0</v>
      </c>
      <c r="H1657" s="50">
        <f>IFERROR(Table1[Re-process (Kg)]/Table1[Actual Production (Kg)], "")</f>
        <v>0</v>
      </c>
      <c r="I1657" s="49">
        <f>IFERROR(Table1[[#This Row],[Actual Production (Kg)]]-Table1[[#This Row],[Re-process (Kg)]], "")</f>
        <v>7889</v>
      </c>
      <c r="J1657" s="49">
        <v>22</v>
      </c>
      <c r="K1657" s="72"/>
      <c r="L1657" s="49">
        <f>IF(Table1[[#This Row],[Target Time (Hours)]]="","",Table1[[#This Row],[Target Time (Hours)]]-Table1[[#This Row],[Downtime (Hours)]])</f>
        <v>22</v>
      </c>
      <c r="M1657" s="49">
        <f>IFERROR(Table1[[#This Row],[Capacity (Kg)]]/Table1[[#This Row],[Target Time (Hours)]] * Table1[[#This Row],[Downtime (Hours)]], "")</f>
        <v>0</v>
      </c>
      <c r="N1657" s="50">
        <f>IFERROR(Table1[[#This Row],[Running Time (hr)]]/Table1[Target Time (Hours)], "")</f>
        <v>1</v>
      </c>
      <c r="O1657" s="50">
        <f>IFERROR(Table1[[#This Row],[Actual Production (Kg)]]/Table1[Capacity (Kg)], "")</f>
        <v>0.78890000000000005</v>
      </c>
      <c r="P1657" s="50">
        <f>IFERROR(Table1[[#This Row],[Quality Pass Production]]/Table1[[#This Row],[Actual Production (Kg)]], "")</f>
        <v>1</v>
      </c>
      <c r="Q1657" s="50">
        <f>IFERROR(Table1[[#This Row],[Utilization %]]*Table1[[#This Row],[Efficiency %]]*Table1[[#This Row],[Quality %]], "")</f>
        <v>0.78890000000000005</v>
      </c>
    </row>
    <row r="1658" spans="1:18" x14ac:dyDescent="0.25">
      <c r="A1658" s="51">
        <v>46268</v>
      </c>
      <c r="B1658" s="52" t="s">
        <v>18</v>
      </c>
      <c r="C1658" s="52" t="s">
        <v>238</v>
      </c>
      <c r="D1658" s="52" t="s">
        <v>20</v>
      </c>
      <c r="E1658" s="79">
        <v>11097</v>
      </c>
      <c r="F1658" s="53">
        <v>11097</v>
      </c>
      <c r="G1658" s="53">
        <v>0</v>
      </c>
      <c r="H1658" s="57">
        <f>IFERROR(Table1[Re-process (Kg)]/Table1[Actual Production (Kg)], "")</f>
        <v>0</v>
      </c>
      <c r="I1658" s="53">
        <f>IFERROR(Table1[[#This Row],[Actual Production (Kg)]]-Table1[[#This Row],[Re-process (Kg)]], "")</f>
        <v>11097</v>
      </c>
      <c r="J1658" s="53"/>
      <c r="K1658" s="52"/>
      <c r="L1658" s="53" t="str">
        <f>IF(Table1[[#This Row],[Target Time (Hours)]]="","",Table1[[#This Row],[Target Time (Hours)]]-Table1[[#This Row],[Downtime (Hours)]])</f>
        <v/>
      </c>
      <c r="M1658" s="53" t="str">
        <f>IFERROR(Table1[[#This Row],[Capacity (Kg)]]/Table1[[#This Row],[Target Time (Hours)]] * Table1[[#This Row],[Downtime (Hours)]], "")</f>
        <v/>
      </c>
      <c r="N1658" s="57" t="str">
        <f>IFERROR(Table1[[#This Row],[Running Time (hr)]]/Table1[Target Time (Hours)], "")</f>
        <v/>
      </c>
      <c r="O1658" s="57">
        <f>IFERROR(Table1[[#This Row],[Actual Production (Kg)]]/Table1[Capacity (Kg)], "")</f>
        <v>1</v>
      </c>
      <c r="P1658" s="57">
        <f>IFERROR(Table1[[#This Row],[Quality Pass Production]]/Table1[[#This Row],[Actual Production (Kg)]], "")</f>
        <v>1</v>
      </c>
      <c r="Q1658" s="57" t="str">
        <f>IFERROR(Table1[[#This Row],[Utilization %]]*Table1[[#This Row],[Efficiency %]]*Table1[[#This Row],[Quality %]], "")</f>
        <v/>
      </c>
      <c r="R1658" s="52"/>
    </row>
    <row r="1659" spans="1:18" x14ac:dyDescent="0.25">
      <c r="A1659" s="47">
        <v>46268</v>
      </c>
      <c r="B1659" s="48" t="s">
        <v>18</v>
      </c>
      <c r="C1659" s="48" t="s">
        <v>22</v>
      </c>
      <c r="D1659" s="48" t="s">
        <v>23</v>
      </c>
      <c r="E1659" s="34">
        <v>5000</v>
      </c>
      <c r="F1659" s="76">
        <v>1944</v>
      </c>
      <c r="G1659" s="49">
        <v>0</v>
      </c>
      <c r="H1659" s="50">
        <f>IFERROR(Table1[Re-process (Kg)]/Table1[Actual Production (Kg)], "")</f>
        <v>0</v>
      </c>
      <c r="I1659" s="49">
        <f>IFERROR(Table1[[#This Row],[Actual Production (Kg)]]-Table1[[#This Row],[Re-process (Kg)]], "")</f>
        <v>1944</v>
      </c>
      <c r="J1659" s="49">
        <v>22</v>
      </c>
      <c r="K1659" s="72"/>
      <c r="L1659" s="49">
        <f>IF(Table1[[#This Row],[Target Time (Hours)]]="","",Table1[[#This Row],[Target Time (Hours)]]-Table1[[#This Row],[Downtime (Hours)]])</f>
        <v>22</v>
      </c>
      <c r="M1659" s="49">
        <f>IFERROR(Table1[[#This Row],[Capacity (Kg)]]/Table1[[#This Row],[Target Time (Hours)]] * Table1[[#This Row],[Downtime (Hours)]], "")</f>
        <v>0</v>
      </c>
      <c r="N1659" s="50">
        <f>IFERROR(Table1[[#This Row],[Running Time (hr)]]/Table1[Target Time (Hours)], "")</f>
        <v>1</v>
      </c>
      <c r="O1659" s="50">
        <f>IFERROR(Table1[[#This Row],[Actual Production (Kg)]]/Table1[Capacity (Kg)], "")</f>
        <v>0.38879999999999998</v>
      </c>
      <c r="P1659" s="50">
        <f>IFERROR(Table1[[#This Row],[Quality Pass Production]]/Table1[[#This Row],[Actual Production (Kg)]], "")</f>
        <v>1</v>
      </c>
      <c r="Q1659" s="50">
        <f>IFERROR(Table1[[#This Row],[Utilization %]]*Table1[[#This Row],[Efficiency %]]*Table1[[#This Row],[Quality %]], "")</f>
        <v>0.38879999999999998</v>
      </c>
    </row>
    <row r="1660" spans="1:18" x14ac:dyDescent="0.25">
      <c r="A1660" s="47">
        <v>46268</v>
      </c>
      <c r="B1660" s="48" t="s">
        <v>18</v>
      </c>
      <c r="C1660" s="48" t="s">
        <v>22</v>
      </c>
      <c r="D1660" s="48" t="s">
        <v>25</v>
      </c>
      <c r="E1660" s="30">
        <v>4000</v>
      </c>
      <c r="F1660" s="76">
        <v>8614</v>
      </c>
      <c r="G1660" s="49">
        <v>0</v>
      </c>
      <c r="H1660" s="50">
        <f>IFERROR(Table1[Re-process (Kg)]/Table1[Actual Production (Kg)], "")</f>
        <v>0</v>
      </c>
      <c r="I1660" s="49">
        <f>IFERROR(Table1[[#This Row],[Actual Production (Kg)]]-Table1[[#This Row],[Re-process (Kg)]], "")</f>
        <v>8614</v>
      </c>
      <c r="J1660" s="49"/>
      <c r="K1660" s="72"/>
      <c r="L1660" s="49" t="str">
        <f>IF(Table1[[#This Row],[Target Time (Hours)]]="","",Table1[[#This Row],[Target Time (Hours)]]-Table1[[#This Row],[Downtime (Hours)]])</f>
        <v/>
      </c>
      <c r="M1660" s="49" t="str">
        <f>IFERROR(Table1[[#This Row],[Capacity (Kg)]]/Table1[[#This Row],[Target Time (Hours)]] * Table1[[#This Row],[Downtime (Hours)]], "")</f>
        <v/>
      </c>
      <c r="N1660" s="50" t="str">
        <f>IFERROR(Table1[[#This Row],[Running Time (hr)]]/Table1[Target Time (Hours)], "")</f>
        <v/>
      </c>
      <c r="O1660" s="50">
        <f>IFERROR(Table1[[#This Row],[Actual Production (Kg)]]/Table1[Capacity (Kg)], "")</f>
        <v>2.1535000000000002</v>
      </c>
      <c r="P1660" s="50">
        <f>IFERROR(Table1[[#This Row],[Quality Pass Production]]/Table1[[#This Row],[Actual Production (Kg)]], "")</f>
        <v>1</v>
      </c>
      <c r="Q1660" s="50" t="str">
        <f>IFERROR(Table1[[#This Row],[Utilization %]]*Table1[[#This Row],[Efficiency %]]*Table1[[#This Row],[Quality %]], "")</f>
        <v/>
      </c>
    </row>
    <row r="1661" spans="1:18" x14ac:dyDescent="0.25">
      <c r="A1661" s="47">
        <v>46268</v>
      </c>
      <c r="B1661" s="48" t="s">
        <v>18</v>
      </c>
      <c r="C1661" s="48" t="s">
        <v>26</v>
      </c>
      <c r="D1661" s="48" t="s">
        <v>25</v>
      </c>
      <c r="E1661" s="34">
        <v>7000</v>
      </c>
      <c r="F1661" s="76">
        <v>7050</v>
      </c>
      <c r="G1661" s="49">
        <v>0</v>
      </c>
      <c r="H1661" s="50">
        <f>IFERROR(Table1[Re-process (Kg)]/Table1[Actual Production (Kg)], "")</f>
        <v>0</v>
      </c>
      <c r="I1661" s="49">
        <f>IFERROR(Table1[[#This Row],[Actual Production (Kg)]]-Table1[[#This Row],[Re-process (Kg)]], "")</f>
        <v>7050</v>
      </c>
      <c r="J1661" s="49">
        <v>22</v>
      </c>
      <c r="K1661" s="72"/>
      <c r="L1661" s="49">
        <f>IF(Table1[[#This Row],[Target Time (Hours)]]="","",Table1[[#This Row],[Target Time (Hours)]]-Table1[[#This Row],[Downtime (Hours)]])</f>
        <v>22</v>
      </c>
      <c r="M1661" s="49">
        <f>IFERROR(Table1[[#This Row],[Capacity (Kg)]]/Table1[[#This Row],[Target Time (Hours)]] * Table1[[#This Row],[Downtime (Hours)]], "")</f>
        <v>0</v>
      </c>
      <c r="N1661" s="50">
        <f>IFERROR(Table1[[#This Row],[Running Time (hr)]]/Table1[Target Time (Hours)], "")</f>
        <v>1</v>
      </c>
      <c r="O1661" s="50">
        <f>IFERROR(Table1[[#This Row],[Actual Production (Kg)]]/Table1[Capacity (Kg)], "")</f>
        <v>1.0071428571428571</v>
      </c>
      <c r="P1661" s="50">
        <f>IFERROR(Table1[[#This Row],[Quality Pass Production]]/Table1[[#This Row],[Actual Production (Kg)]], "")</f>
        <v>1</v>
      </c>
      <c r="Q1661" s="50">
        <f>IFERROR(Table1[[#This Row],[Utilization %]]*Table1[[#This Row],[Efficiency %]]*Table1[[#This Row],[Quality %]], "")</f>
        <v>1.0071428571428571</v>
      </c>
    </row>
    <row r="1662" spans="1:18" ht="30" customHeight="1" x14ac:dyDescent="0.25">
      <c r="A1662" s="47">
        <v>46268</v>
      </c>
      <c r="B1662" s="48" t="s">
        <v>18</v>
      </c>
      <c r="C1662" s="48" t="s">
        <v>28</v>
      </c>
      <c r="D1662" s="48" t="s">
        <v>29</v>
      </c>
      <c r="E1662" s="30">
        <v>7800</v>
      </c>
      <c r="F1662" s="76">
        <v>5437</v>
      </c>
      <c r="G1662" s="49">
        <v>0</v>
      </c>
      <c r="H1662" s="50">
        <f>IFERROR(Table1[Re-process (Kg)]/Table1[Actual Production (Kg)], "")</f>
        <v>0</v>
      </c>
      <c r="I1662" s="49">
        <f>IFERROR(Table1[[#This Row],[Actual Production (Kg)]]-Table1[[#This Row],[Re-process (Kg)]], "")</f>
        <v>5437</v>
      </c>
      <c r="J1662" s="49">
        <v>22</v>
      </c>
      <c r="K1662" s="72">
        <v>7.67</v>
      </c>
      <c r="L1662" s="49">
        <f>IF(Table1[[#This Row],[Target Time (Hours)]]="","",Table1[[#This Row],[Target Time (Hours)]]-Table1[[#This Row],[Downtime (Hours)]])</f>
        <v>14.33</v>
      </c>
      <c r="M1662" s="49">
        <f>IFERROR(Table1[[#This Row],[Capacity (Kg)]]/Table1[[#This Row],[Target Time (Hours)]] * Table1[[#This Row],[Downtime (Hours)]], "")</f>
        <v>2719.3636363636365</v>
      </c>
      <c r="N1662" s="50">
        <f>IFERROR(Table1[[#This Row],[Running Time (hr)]]/Table1[Target Time (Hours)], "")</f>
        <v>0.65136363636363637</v>
      </c>
      <c r="O1662" s="50">
        <f>IFERROR(Table1[[#This Row],[Actual Production (Kg)]]/Table1[Capacity (Kg)], "")</f>
        <v>0.69705128205128208</v>
      </c>
      <c r="P1662" s="50">
        <f>IFERROR(Table1[[#This Row],[Quality Pass Production]]/Table1[[#This Row],[Actual Production (Kg)]], "")</f>
        <v>1</v>
      </c>
      <c r="Q1662" s="50">
        <f>IFERROR(Table1[[#This Row],[Utilization %]]*Table1[[#This Row],[Efficiency %]]*Table1[[#This Row],[Quality %]], "")</f>
        <v>0.45403385780885785</v>
      </c>
      <c r="R1662" s="48" t="s">
        <v>438</v>
      </c>
    </row>
    <row r="1663" spans="1:18" ht="30" customHeight="1" x14ac:dyDescent="0.25">
      <c r="A1663" s="51">
        <v>46268</v>
      </c>
      <c r="B1663" s="52" t="s">
        <v>18</v>
      </c>
      <c r="C1663" s="52" t="s">
        <v>135</v>
      </c>
      <c r="D1663" s="52" t="s">
        <v>29</v>
      </c>
      <c r="E1663" s="38"/>
      <c r="F1663" s="53"/>
      <c r="G1663" s="53"/>
      <c r="H1663" s="57" t="str">
        <f>IFERROR(Table1[Re-process (Kg)]/Table1[Actual Production (Kg)], "")</f>
        <v/>
      </c>
      <c r="I1663" s="53"/>
      <c r="J1663" s="53"/>
      <c r="K1663" s="52"/>
      <c r="L1663" s="53" t="str">
        <f>IF(Table1[[#This Row],[Target Time (Hours)]]="","",Table1[[#This Row],[Target Time (Hours)]]-Table1[[#This Row],[Downtime (Hours)]])</f>
        <v/>
      </c>
      <c r="M1663" s="53" t="str">
        <f>IFERROR(Table1[[#This Row],[Capacity (Kg)]]/Table1[[#This Row],[Target Time (Hours)]] * Table1[[#This Row],[Downtime (Hours)]], "")</f>
        <v/>
      </c>
      <c r="N1663" s="57" t="str">
        <f>IFERROR(Table1[[#This Row],[Running Time (hr)]]/Table1[Target Time (Hours)], "")</f>
        <v/>
      </c>
      <c r="O1663" s="57" t="str">
        <f>IFERROR(Table1[[#This Row],[Actual Production (Kg)]]/Table1[Capacity (Kg)], "")</f>
        <v/>
      </c>
      <c r="P1663" s="57" t="str">
        <f>IFERROR(Table1[[#This Row],[Quality Pass Production]]/Table1[[#This Row],[Actual Production (Kg)]], "")</f>
        <v/>
      </c>
      <c r="Q1663" s="57" t="str">
        <f>IFERROR(Table1[[#This Row],[Utilization %]]*Table1[[#This Row],[Efficiency %]]*Table1[[#This Row],[Quality %]], "")</f>
        <v/>
      </c>
      <c r="R1663" s="52"/>
    </row>
    <row r="1664" spans="1:18" ht="30" customHeight="1" x14ac:dyDescent="0.25">
      <c r="A1664" s="47">
        <v>46268</v>
      </c>
      <c r="B1664" s="48" t="s">
        <v>18</v>
      </c>
      <c r="C1664" s="48" t="s">
        <v>30</v>
      </c>
      <c r="D1664" s="48" t="s">
        <v>31</v>
      </c>
      <c r="E1664" s="30">
        <v>9000</v>
      </c>
      <c r="F1664" s="76">
        <v>7535</v>
      </c>
      <c r="G1664" s="49">
        <v>0</v>
      </c>
      <c r="H1664" s="50">
        <f>IFERROR(Table1[Re-process (Kg)]/Table1[Actual Production (Kg)], "")</f>
        <v>0</v>
      </c>
      <c r="I1664" s="49">
        <f>IFERROR(Table1[[#This Row],[Actual Production (Kg)]]-Table1[[#This Row],[Re-process (Kg)]], "")</f>
        <v>7535</v>
      </c>
      <c r="J1664" s="49">
        <v>22</v>
      </c>
      <c r="K1664" s="72">
        <v>2.5</v>
      </c>
      <c r="L1664" s="49">
        <f>IF(Table1[[#This Row],[Target Time (Hours)]]="","",Table1[[#This Row],[Target Time (Hours)]]-Table1[[#This Row],[Downtime (Hours)]])</f>
        <v>19.5</v>
      </c>
      <c r="M1664" s="49">
        <f>IFERROR(Table1[[#This Row],[Capacity (Kg)]]/Table1[[#This Row],[Target Time (Hours)]] * Table1[[#This Row],[Downtime (Hours)]], "")</f>
        <v>1022.7272727272726</v>
      </c>
      <c r="N1664" s="50">
        <f>IFERROR(Table1[[#This Row],[Running Time (hr)]]/Table1[Target Time (Hours)], "")</f>
        <v>0.88636363636363635</v>
      </c>
      <c r="O1664" s="50">
        <f>IFERROR(Table1[[#This Row],[Actual Production (Kg)]]/Table1[Capacity (Kg)], "")</f>
        <v>0.8372222222222222</v>
      </c>
      <c r="P1664" s="50">
        <f>IFERROR(Table1[[#This Row],[Quality Pass Production]]/Table1[[#This Row],[Actual Production (Kg)]], "")</f>
        <v>1</v>
      </c>
      <c r="Q1664" s="50">
        <f>IFERROR(Table1[[#This Row],[Utilization %]]*Table1[[#This Row],[Efficiency %]]*Table1[[#This Row],[Quality %]], "")</f>
        <v>0.74208333333333332</v>
      </c>
      <c r="R1664" s="48" t="s">
        <v>439</v>
      </c>
    </row>
    <row r="1665" spans="1:18" ht="30" customHeight="1" x14ac:dyDescent="0.25">
      <c r="A1665" s="51">
        <v>46268</v>
      </c>
      <c r="B1665" s="52" t="s">
        <v>18</v>
      </c>
      <c r="C1665" s="52" t="s">
        <v>32</v>
      </c>
      <c r="D1665" s="52" t="s">
        <v>31</v>
      </c>
      <c r="E1665" s="79"/>
      <c r="F1665" s="53">
        <v>948</v>
      </c>
      <c r="G1665" s="53"/>
      <c r="H1665" s="57">
        <f>IFERROR(Table1[Re-process (Kg)]/Table1[Actual Production (Kg)], "")</f>
        <v>0</v>
      </c>
      <c r="I1665" s="53">
        <f>IFERROR(Table1[[#This Row],[Actual Production (Kg)]]-Table1[[#This Row],[Re-process (Kg)]], "")</f>
        <v>948</v>
      </c>
      <c r="J1665" s="53"/>
      <c r="K1665" s="52"/>
      <c r="L1665" s="53" t="str">
        <f>IF(Table1[[#This Row],[Target Time (Hours)]]="","",Table1[[#This Row],[Target Time (Hours)]]-Table1[[#This Row],[Downtime (Hours)]])</f>
        <v/>
      </c>
      <c r="M1665" s="53" t="str">
        <f>IFERROR(Table1[[#This Row],[Capacity (Kg)]]/Table1[[#This Row],[Target Time (Hours)]] * Table1[[#This Row],[Downtime (Hours)]], "")</f>
        <v/>
      </c>
      <c r="N1665" s="57" t="str">
        <f>IFERROR(Table1[[#This Row],[Running Time (hr)]]/Table1[Target Time (Hours)], "")</f>
        <v/>
      </c>
      <c r="O1665" s="57" t="str">
        <f>IFERROR(Table1[[#This Row],[Actual Production (Kg)]]/Table1[Capacity (Kg)], "")</f>
        <v/>
      </c>
      <c r="P1665" s="57">
        <f>IFERROR(Table1[[#This Row],[Quality Pass Production]]/Table1[[#This Row],[Actual Production (Kg)]], "")</f>
        <v>1</v>
      </c>
      <c r="Q1665" s="57" t="str">
        <f>IFERROR(Table1[[#This Row],[Utilization %]]*Table1[[#This Row],[Efficiency %]]*Table1[[#This Row],[Quality %]], "")</f>
        <v/>
      </c>
      <c r="R1665" s="52"/>
    </row>
    <row r="1666" spans="1:18" ht="45" customHeight="1" x14ac:dyDescent="0.25">
      <c r="A1666" s="47">
        <v>46268</v>
      </c>
      <c r="B1666" s="48" t="s">
        <v>33</v>
      </c>
      <c r="C1666" s="48" t="s">
        <v>34</v>
      </c>
      <c r="D1666" s="48" t="s">
        <v>35</v>
      </c>
      <c r="E1666" s="30">
        <v>9000</v>
      </c>
      <c r="F1666" s="76">
        <v>6282</v>
      </c>
      <c r="G1666" s="49">
        <v>0</v>
      </c>
      <c r="H1666" s="50">
        <f>IFERROR(Table1[Re-process (Kg)]/Table1[Actual Production (Kg)], "")</f>
        <v>0</v>
      </c>
      <c r="I1666" s="49">
        <f>IFERROR(Table1[[#This Row],[Actual Production (Kg)]]-Table1[[#This Row],[Re-process (Kg)]], "")</f>
        <v>6282</v>
      </c>
      <c r="J1666" s="49">
        <v>22</v>
      </c>
      <c r="K1666" s="72"/>
      <c r="L1666" s="49">
        <f>IF(Table1[[#This Row],[Target Time (Hours)]]="","",Table1[[#This Row],[Target Time (Hours)]]-Table1[[#This Row],[Downtime (Hours)]])</f>
        <v>22</v>
      </c>
      <c r="M1666" s="49">
        <f>IFERROR(Table1[[#This Row],[Capacity (Kg)]]/Table1[[#This Row],[Target Time (Hours)]] * Table1[[#This Row],[Downtime (Hours)]], "")</f>
        <v>0</v>
      </c>
      <c r="N1666" s="50">
        <f>IFERROR(Table1[[#This Row],[Running Time (hr)]]/Table1[Target Time (Hours)], "")</f>
        <v>1</v>
      </c>
      <c r="O1666" s="50">
        <f>IFERROR(Table1[[#This Row],[Actual Production (Kg)]]/Table1[Capacity (Kg)], "")</f>
        <v>0.69799999999999995</v>
      </c>
      <c r="P1666" s="50">
        <f>IFERROR(Table1[[#This Row],[Quality Pass Production]]/Table1[[#This Row],[Actual Production (Kg)]], "")</f>
        <v>1</v>
      </c>
      <c r="Q1666" s="50">
        <f>IFERROR(Table1[[#This Row],[Utilization %]]*Table1[[#This Row],[Efficiency %]]*Table1[[#This Row],[Quality %]], "")</f>
        <v>0.69799999999999995</v>
      </c>
      <c r="R1666" s="48" t="s">
        <v>440</v>
      </c>
    </row>
    <row r="1667" spans="1:18" ht="45" customHeight="1" x14ac:dyDescent="0.25">
      <c r="A1667" s="47">
        <v>46268</v>
      </c>
      <c r="B1667" s="48" t="s">
        <v>33</v>
      </c>
      <c r="C1667" s="48" t="s">
        <v>36</v>
      </c>
      <c r="D1667" s="48" t="s">
        <v>37</v>
      </c>
      <c r="E1667" s="34">
        <v>8000</v>
      </c>
      <c r="F1667" s="76">
        <v>6319</v>
      </c>
      <c r="G1667" s="49">
        <v>0</v>
      </c>
      <c r="H1667" s="50">
        <f>IFERROR(Table1[Re-process (Kg)]/Table1[Actual Production (Kg)], "")</f>
        <v>0</v>
      </c>
      <c r="I1667" s="49">
        <f>IFERROR(Table1[[#This Row],[Actual Production (Kg)]]-Table1[[#This Row],[Re-process (Kg)]], "")</f>
        <v>6319</v>
      </c>
      <c r="J1667" s="49">
        <v>22</v>
      </c>
      <c r="K1667" s="72">
        <v>2.5</v>
      </c>
      <c r="L1667" s="49">
        <f>IF(Table1[[#This Row],[Target Time (Hours)]]="","",Table1[[#This Row],[Target Time (Hours)]]-Table1[[#This Row],[Downtime (Hours)]])</f>
        <v>19.5</v>
      </c>
      <c r="M1667" s="49">
        <f>IFERROR(Table1[[#This Row],[Capacity (Kg)]]/Table1[[#This Row],[Target Time (Hours)]] * Table1[[#This Row],[Downtime (Hours)]], "")</f>
        <v>909.09090909090901</v>
      </c>
      <c r="N1667" s="50">
        <f>IFERROR(Table1[[#This Row],[Running Time (hr)]]/Table1[Target Time (Hours)], "")</f>
        <v>0.88636363636363635</v>
      </c>
      <c r="O1667" s="50">
        <f>IFERROR(Table1[[#This Row],[Actual Production (Kg)]]/Table1[Capacity (Kg)], "")</f>
        <v>0.78987499999999999</v>
      </c>
      <c r="P1667" s="50">
        <f>IFERROR(Table1[[#This Row],[Quality Pass Production]]/Table1[[#This Row],[Actual Production (Kg)]], "")</f>
        <v>1</v>
      </c>
      <c r="Q1667" s="50">
        <f>IFERROR(Table1[[#This Row],[Utilization %]]*Table1[[#This Row],[Efficiency %]]*Table1[[#This Row],[Quality %]], "")</f>
        <v>0.7001164772727273</v>
      </c>
      <c r="R1667" s="48" t="s">
        <v>441</v>
      </c>
    </row>
    <row r="1668" spans="1:18" ht="30" customHeight="1" x14ac:dyDescent="0.25">
      <c r="A1668" s="47">
        <v>46268</v>
      </c>
      <c r="B1668" s="48" t="s">
        <v>33</v>
      </c>
      <c r="C1668" s="48" t="s">
        <v>39</v>
      </c>
      <c r="D1668" s="48" t="s">
        <v>31</v>
      </c>
      <c r="E1668" s="30">
        <v>6000</v>
      </c>
      <c r="F1668" s="76">
        <v>3640</v>
      </c>
      <c r="G1668" s="49">
        <v>0</v>
      </c>
      <c r="H1668" s="50">
        <f>IFERROR(Table1[Re-process (Kg)]/Table1[Actual Production (Kg)], "")</f>
        <v>0</v>
      </c>
      <c r="I1668" s="49">
        <f>IFERROR(Table1[[#This Row],[Actual Production (Kg)]]-Table1[[#This Row],[Re-process (Kg)]], "")</f>
        <v>3640</v>
      </c>
      <c r="J1668" s="49">
        <v>22</v>
      </c>
      <c r="K1668" s="72">
        <v>2</v>
      </c>
      <c r="L1668" s="49">
        <f>IF(Table1[[#This Row],[Target Time (Hours)]]="","",Table1[[#This Row],[Target Time (Hours)]]-Table1[[#This Row],[Downtime (Hours)]])</f>
        <v>20</v>
      </c>
      <c r="M1668" s="49">
        <f>IFERROR(Table1[[#This Row],[Capacity (Kg)]]/Table1[[#This Row],[Target Time (Hours)]] * Table1[[#This Row],[Downtime (Hours)]], "")</f>
        <v>545.4545454545455</v>
      </c>
      <c r="N1668" s="50">
        <f>IFERROR(Table1[[#This Row],[Running Time (hr)]]/Table1[Target Time (Hours)], "")</f>
        <v>0.90909090909090906</v>
      </c>
      <c r="O1668" s="50">
        <f>IFERROR(Table1[[#This Row],[Actual Production (Kg)]]/Table1[Capacity (Kg)], "")</f>
        <v>0.60666666666666669</v>
      </c>
      <c r="P1668" s="50">
        <f>IFERROR(Table1[[#This Row],[Quality Pass Production]]/Table1[[#This Row],[Actual Production (Kg)]], "")</f>
        <v>1</v>
      </c>
      <c r="Q1668" s="50">
        <f>IFERROR(Table1[[#This Row],[Utilization %]]*Table1[[#This Row],[Efficiency %]]*Table1[[#This Row],[Quality %]], "")</f>
        <v>0.55151515151515151</v>
      </c>
      <c r="R1668" s="48" t="s">
        <v>442</v>
      </c>
    </row>
    <row r="1669" spans="1:18" ht="45" customHeight="1" x14ac:dyDescent="0.25">
      <c r="A1669" s="54">
        <v>46268</v>
      </c>
      <c r="B1669" s="55" t="s">
        <v>33</v>
      </c>
      <c r="C1669" s="55" t="s">
        <v>40</v>
      </c>
      <c r="D1669" s="55" t="s">
        <v>31</v>
      </c>
      <c r="E1669" s="43">
        <v>5000</v>
      </c>
      <c r="F1669" s="56">
        <v>2314</v>
      </c>
      <c r="G1669" s="56">
        <v>0</v>
      </c>
      <c r="H1669" s="58">
        <f>IFERROR(Table1[Re-process (Kg)]/Table1[Actual Production (Kg)], "")</f>
        <v>0</v>
      </c>
      <c r="I1669" s="56">
        <f>IFERROR(Table1[[#This Row],[Actual Production (Kg)]]-Table1[[#This Row],[Re-process (Kg)]], "")</f>
        <v>2314</v>
      </c>
      <c r="J1669" s="56">
        <v>22</v>
      </c>
      <c r="K1669" s="55"/>
      <c r="L1669" s="56">
        <f>IF(Table1[[#This Row],[Target Time (Hours)]]="","",Table1[[#This Row],[Target Time (Hours)]]-Table1[[#This Row],[Downtime (Hours)]])</f>
        <v>22</v>
      </c>
      <c r="M1669" s="56">
        <f>IFERROR(Table1[[#This Row],[Capacity (Kg)]]/Table1[[#This Row],[Target Time (Hours)]] * Table1[[#This Row],[Downtime (Hours)]], "")</f>
        <v>0</v>
      </c>
      <c r="N1669" s="58">
        <f>IFERROR(Table1[[#This Row],[Running Time (hr)]]/Table1[Target Time (Hours)], "")</f>
        <v>1</v>
      </c>
      <c r="O1669" s="58">
        <f>IFERROR(Table1[[#This Row],[Actual Production (Kg)]]/Table1[Capacity (Kg)], "")</f>
        <v>0.46279999999999999</v>
      </c>
      <c r="P1669" s="58">
        <f>IFERROR(Table1[[#This Row],[Quality Pass Production]]/Table1[[#This Row],[Actual Production (Kg)]], "")</f>
        <v>1</v>
      </c>
      <c r="Q1669" s="58">
        <f>IFERROR(Table1[[#This Row],[Utilization %]]*Table1[[#This Row],[Efficiency %]]*Table1[[#This Row],[Quality %]], "")</f>
        <v>0.46279999999999999</v>
      </c>
      <c r="R1669" s="55"/>
    </row>
    <row r="1670" spans="1:18" ht="30" customHeight="1" x14ac:dyDescent="0.25">
      <c r="A1670" s="47">
        <v>46270</v>
      </c>
      <c r="B1670" s="48" t="s">
        <v>18</v>
      </c>
      <c r="C1670" s="48" t="s">
        <v>19</v>
      </c>
      <c r="D1670" s="48" t="s">
        <v>20</v>
      </c>
      <c r="E1670" s="34">
        <v>10000</v>
      </c>
      <c r="F1670" s="76">
        <v>7423</v>
      </c>
      <c r="G1670" s="49">
        <v>0</v>
      </c>
      <c r="H1670" s="50">
        <f>IFERROR(Table1[Re-process (Kg)]/Table1[Actual Production (Kg)], "")</f>
        <v>0</v>
      </c>
      <c r="I1670" s="49">
        <f>IFERROR(Table1[[#This Row],[Actual Production (Kg)]]-Table1[[#This Row],[Re-process (Kg)]], "")</f>
        <v>7423</v>
      </c>
      <c r="J1670" s="49">
        <v>22</v>
      </c>
      <c r="K1670" s="72">
        <v>2.67</v>
      </c>
      <c r="L1670" s="49">
        <f>IF(Table1[[#This Row],[Target Time (Hours)]]="","",Table1[[#This Row],[Target Time (Hours)]]-Table1[[#This Row],[Downtime (Hours)]])</f>
        <v>19.329999999999998</v>
      </c>
      <c r="M1670" s="49">
        <f>IFERROR(Table1[[#This Row],[Capacity (Kg)]]/Table1[[#This Row],[Target Time (Hours)]] * Table1[[#This Row],[Downtime (Hours)]], "")</f>
        <v>1213.6363636363637</v>
      </c>
      <c r="N1670" s="50">
        <f>IFERROR(Table1[[#This Row],[Running Time (hr)]]/Table1[Target Time (Hours)], "")</f>
        <v>0.87863636363636355</v>
      </c>
      <c r="O1670" s="50">
        <f>IFERROR(Table1[[#This Row],[Actual Production (Kg)]]/Table1[Capacity (Kg)], "")</f>
        <v>0.74229999999999996</v>
      </c>
      <c r="P1670" s="50">
        <f>IFERROR(Table1[[#This Row],[Quality Pass Production]]/Table1[[#This Row],[Actual Production (Kg)]], "")</f>
        <v>1</v>
      </c>
      <c r="Q1670" s="50">
        <f>IFERROR(Table1[[#This Row],[Utilization %]]*Table1[[#This Row],[Efficiency %]]*Table1[[#This Row],[Quality %]], "")</f>
        <v>0.6522117727272726</v>
      </c>
      <c r="R1670" s="48" t="s">
        <v>443</v>
      </c>
    </row>
    <row r="1671" spans="1:18" x14ac:dyDescent="0.25">
      <c r="A1671" s="51">
        <v>46270</v>
      </c>
      <c r="B1671" s="52" t="s">
        <v>18</v>
      </c>
      <c r="C1671" s="52" t="s">
        <v>238</v>
      </c>
      <c r="D1671" s="52" t="s">
        <v>20</v>
      </c>
      <c r="E1671" s="79">
        <v>10897</v>
      </c>
      <c r="F1671" s="53">
        <v>10897</v>
      </c>
      <c r="G1671" s="53">
        <v>0</v>
      </c>
      <c r="H1671" s="57">
        <f>IFERROR(Table1[Re-process (Kg)]/Table1[Actual Production (Kg)], "")</f>
        <v>0</v>
      </c>
      <c r="I1671" s="53">
        <f>IFERROR(Table1[[#This Row],[Actual Production (Kg)]]-Table1[[#This Row],[Re-process (Kg)]], "")</f>
        <v>10897</v>
      </c>
      <c r="J1671" s="53"/>
      <c r="K1671" s="52"/>
      <c r="L1671" s="53" t="str">
        <f>IF(Table1[[#This Row],[Target Time (Hours)]]="","",Table1[[#This Row],[Target Time (Hours)]]-Table1[[#This Row],[Downtime (Hours)]])</f>
        <v/>
      </c>
      <c r="M1671" s="53" t="str">
        <f>IFERROR(Table1[[#This Row],[Capacity (Kg)]]/Table1[[#This Row],[Target Time (Hours)]] * Table1[[#This Row],[Downtime (Hours)]], "")</f>
        <v/>
      </c>
      <c r="N1671" s="57" t="str">
        <f>IFERROR(Table1[[#This Row],[Running Time (hr)]]/Table1[Target Time (Hours)], "")</f>
        <v/>
      </c>
      <c r="O1671" s="57">
        <f>IFERROR(Table1[[#This Row],[Actual Production (Kg)]]/Table1[Capacity (Kg)], "")</f>
        <v>1</v>
      </c>
      <c r="P1671" s="57">
        <f>IFERROR(Table1[[#This Row],[Quality Pass Production]]/Table1[[#This Row],[Actual Production (Kg)]], "")</f>
        <v>1</v>
      </c>
      <c r="Q1671" s="57" t="str">
        <f>IFERROR(Table1[[#This Row],[Utilization %]]*Table1[[#This Row],[Efficiency %]]*Table1[[#This Row],[Quality %]], "")</f>
        <v/>
      </c>
      <c r="R1671" s="52"/>
    </row>
    <row r="1672" spans="1:18" ht="30" customHeight="1" x14ac:dyDescent="0.25">
      <c r="A1672" s="47">
        <v>46270</v>
      </c>
      <c r="B1672" s="48" t="s">
        <v>18</v>
      </c>
      <c r="C1672" s="48" t="s">
        <v>22</v>
      </c>
      <c r="D1672" s="48" t="s">
        <v>23</v>
      </c>
      <c r="E1672" s="34">
        <v>5000</v>
      </c>
      <c r="F1672" s="76">
        <v>4998</v>
      </c>
      <c r="G1672" s="49">
        <v>0</v>
      </c>
      <c r="H1672" s="50">
        <f>IFERROR(Table1[Re-process (Kg)]/Table1[Actual Production (Kg)], "")</f>
        <v>0</v>
      </c>
      <c r="I1672" s="49">
        <f>IFERROR(Table1[[#This Row],[Actual Production (Kg)]]-Table1[[#This Row],[Re-process (Kg)]], "")</f>
        <v>4998</v>
      </c>
      <c r="J1672" s="49">
        <v>22</v>
      </c>
      <c r="K1672" s="72">
        <v>2.5</v>
      </c>
      <c r="L1672" s="49">
        <f>IF(Table1[[#This Row],[Target Time (Hours)]]="","",Table1[[#This Row],[Target Time (Hours)]]-Table1[[#This Row],[Downtime (Hours)]])</f>
        <v>19.5</v>
      </c>
      <c r="M1672" s="49">
        <f>IFERROR(Table1[[#This Row],[Capacity (Kg)]]/Table1[[#This Row],[Target Time (Hours)]] * Table1[[#This Row],[Downtime (Hours)]], "")</f>
        <v>568.18181818181824</v>
      </c>
      <c r="N1672" s="50">
        <f>IFERROR(Table1[[#This Row],[Running Time (hr)]]/Table1[Target Time (Hours)], "")</f>
        <v>0.88636363636363635</v>
      </c>
      <c r="O1672" s="50">
        <f>IFERROR(Table1[[#This Row],[Actual Production (Kg)]]/Table1[Capacity (Kg)], "")</f>
        <v>0.99960000000000004</v>
      </c>
      <c r="P1672" s="50">
        <f>IFERROR(Table1[[#This Row],[Quality Pass Production]]/Table1[[#This Row],[Actual Production (Kg)]], "")</f>
        <v>1</v>
      </c>
      <c r="Q1672" s="50">
        <f>IFERROR(Table1[[#This Row],[Utilization %]]*Table1[[#This Row],[Efficiency %]]*Table1[[#This Row],[Quality %]], "")</f>
        <v>0.88600909090909097</v>
      </c>
      <c r="R1672" s="48" t="s">
        <v>444</v>
      </c>
    </row>
    <row r="1673" spans="1:18" x14ac:dyDescent="0.25">
      <c r="A1673" s="47">
        <v>46270</v>
      </c>
      <c r="B1673" s="48" t="s">
        <v>18</v>
      </c>
      <c r="C1673" s="48" t="s">
        <v>22</v>
      </c>
      <c r="D1673" s="48" t="s">
        <v>25</v>
      </c>
      <c r="E1673" s="30">
        <v>4000</v>
      </c>
      <c r="F1673" s="76">
        <v>3084</v>
      </c>
      <c r="G1673" s="49">
        <v>0</v>
      </c>
      <c r="H1673" s="50">
        <f>IFERROR(Table1[Re-process (Kg)]/Table1[Actual Production (Kg)], "")</f>
        <v>0</v>
      </c>
      <c r="I1673" s="49">
        <f>IFERROR(Table1[[#This Row],[Actual Production (Kg)]]-Table1[[#This Row],[Re-process (Kg)]], "")</f>
        <v>3084</v>
      </c>
      <c r="J1673" s="49"/>
      <c r="K1673" s="72"/>
      <c r="L1673" s="49" t="str">
        <f>IF(Table1[[#This Row],[Target Time (Hours)]]="","",Table1[[#This Row],[Target Time (Hours)]]-Table1[[#This Row],[Downtime (Hours)]])</f>
        <v/>
      </c>
      <c r="M1673" s="49" t="str">
        <f>IFERROR(Table1[[#This Row],[Capacity (Kg)]]/Table1[[#This Row],[Target Time (Hours)]] * Table1[[#This Row],[Downtime (Hours)]], "")</f>
        <v/>
      </c>
      <c r="N1673" s="50" t="str">
        <f>IFERROR(Table1[[#This Row],[Running Time (hr)]]/Table1[Target Time (Hours)], "")</f>
        <v/>
      </c>
      <c r="O1673" s="50">
        <f>IFERROR(Table1[[#This Row],[Actual Production (Kg)]]/Table1[Capacity (Kg)], "")</f>
        <v>0.77100000000000002</v>
      </c>
      <c r="P1673" s="50">
        <f>IFERROR(Table1[[#This Row],[Quality Pass Production]]/Table1[[#This Row],[Actual Production (Kg)]], "")</f>
        <v>1</v>
      </c>
      <c r="Q1673" s="50" t="str">
        <f>IFERROR(Table1[[#This Row],[Utilization %]]*Table1[[#This Row],[Efficiency %]]*Table1[[#This Row],[Quality %]], "")</f>
        <v/>
      </c>
    </row>
    <row r="1674" spans="1:18" ht="45" customHeight="1" x14ac:dyDescent="0.25">
      <c r="A1674" s="47">
        <v>46270</v>
      </c>
      <c r="B1674" s="48" t="s">
        <v>18</v>
      </c>
      <c r="C1674" s="48" t="s">
        <v>26</v>
      </c>
      <c r="D1674" s="48" t="s">
        <v>25</v>
      </c>
      <c r="E1674" s="34">
        <v>7000</v>
      </c>
      <c r="F1674" s="76">
        <v>5460</v>
      </c>
      <c r="G1674" s="49">
        <v>0</v>
      </c>
      <c r="H1674" s="50">
        <f>IFERROR(Table1[Re-process (Kg)]/Table1[Actual Production (Kg)], "")</f>
        <v>0</v>
      </c>
      <c r="I1674" s="49">
        <f>IFERROR(Table1[[#This Row],[Actual Production (Kg)]]-Table1[[#This Row],[Re-process (Kg)]], "")</f>
        <v>5460</v>
      </c>
      <c r="J1674" s="49">
        <v>22</v>
      </c>
      <c r="K1674" s="72">
        <v>3.5</v>
      </c>
      <c r="L1674" s="49">
        <f>IF(Table1[[#This Row],[Target Time (Hours)]]="","",Table1[[#This Row],[Target Time (Hours)]]-Table1[[#This Row],[Downtime (Hours)]])</f>
        <v>18.5</v>
      </c>
      <c r="M1674" s="49">
        <f>IFERROR(Table1[[#This Row],[Capacity (Kg)]]/Table1[[#This Row],[Target Time (Hours)]] * Table1[[#This Row],[Downtime (Hours)]], "")</f>
        <v>1113.6363636363637</v>
      </c>
      <c r="N1674" s="50">
        <f>IFERROR(Table1[[#This Row],[Running Time (hr)]]/Table1[Target Time (Hours)], "")</f>
        <v>0.84090909090909094</v>
      </c>
      <c r="O1674" s="50">
        <f>IFERROR(Table1[[#This Row],[Actual Production (Kg)]]/Table1[Capacity (Kg)], "")</f>
        <v>0.78</v>
      </c>
      <c r="P1674" s="50">
        <f>IFERROR(Table1[[#This Row],[Quality Pass Production]]/Table1[[#This Row],[Actual Production (Kg)]], "")</f>
        <v>1</v>
      </c>
      <c r="Q1674" s="50">
        <f>IFERROR(Table1[[#This Row],[Utilization %]]*Table1[[#This Row],[Efficiency %]]*Table1[[#This Row],[Quality %]], "")</f>
        <v>0.655909090909091</v>
      </c>
      <c r="R1674" s="48" t="s">
        <v>445</v>
      </c>
    </row>
    <row r="1675" spans="1:18" ht="30" customHeight="1" x14ac:dyDescent="0.25">
      <c r="A1675" s="47">
        <v>46270</v>
      </c>
      <c r="B1675" s="48" t="s">
        <v>18</v>
      </c>
      <c r="C1675" s="48" t="s">
        <v>28</v>
      </c>
      <c r="D1675" s="48" t="s">
        <v>29</v>
      </c>
      <c r="E1675" s="30">
        <v>7800</v>
      </c>
      <c r="F1675" s="76">
        <v>4720</v>
      </c>
      <c r="G1675" s="49">
        <v>0</v>
      </c>
      <c r="H1675" s="50">
        <f>IFERROR(Table1[Re-process (Kg)]/Table1[Actual Production (Kg)], "")</f>
        <v>0</v>
      </c>
      <c r="I1675" s="49">
        <f>IFERROR(Table1[[#This Row],[Actual Production (Kg)]]-Table1[[#This Row],[Re-process (Kg)]], "")</f>
        <v>4720</v>
      </c>
      <c r="J1675" s="49">
        <v>22</v>
      </c>
      <c r="K1675" s="72">
        <v>6</v>
      </c>
      <c r="L1675" s="49">
        <f>IF(Table1[[#This Row],[Target Time (Hours)]]="","",Table1[[#This Row],[Target Time (Hours)]]-Table1[[#This Row],[Downtime (Hours)]])</f>
        <v>16</v>
      </c>
      <c r="M1675" s="49">
        <f>IFERROR(Table1[[#This Row],[Capacity (Kg)]]/Table1[[#This Row],[Target Time (Hours)]] * Table1[[#This Row],[Downtime (Hours)]], "")</f>
        <v>2127.2727272727275</v>
      </c>
      <c r="N1675" s="50">
        <f>IFERROR(Table1[[#This Row],[Running Time (hr)]]/Table1[Target Time (Hours)], "")</f>
        <v>0.72727272727272729</v>
      </c>
      <c r="O1675" s="50">
        <f>IFERROR(Table1[[#This Row],[Actual Production (Kg)]]/Table1[Capacity (Kg)], "")</f>
        <v>0.60512820512820509</v>
      </c>
      <c r="P1675" s="50">
        <f>IFERROR(Table1[[#This Row],[Quality Pass Production]]/Table1[[#This Row],[Actual Production (Kg)]], "")</f>
        <v>1</v>
      </c>
      <c r="Q1675" s="50">
        <f>IFERROR(Table1[[#This Row],[Utilization %]]*Table1[[#This Row],[Efficiency %]]*Table1[[#This Row],[Quality %]], "")</f>
        <v>0.44009324009324008</v>
      </c>
      <c r="R1675" s="48" t="s">
        <v>446</v>
      </c>
    </row>
    <row r="1676" spans="1:18" ht="30" customHeight="1" x14ac:dyDescent="0.25">
      <c r="A1676" s="51">
        <v>46270</v>
      </c>
      <c r="B1676" s="52" t="s">
        <v>18</v>
      </c>
      <c r="C1676" s="52" t="s">
        <v>135</v>
      </c>
      <c r="D1676" s="52" t="s">
        <v>29</v>
      </c>
      <c r="E1676" s="38"/>
      <c r="F1676" s="53"/>
      <c r="G1676" s="53"/>
      <c r="H1676" s="57" t="str">
        <f>IFERROR(Table1[Re-process (Kg)]/Table1[Actual Production (Kg)], "")</f>
        <v/>
      </c>
      <c r="I1676" s="53">
        <f>IFERROR(Table1[[#This Row],[Actual Production (Kg)]]-Table1[[#This Row],[Re-process (Kg)]], "")</f>
        <v>0</v>
      </c>
      <c r="J1676" s="53"/>
      <c r="K1676" s="52"/>
      <c r="L1676" s="53" t="str">
        <f>IF(Table1[[#This Row],[Target Time (Hours)]]="","",Table1[[#This Row],[Target Time (Hours)]]-Table1[[#This Row],[Downtime (Hours)]])</f>
        <v/>
      </c>
      <c r="M1676" s="53" t="str">
        <f>IFERROR(Table1[[#This Row],[Capacity (Kg)]]/Table1[[#This Row],[Target Time (Hours)]] * Table1[[#This Row],[Downtime (Hours)]], "")</f>
        <v/>
      </c>
      <c r="N1676" s="57" t="str">
        <f>IFERROR(Table1[[#This Row],[Running Time (hr)]]/Table1[Target Time (Hours)], "")</f>
        <v/>
      </c>
      <c r="O1676" s="57" t="str">
        <f>IFERROR(Table1[[#This Row],[Actual Production (Kg)]]/Table1[Capacity (Kg)], "")</f>
        <v/>
      </c>
      <c r="P1676" s="57" t="str">
        <f>IFERROR(Table1[[#This Row],[Quality Pass Production]]/Table1[[#This Row],[Actual Production (Kg)]], "")</f>
        <v/>
      </c>
      <c r="Q1676" s="57" t="str">
        <f>IFERROR(Table1[[#This Row],[Utilization %]]*Table1[[#This Row],[Efficiency %]]*Table1[[#This Row],[Quality %]], "")</f>
        <v/>
      </c>
      <c r="R1676" s="52"/>
    </row>
    <row r="1677" spans="1:18" ht="30" customHeight="1" x14ac:dyDescent="0.25">
      <c r="A1677" s="47">
        <v>46270</v>
      </c>
      <c r="B1677" s="48" t="s">
        <v>18</v>
      </c>
      <c r="C1677" s="48" t="s">
        <v>30</v>
      </c>
      <c r="D1677" s="48" t="s">
        <v>31</v>
      </c>
      <c r="E1677" s="30">
        <v>9000</v>
      </c>
      <c r="F1677" s="76">
        <v>7258</v>
      </c>
      <c r="G1677" s="49">
        <v>0</v>
      </c>
      <c r="H1677" s="50">
        <f>IFERROR(Table1[Re-process (Kg)]/Table1[Actual Production (Kg)], "")</f>
        <v>0</v>
      </c>
      <c r="I1677" s="49">
        <f>IFERROR(Table1[[#This Row],[Actual Production (Kg)]]-Table1[[#This Row],[Re-process (Kg)]], "")</f>
        <v>7258</v>
      </c>
      <c r="J1677" s="49">
        <v>22</v>
      </c>
      <c r="K1677" s="72">
        <v>1.34</v>
      </c>
      <c r="L1677" s="49">
        <f>IF(Table1[[#This Row],[Target Time (Hours)]]="","",Table1[[#This Row],[Target Time (Hours)]]-Table1[[#This Row],[Downtime (Hours)]])</f>
        <v>20.66</v>
      </c>
      <c r="M1677" s="49">
        <f>IFERROR(Table1[[#This Row],[Capacity (Kg)]]/Table1[[#This Row],[Target Time (Hours)]] * Table1[[#This Row],[Downtime (Hours)]], "")</f>
        <v>548.18181818181813</v>
      </c>
      <c r="N1677" s="50">
        <f>IFERROR(Table1[[#This Row],[Running Time (hr)]]/Table1[Target Time (Hours)], "")</f>
        <v>0.93909090909090909</v>
      </c>
      <c r="O1677" s="50">
        <f>IFERROR(Table1[[#This Row],[Actual Production (Kg)]]/Table1[Capacity (Kg)], "")</f>
        <v>0.80644444444444441</v>
      </c>
      <c r="P1677" s="50">
        <f>IFERROR(Table1[[#This Row],[Quality Pass Production]]/Table1[[#This Row],[Actual Production (Kg)]], "")</f>
        <v>1</v>
      </c>
      <c r="Q1677" s="50">
        <f>IFERROR(Table1[[#This Row],[Utilization %]]*Table1[[#This Row],[Efficiency %]]*Table1[[#This Row],[Quality %]], "")</f>
        <v>0.75732464646464648</v>
      </c>
      <c r="R1677" s="48" t="s">
        <v>447</v>
      </c>
    </row>
    <row r="1678" spans="1:18" ht="30" customHeight="1" x14ac:dyDescent="0.25">
      <c r="A1678" s="51">
        <v>46270</v>
      </c>
      <c r="B1678" s="52" t="s">
        <v>18</v>
      </c>
      <c r="C1678" s="52" t="s">
        <v>32</v>
      </c>
      <c r="D1678" s="52" t="s">
        <v>31</v>
      </c>
      <c r="E1678" s="79"/>
      <c r="F1678" s="53"/>
      <c r="G1678" s="53"/>
      <c r="H1678" s="57" t="str">
        <f>IFERROR(Table1[Re-process (Kg)]/Table1[Actual Production (Kg)], "")</f>
        <v/>
      </c>
      <c r="I1678" s="53">
        <f>IFERROR(Table1[[#This Row],[Actual Production (Kg)]]-Table1[[#This Row],[Re-process (Kg)]], "")</f>
        <v>0</v>
      </c>
      <c r="J1678" s="53"/>
      <c r="K1678" s="52"/>
      <c r="L1678" s="53" t="str">
        <f>IF(Table1[[#This Row],[Target Time (Hours)]]="","",Table1[[#This Row],[Target Time (Hours)]]-Table1[[#This Row],[Downtime (Hours)]])</f>
        <v/>
      </c>
      <c r="M1678" s="53" t="str">
        <f>IFERROR(Table1[[#This Row],[Capacity (Kg)]]/Table1[[#This Row],[Target Time (Hours)]] * Table1[[#This Row],[Downtime (Hours)]], "")</f>
        <v/>
      </c>
      <c r="N1678" s="57" t="str">
        <f>IFERROR(Table1[[#This Row],[Running Time (hr)]]/Table1[Target Time (Hours)], "")</f>
        <v/>
      </c>
      <c r="O1678" s="57" t="str">
        <f>IFERROR(Table1[[#This Row],[Actual Production (Kg)]]/Table1[Capacity (Kg)], "")</f>
        <v/>
      </c>
      <c r="P1678" s="57" t="str">
        <f>IFERROR(Table1[[#This Row],[Quality Pass Production]]/Table1[[#This Row],[Actual Production (Kg)]], "")</f>
        <v/>
      </c>
      <c r="Q1678" s="57" t="str">
        <f>IFERROR(Table1[[#This Row],[Utilization %]]*Table1[[#This Row],[Efficiency %]]*Table1[[#This Row],[Quality %]], "")</f>
        <v/>
      </c>
      <c r="R1678" s="52"/>
    </row>
    <row r="1679" spans="1:18" ht="30" customHeight="1" x14ac:dyDescent="0.25">
      <c r="A1679" s="47">
        <v>46270</v>
      </c>
      <c r="B1679" s="48" t="s">
        <v>33</v>
      </c>
      <c r="C1679" s="48" t="s">
        <v>34</v>
      </c>
      <c r="D1679" s="48" t="s">
        <v>35</v>
      </c>
      <c r="E1679" s="30">
        <v>9000</v>
      </c>
      <c r="F1679" s="76">
        <v>8642</v>
      </c>
      <c r="G1679" s="49">
        <v>0</v>
      </c>
      <c r="H1679" s="50">
        <f>IFERROR(Table1[Re-process (Kg)]/Table1[Actual Production (Kg)], "")</f>
        <v>0</v>
      </c>
      <c r="I1679" s="49">
        <f>IFERROR(Table1[[#This Row],[Actual Production (Kg)]]-Table1[[#This Row],[Re-process (Kg)]], "")</f>
        <v>8642</v>
      </c>
      <c r="J1679" s="49">
        <v>22</v>
      </c>
      <c r="K1679" s="72"/>
      <c r="L1679" s="49">
        <f>IF(Table1[[#This Row],[Target Time (Hours)]]="","",Table1[[#This Row],[Target Time (Hours)]]-Table1[[#This Row],[Downtime (Hours)]])</f>
        <v>22</v>
      </c>
      <c r="M1679" s="49">
        <f>IFERROR(Table1[[#This Row],[Capacity (Kg)]]/Table1[[#This Row],[Target Time (Hours)]] * Table1[[#This Row],[Downtime (Hours)]], "")</f>
        <v>0</v>
      </c>
      <c r="N1679" s="50">
        <f>IFERROR(Table1[[#This Row],[Running Time (hr)]]/Table1[Target Time (Hours)], "")</f>
        <v>1</v>
      </c>
      <c r="O1679" s="50">
        <f>IFERROR(Table1[[#This Row],[Actual Production (Kg)]]/Table1[Capacity (Kg)], "")</f>
        <v>0.9602222222222222</v>
      </c>
      <c r="P1679" s="50">
        <f>IFERROR(Table1[[#This Row],[Quality Pass Production]]/Table1[[#This Row],[Actual Production (Kg)]], "")</f>
        <v>1</v>
      </c>
      <c r="Q1679" s="50">
        <f>IFERROR(Table1[[#This Row],[Utilization %]]*Table1[[#This Row],[Efficiency %]]*Table1[[#This Row],[Quality %]], "")</f>
        <v>0.9602222222222222</v>
      </c>
    </row>
    <row r="1680" spans="1:18" ht="60" customHeight="1" x14ac:dyDescent="0.25">
      <c r="A1680" s="47">
        <v>46270</v>
      </c>
      <c r="B1680" s="48" t="s">
        <v>33</v>
      </c>
      <c r="C1680" s="48" t="s">
        <v>36</v>
      </c>
      <c r="D1680" s="48" t="s">
        <v>37</v>
      </c>
      <c r="E1680" s="34">
        <v>8000</v>
      </c>
      <c r="F1680" s="76">
        <v>7420</v>
      </c>
      <c r="G1680" s="49">
        <v>0</v>
      </c>
      <c r="H1680" s="50">
        <f>IFERROR(Table1[Re-process (Kg)]/Table1[Actual Production (Kg)], "")</f>
        <v>0</v>
      </c>
      <c r="I1680" s="49">
        <f>IFERROR(Table1[[#This Row],[Actual Production (Kg)]]-Table1[[#This Row],[Re-process (Kg)]], "")</f>
        <v>7420</v>
      </c>
      <c r="J1680" s="49">
        <v>22</v>
      </c>
      <c r="K1680" s="72">
        <v>2.25</v>
      </c>
      <c r="L1680" s="49">
        <f>IF(Table1[[#This Row],[Target Time (Hours)]]="","",Table1[[#This Row],[Target Time (Hours)]]-Table1[[#This Row],[Downtime (Hours)]])</f>
        <v>19.75</v>
      </c>
      <c r="M1680" s="49">
        <f>IFERROR(Table1[[#This Row],[Capacity (Kg)]]/Table1[[#This Row],[Target Time (Hours)]] * Table1[[#This Row],[Downtime (Hours)]], "")</f>
        <v>818.18181818181813</v>
      </c>
      <c r="N1680" s="50">
        <f>IFERROR(Table1[[#This Row],[Running Time (hr)]]/Table1[Target Time (Hours)], "")</f>
        <v>0.89772727272727271</v>
      </c>
      <c r="O1680" s="50">
        <f>IFERROR(Table1[[#This Row],[Actual Production (Kg)]]/Table1[Capacity (Kg)], "")</f>
        <v>0.92749999999999999</v>
      </c>
      <c r="P1680" s="50">
        <f>IFERROR(Table1[[#This Row],[Quality Pass Production]]/Table1[[#This Row],[Actual Production (Kg)]], "")</f>
        <v>1</v>
      </c>
      <c r="Q1680" s="50">
        <f>IFERROR(Table1[[#This Row],[Utilization %]]*Table1[[#This Row],[Efficiency %]]*Table1[[#This Row],[Quality %]], "")</f>
        <v>0.83264204545454545</v>
      </c>
      <c r="R1680" s="48" t="s">
        <v>448</v>
      </c>
    </row>
    <row r="1681" spans="1:18" ht="45" customHeight="1" x14ac:dyDescent="0.25">
      <c r="A1681" s="47">
        <v>46270</v>
      </c>
      <c r="B1681" s="48" t="s">
        <v>33</v>
      </c>
      <c r="C1681" s="48" t="s">
        <v>39</v>
      </c>
      <c r="D1681" s="48" t="s">
        <v>31</v>
      </c>
      <c r="E1681" s="30">
        <v>6000</v>
      </c>
      <c r="F1681" s="76">
        <v>2974</v>
      </c>
      <c r="G1681" s="49">
        <v>0</v>
      </c>
      <c r="H1681" s="50">
        <f>IFERROR(Table1[Re-process (Kg)]/Table1[Actual Production (Kg)], "")</f>
        <v>0</v>
      </c>
      <c r="I1681" s="49">
        <f>IFERROR(Table1[[#This Row],[Actual Production (Kg)]]-Table1[[#This Row],[Re-process (Kg)]], "")</f>
        <v>2974</v>
      </c>
      <c r="J1681" s="49">
        <v>22</v>
      </c>
      <c r="K1681" s="72">
        <v>7</v>
      </c>
      <c r="L1681" s="49">
        <f>IF(Table1[[#This Row],[Target Time (Hours)]]="","",Table1[[#This Row],[Target Time (Hours)]]-Table1[[#This Row],[Downtime (Hours)]])</f>
        <v>15</v>
      </c>
      <c r="M1681" s="49">
        <f>IFERROR(Table1[[#This Row],[Capacity (Kg)]]/Table1[[#This Row],[Target Time (Hours)]] * Table1[[#This Row],[Downtime (Hours)]], "")</f>
        <v>1909.0909090909092</v>
      </c>
      <c r="N1681" s="50">
        <f>IFERROR(Table1[[#This Row],[Running Time (hr)]]/Table1[Target Time (Hours)], "")</f>
        <v>0.68181818181818177</v>
      </c>
      <c r="O1681" s="50">
        <f>IFERROR(Table1[[#This Row],[Actual Production (Kg)]]/Table1[Capacity (Kg)], "")</f>
        <v>0.49566666666666664</v>
      </c>
      <c r="P1681" s="50">
        <f>IFERROR(Table1[[#This Row],[Quality Pass Production]]/Table1[[#This Row],[Actual Production (Kg)]], "")</f>
        <v>1</v>
      </c>
      <c r="Q1681" s="50">
        <f>IFERROR(Table1[[#This Row],[Utilization %]]*Table1[[#This Row],[Efficiency %]]*Table1[[#This Row],[Quality %]], "")</f>
        <v>0.3379545454545454</v>
      </c>
      <c r="R1681" s="48" t="s">
        <v>449</v>
      </c>
    </row>
    <row r="1682" spans="1:18" ht="45" customHeight="1" x14ac:dyDescent="0.25">
      <c r="A1682" s="54">
        <v>46270</v>
      </c>
      <c r="B1682" s="55" t="s">
        <v>33</v>
      </c>
      <c r="C1682" s="55" t="s">
        <v>40</v>
      </c>
      <c r="D1682" s="55" t="s">
        <v>31</v>
      </c>
      <c r="E1682" s="43">
        <v>5000</v>
      </c>
      <c r="F1682" s="56">
        <v>1977</v>
      </c>
      <c r="G1682" s="56">
        <v>0</v>
      </c>
      <c r="H1682" s="58">
        <f>IFERROR(Table1[Re-process (Kg)]/Table1[Actual Production (Kg)], "")</f>
        <v>0</v>
      </c>
      <c r="I1682" s="56">
        <f>IFERROR(Table1[[#This Row],[Actual Production (Kg)]]-Table1[[#This Row],[Re-process (Kg)]], "")</f>
        <v>1977</v>
      </c>
      <c r="J1682" s="56">
        <v>22</v>
      </c>
      <c r="K1682" s="55">
        <v>4.17</v>
      </c>
      <c r="L1682" s="56">
        <f>IF(Table1[[#This Row],[Target Time (Hours)]]="","",Table1[[#This Row],[Target Time (Hours)]]-Table1[[#This Row],[Downtime (Hours)]])</f>
        <v>17.829999999999998</v>
      </c>
      <c r="M1682" s="56">
        <f>IFERROR(Table1[[#This Row],[Capacity (Kg)]]/Table1[[#This Row],[Target Time (Hours)]] * Table1[[#This Row],[Downtime (Hours)]], "")</f>
        <v>947.72727272727275</v>
      </c>
      <c r="N1682" s="58">
        <f>IFERROR(Table1[[#This Row],[Running Time (hr)]]/Table1[Target Time (Hours)], "")</f>
        <v>0.81045454545454543</v>
      </c>
      <c r="O1682" s="58">
        <f>IFERROR(Table1[[#This Row],[Actual Production (Kg)]]/Table1[Capacity (Kg)], "")</f>
        <v>0.39539999999999997</v>
      </c>
      <c r="P1682" s="58">
        <f>IFERROR(Table1[[#This Row],[Quality Pass Production]]/Table1[[#This Row],[Actual Production (Kg)]], "")</f>
        <v>1</v>
      </c>
      <c r="Q1682" s="58">
        <f>IFERROR(Table1[[#This Row],[Utilization %]]*Table1[[#This Row],[Efficiency %]]*Table1[[#This Row],[Quality %]], "")</f>
        <v>0.32045372727272725</v>
      </c>
      <c r="R1682" s="55" t="s">
        <v>450</v>
      </c>
    </row>
    <row r="1683" spans="1:18" ht="30" customHeight="1" x14ac:dyDescent="0.25">
      <c r="A1683" s="47">
        <v>46271</v>
      </c>
      <c r="B1683" s="48" t="s">
        <v>18</v>
      </c>
      <c r="C1683" s="48" t="s">
        <v>19</v>
      </c>
      <c r="D1683" s="48" t="s">
        <v>20</v>
      </c>
      <c r="E1683" s="49">
        <v>10000</v>
      </c>
      <c r="F1683" s="76">
        <v>8100</v>
      </c>
      <c r="G1683" s="49">
        <v>0</v>
      </c>
      <c r="H1683" s="50">
        <f>IFERROR(Table1[Re-process (Kg)]/Table1[Actual Production (Kg)], "")</f>
        <v>0</v>
      </c>
      <c r="I1683" s="49">
        <f>IFERROR(Table1[[#This Row],[Actual Production (Kg)]]-Table1[[#This Row],[Re-process (Kg)]], "")</f>
        <v>8100</v>
      </c>
      <c r="J1683" s="49">
        <v>22</v>
      </c>
      <c r="K1683" s="72"/>
      <c r="L1683" s="49">
        <f>IF(Table1[[#This Row],[Target Time (Hours)]]="","",Table1[[#This Row],[Target Time (Hours)]]-Table1[[#This Row],[Downtime (Hours)]])</f>
        <v>22</v>
      </c>
      <c r="M1683" s="49">
        <f>IFERROR(Table1[[#This Row],[Capacity (Kg)]]/Table1[[#This Row],[Target Time (Hours)]] * Table1[[#This Row],[Downtime (Hours)]], "")</f>
        <v>0</v>
      </c>
      <c r="N1683" s="50">
        <f>IFERROR(Table1[[#This Row],[Running Time (hr)]]/Table1[Target Time (Hours)], "")</f>
        <v>1</v>
      </c>
      <c r="O1683" s="50">
        <f>IFERROR(Table1[[#This Row],[Actual Production (Kg)]]/Table1[Capacity (Kg)], "")</f>
        <v>0.81</v>
      </c>
      <c r="P1683" s="50">
        <f>IFERROR(Table1[[#This Row],[Quality Pass Production]]/Table1[[#This Row],[Actual Production (Kg)]], "")</f>
        <v>1</v>
      </c>
      <c r="Q1683" s="50">
        <f>IFERROR(Table1[[#This Row],[Utilization %]]*Table1[[#This Row],[Efficiency %]]*Table1[[#This Row],[Quality %]], "")</f>
        <v>0.81</v>
      </c>
    </row>
    <row r="1684" spans="1:18" x14ac:dyDescent="0.25">
      <c r="A1684" s="51">
        <v>46271</v>
      </c>
      <c r="B1684" s="52" t="s">
        <v>18</v>
      </c>
      <c r="C1684" s="52" t="s">
        <v>238</v>
      </c>
      <c r="D1684" s="52" t="s">
        <v>20</v>
      </c>
      <c r="E1684" s="53">
        <v>8221</v>
      </c>
      <c r="F1684" s="53">
        <v>8221</v>
      </c>
      <c r="G1684" s="53">
        <v>0</v>
      </c>
      <c r="H1684" s="57">
        <f>IFERROR(Table1[Re-process (Kg)]/Table1[Actual Production (Kg)], "")</f>
        <v>0</v>
      </c>
      <c r="I1684" s="53">
        <f>IFERROR(Table1[[#This Row],[Actual Production (Kg)]]-Table1[[#This Row],[Re-process (Kg)]], "")</f>
        <v>8221</v>
      </c>
      <c r="J1684" s="53"/>
      <c r="K1684" s="52"/>
      <c r="L1684" s="53" t="str">
        <f>IF(Table1[[#This Row],[Target Time (Hours)]]="","",Table1[[#This Row],[Target Time (Hours)]]-Table1[[#This Row],[Downtime (Hours)]])</f>
        <v/>
      </c>
      <c r="M1684" s="53" t="str">
        <f>IFERROR(Table1[[#This Row],[Capacity (Kg)]]/Table1[[#This Row],[Target Time (Hours)]] * Table1[[#This Row],[Downtime (Hours)]], "")</f>
        <v/>
      </c>
      <c r="N1684" s="57" t="str">
        <f>IFERROR(Table1[[#This Row],[Running Time (hr)]]/Table1[Target Time (Hours)], "")</f>
        <v/>
      </c>
      <c r="O1684" s="57">
        <f>IFERROR(Table1[[#This Row],[Actual Production (Kg)]]/Table1[Capacity (Kg)], "")</f>
        <v>1</v>
      </c>
      <c r="P1684" s="57">
        <f>IFERROR(Table1[[#This Row],[Quality Pass Production]]/Table1[[#This Row],[Actual Production (Kg)]], "")</f>
        <v>1</v>
      </c>
      <c r="Q1684" s="57" t="str">
        <f>IFERROR(Table1[[#This Row],[Utilization %]]*Table1[[#This Row],[Efficiency %]]*Table1[[#This Row],[Quality %]], "")</f>
        <v/>
      </c>
      <c r="R1684" s="52"/>
    </row>
    <row r="1685" spans="1:18" x14ac:dyDescent="0.25">
      <c r="A1685" s="47">
        <v>46271</v>
      </c>
      <c r="B1685" s="48" t="s">
        <v>18</v>
      </c>
      <c r="C1685" s="48" t="s">
        <v>22</v>
      </c>
      <c r="D1685" s="48" t="s">
        <v>23</v>
      </c>
      <c r="E1685" s="49">
        <v>5000</v>
      </c>
      <c r="F1685" s="76">
        <v>5243</v>
      </c>
      <c r="G1685" s="49">
        <v>0</v>
      </c>
      <c r="H1685" s="50">
        <f>IFERROR(Table1[Re-process (Kg)]/Table1[Actual Production (Kg)], "")</f>
        <v>0</v>
      </c>
      <c r="I1685" s="49">
        <f>IFERROR(Table1[[#This Row],[Actual Production (Kg)]]-Table1[[#This Row],[Re-process (Kg)]], "")</f>
        <v>5243</v>
      </c>
      <c r="J1685" s="49">
        <v>22</v>
      </c>
      <c r="K1685" s="72"/>
      <c r="L1685" s="49">
        <f>IF(Table1[[#This Row],[Target Time (Hours)]]="","",Table1[[#This Row],[Target Time (Hours)]]-Table1[[#This Row],[Downtime (Hours)]])</f>
        <v>22</v>
      </c>
      <c r="M1685" s="49">
        <f>IFERROR(Table1[[#This Row],[Capacity (Kg)]]/Table1[[#This Row],[Target Time (Hours)]] * Table1[[#This Row],[Downtime (Hours)]], "")</f>
        <v>0</v>
      </c>
      <c r="N1685" s="50">
        <f>IFERROR(Table1[[#This Row],[Running Time (hr)]]/Table1[Target Time (Hours)], "")</f>
        <v>1</v>
      </c>
      <c r="O1685" s="50">
        <f>IFERROR(Table1[[#This Row],[Actual Production (Kg)]]/Table1[Capacity (Kg)], "")</f>
        <v>1.0486</v>
      </c>
      <c r="P1685" s="50">
        <f>IFERROR(Table1[[#This Row],[Quality Pass Production]]/Table1[[#This Row],[Actual Production (Kg)]], "")</f>
        <v>1</v>
      </c>
      <c r="Q1685" s="50">
        <f>IFERROR(Table1[[#This Row],[Utilization %]]*Table1[[#This Row],[Efficiency %]]*Table1[[#This Row],[Quality %]], "")</f>
        <v>1.0486</v>
      </c>
    </row>
    <row r="1686" spans="1:18" x14ac:dyDescent="0.25">
      <c r="A1686" s="47">
        <v>46271</v>
      </c>
      <c r="B1686" s="48" t="s">
        <v>18</v>
      </c>
      <c r="C1686" s="48" t="s">
        <v>22</v>
      </c>
      <c r="D1686" s="48" t="s">
        <v>25</v>
      </c>
      <c r="E1686" s="49">
        <v>4000</v>
      </c>
      <c r="F1686" s="76">
        <v>3599</v>
      </c>
      <c r="G1686" s="49">
        <v>0</v>
      </c>
      <c r="H1686" s="50">
        <f>IFERROR(Table1[Re-process (Kg)]/Table1[Actual Production (Kg)], "")</f>
        <v>0</v>
      </c>
      <c r="I1686" s="49">
        <f>IFERROR(Table1[[#This Row],[Actual Production (Kg)]]-Table1[[#This Row],[Re-process (Kg)]], "")</f>
        <v>3599</v>
      </c>
      <c r="J1686" s="49"/>
      <c r="K1686" s="72"/>
      <c r="L1686" s="49" t="str">
        <f>IF(Table1[[#This Row],[Target Time (Hours)]]="","",Table1[[#This Row],[Target Time (Hours)]]-Table1[[#This Row],[Downtime (Hours)]])</f>
        <v/>
      </c>
      <c r="M1686" s="49" t="str">
        <f>IFERROR(Table1[[#This Row],[Capacity (Kg)]]/Table1[[#This Row],[Target Time (Hours)]] * Table1[[#This Row],[Downtime (Hours)]], "")</f>
        <v/>
      </c>
      <c r="N1686" s="50" t="str">
        <f>IFERROR(Table1[[#This Row],[Running Time (hr)]]/Table1[Target Time (Hours)], "")</f>
        <v/>
      </c>
      <c r="O1686" s="50">
        <f>IFERROR(Table1[[#This Row],[Actual Production (Kg)]]/Table1[Capacity (Kg)], "")</f>
        <v>0.89975000000000005</v>
      </c>
      <c r="P1686" s="50">
        <f>IFERROR(Table1[[#This Row],[Quality Pass Production]]/Table1[[#This Row],[Actual Production (Kg)]], "")</f>
        <v>1</v>
      </c>
      <c r="Q1686" s="50" t="str">
        <f>IFERROR(Table1[[#This Row],[Utilization %]]*Table1[[#This Row],[Efficiency %]]*Table1[[#This Row],[Quality %]], "")</f>
        <v/>
      </c>
    </row>
    <row r="1687" spans="1:18" ht="45" customHeight="1" x14ac:dyDescent="0.25">
      <c r="A1687" s="47">
        <v>46271</v>
      </c>
      <c r="B1687" s="48" t="s">
        <v>18</v>
      </c>
      <c r="C1687" s="48" t="s">
        <v>26</v>
      </c>
      <c r="D1687" s="48" t="s">
        <v>25</v>
      </c>
      <c r="E1687" s="49">
        <v>7000</v>
      </c>
      <c r="F1687" s="76">
        <v>6388</v>
      </c>
      <c r="G1687" s="49">
        <v>0</v>
      </c>
      <c r="H1687" s="50">
        <f>IFERROR(Table1[Re-process (Kg)]/Table1[Actual Production (Kg)], "")</f>
        <v>0</v>
      </c>
      <c r="I1687" s="49">
        <f>IFERROR(Table1[[#This Row],[Actual Production (Kg)]]-Table1[[#This Row],[Re-process (Kg)]], "")</f>
        <v>6388</v>
      </c>
      <c r="J1687" s="49">
        <v>22</v>
      </c>
      <c r="K1687" s="72">
        <v>1</v>
      </c>
      <c r="L1687" s="49">
        <f>IF(Table1[[#This Row],[Target Time (Hours)]]="","",Table1[[#This Row],[Target Time (Hours)]]-Table1[[#This Row],[Downtime (Hours)]])</f>
        <v>21</v>
      </c>
      <c r="M1687" s="49">
        <f>IFERROR(Table1[[#This Row],[Capacity (Kg)]]/Table1[[#This Row],[Target Time (Hours)]] * Table1[[#This Row],[Downtime (Hours)]], "")</f>
        <v>318.18181818181819</v>
      </c>
      <c r="N1687" s="50">
        <f>IFERROR(Table1[[#This Row],[Running Time (hr)]]/Table1[Target Time (Hours)], "")</f>
        <v>0.95454545454545459</v>
      </c>
      <c r="O1687" s="50">
        <f>IFERROR(Table1[[#This Row],[Actual Production (Kg)]]/Table1[Capacity (Kg)], "")</f>
        <v>0.91257142857142859</v>
      </c>
      <c r="P1687" s="50">
        <f>IFERROR(Table1[[#This Row],[Quality Pass Production]]/Table1[[#This Row],[Actual Production (Kg)]], "")</f>
        <v>1</v>
      </c>
      <c r="Q1687" s="50">
        <f>IFERROR(Table1[[#This Row],[Utilization %]]*Table1[[#This Row],[Efficiency %]]*Table1[[#This Row],[Quality %]], "")</f>
        <v>0.87109090909090914</v>
      </c>
      <c r="R1687" s="48" t="s">
        <v>451</v>
      </c>
    </row>
    <row r="1688" spans="1:18" ht="30" customHeight="1" x14ac:dyDescent="0.25">
      <c r="A1688" s="47">
        <v>46271</v>
      </c>
      <c r="B1688" s="48" t="s">
        <v>18</v>
      </c>
      <c r="C1688" s="48" t="s">
        <v>28</v>
      </c>
      <c r="D1688" s="48" t="s">
        <v>29</v>
      </c>
      <c r="E1688" s="49">
        <v>7800</v>
      </c>
      <c r="F1688" s="76">
        <v>4803</v>
      </c>
      <c r="G1688" s="49">
        <v>0</v>
      </c>
      <c r="H1688" s="50">
        <f>IFERROR(Table1[Re-process (Kg)]/Table1[Actual Production (Kg)], "")</f>
        <v>0</v>
      </c>
      <c r="I1688" s="49">
        <f>IFERROR(Table1[[#This Row],[Actual Production (Kg)]]-Table1[[#This Row],[Re-process (Kg)]], "")</f>
        <v>4803</v>
      </c>
      <c r="J1688" s="49">
        <v>22</v>
      </c>
      <c r="K1688" s="72">
        <v>3</v>
      </c>
      <c r="L1688" s="49">
        <f>IF(Table1[[#This Row],[Target Time (Hours)]]="","",Table1[[#This Row],[Target Time (Hours)]]-Table1[[#This Row],[Downtime (Hours)]])</f>
        <v>19</v>
      </c>
      <c r="M1688" s="49">
        <f>IFERROR(Table1[[#This Row],[Capacity (Kg)]]/Table1[[#This Row],[Target Time (Hours)]] * Table1[[#This Row],[Downtime (Hours)]], "")</f>
        <v>1063.6363636363637</v>
      </c>
      <c r="N1688" s="50">
        <f>IFERROR(Table1[[#This Row],[Running Time (hr)]]/Table1[Target Time (Hours)], "")</f>
        <v>0.86363636363636365</v>
      </c>
      <c r="O1688" s="50">
        <f>IFERROR(Table1[[#This Row],[Actual Production (Kg)]]/Table1[Capacity (Kg)], "")</f>
        <v>0.61576923076923074</v>
      </c>
      <c r="P1688" s="50">
        <f>IFERROR(Table1[[#This Row],[Quality Pass Production]]/Table1[[#This Row],[Actual Production (Kg)]], "")</f>
        <v>1</v>
      </c>
      <c r="Q1688" s="50">
        <f>IFERROR(Table1[[#This Row],[Utilization %]]*Table1[[#This Row],[Efficiency %]]*Table1[[#This Row],[Quality %]], "")</f>
        <v>0.53180069930069929</v>
      </c>
      <c r="R1688" s="48" t="s">
        <v>436</v>
      </c>
    </row>
    <row r="1689" spans="1:18" ht="30" customHeight="1" x14ac:dyDescent="0.25">
      <c r="A1689" s="51">
        <v>46271</v>
      </c>
      <c r="B1689" s="52" t="s">
        <v>18</v>
      </c>
      <c r="C1689" s="52" t="s">
        <v>135</v>
      </c>
      <c r="D1689" s="52" t="s">
        <v>29</v>
      </c>
      <c r="E1689" s="53"/>
      <c r="F1689" s="53"/>
      <c r="G1689" s="53"/>
      <c r="H1689" s="57" t="str">
        <f>IFERROR(Table1[Re-process (Kg)]/Table1[Actual Production (Kg)], "")</f>
        <v/>
      </c>
      <c r="I1689" s="53">
        <f>IFERROR(Table1[[#This Row],[Actual Production (Kg)]]-Table1[[#This Row],[Re-process (Kg)]], "")</f>
        <v>0</v>
      </c>
      <c r="J1689" s="53"/>
      <c r="K1689" s="52"/>
      <c r="L1689" s="53" t="str">
        <f>IF(Table1[[#This Row],[Target Time (Hours)]]="","",Table1[[#This Row],[Target Time (Hours)]]-Table1[[#This Row],[Downtime (Hours)]])</f>
        <v/>
      </c>
      <c r="M1689" s="53" t="str">
        <f>IFERROR(Table1[[#This Row],[Capacity (Kg)]]/Table1[[#This Row],[Target Time (Hours)]] * Table1[[#This Row],[Downtime (Hours)]], "")</f>
        <v/>
      </c>
      <c r="N1689" s="57" t="str">
        <f>IFERROR(Table1[[#This Row],[Running Time (hr)]]/Table1[Target Time (Hours)], "")</f>
        <v/>
      </c>
      <c r="O1689" s="57" t="str">
        <f>IFERROR(Table1[[#This Row],[Actual Production (Kg)]]/Table1[Capacity (Kg)], "")</f>
        <v/>
      </c>
      <c r="P1689" s="57" t="str">
        <f>IFERROR(Table1[[#This Row],[Quality Pass Production]]/Table1[[#This Row],[Actual Production (Kg)]], "")</f>
        <v/>
      </c>
      <c r="Q1689" s="57" t="str">
        <f>IFERROR(Table1[[#This Row],[Utilization %]]*Table1[[#This Row],[Efficiency %]]*Table1[[#This Row],[Quality %]], "")</f>
        <v/>
      </c>
      <c r="R1689" s="52"/>
    </row>
    <row r="1690" spans="1:18" ht="30" customHeight="1" x14ac:dyDescent="0.25">
      <c r="A1690" s="47">
        <v>46271</v>
      </c>
      <c r="B1690" s="48" t="s">
        <v>18</v>
      </c>
      <c r="C1690" s="48" t="s">
        <v>30</v>
      </c>
      <c r="D1690" s="48" t="s">
        <v>31</v>
      </c>
      <c r="E1690" s="49">
        <v>9000</v>
      </c>
      <c r="F1690" s="76">
        <v>7258</v>
      </c>
      <c r="G1690" s="49">
        <v>0</v>
      </c>
      <c r="H1690" s="50">
        <f>IFERROR(Table1[Re-process (Kg)]/Table1[Actual Production (Kg)], "")</f>
        <v>0</v>
      </c>
      <c r="I1690" s="49">
        <f>IFERROR(Table1[[#This Row],[Actual Production (Kg)]]-Table1[[#This Row],[Re-process (Kg)]], "")</f>
        <v>7258</v>
      </c>
      <c r="J1690" s="49">
        <v>22</v>
      </c>
      <c r="K1690" s="72"/>
      <c r="L1690" s="49">
        <f>IF(Table1[[#This Row],[Target Time (Hours)]]="","",Table1[[#This Row],[Target Time (Hours)]]-Table1[[#This Row],[Downtime (Hours)]])</f>
        <v>22</v>
      </c>
      <c r="M1690" s="49">
        <f>IFERROR(Table1[[#This Row],[Capacity (Kg)]]/Table1[[#This Row],[Target Time (Hours)]] * Table1[[#This Row],[Downtime (Hours)]], "")</f>
        <v>0</v>
      </c>
      <c r="N1690" s="50">
        <f>IFERROR(Table1[[#This Row],[Running Time (hr)]]/Table1[Target Time (Hours)], "")</f>
        <v>1</v>
      </c>
      <c r="O1690" s="50">
        <f>IFERROR(Table1[[#This Row],[Actual Production (Kg)]]/Table1[Capacity (Kg)], "")</f>
        <v>0.80644444444444441</v>
      </c>
      <c r="P1690" s="50">
        <f>IFERROR(Table1[[#This Row],[Quality Pass Production]]/Table1[[#This Row],[Actual Production (Kg)]], "")</f>
        <v>1</v>
      </c>
      <c r="Q1690" s="50">
        <f>IFERROR(Table1[[#This Row],[Utilization %]]*Table1[[#This Row],[Efficiency %]]*Table1[[#This Row],[Quality %]], "")</f>
        <v>0.80644444444444441</v>
      </c>
    </row>
    <row r="1691" spans="1:18" ht="30" customHeight="1" x14ac:dyDescent="0.25">
      <c r="A1691" s="51">
        <v>46271</v>
      </c>
      <c r="B1691" s="52" t="s">
        <v>18</v>
      </c>
      <c r="C1691" s="52" t="s">
        <v>32</v>
      </c>
      <c r="D1691" s="52" t="s">
        <v>31</v>
      </c>
      <c r="E1691" s="53"/>
      <c r="F1691" s="53"/>
      <c r="G1691" s="53"/>
      <c r="H1691" s="57" t="str">
        <f>IFERROR(Table1[Re-process (Kg)]/Table1[Actual Production (Kg)], "")</f>
        <v/>
      </c>
      <c r="I1691" s="53">
        <f>IFERROR(Table1[[#This Row],[Actual Production (Kg)]]-Table1[[#This Row],[Re-process (Kg)]], "")</f>
        <v>0</v>
      </c>
      <c r="J1691" s="53"/>
      <c r="K1691" s="52"/>
      <c r="L1691" s="53" t="str">
        <f>IF(Table1[[#This Row],[Target Time (Hours)]]="","",Table1[[#This Row],[Target Time (Hours)]]-Table1[[#This Row],[Downtime (Hours)]])</f>
        <v/>
      </c>
      <c r="M1691" s="53" t="str">
        <f>IFERROR(Table1[[#This Row],[Capacity (Kg)]]/Table1[[#This Row],[Target Time (Hours)]] * Table1[[#This Row],[Downtime (Hours)]], "")</f>
        <v/>
      </c>
      <c r="N1691" s="57" t="str">
        <f>IFERROR(Table1[[#This Row],[Running Time (hr)]]/Table1[Target Time (Hours)], "")</f>
        <v/>
      </c>
      <c r="O1691" s="57" t="str">
        <f>IFERROR(Table1[[#This Row],[Actual Production (Kg)]]/Table1[Capacity (Kg)], "")</f>
        <v/>
      </c>
      <c r="P1691" s="57" t="str">
        <f>IFERROR(Table1[[#This Row],[Quality Pass Production]]/Table1[[#This Row],[Actual Production (Kg)]], "")</f>
        <v/>
      </c>
      <c r="Q1691" s="57" t="str">
        <f>IFERROR(Table1[[#This Row],[Utilization %]]*Table1[[#This Row],[Efficiency %]]*Table1[[#This Row],[Quality %]], "")</f>
        <v/>
      </c>
      <c r="R1691" s="52"/>
    </row>
    <row r="1692" spans="1:18" ht="30" customHeight="1" x14ac:dyDescent="0.25">
      <c r="A1692" s="47">
        <v>46271</v>
      </c>
      <c r="B1692" s="48" t="s">
        <v>33</v>
      </c>
      <c r="C1692" s="48" t="s">
        <v>34</v>
      </c>
      <c r="D1692" s="48" t="s">
        <v>35</v>
      </c>
      <c r="E1692" s="49">
        <v>9000</v>
      </c>
      <c r="F1692" s="76">
        <v>5097</v>
      </c>
      <c r="G1692" s="49">
        <v>0</v>
      </c>
      <c r="H1692" s="50">
        <f>IFERROR(Table1[Re-process (Kg)]/Table1[Actual Production (Kg)], "")</f>
        <v>0</v>
      </c>
      <c r="I1692" s="49">
        <f>IFERROR(Table1[[#This Row],[Actual Production (Kg)]]-Table1[[#This Row],[Re-process (Kg)]], "")</f>
        <v>5097</v>
      </c>
      <c r="J1692" s="49">
        <v>22</v>
      </c>
      <c r="K1692" s="72">
        <v>7</v>
      </c>
      <c r="L1692" s="49">
        <f>IF(Table1[[#This Row],[Target Time (Hours)]]="","",Table1[[#This Row],[Target Time (Hours)]]-Table1[[#This Row],[Downtime (Hours)]])</f>
        <v>15</v>
      </c>
      <c r="M1692" s="49">
        <f>IFERROR(Table1[[#This Row],[Capacity (Kg)]]/Table1[[#This Row],[Target Time (Hours)]] * Table1[[#This Row],[Downtime (Hours)]], "")</f>
        <v>2863.6363636363635</v>
      </c>
      <c r="N1692" s="50">
        <f>IFERROR(Table1[[#This Row],[Running Time (hr)]]/Table1[Target Time (Hours)], "")</f>
        <v>0.68181818181818177</v>
      </c>
      <c r="O1692" s="50">
        <f>IFERROR(Table1[[#This Row],[Actual Production (Kg)]]/Table1[Capacity (Kg)], "")</f>
        <v>0.56633333333333336</v>
      </c>
      <c r="P1692" s="50">
        <f>IFERROR(Table1[[#This Row],[Quality Pass Production]]/Table1[[#This Row],[Actual Production (Kg)]], "")</f>
        <v>1</v>
      </c>
      <c r="Q1692" s="50">
        <f>IFERROR(Table1[[#This Row],[Utilization %]]*Table1[[#This Row],[Efficiency %]]*Table1[[#This Row],[Quality %]], "")</f>
        <v>0.38613636363636361</v>
      </c>
      <c r="R1692" s="48" t="s">
        <v>452</v>
      </c>
    </row>
    <row r="1693" spans="1:18" ht="45" customHeight="1" x14ac:dyDescent="0.25">
      <c r="A1693" s="47">
        <v>46271</v>
      </c>
      <c r="B1693" s="48" t="s">
        <v>33</v>
      </c>
      <c r="C1693" s="48" t="s">
        <v>36</v>
      </c>
      <c r="D1693" s="48" t="s">
        <v>37</v>
      </c>
      <c r="E1693" s="49">
        <v>8000</v>
      </c>
      <c r="F1693" s="76">
        <v>6290</v>
      </c>
      <c r="G1693" s="49">
        <v>0</v>
      </c>
      <c r="H1693" s="50">
        <f>IFERROR(Table1[Re-process (Kg)]/Table1[Actual Production (Kg)], "")</f>
        <v>0</v>
      </c>
      <c r="I1693" s="49">
        <f>IFERROR(Table1[[#This Row],[Actual Production (Kg)]]-Table1[[#This Row],[Re-process (Kg)]], "")</f>
        <v>6290</v>
      </c>
      <c r="J1693" s="49">
        <v>22</v>
      </c>
      <c r="K1693" s="72">
        <v>8.83</v>
      </c>
      <c r="L1693" s="49">
        <f>IF(Table1[[#This Row],[Target Time (Hours)]]="","",Table1[[#This Row],[Target Time (Hours)]]-Table1[[#This Row],[Downtime (Hours)]])</f>
        <v>13.17</v>
      </c>
      <c r="M1693" s="49">
        <f>IFERROR(Table1[[#This Row],[Capacity (Kg)]]/Table1[[#This Row],[Target Time (Hours)]] * Table1[[#This Row],[Downtime (Hours)]], "")</f>
        <v>3210.909090909091</v>
      </c>
      <c r="N1693" s="50">
        <f>IFERROR(Table1[[#This Row],[Running Time (hr)]]/Table1[Target Time (Hours)], "")</f>
        <v>0.59863636363636363</v>
      </c>
      <c r="O1693" s="50">
        <f>IFERROR(Table1[[#This Row],[Actual Production (Kg)]]/Table1[Capacity (Kg)], "")</f>
        <v>0.78625</v>
      </c>
      <c r="P1693" s="50">
        <f>IFERROR(Table1[[#This Row],[Quality Pass Production]]/Table1[[#This Row],[Actual Production (Kg)]], "")</f>
        <v>1</v>
      </c>
      <c r="Q1693" s="50">
        <f>IFERROR(Table1[[#This Row],[Utilization %]]*Table1[[#This Row],[Efficiency %]]*Table1[[#This Row],[Quality %]], "")</f>
        <v>0.47067784090909093</v>
      </c>
      <c r="R1693" s="48" t="s">
        <v>453</v>
      </c>
    </row>
    <row r="1694" spans="1:18" ht="60" customHeight="1" x14ac:dyDescent="0.25">
      <c r="A1694" s="47">
        <v>46271</v>
      </c>
      <c r="B1694" s="48" t="s">
        <v>33</v>
      </c>
      <c r="C1694" s="48" t="s">
        <v>39</v>
      </c>
      <c r="D1694" s="48" t="s">
        <v>31</v>
      </c>
      <c r="E1694" s="49">
        <v>6000</v>
      </c>
      <c r="F1694" s="76">
        <v>1932</v>
      </c>
      <c r="G1694" s="49">
        <v>0</v>
      </c>
      <c r="H1694" s="50">
        <f>IFERROR(Table1[Re-process (Kg)]/Table1[Actual Production (Kg)], "")</f>
        <v>0</v>
      </c>
      <c r="I1694" s="49">
        <f>IFERROR(Table1[[#This Row],[Actual Production (Kg)]]-Table1[[#This Row],[Re-process (Kg)]], "")</f>
        <v>1932</v>
      </c>
      <c r="J1694" s="49">
        <v>22</v>
      </c>
      <c r="K1694" s="72">
        <v>9.33</v>
      </c>
      <c r="L1694" s="49">
        <f>IF(Table1[[#This Row],[Target Time (Hours)]]="","",Table1[[#This Row],[Target Time (Hours)]]-Table1[[#This Row],[Downtime (Hours)]])</f>
        <v>12.67</v>
      </c>
      <c r="M1694" s="49">
        <f>IFERROR(Table1[[#This Row],[Capacity (Kg)]]/Table1[[#This Row],[Target Time (Hours)]] * Table1[[#This Row],[Downtime (Hours)]], "")</f>
        <v>2544.545454545455</v>
      </c>
      <c r="N1694" s="50">
        <f>IFERROR(Table1[[#This Row],[Running Time (hr)]]/Table1[Target Time (Hours)], "")</f>
        <v>0.57590909090909093</v>
      </c>
      <c r="O1694" s="50">
        <f>IFERROR(Table1[[#This Row],[Actual Production (Kg)]]/Table1[Capacity (Kg)], "")</f>
        <v>0.32200000000000001</v>
      </c>
      <c r="P1694" s="50">
        <f>IFERROR(Table1[[#This Row],[Quality Pass Production]]/Table1[[#This Row],[Actual Production (Kg)]], "")</f>
        <v>1</v>
      </c>
      <c r="Q1694" s="50">
        <f>IFERROR(Table1[[#This Row],[Utilization %]]*Table1[[#This Row],[Efficiency %]]*Table1[[#This Row],[Quality %]], "")</f>
        <v>0.18544272727272729</v>
      </c>
      <c r="R1694" s="48" t="s">
        <v>454</v>
      </c>
    </row>
    <row r="1695" spans="1:18" ht="60" customHeight="1" x14ac:dyDescent="0.25">
      <c r="A1695" s="54">
        <v>46271</v>
      </c>
      <c r="B1695" s="55" t="s">
        <v>33</v>
      </c>
      <c r="C1695" s="55" t="s">
        <v>40</v>
      </c>
      <c r="D1695" s="55" t="s">
        <v>31</v>
      </c>
      <c r="E1695" s="56">
        <v>5000</v>
      </c>
      <c r="F1695" s="56">
        <v>2041</v>
      </c>
      <c r="G1695" s="56">
        <v>0</v>
      </c>
      <c r="H1695" s="58">
        <f>IFERROR(Table1[Re-process (Kg)]/Table1[Actual Production (Kg)], "")</f>
        <v>0</v>
      </c>
      <c r="I1695" s="56">
        <f>IFERROR(Table1[[#This Row],[Actual Production (Kg)]]-Table1[[#This Row],[Re-process (Kg)]], "")</f>
        <v>2041</v>
      </c>
      <c r="J1695" s="56">
        <v>22</v>
      </c>
      <c r="K1695" s="55">
        <v>6.33</v>
      </c>
      <c r="L1695" s="56">
        <f>IF(Table1[[#This Row],[Target Time (Hours)]]="","",Table1[[#This Row],[Target Time (Hours)]]-Table1[[#This Row],[Downtime (Hours)]])</f>
        <v>15.67</v>
      </c>
      <c r="M1695" s="56">
        <f>IFERROR(Table1[[#This Row],[Capacity (Kg)]]/Table1[[#This Row],[Target Time (Hours)]] * Table1[[#This Row],[Downtime (Hours)]], "")</f>
        <v>1438.6363636363637</v>
      </c>
      <c r="N1695" s="58">
        <f>IFERROR(Table1[[#This Row],[Running Time (hr)]]/Table1[Target Time (Hours)], "")</f>
        <v>0.71227272727272728</v>
      </c>
      <c r="O1695" s="58">
        <f>IFERROR(Table1[[#This Row],[Actual Production (Kg)]]/Table1[Capacity (Kg)], "")</f>
        <v>0.40820000000000001</v>
      </c>
      <c r="P1695" s="58">
        <f>IFERROR(Table1[[#This Row],[Quality Pass Production]]/Table1[[#This Row],[Actual Production (Kg)]], "")</f>
        <v>1</v>
      </c>
      <c r="Q1695" s="58">
        <f>IFERROR(Table1[[#This Row],[Utilization %]]*Table1[[#This Row],[Efficiency %]]*Table1[[#This Row],[Quality %]], "")</f>
        <v>0.2907497272727273</v>
      </c>
      <c r="R1695" s="55" t="s">
        <v>455</v>
      </c>
    </row>
    <row r="1696" spans="1:18" ht="30" customHeight="1" x14ac:dyDescent="0.25">
      <c r="A1696" s="47">
        <v>46272</v>
      </c>
      <c r="B1696" s="48" t="s">
        <v>18</v>
      </c>
      <c r="C1696" s="48" t="s">
        <v>19</v>
      </c>
      <c r="D1696" s="48" t="s">
        <v>20</v>
      </c>
      <c r="E1696" s="49">
        <v>10000</v>
      </c>
      <c r="F1696" s="76">
        <v>7232</v>
      </c>
      <c r="G1696" s="49">
        <v>0</v>
      </c>
      <c r="H1696" s="50">
        <f>IFERROR(Table1[Re-process (Kg)]/Table1[Actual Production (Kg)], "")</f>
        <v>0</v>
      </c>
      <c r="I1696" s="49">
        <f>IFERROR(Table1[[#This Row],[Actual Production (Kg)]]-Table1[[#This Row],[Re-process (Kg)]], "")</f>
        <v>7232</v>
      </c>
      <c r="J1696" s="49">
        <v>22</v>
      </c>
      <c r="K1696" s="72">
        <v>1.08</v>
      </c>
      <c r="L1696" s="49">
        <f>IF(Table1[[#This Row],[Target Time (Hours)]]="","",Table1[[#This Row],[Target Time (Hours)]]-Table1[[#This Row],[Downtime (Hours)]])</f>
        <v>20.92</v>
      </c>
      <c r="M1696" s="49">
        <f>IFERROR(Table1[[#This Row],[Capacity (Kg)]]/Table1[[#This Row],[Target Time (Hours)]] * Table1[[#This Row],[Downtime (Hours)]], "")</f>
        <v>490.90909090909093</v>
      </c>
      <c r="N1696" s="50">
        <f>IFERROR(Table1[[#This Row],[Running Time (hr)]]/Table1[Target Time (Hours)], "")</f>
        <v>0.95090909090909104</v>
      </c>
      <c r="O1696" s="50">
        <f>IFERROR(Table1[[#This Row],[Actual Production (Kg)]]/Table1[Capacity (Kg)], "")</f>
        <v>0.72319999999999995</v>
      </c>
      <c r="P1696" s="50">
        <f>IFERROR(Table1[[#This Row],[Quality Pass Production]]/Table1[[#This Row],[Actual Production (Kg)]], "")</f>
        <v>1</v>
      </c>
      <c r="Q1696" s="50">
        <f>IFERROR(Table1[[#This Row],[Utilization %]]*Table1[[#This Row],[Efficiency %]]*Table1[[#This Row],[Quality %]], "")</f>
        <v>0.68769745454545461</v>
      </c>
      <c r="R1696" s="48" t="s">
        <v>456</v>
      </c>
    </row>
    <row r="1697" spans="1:18" x14ac:dyDescent="0.25">
      <c r="A1697" s="51">
        <v>46272</v>
      </c>
      <c r="B1697" s="52" t="s">
        <v>18</v>
      </c>
      <c r="C1697" s="52" t="s">
        <v>238</v>
      </c>
      <c r="D1697" s="52" t="s">
        <v>20</v>
      </c>
      <c r="E1697" s="53">
        <v>9239</v>
      </c>
      <c r="F1697" s="53">
        <v>9239</v>
      </c>
      <c r="G1697" s="53">
        <v>0</v>
      </c>
      <c r="H1697" s="57">
        <f>IFERROR(Table1[Re-process (Kg)]/Table1[Actual Production (Kg)], "")</f>
        <v>0</v>
      </c>
      <c r="I1697" s="53">
        <f>IFERROR(Table1[[#This Row],[Actual Production (Kg)]]-Table1[[#This Row],[Re-process (Kg)]], "")</f>
        <v>9239</v>
      </c>
      <c r="J1697" s="53"/>
      <c r="K1697" s="52"/>
      <c r="L1697" s="53" t="str">
        <f>IF(Table1[[#This Row],[Target Time (Hours)]]="","",Table1[[#This Row],[Target Time (Hours)]]-Table1[[#This Row],[Downtime (Hours)]])</f>
        <v/>
      </c>
      <c r="M1697" s="53" t="str">
        <f>IFERROR(Table1[[#This Row],[Capacity (Kg)]]/Table1[[#This Row],[Target Time (Hours)]] * Table1[[#This Row],[Downtime (Hours)]], "")</f>
        <v/>
      </c>
      <c r="N1697" s="57" t="str">
        <f>IFERROR(Table1[[#This Row],[Running Time (hr)]]/Table1[Target Time (Hours)], "")</f>
        <v/>
      </c>
      <c r="O1697" s="57">
        <f>IFERROR(Table1[[#This Row],[Actual Production (Kg)]]/Table1[Capacity (Kg)], "")</f>
        <v>1</v>
      </c>
      <c r="P1697" s="57">
        <f>IFERROR(Table1[[#This Row],[Quality Pass Production]]/Table1[[#This Row],[Actual Production (Kg)]], "")</f>
        <v>1</v>
      </c>
      <c r="Q1697" s="57" t="str">
        <f>IFERROR(Table1[[#This Row],[Utilization %]]*Table1[[#This Row],[Efficiency %]]*Table1[[#This Row],[Quality %]], "")</f>
        <v/>
      </c>
      <c r="R1697" s="52"/>
    </row>
    <row r="1698" spans="1:18" x14ac:dyDescent="0.25">
      <c r="A1698" s="47">
        <v>46272</v>
      </c>
      <c r="B1698" s="48" t="s">
        <v>18</v>
      </c>
      <c r="C1698" s="48" t="s">
        <v>22</v>
      </c>
      <c r="D1698" s="48" t="s">
        <v>23</v>
      </c>
      <c r="E1698" s="49">
        <v>5000</v>
      </c>
      <c r="F1698" s="76">
        <v>4874</v>
      </c>
      <c r="G1698" s="49">
        <v>0</v>
      </c>
      <c r="H1698" s="50">
        <f>IFERROR(Table1[Re-process (Kg)]/Table1[Actual Production (Kg)], "")</f>
        <v>0</v>
      </c>
      <c r="I1698" s="49">
        <f>IFERROR(Table1[[#This Row],[Actual Production (Kg)]]-Table1[[#This Row],[Re-process (Kg)]], "")</f>
        <v>4874</v>
      </c>
      <c r="J1698" s="49">
        <v>22</v>
      </c>
      <c r="K1698" s="72"/>
      <c r="L1698" s="49">
        <f>IF(Table1[[#This Row],[Target Time (Hours)]]="","",Table1[[#This Row],[Target Time (Hours)]]-Table1[[#This Row],[Downtime (Hours)]])</f>
        <v>22</v>
      </c>
      <c r="M1698" s="49">
        <f>IFERROR(Table1[[#This Row],[Capacity (Kg)]]/Table1[[#This Row],[Target Time (Hours)]] * Table1[[#This Row],[Downtime (Hours)]], "")</f>
        <v>0</v>
      </c>
      <c r="N1698" s="50">
        <f>IFERROR(Table1[[#This Row],[Running Time (hr)]]/Table1[Target Time (Hours)], "")</f>
        <v>1</v>
      </c>
      <c r="O1698" s="50">
        <f>IFERROR(Table1[[#This Row],[Actual Production (Kg)]]/Table1[Capacity (Kg)], "")</f>
        <v>0.9748</v>
      </c>
      <c r="P1698" s="50">
        <f>IFERROR(Table1[[#This Row],[Quality Pass Production]]/Table1[[#This Row],[Actual Production (Kg)]], "")</f>
        <v>1</v>
      </c>
      <c r="Q1698" s="50">
        <f>IFERROR(Table1[[#This Row],[Utilization %]]*Table1[[#This Row],[Efficiency %]]*Table1[[#This Row],[Quality %]], "")</f>
        <v>0.9748</v>
      </c>
    </row>
    <row r="1699" spans="1:18" x14ac:dyDescent="0.25">
      <c r="A1699" s="47">
        <v>46272</v>
      </c>
      <c r="B1699" s="48" t="s">
        <v>18</v>
      </c>
      <c r="C1699" s="48" t="s">
        <v>22</v>
      </c>
      <c r="D1699" s="48" t="s">
        <v>25</v>
      </c>
      <c r="E1699" s="49">
        <v>4000</v>
      </c>
      <c r="F1699" s="76">
        <v>3861</v>
      </c>
      <c r="G1699" s="49">
        <v>0</v>
      </c>
      <c r="H1699" s="50">
        <f>IFERROR(Table1[Re-process (Kg)]/Table1[Actual Production (Kg)], "")</f>
        <v>0</v>
      </c>
      <c r="I1699" s="49">
        <f>IFERROR(Table1[[#This Row],[Actual Production (Kg)]]-Table1[[#This Row],[Re-process (Kg)]], "")</f>
        <v>3861</v>
      </c>
      <c r="J1699" s="49"/>
      <c r="K1699" s="72"/>
      <c r="L1699" s="49" t="str">
        <f>IF(Table1[[#This Row],[Target Time (Hours)]]="","",Table1[[#This Row],[Target Time (Hours)]]-Table1[[#This Row],[Downtime (Hours)]])</f>
        <v/>
      </c>
      <c r="M1699" s="49" t="str">
        <f>IFERROR(Table1[[#This Row],[Capacity (Kg)]]/Table1[[#This Row],[Target Time (Hours)]] * Table1[[#This Row],[Downtime (Hours)]], "")</f>
        <v/>
      </c>
      <c r="N1699" s="50" t="str">
        <f>IFERROR(Table1[[#This Row],[Running Time (hr)]]/Table1[Target Time (Hours)], "")</f>
        <v/>
      </c>
      <c r="O1699" s="50">
        <f>IFERROR(Table1[[#This Row],[Actual Production (Kg)]]/Table1[Capacity (Kg)], "")</f>
        <v>0.96525000000000005</v>
      </c>
      <c r="P1699" s="50">
        <f>IFERROR(Table1[[#This Row],[Quality Pass Production]]/Table1[[#This Row],[Actual Production (Kg)]], "")</f>
        <v>1</v>
      </c>
      <c r="Q1699" s="50" t="str">
        <f>IFERROR(Table1[[#This Row],[Utilization %]]*Table1[[#This Row],[Efficiency %]]*Table1[[#This Row],[Quality %]], "")</f>
        <v/>
      </c>
    </row>
    <row r="1700" spans="1:18" x14ac:dyDescent="0.25">
      <c r="A1700" s="47">
        <v>46272</v>
      </c>
      <c r="B1700" s="48" t="s">
        <v>18</v>
      </c>
      <c r="C1700" s="48" t="s">
        <v>26</v>
      </c>
      <c r="D1700" s="48" t="s">
        <v>25</v>
      </c>
      <c r="E1700" s="49">
        <v>7000</v>
      </c>
      <c r="F1700" s="76">
        <v>7159</v>
      </c>
      <c r="G1700" s="49">
        <v>0</v>
      </c>
      <c r="H1700" s="50">
        <f>IFERROR(Table1[Re-process (Kg)]/Table1[Actual Production (Kg)], "")</f>
        <v>0</v>
      </c>
      <c r="I1700" s="49">
        <f>IFERROR(Table1[[#This Row],[Actual Production (Kg)]]-Table1[[#This Row],[Re-process (Kg)]], "")</f>
        <v>7159</v>
      </c>
      <c r="J1700" s="49">
        <v>22</v>
      </c>
      <c r="K1700" s="72"/>
      <c r="L1700" s="49">
        <f>IF(Table1[[#This Row],[Target Time (Hours)]]="","",Table1[[#This Row],[Target Time (Hours)]]-Table1[[#This Row],[Downtime (Hours)]])</f>
        <v>22</v>
      </c>
      <c r="M1700" s="49">
        <f>IFERROR(Table1[[#This Row],[Capacity (Kg)]]/Table1[[#This Row],[Target Time (Hours)]] * Table1[[#This Row],[Downtime (Hours)]], "")</f>
        <v>0</v>
      </c>
      <c r="N1700" s="50">
        <f>IFERROR(Table1[[#This Row],[Running Time (hr)]]/Table1[Target Time (Hours)], "")</f>
        <v>1</v>
      </c>
      <c r="O1700" s="50">
        <f>IFERROR(Table1[[#This Row],[Actual Production (Kg)]]/Table1[Capacity (Kg)], "")</f>
        <v>1.0227142857142857</v>
      </c>
      <c r="P1700" s="50">
        <f>IFERROR(Table1[[#This Row],[Quality Pass Production]]/Table1[[#This Row],[Actual Production (Kg)]], "")</f>
        <v>1</v>
      </c>
      <c r="Q1700" s="50">
        <f>IFERROR(Table1[[#This Row],[Utilization %]]*Table1[[#This Row],[Efficiency %]]*Table1[[#This Row],[Quality %]], "")</f>
        <v>1.0227142857142857</v>
      </c>
    </row>
    <row r="1701" spans="1:18" ht="30" customHeight="1" x14ac:dyDescent="0.25">
      <c r="A1701" s="47">
        <v>46272</v>
      </c>
      <c r="B1701" s="48" t="s">
        <v>18</v>
      </c>
      <c r="C1701" s="48" t="s">
        <v>28</v>
      </c>
      <c r="D1701" s="48" t="s">
        <v>29</v>
      </c>
      <c r="E1701" s="49">
        <v>7800</v>
      </c>
      <c r="F1701" s="76">
        <v>6583</v>
      </c>
      <c r="G1701" s="49">
        <v>0</v>
      </c>
      <c r="H1701" s="50">
        <f>IFERROR(Table1[Re-process (Kg)]/Table1[Actual Production (Kg)], "")</f>
        <v>0</v>
      </c>
      <c r="I1701" s="49">
        <f>IFERROR(Table1[[#This Row],[Actual Production (Kg)]]-Table1[[#This Row],[Re-process (Kg)]], "")</f>
        <v>6583</v>
      </c>
      <c r="J1701" s="49">
        <v>22</v>
      </c>
      <c r="K1701" s="72">
        <v>1.5</v>
      </c>
      <c r="L1701" s="49">
        <f>IF(Table1[[#This Row],[Target Time (Hours)]]="","",Table1[[#This Row],[Target Time (Hours)]]-Table1[[#This Row],[Downtime (Hours)]])</f>
        <v>20.5</v>
      </c>
      <c r="M1701" s="49">
        <f>IFERROR(Table1[[#This Row],[Capacity (Kg)]]/Table1[[#This Row],[Target Time (Hours)]] * Table1[[#This Row],[Downtime (Hours)]], "")</f>
        <v>531.81818181818187</v>
      </c>
      <c r="N1701" s="50">
        <f>IFERROR(Table1[[#This Row],[Running Time (hr)]]/Table1[Target Time (Hours)], "")</f>
        <v>0.93181818181818177</v>
      </c>
      <c r="O1701" s="50">
        <f>IFERROR(Table1[[#This Row],[Actual Production (Kg)]]/Table1[Capacity (Kg)], "")</f>
        <v>0.84397435897435902</v>
      </c>
      <c r="P1701" s="50">
        <f>IFERROR(Table1[[#This Row],[Quality Pass Production]]/Table1[[#This Row],[Actual Production (Kg)]], "")</f>
        <v>1</v>
      </c>
      <c r="Q1701" s="50">
        <f>IFERROR(Table1[[#This Row],[Utilization %]]*Table1[[#This Row],[Efficiency %]]*Table1[[#This Row],[Quality %]], "")</f>
        <v>0.78643065268065271</v>
      </c>
      <c r="R1701" s="48" t="s">
        <v>457</v>
      </c>
    </row>
    <row r="1702" spans="1:18" ht="30" customHeight="1" x14ac:dyDescent="0.25">
      <c r="A1702" s="51">
        <v>46272</v>
      </c>
      <c r="B1702" s="52" t="s">
        <v>18</v>
      </c>
      <c r="C1702" s="52" t="s">
        <v>135</v>
      </c>
      <c r="D1702" s="52" t="s">
        <v>29</v>
      </c>
      <c r="E1702" s="53"/>
      <c r="F1702" s="53"/>
      <c r="G1702" s="53"/>
      <c r="H1702" s="57" t="str">
        <f>IFERROR(Table1[Re-process (Kg)]/Table1[Actual Production (Kg)], "")</f>
        <v/>
      </c>
      <c r="I1702" s="53">
        <f>IFERROR(Table1[[#This Row],[Actual Production (Kg)]]-Table1[[#This Row],[Re-process (Kg)]], "")</f>
        <v>0</v>
      </c>
      <c r="J1702" s="53"/>
      <c r="K1702" s="52"/>
      <c r="L1702" s="53" t="str">
        <f>IF(Table1[[#This Row],[Target Time (Hours)]]="","",Table1[[#This Row],[Target Time (Hours)]]-Table1[[#This Row],[Downtime (Hours)]])</f>
        <v/>
      </c>
      <c r="M1702" s="53" t="str">
        <f>IFERROR(Table1[[#This Row],[Capacity (Kg)]]/Table1[[#This Row],[Target Time (Hours)]] * Table1[[#This Row],[Downtime (Hours)]], "")</f>
        <v/>
      </c>
      <c r="N1702" s="57" t="str">
        <f>IFERROR(Table1[[#This Row],[Running Time (hr)]]/Table1[Target Time (Hours)], "")</f>
        <v/>
      </c>
      <c r="O1702" s="57" t="str">
        <f>IFERROR(Table1[[#This Row],[Actual Production (Kg)]]/Table1[Capacity (Kg)], "")</f>
        <v/>
      </c>
      <c r="P1702" s="57" t="str">
        <f>IFERROR(Table1[[#This Row],[Quality Pass Production]]/Table1[[#This Row],[Actual Production (Kg)]], "")</f>
        <v/>
      </c>
      <c r="Q1702" s="57" t="str">
        <f>IFERROR(Table1[[#This Row],[Utilization %]]*Table1[[#This Row],[Efficiency %]]*Table1[[#This Row],[Quality %]], "")</f>
        <v/>
      </c>
      <c r="R1702" s="52"/>
    </row>
    <row r="1703" spans="1:18" ht="30" customHeight="1" x14ac:dyDescent="0.25">
      <c r="A1703" s="47">
        <v>46272</v>
      </c>
      <c r="B1703" s="48" t="s">
        <v>18</v>
      </c>
      <c r="C1703" s="48" t="s">
        <v>30</v>
      </c>
      <c r="D1703" s="48" t="s">
        <v>31</v>
      </c>
      <c r="E1703" s="49">
        <v>9000</v>
      </c>
      <c r="F1703" s="76">
        <v>6950</v>
      </c>
      <c r="G1703" s="49">
        <v>0</v>
      </c>
      <c r="H1703" s="50">
        <f>IFERROR(Table1[Re-process (Kg)]/Table1[Actual Production (Kg)], "")</f>
        <v>0</v>
      </c>
      <c r="I1703" s="49">
        <f>IFERROR(Table1[[#This Row],[Actual Production (Kg)]]-Table1[[#This Row],[Re-process (Kg)]], "")</f>
        <v>6950</v>
      </c>
      <c r="J1703" s="49">
        <v>22</v>
      </c>
      <c r="K1703" s="72"/>
      <c r="L1703" s="49">
        <f>IF(Table1[[#This Row],[Target Time (Hours)]]="","",Table1[[#This Row],[Target Time (Hours)]]-Table1[[#This Row],[Downtime (Hours)]])</f>
        <v>22</v>
      </c>
      <c r="M1703" s="49">
        <f>IFERROR(Table1[[#This Row],[Capacity (Kg)]]/Table1[[#This Row],[Target Time (Hours)]] * Table1[[#This Row],[Downtime (Hours)]], "")</f>
        <v>0</v>
      </c>
      <c r="N1703" s="50">
        <f>IFERROR(Table1[[#This Row],[Running Time (hr)]]/Table1[Target Time (Hours)], "")</f>
        <v>1</v>
      </c>
      <c r="O1703" s="50">
        <f>IFERROR(Table1[[#This Row],[Actual Production (Kg)]]/Table1[Capacity (Kg)], "")</f>
        <v>0.77222222222222225</v>
      </c>
      <c r="P1703" s="50">
        <f>IFERROR(Table1[[#This Row],[Quality Pass Production]]/Table1[[#This Row],[Actual Production (Kg)]], "")</f>
        <v>1</v>
      </c>
      <c r="Q1703" s="50">
        <f>IFERROR(Table1[[#This Row],[Utilization %]]*Table1[[#This Row],[Efficiency %]]*Table1[[#This Row],[Quality %]], "")</f>
        <v>0.77222222222222225</v>
      </c>
    </row>
    <row r="1704" spans="1:18" ht="30" customHeight="1" x14ac:dyDescent="0.25">
      <c r="A1704" s="51">
        <v>46272</v>
      </c>
      <c r="B1704" s="52" t="s">
        <v>18</v>
      </c>
      <c r="C1704" s="52" t="s">
        <v>32</v>
      </c>
      <c r="D1704" s="52" t="s">
        <v>31</v>
      </c>
      <c r="E1704" s="53"/>
      <c r="F1704" s="53"/>
      <c r="G1704" s="53"/>
      <c r="H1704" s="57" t="str">
        <f>IFERROR(Table1[Re-process (Kg)]/Table1[Actual Production (Kg)], "")</f>
        <v/>
      </c>
      <c r="I1704" s="53">
        <f>IFERROR(Table1[[#This Row],[Actual Production (Kg)]]-Table1[[#This Row],[Re-process (Kg)]], "")</f>
        <v>0</v>
      </c>
      <c r="J1704" s="53"/>
      <c r="K1704" s="52"/>
      <c r="L1704" s="53" t="str">
        <f>IF(Table1[[#This Row],[Target Time (Hours)]]="","",Table1[[#This Row],[Target Time (Hours)]]-Table1[[#This Row],[Downtime (Hours)]])</f>
        <v/>
      </c>
      <c r="M1704" s="53" t="str">
        <f>IFERROR(Table1[[#This Row],[Capacity (Kg)]]/Table1[[#This Row],[Target Time (Hours)]] * Table1[[#This Row],[Downtime (Hours)]], "")</f>
        <v/>
      </c>
      <c r="N1704" s="57" t="str">
        <f>IFERROR(Table1[[#This Row],[Running Time (hr)]]/Table1[Target Time (Hours)], "")</f>
        <v/>
      </c>
      <c r="O1704" s="57" t="str">
        <f>IFERROR(Table1[[#This Row],[Actual Production (Kg)]]/Table1[Capacity (Kg)], "")</f>
        <v/>
      </c>
      <c r="P1704" s="57" t="str">
        <f>IFERROR(Table1[[#This Row],[Quality Pass Production]]/Table1[[#This Row],[Actual Production (Kg)]], "")</f>
        <v/>
      </c>
      <c r="Q1704" s="57" t="str">
        <f>IFERROR(Table1[[#This Row],[Utilization %]]*Table1[[#This Row],[Efficiency %]]*Table1[[#This Row],[Quality %]], "")</f>
        <v/>
      </c>
      <c r="R1704" s="52"/>
    </row>
    <row r="1705" spans="1:18" ht="30" customHeight="1" x14ac:dyDescent="0.25">
      <c r="A1705" s="47">
        <v>46272</v>
      </c>
      <c r="B1705" s="48" t="s">
        <v>33</v>
      </c>
      <c r="C1705" s="48" t="s">
        <v>34</v>
      </c>
      <c r="D1705" s="48" t="s">
        <v>35</v>
      </c>
      <c r="E1705" s="49">
        <v>9000</v>
      </c>
      <c r="F1705" s="76">
        <v>6036</v>
      </c>
      <c r="G1705" s="49">
        <v>0</v>
      </c>
      <c r="H1705" s="50">
        <f>IFERROR(Table1[Re-process (Kg)]/Table1[Actual Production (Kg)], "")</f>
        <v>0</v>
      </c>
      <c r="I1705" s="49">
        <f>IFERROR(Table1[[#This Row],[Actual Production (Kg)]]-Table1[[#This Row],[Re-process (Kg)]], "")</f>
        <v>6036</v>
      </c>
      <c r="J1705" s="49">
        <v>22</v>
      </c>
      <c r="K1705" s="72">
        <v>7</v>
      </c>
      <c r="L1705" s="49">
        <f>IF(Table1[[#This Row],[Target Time (Hours)]]="","",Table1[[#This Row],[Target Time (Hours)]]-Table1[[#This Row],[Downtime (Hours)]])</f>
        <v>15</v>
      </c>
      <c r="M1705" s="49">
        <f>IFERROR(Table1[[#This Row],[Capacity (Kg)]]/Table1[[#This Row],[Target Time (Hours)]] * Table1[[#This Row],[Downtime (Hours)]], "")</f>
        <v>2863.6363636363635</v>
      </c>
      <c r="N1705" s="50">
        <f>IFERROR(Table1[[#This Row],[Running Time (hr)]]/Table1[Target Time (Hours)], "")</f>
        <v>0.68181818181818177</v>
      </c>
      <c r="O1705" s="50">
        <f>IFERROR(Table1[[#This Row],[Actual Production (Kg)]]/Table1[Capacity (Kg)], "")</f>
        <v>0.67066666666666663</v>
      </c>
      <c r="P1705" s="50">
        <f>IFERROR(Table1[[#This Row],[Quality Pass Production]]/Table1[[#This Row],[Actual Production (Kg)]], "")</f>
        <v>1</v>
      </c>
      <c r="Q1705" s="50">
        <f>IFERROR(Table1[[#This Row],[Utilization %]]*Table1[[#This Row],[Efficiency %]]*Table1[[#This Row],[Quality %]], "")</f>
        <v>0.45727272727272722</v>
      </c>
      <c r="R1705" s="48" t="s">
        <v>452</v>
      </c>
    </row>
    <row r="1706" spans="1:18" ht="45" customHeight="1" x14ac:dyDescent="0.25">
      <c r="A1706" s="47">
        <v>46272</v>
      </c>
      <c r="B1706" s="48" t="s">
        <v>33</v>
      </c>
      <c r="C1706" s="48" t="s">
        <v>36</v>
      </c>
      <c r="D1706" s="48" t="s">
        <v>37</v>
      </c>
      <c r="E1706" s="49">
        <v>8000</v>
      </c>
      <c r="F1706" s="76">
        <v>6292</v>
      </c>
      <c r="G1706" s="49">
        <v>0</v>
      </c>
      <c r="H1706" s="50">
        <f>IFERROR(Table1[Re-process (Kg)]/Table1[Actual Production (Kg)], "")</f>
        <v>0</v>
      </c>
      <c r="I1706" s="49">
        <f>IFERROR(Table1[[#This Row],[Actual Production (Kg)]]-Table1[[#This Row],[Re-process (Kg)]], "")</f>
        <v>6292</v>
      </c>
      <c r="J1706" s="49">
        <v>22</v>
      </c>
      <c r="K1706" s="72">
        <v>3.33</v>
      </c>
      <c r="L1706" s="49">
        <f>IF(Table1[[#This Row],[Target Time (Hours)]]="","",Table1[[#This Row],[Target Time (Hours)]]-Table1[[#This Row],[Downtime (Hours)]])</f>
        <v>18.670000000000002</v>
      </c>
      <c r="M1706" s="49">
        <f>IFERROR(Table1[[#This Row],[Capacity (Kg)]]/Table1[[#This Row],[Target Time (Hours)]] * Table1[[#This Row],[Downtime (Hours)]], "")</f>
        <v>1210.909090909091</v>
      </c>
      <c r="N1706" s="50">
        <f>IFERROR(Table1[[#This Row],[Running Time (hr)]]/Table1[Target Time (Hours)], "")</f>
        <v>0.84863636363636374</v>
      </c>
      <c r="O1706" s="50">
        <f>IFERROR(Table1[[#This Row],[Actual Production (Kg)]]/Table1[Capacity (Kg)], "")</f>
        <v>0.78649999999999998</v>
      </c>
      <c r="P1706" s="50">
        <f>IFERROR(Table1[[#This Row],[Quality Pass Production]]/Table1[[#This Row],[Actual Production (Kg)]], "")</f>
        <v>1</v>
      </c>
      <c r="Q1706" s="50">
        <f>IFERROR(Table1[[#This Row],[Utilization %]]*Table1[[#This Row],[Efficiency %]]*Table1[[#This Row],[Quality %]], "")</f>
        <v>0.66745250000000012</v>
      </c>
      <c r="R1706" s="48" t="s">
        <v>458</v>
      </c>
    </row>
    <row r="1707" spans="1:18" ht="30" customHeight="1" x14ac:dyDescent="0.25">
      <c r="A1707" s="47">
        <v>46272</v>
      </c>
      <c r="B1707" s="48" t="s">
        <v>33</v>
      </c>
      <c r="C1707" s="48" t="s">
        <v>39</v>
      </c>
      <c r="D1707" s="48" t="s">
        <v>31</v>
      </c>
      <c r="E1707" s="49">
        <v>6000</v>
      </c>
      <c r="F1707" s="76">
        <v>3443</v>
      </c>
      <c r="G1707" s="49">
        <v>0</v>
      </c>
      <c r="H1707" s="50">
        <f>IFERROR(Table1[Re-process (Kg)]/Table1[Actual Production (Kg)], "")</f>
        <v>0</v>
      </c>
      <c r="I1707" s="49">
        <f>IFERROR(Table1[[#This Row],[Actual Production (Kg)]]-Table1[[#This Row],[Re-process (Kg)]], "")</f>
        <v>3443</v>
      </c>
      <c r="J1707" s="49">
        <v>22</v>
      </c>
      <c r="K1707" s="72">
        <v>2</v>
      </c>
      <c r="L1707" s="49">
        <f>IF(Table1[[#This Row],[Target Time (Hours)]]="","",Table1[[#This Row],[Target Time (Hours)]]-Table1[[#This Row],[Downtime (Hours)]])</f>
        <v>20</v>
      </c>
      <c r="M1707" s="49">
        <f>IFERROR(Table1[[#This Row],[Capacity (Kg)]]/Table1[[#This Row],[Target Time (Hours)]] * Table1[[#This Row],[Downtime (Hours)]], "")</f>
        <v>545.4545454545455</v>
      </c>
      <c r="N1707" s="50">
        <f>IFERROR(Table1[[#This Row],[Running Time (hr)]]/Table1[Target Time (Hours)], "")</f>
        <v>0.90909090909090906</v>
      </c>
      <c r="O1707" s="50">
        <f>IFERROR(Table1[[#This Row],[Actual Production (Kg)]]/Table1[Capacity (Kg)], "")</f>
        <v>0.57383333333333331</v>
      </c>
      <c r="P1707" s="50">
        <f>IFERROR(Table1[[#This Row],[Quality Pass Production]]/Table1[[#This Row],[Actual Production (Kg)]], "")</f>
        <v>1</v>
      </c>
      <c r="Q1707" s="50">
        <f>IFERROR(Table1[[#This Row],[Utilization %]]*Table1[[#This Row],[Efficiency %]]*Table1[[#This Row],[Quality %]], "")</f>
        <v>0.52166666666666661</v>
      </c>
      <c r="R1707" s="48" t="s">
        <v>459</v>
      </c>
    </row>
    <row r="1708" spans="1:18" ht="45" customHeight="1" x14ac:dyDescent="0.25">
      <c r="A1708" s="54">
        <v>46272</v>
      </c>
      <c r="B1708" s="55" t="s">
        <v>33</v>
      </c>
      <c r="C1708" s="55" t="s">
        <v>40</v>
      </c>
      <c r="D1708" s="55" t="s">
        <v>31</v>
      </c>
      <c r="E1708" s="56">
        <v>5000</v>
      </c>
      <c r="F1708" s="56">
        <v>2353</v>
      </c>
      <c r="G1708" s="56">
        <v>0</v>
      </c>
      <c r="H1708" s="58">
        <f>IFERROR(Table1[Re-process (Kg)]/Table1[Actual Production (Kg)], "")</f>
        <v>0</v>
      </c>
      <c r="I1708" s="56">
        <f>IFERROR(Table1[[#This Row],[Actual Production (Kg)]]-Table1[[#This Row],[Re-process (Kg)]], "")</f>
        <v>2353</v>
      </c>
      <c r="J1708" s="56">
        <v>22</v>
      </c>
      <c r="K1708" s="55">
        <v>8</v>
      </c>
      <c r="L1708" s="56">
        <f>IF(Table1[[#This Row],[Target Time (Hours)]]="","",Table1[[#This Row],[Target Time (Hours)]]-Table1[[#This Row],[Downtime (Hours)]])</f>
        <v>14</v>
      </c>
      <c r="M1708" s="56">
        <f>IFERROR(Table1[[#This Row],[Capacity (Kg)]]/Table1[[#This Row],[Target Time (Hours)]] * Table1[[#This Row],[Downtime (Hours)]], "")</f>
        <v>1818.1818181818182</v>
      </c>
      <c r="N1708" s="58">
        <f>IFERROR(Table1[[#This Row],[Running Time (hr)]]/Table1[Target Time (Hours)], "")</f>
        <v>0.63636363636363635</v>
      </c>
      <c r="O1708" s="58">
        <f>IFERROR(Table1[[#This Row],[Actual Production (Kg)]]/Table1[Capacity (Kg)], "")</f>
        <v>0.47060000000000002</v>
      </c>
      <c r="P1708" s="58">
        <f>IFERROR(Table1[[#This Row],[Quality Pass Production]]/Table1[[#This Row],[Actual Production (Kg)]], "")</f>
        <v>1</v>
      </c>
      <c r="Q1708" s="58">
        <f>IFERROR(Table1[[#This Row],[Utilization %]]*Table1[[#This Row],[Efficiency %]]*Table1[[#This Row],[Quality %]], "")</f>
        <v>0.29947272727272728</v>
      </c>
      <c r="R1708" s="55" t="s">
        <v>460</v>
      </c>
    </row>
    <row r="1709" spans="1:18" ht="30" customHeight="1" x14ac:dyDescent="0.25">
      <c r="A1709" s="47">
        <v>46273</v>
      </c>
      <c r="B1709" s="48" t="s">
        <v>18</v>
      </c>
      <c r="C1709" s="48" t="s">
        <v>19</v>
      </c>
      <c r="D1709" s="48" t="s">
        <v>20</v>
      </c>
      <c r="E1709" s="49">
        <v>10000</v>
      </c>
      <c r="F1709" s="76">
        <v>6979</v>
      </c>
      <c r="G1709" s="49">
        <v>0</v>
      </c>
      <c r="H1709" s="50">
        <f>IFERROR(Table1[Re-process (Kg)]/Table1[Actual Production (Kg)], "")</f>
        <v>0</v>
      </c>
      <c r="I1709" s="49">
        <f>IFERROR(Table1[[#This Row],[Actual Production (Kg)]]-Table1[[#This Row],[Re-process (Kg)]], "")</f>
        <v>6979</v>
      </c>
      <c r="J1709" s="49">
        <v>22</v>
      </c>
      <c r="K1709" s="72">
        <v>1</v>
      </c>
      <c r="L1709" s="49">
        <f>IF(Table1[[#This Row],[Target Time (Hours)]]="","",Table1[[#This Row],[Target Time (Hours)]]-Table1[[#This Row],[Downtime (Hours)]])</f>
        <v>21</v>
      </c>
      <c r="M1709" s="49">
        <f>IFERROR(Table1[[#This Row],[Capacity (Kg)]]/Table1[[#This Row],[Target Time (Hours)]] * Table1[[#This Row],[Downtime (Hours)]], "")</f>
        <v>454.54545454545456</v>
      </c>
      <c r="N1709" s="50">
        <f>IFERROR(Table1[[#This Row],[Running Time (hr)]]/Table1[Target Time (Hours)], "")</f>
        <v>0.95454545454545459</v>
      </c>
      <c r="O1709" s="50">
        <f>IFERROR(Table1[[#This Row],[Actual Production (Kg)]]/Table1[Capacity (Kg)], "")</f>
        <v>0.69789999999999996</v>
      </c>
      <c r="P1709" s="50">
        <f>IFERROR(Table1[[#This Row],[Quality Pass Production]]/Table1[[#This Row],[Actual Production (Kg)]], "")</f>
        <v>1</v>
      </c>
      <c r="Q1709" s="50">
        <f>IFERROR(Table1[[#This Row],[Utilization %]]*Table1[[#This Row],[Efficiency %]]*Table1[[#This Row],[Quality %]], "")</f>
        <v>0.66617727272727267</v>
      </c>
      <c r="R1709" s="48" t="s">
        <v>461</v>
      </c>
    </row>
    <row r="1710" spans="1:18" x14ac:dyDescent="0.25">
      <c r="A1710" s="51">
        <v>46273</v>
      </c>
      <c r="B1710" s="52" t="s">
        <v>18</v>
      </c>
      <c r="C1710" s="52" t="s">
        <v>238</v>
      </c>
      <c r="D1710" s="52" t="s">
        <v>20</v>
      </c>
      <c r="E1710" s="53">
        <v>10066</v>
      </c>
      <c r="F1710" s="53">
        <v>10066</v>
      </c>
      <c r="G1710" s="53">
        <v>0</v>
      </c>
      <c r="H1710" s="57">
        <f>IFERROR(Table1[Re-process (Kg)]/Table1[Actual Production (Kg)], "")</f>
        <v>0</v>
      </c>
      <c r="I1710" s="53">
        <f>IFERROR(Table1[[#This Row],[Actual Production (Kg)]]-Table1[[#This Row],[Re-process (Kg)]], "")</f>
        <v>10066</v>
      </c>
      <c r="J1710" s="53"/>
      <c r="K1710" s="52"/>
      <c r="L1710" s="53" t="str">
        <f>IF(Table1[[#This Row],[Target Time (Hours)]]="","",Table1[[#This Row],[Target Time (Hours)]]-Table1[[#This Row],[Downtime (Hours)]])</f>
        <v/>
      </c>
      <c r="M1710" s="53" t="str">
        <f>IFERROR(Table1[[#This Row],[Capacity (Kg)]]/Table1[[#This Row],[Target Time (Hours)]] * Table1[[#This Row],[Downtime (Hours)]], "")</f>
        <v/>
      </c>
      <c r="N1710" s="57" t="str">
        <f>IFERROR(Table1[[#This Row],[Running Time (hr)]]/Table1[Target Time (Hours)], "")</f>
        <v/>
      </c>
      <c r="O1710" s="57">
        <f>IFERROR(Table1[[#This Row],[Actual Production (Kg)]]/Table1[Capacity (Kg)], "")</f>
        <v>1</v>
      </c>
      <c r="P1710" s="57">
        <f>IFERROR(Table1[[#This Row],[Quality Pass Production]]/Table1[[#This Row],[Actual Production (Kg)]], "")</f>
        <v>1</v>
      </c>
      <c r="Q1710" s="57" t="str">
        <f>IFERROR(Table1[[#This Row],[Utilization %]]*Table1[[#This Row],[Efficiency %]]*Table1[[#This Row],[Quality %]], "")</f>
        <v/>
      </c>
      <c r="R1710" s="52"/>
    </row>
    <row r="1711" spans="1:18" x14ac:dyDescent="0.25">
      <c r="A1711" s="47">
        <v>46273</v>
      </c>
      <c r="B1711" s="48" t="s">
        <v>18</v>
      </c>
      <c r="C1711" s="48" t="s">
        <v>22</v>
      </c>
      <c r="D1711" s="48" t="s">
        <v>23</v>
      </c>
      <c r="E1711" s="49">
        <v>5000</v>
      </c>
      <c r="F1711" s="76">
        <v>5485</v>
      </c>
      <c r="G1711" s="49">
        <v>0</v>
      </c>
      <c r="H1711" s="50">
        <f>IFERROR(Table1[Re-process (Kg)]/Table1[Actual Production (Kg)], "")</f>
        <v>0</v>
      </c>
      <c r="I1711" s="49">
        <f>IFERROR(Table1[[#This Row],[Actual Production (Kg)]]-Table1[[#This Row],[Re-process (Kg)]], "")</f>
        <v>5485</v>
      </c>
      <c r="J1711" s="49">
        <v>22</v>
      </c>
      <c r="K1711" s="72"/>
      <c r="L1711" s="49">
        <f>IF(Table1[[#This Row],[Target Time (Hours)]]="","",Table1[[#This Row],[Target Time (Hours)]]-Table1[[#This Row],[Downtime (Hours)]])</f>
        <v>22</v>
      </c>
      <c r="M1711" s="49">
        <f>IFERROR(Table1[[#This Row],[Capacity (Kg)]]/Table1[[#This Row],[Target Time (Hours)]] * Table1[[#This Row],[Downtime (Hours)]], "")</f>
        <v>0</v>
      </c>
      <c r="N1711" s="50">
        <f>IFERROR(Table1[[#This Row],[Running Time (hr)]]/Table1[Target Time (Hours)], "")</f>
        <v>1</v>
      </c>
      <c r="O1711" s="50">
        <f>IFERROR(Table1[[#This Row],[Actual Production (Kg)]]/Table1[Capacity (Kg)], "")</f>
        <v>1.097</v>
      </c>
      <c r="P1711" s="50">
        <f>IFERROR(Table1[[#This Row],[Quality Pass Production]]/Table1[[#This Row],[Actual Production (Kg)]], "")</f>
        <v>1</v>
      </c>
      <c r="Q1711" s="50">
        <f>IFERROR(Table1[[#This Row],[Utilization %]]*Table1[[#This Row],[Efficiency %]]*Table1[[#This Row],[Quality %]], "")</f>
        <v>1.097</v>
      </c>
    </row>
    <row r="1712" spans="1:18" x14ac:dyDescent="0.25">
      <c r="A1712" s="47">
        <v>46273</v>
      </c>
      <c r="B1712" s="48" t="s">
        <v>18</v>
      </c>
      <c r="C1712" s="48" t="s">
        <v>22</v>
      </c>
      <c r="D1712" s="48" t="s">
        <v>25</v>
      </c>
      <c r="E1712" s="49">
        <v>4000</v>
      </c>
      <c r="F1712" s="76">
        <v>3613</v>
      </c>
      <c r="G1712" s="49">
        <v>0</v>
      </c>
      <c r="H1712" s="50">
        <f>IFERROR(Table1[Re-process (Kg)]/Table1[Actual Production (Kg)], "")</f>
        <v>0</v>
      </c>
      <c r="I1712" s="49">
        <f>IFERROR(Table1[[#This Row],[Actual Production (Kg)]]-Table1[[#This Row],[Re-process (Kg)]], "")</f>
        <v>3613</v>
      </c>
      <c r="J1712" s="49"/>
      <c r="K1712" s="72"/>
      <c r="L1712" s="49" t="str">
        <f>IF(Table1[[#This Row],[Target Time (Hours)]]="","",Table1[[#This Row],[Target Time (Hours)]]-Table1[[#This Row],[Downtime (Hours)]])</f>
        <v/>
      </c>
      <c r="M1712" s="49" t="str">
        <f>IFERROR(Table1[[#This Row],[Capacity (Kg)]]/Table1[[#This Row],[Target Time (Hours)]] * Table1[[#This Row],[Downtime (Hours)]], "")</f>
        <v/>
      </c>
      <c r="N1712" s="50" t="str">
        <f>IFERROR(Table1[[#This Row],[Running Time (hr)]]/Table1[Target Time (Hours)], "")</f>
        <v/>
      </c>
      <c r="O1712" s="50">
        <f>IFERROR(Table1[[#This Row],[Actual Production (Kg)]]/Table1[Capacity (Kg)], "")</f>
        <v>0.90325</v>
      </c>
      <c r="P1712" s="50">
        <f>IFERROR(Table1[[#This Row],[Quality Pass Production]]/Table1[[#This Row],[Actual Production (Kg)]], "")</f>
        <v>1</v>
      </c>
      <c r="Q1712" s="50" t="str">
        <f>IFERROR(Table1[[#This Row],[Utilization %]]*Table1[[#This Row],[Efficiency %]]*Table1[[#This Row],[Quality %]], "")</f>
        <v/>
      </c>
    </row>
    <row r="1713" spans="1:18" x14ac:dyDescent="0.25">
      <c r="A1713" s="47">
        <v>46273</v>
      </c>
      <c r="B1713" s="48" t="s">
        <v>18</v>
      </c>
      <c r="C1713" s="48" t="s">
        <v>26</v>
      </c>
      <c r="D1713" s="48" t="s">
        <v>25</v>
      </c>
      <c r="E1713" s="49">
        <v>7000</v>
      </c>
      <c r="F1713" s="76">
        <v>6618</v>
      </c>
      <c r="G1713" s="49">
        <v>0</v>
      </c>
      <c r="H1713" s="50">
        <f>IFERROR(Table1[Re-process (Kg)]/Table1[Actual Production (Kg)], "")</f>
        <v>0</v>
      </c>
      <c r="I1713" s="49">
        <f>IFERROR(Table1[[#This Row],[Actual Production (Kg)]]-Table1[[#This Row],[Re-process (Kg)]], "")</f>
        <v>6618</v>
      </c>
      <c r="J1713" s="49">
        <v>22</v>
      </c>
      <c r="K1713" s="72"/>
      <c r="L1713" s="49">
        <f>IF(Table1[[#This Row],[Target Time (Hours)]]="","",Table1[[#This Row],[Target Time (Hours)]]-Table1[[#This Row],[Downtime (Hours)]])</f>
        <v>22</v>
      </c>
      <c r="M1713" s="49">
        <f>IFERROR(Table1[[#This Row],[Capacity (Kg)]]/Table1[[#This Row],[Target Time (Hours)]] * Table1[[#This Row],[Downtime (Hours)]], "")</f>
        <v>0</v>
      </c>
      <c r="N1713" s="50">
        <f>IFERROR(Table1[[#This Row],[Running Time (hr)]]/Table1[Target Time (Hours)], "")</f>
        <v>1</v>
      </c>
      <c r="O1713" s="50">
        <f>IFERROR(Table1[[#This Row],[Actual Production (Kg)]]/Table1[Capacity (Kg)], "")</f>
        <v>0.9454285714285714</v>
      </c>
      <c r="P1713" s="50">
        <f>IFERROR(Table1[[#This Row],[Quality Pass Production]]/Table1[[#This Row],[Actual Production (Kg)]], "")</f>
        <v>1</v>
      </c>
      <c r="Q1713" s="50">
        <f>IFERROR(Table1[[#This Row],[Utilization %]]*Table1[[#This Row],[Efficiency %]]*Table1[[#This Row],[Quality %]], "")</f>
        <v>0.9454285714285714</v>
      </c>
    </row>
    <row r="1714" spans="1:18" ht="30" customHeight="1" x14ac:dyDescent="0.25">
      <c r="A1714" s="47">
        <v>46273</v>
      </c>
      <c r="B1714" s="48" t="s">
        <v>18</v>
      </c>
      <c r="C1714" s="48" t="s">
        <v>28</v>
      </c>
      <c r="D1714" s="48" t="s">
        <v>29</v>
      </c>
      <c r="E1714" s="49">
        <v>7800</v>
      </c>
      <c r="F1714" s="76">
        <v>5144</v>
      </c>
      <c r="G1714" s="49">
        <v>0</v>
      </c>
      <c r="H1714" s="50">
        <f>IFERROR(Table1[Re-process (Kg)]/Table1[Actual Production (Kg)], "")</f>
        <v>0</v>
      </c>
      <c r="I1714" s="49">
        <f>IFERROR(Table1[[#This Row],[Actual Production (Kg)]]-Table1[[#This Row],[Re-process (Kg)]], "")</f>
        <v>5144</v>
      </c>
      <c r="J1714" s="49">
        <v>22</v>
      </c>
      <c r="K1714" s="72">
        <v>1.5</v>
      </c>
      <c r="L1714" s="49">
        <f>IF(Table1[[#This Row],[Target Time (Hours)]]="","",Table1[[#This Row],[Target Time (Hours)]]-Table1[[#This Row],[Downtime (Hours)]])</f>
        <v>20.5</v>
      </c>
      <c r="M1714" s="49">
        <f>IFERROR(Table1[[#This Row],[Capacity (Kg)]]/Table1[[#This Row],[Target Time (Hours)]] * Table1[[#This Row],[Downtime (Hours)]], "")</f>
        <v>531.81818181818187</v>
      </c>
      <c r="N1714" s="50">
        <f>IFERROR(Table1[[#This Row],[Running Time (hr)]]/Table1[Target Time (Hours)], "")</f>
        <v>0.93181818181818177</v>
      </c>
      <c r="O1714" s="50">
        <f>IFERROR(Table1[[#This Row],[Actual Production (Kg)]]/Table1[Capacity (Kg)], "")</f>
        <v>0.6594871794871795</v>
      </c>
      <c r="P1714" s="50">
        <f>IFERROR(Table1[[#This Row],[Quality Pass Production]]/Table1[[#This Row],[Actual Production (Kg)]], "")</f>
        <v>1</v>
      </c>
      <c r="Q1714" s="50">
        <f>IFERROR(Table1[[#This Row],[Utilization %]]*Table1[[#This Row],[Efficiency %]]*Table1[[#This Row],[Quality %]], "")</f>
        <v>0.61452214452214449</v>
      </c>
      <c r="R1714" s="48" t="s">
        <v>457</v>
      </c>
    </row>
    <row r="1715" spans="1:18" ht="30" customHeight="1" x14ac:dyDescent="0.25">
      <c r="A1715" s="51">
        <v>46273</v>
      </c>
      <c r="B1715" s="52" t="s">
        <v>18</v>
      </c>
      <c r="C1715" s="52" t="s">
        <v>135</v>
      </c>
      <c r="D1715" s="52" t="s">
        <v>29</v>
      </c>
      <c r="E1715" s="53"/>
      <c r="F1715" s="53"/>
      <c r="G1715" s="53"/>
      <c r="H1715" s="57" t="str">
        <f>IFERROR(Table1[Re-process (Kg)]/Table1[Actual Production (Kg)], "")</f>
        <v/>
      </c>
      <c r="I1715" s="53">
        <f>IFERROR(Table1[[#This Row],[Actual Production (Kg)]]-Table1[[#This Row],[Re-process (Kg)]], "")</f>
        <v>0</v>
      </c>
      <c r="J1715" s="53"/>
      <c r="K1715" s="52"/>
      <c r="L1715" s="53" t="str">
        <f>IF(Table1[[#This Row],[Target Time (Hours)]]="","",Table1[[#This Row],[Target Time (Hours)]]-Table1[[#This Row],[Downtime (Hours)]])</f>
        <v/>
      </c>
      <c r="M1715" s="53" t="str">
        <f>IFERROR(Table1[[#This Row],[Capacity (Kg)]]/Table1[[#This Row],[Target Time (Hours)]] * Table1[[#This Row],[Downtime (Hours)]], "")</f>
        <v/>
      </c>
      <c r="N1715" s="57" t="str">
        <f>IFERROR(Table1[[#This Row],[Running Time (hr)]]/Table1[Target Time (Hours)], "")</f>
        <v/>
      </c>
      <c r="O1715" s="57" t="str">
        <f>IFERROR(Table1[[#This Row],[Actual Production (Kg)]]/Table1[Capacity (Kg)], "")</f>
        <v/>
      </c>
      <c r="P1715" s="57" t="str">
        <f>IFERROR(Table1[[#This Row],[Quality Pass Production]]/Table1[[#This Row],[Actual Production (Kg)]], "")</f>
        <v/>
      </c>
      <c r="Q1715" s="57" t="str">
        <f>IFERROR(Table1[[#This Row],[Utilization %]]*Table1[[#This Row],[Efficiency %]]*Table1[[#This Row],[Quality %]], "")</f>
        <v/>
      </c>
      <c r="R1715" s="52"/>
    </row>
    <row r="1716" spans="1:18" ht="30" customHeight="1" x14ac:dyDescent="0.25">
      <c r="A1716" s="47">
        <v>46273</v>
      </c>
      <c r="B1716" s="48" t="s">
        <v>18</v>
      </c>
      <c r="C1716" s="48" t="s">
        <v>30</v>
      </c>
      <c r="D1716" s="48" t="s">
        <v>31</v>
      </c>
      <c r="E1716" s="49">
        <v>9000</v>
      </c>
      <c r="F1716" s="76">
        <v>7350</v>
      </c>
      <c r="G1716" s="49">
        <v>0</v>
      </c>
      <c r="H1716" s="50">
        <f>IFERROR(Table1[Re-process (Kg)]/Table1[Actual Production (Kg)], "")</f>
        <v>0</v>
      </c>
      <c r="I1716" s="49">
        <f>IFERROR(Table1[[#This Row],[Actual Production (Kg)]]-Table1[[#This Row],[Re-process (Kg)]], "")</f>
        <v>7350</v>
      </c>
      <c r="J1716" s="49">
        <v>22</v>
      </c>
      <c r="K1716" s="72">
        <v>3.67</v>
      </c>
      <c r="L1716" s="49">
        <f>IF(Table1[[#This Row],[Target Time (Hours)]]="","",Table1[[#This Row],[Target Time (Hours)]]-Table1[[#This Row],[Downtime (Hours)]])</f>
        <v>18.329999999999998</v>
      </c>
      <c r="M1716" s="49">
        <f>IFERROR(Table1[[#This Row],[Capacity (Kg)]]/Table1[[#This Row],[Target Time (Hours)]] * Table1[[#This Row],[Downtime (Hours)]], "")</f>
        <v>1501.3636363636363</v>
      </c>
      <c r="N1716" s="50">
        <f>IFERROR(Table1[[#This Row],[Running Time (hr)]]/Table1[Target Time (Hours)], "")</f>
        <v>0.83318181818181813</v>
      </c>
      <c r="O1716" s="50">
        <f>IFERROR(Table1[[#This Row],[Actual Production (Kg)]]/Table1[Capacity (Kg)], "")</f>
        <v>0.81666666666666665</v>
      </c>
      <c r="P1716" s="50">
        <f>IFERROR(Table1[[#This Row],[Quality Pass Production]]/Table1[[#This Row],[Actual Production (Kg)]], "")</f>
        <v>1</v>
      </c>
      <c r="Q1716" s="50">
        <f>IFERROR(Table1[[#This Row],[Utilization %]]*Table1[[#This Row],[Efficiency %]]*Table1[[#This Row],[Quality %]], "")</f>
        <v>0.68043181818181808</v>
      </c>
      <c r="R1716" s="48" t="s">
        <v>462</v>
      </c>
    </row>
    <row r="1717" spans="1:18" ht="30" customHeight="1" x14ac:dyDescent="0.25">
      <c r="A1717" s="51">
        <v>46273</v>
      </c>
      <c r="B1717" s="52" t="s">
        <v>18</v>
      </c>
      <c r="C1717" s="52" t="s">
        <v>32</v>
      </c>
      <c r="D1717" s="52" t="s">
        <v>31</v>
      </c>
      <c r="E1717" s="53"/>
      <c r="F1717" s="53"/>
      <c r="G1717" s="53"/>
      <c r="H1717" s="57" t="str">
        <f>IFERROR(Table1[Re-process (Kg)]/Table1[Actual Production (Kg)], "")</f>
        <v/>
      </c>
      <c r="I1717" s="53">
        <f>IFERROR(Table1[[#This Row],[Actual Production (Kg)]]-Table1[[#This Row],[Re-process (Kg)]], "")</f>
        <v>0</v>
      </c>
      <c r="J1717" s="53"/>
      <c r="K1717" s="52"/>
      <c r="L1717" s="53" t="str">
        <f>IF(Table1[[#This Row],[Target Time (Hours)]]="","",Table1[[#This Row],[Target Time (Hours)]]-Table1[[#This Row],[Downtime (Hours)]])</f>
        <v/>
      </c>
      <c r="M1717" s="53" t="str">
        <f>IFERROR(Table1[[#This Row],[Capacity (Kg)]]/Table1[[#This Row],[Target Time (Hours)]] * Table1[[#This Row],[Downtime (Hours)]], "")</f>
        <v/>
      </c>
      <c r="N1717" s="57" t="str">
        <f>IFERROR(Table1[[#This Row],[Running Time (hr)]]/Table1[Target Time (Hours)], "")</f>
        <v/>
      </c>
      <c r="O1717" s="57" t="str">
        <f>IFERROR(Table1[[#This Row],[Actual Production (Kg)]]/Table1[Capacity (Kg)], "")</f>
        <v/>
      </c>
      <c r="P1717" s="57" t="str">
        <f>IFERROR(Table1[[#This Row],[Quality Pass Production]]/Table1[[#This Row],[Actual Production (Kg)]], "")</f>
        <v/>
      </c>
      <c r="Q1717" s="57" t="str">
        <f>IFERROR(Table1[[#This Row],[Utilization %]]*Table1[[#This Row],[Efficiency %]]*Table1[[#This Row],[Quality %]], "")</f>
        <v/>
      </c>
      <c r="R1717" s="52"/>
    </row>
    <row r="1718" spans="1:18" ht="30" customHeight="1" x14ac:dyDescent="0.25">
      <c r="A1718" s="47">
        <v>46273</v>
      </c>
      <c r="B1718" s="48" t="s">
        <v>33</v>
      </c>
      <c r="C1718" s="48" t="s">
        <v>34</v>
      </c>
      <c r="D1718" s="48" t="s">
        <v>35</v>
      </c>
      <c r="E1718" s="49">
        <v>9000</v>
      </c>
      <c r="F1718" s="76">
        <v>7689</v>
      </c>
      <c r="G1718" s="49">
        <v>0</v>
      </c>
      <c r="H1718" s="50">
        <f>IFERROR(Table1[Re-process (Kg)]/Table1[Actual Production (Kg)], "")</f>
        <v>0</v>
      </c>
      <c r="I1718" s="49">
        <f>IFERROR(Table1[[#This Row],[Actual Production (Kg)]]-Table1[[#This Row],[Re-process (Kg)]], "")</f>
        <v>7689</v>
      </c>
      <c r="J1718" s="49">
        <v>22</v>
      </c>
      <c r="K1718" s="72"/>
      <c r="L1718" s="49">
        <f>IF(Table1[[#This Row],[Target Time (Hours)]]="","",Table1[[#This Row],[Target Time (Hours)]]-Table1[[#This Row],[Downtime (Hours)]])</f>
        <v>22</v>
      </c>
      <c r="M1718" s="49">
        <f>IFERROR(Table1[[#This Row],[Capacity (Kg)]]/Table1[[#This Row],[Target Time (Hours)]] * Table1[[#This Row],[Downtime (Hours)]], "")</f>
        <v>0</v>
      </c>
      <c r="N1718" s="50">
        <f>IFERROR(Table1[[#This Row],[Running Time (hr)]]/Table1[Target Time (Hours)], "")</f>
        <v>1</v>
      </c>
      <c r="O1718" s="50">
        <f>IFERROR(Table1[[#This Row],[Actual Production (Kg)]]/Table1[Capacity (Kg)], "")</f>
        <v>0.85433333333333328</v>
      </c>
      <c r="P1718" s="50">
        <f>IFERROR(Table1[[#This Row],[Quality Pass Production]]/Table1[[#This Row],[Actual Production (Kg)]], "")</f>
        <v>1</v>
      </c>
      <c r="Q1718" s="50">
        <f>IFERROR(Table1[[#This Row],[Utilization %]]*Table1[[#This Row],[Efficiency %]]*Table1[[#This Row],[Quality %]], "")</f>
        <v>0.85433333333333328</v>
      </c>
    </row>
    <row r="1719" spans="1:18" ht="45" customHeight="1" x14ac:dyDescent="0.25">
      <c r="A1719" s="47">
        <v>46273</v>
      </c>
      <c r="B1719" s="48" t="s">
        <v>33</v>
      </c>
      <c r="C1719" s="48" t="s">
        <v>36</v>
      </c>
      <c r="D1719" s="48" t="s">
        <v>37</v>
      </c>
      <c r="E1719" s="49">
        <v>8000</v>
      </c>
      <c r="F1719" s="76">
        <v>7421</v>
      </c>
      <c r="G1719" s="49">
        <v>0</v>
      </c>
      <c r="H1719" s="50">
        <f>IFERROR(Table1[Re-process (Kg)]/Table1[Actual Production (Kg)], "")</f>
        <v>0</v>
      </c>
      <c r="I1719" s="49">
        <f>IFERROR(Table1[[#This Row],[Actual Production (Kg)]]-Table1[[#This Row],[Re-process (Kg)]], "")</f>
        <v>7421</v>
      </c>
      <c r="J1719" s="49">
        <v>22</v>
      </c>
      <c r="K1719" s="72">
        <v>3.17</v>
      </c>
      <c r="L1719" s="49">
        <f>IF(Table1[[#This Row],[Target Time (Hours)]]="","",Table1[[#This Row],[Target Time (Hours)]]-Table1[[#This Row],[Downtime (Hours)]])</f>
        <v>18.829999999999998</v>
      </c>
      <c r="M1719" s="49">
        <f>IFERROR(Table1[[#This Row],[Capacity (Kg)]]/Table1[[#This Row],[Target Time (Hours)]] * Table1[[#This Row],[Downtime (Hours)]], "")</f>
        <v>1152.7272727272727</v>
      </c>
      <c r="N1719" s="50">
        <f>IFERROR(Table1[[#This Row],[Running Time (hr)]]/Table1[Target Time (Hours)], "")</f>
        <v>0.85590909090909084</v>
      </c>
      <c r="O1719" s="50">
        <f>IFERROR(Table1[[#This Row],[Actual Production (Kg)]]/Table1[Capacity (Kg)], "")</f>
        <v>0.92762500000000003</v>
      </c>
      <c r="P1719" s="50">
        <f>IFERROR(Table1[[#This Row],[Quality Pass Production]]/Table1[[#This Row],[Actual Production (Kg)]], "")</f>
        <v>1</v>
      </c>
      <c r="Q1719" s="50">
        <f>IFERROR(Table1[[#This Row],[Utilization %]]*Table1[[#This Row],[Efficiency %]]*Table1[[#This Row],[Quality %]], "")</f>
        <v>0.79396267045454538</v>
      </c>
      <c r="R1719" s="48" t="s">
        <v>463</v>
      </c>
    </row>
    <row r="1720" spans="1:18" ht="45" customHeight="1" x14ac:dyDescent="0.25">
      <c r="A1720" s="47">
        <v>46273</v>
      </c>
      <c r="B1720" s="48" t="s">
        <v>33</v>
      </c>
      <c r="C1720" s="48" t="s">
        <v>39</v>
      </c>
      <c r="D1720" s="48" t="s">
        <v>31</v>
      </c>
      <c r="E1720" s="49">
        <v>6000</v>
      </c>
      <c r="F1720" s="76">
        <v>3404</v>
      </c>
      <c r="G1720" s="49">
        <v>0</v>
      </c>
      <c r="H1720" s="50">
        <f>IFERROR(Table1[Re-process (Kg)]/Table1[Actual Production (Kg)], "")</f>
        <v>0</v>
      </c>
      <c r="I1720" s="49">
        <f>IFERROR(Table1[[#This Row],[Actual Production (Kg)]]-Table1[[#This Row],[Re-process (Kg)]], "")</f>
        <v>3404</v>
      </c>
      <c r="J1720" s="49">
        <v>22</v>
      </c>
      <c r="K1720" s="72">
        <v>4</v>
      </c>
      <c r="L1720" s="49">
        <f>IF(Table1[[#This Row],[Target Time (Hours)]]="","",Table1[[#This Row],[Target Time (Hours)]]-Table1[[#This Row],[Downtime (Hours)]])</f>
        <v>18</v>
      </c>
      <c r="M1720" s="49">
        <f>IFERROR(Table1[[#This Row],[Capacity (Kg)]]/Table1[[#This Row],[Target Time (Hours)]] * Table1[[#This Row],[Downtime (Hours)]], "")</f>
        <v>1090.909090909091</v>
      </c>
      <c r="N1720" s="50">
        <f>IFERROR(Table1[[#This Row],[Running Time (hr)]]/Table1[Target Time (Hours)], "")</f>
        <v>0.81818181818181823</v>
      </c>
      <c r="O1720" s="50">
        <f>IFERROR(Table1[[#This Row],[Actual Production (Kg)]]/Table1[Capacity (Kg)], "")</f>
        <v>0.56733333333333336</v>
      </c>
      <c r="P1720" s="50">
        <f>IFERROR(Table1[[#This Row],[Quality Pass Production]]/Table1[[#This Row],[Actual Production (Kg)]], "")</f>
        <v>1</v>
      </c>
      <c r="Q1720" s="50">
        <f>IFERROR(Table1[[#This Row],[Utilization %]]*Table1[[#This Row],[Efficiency %]]*Table1[[#This Row],[Quality %]], "")</f>
        <v>0.46418181818181825</v>
      </c>
      <c r="R1720" s="48" t="s">
        <v>464</v>
      </c>
    </row>
    <row r="1721" spans="1:18" ht="45" customHeight="1" x14ac:dyDescent="0.25">
      <c r="A1721" s="54">
        <v>46273</v>
      </c>
      <c r="B1721" s="55" t="s">
        <v>33</v>
      </c>
      <c r="C1721" s="55" t="s">
        <v>40</v>
      </c>
      <c r="D1721" s="55" t="s">
        <v>31</v>
      </c>
      <c r="E1721" s="56">
        <v>5000</v>
      </c>
      <c r="F1721" s="56">
        <v>3444</v>
      </c>
      <c r="G1721" s="56">
        <v>0</v>
      </c>
      <c r="H1721" s="58">
        <f>IFERROR(Table1[Re-process (Kg)]/Table1[Actual Production (Kg)], "")</f>
        <v>0</v>
      </c>
      <c r="I1721" s="56">
        <f>IFERROR(Table1[[#This Row],[Actual Production (Kg)]]-Table1[[#This Row],[Re-process (Kg)]], "")</f>
        <v>3444</v>
      </c>
      <c r="J1721" s="56">
        <v>22</v>
      </c>
      <c r="K1721" s="55">
        <v>2.5</v>
      </c>
      <c r="L1721" s="56">
        <f>IF(Table1[[#This Row],[Target Time (Hours)]]="","",Table1[[#This Row],[Target Time (Hours)]]-Table1[[#This Row],[Downtime (Hours)]])</f>
        <v>19.5</v>
      </c>
      <c r="M1721" s="56">
        <f>IFERROR(Table1[[#This Row],[Capacity (Kg)]]/Table1[[#This Row],[Target Time (Hours)]] * Table1[[#This Row],[Downtime (Hours)]], "")</f>
        <v>568.18181818181824</v>
      </c>
      <c r="N1721" s="58">
        <f>IFERROR(Table1[[#This Row],[Running Time (hr)]]/Table1[Target Time (Hours)], "")</f>
        <v>0.88636363636363635</v>
      </c>
      <c r="O1721" s="58">
        <f>IFERROR(Table1[[#This Row],[Actual Production (Kg)]]/Table1[Capacity (Kg)], "")</f>
        <v>0.68879999999999997</v>
      </c>
      <c r="P1721" s="58">
        <f>IFERROR(Table1[[#This Row],[Quality Pass Production]]/Table1[[#This Row],[Actual Production (Kg)]], "")</f>
        <v>1</v>
      </c>
      <c r="Q1721" s="58">
        <f>IFERROR(Table1[[#This Row],[Utilization %]]*Table1[[#This Row],[Efficiency %]]*Table1[[#This Row],[Quality %]], "")</f>
        <v>0.6105272727272727</v>
      </c>
      <c r="R1721" s="55" t="s">
        <v>465</v>
      </c>
    </row>
    <row r="1722" spans="1:18" ht="30" customHeight="1" x14ac:dyDescent="0.25">
      <c r="A1722" s="47">
        <v>46274</v>
      </c>
      <c r="B1722" s="48" t="s">
        <v>18</v>
      </c>
      <c r="C1722" s="48" t="s">
        <v>19</v>
      </c>
      <c r="D1722" s="48" t="s">
        <v>20</v>
      </c>
      <c r="E1722" s="49">
        <v>10000</v>
      </c>
      <c r="F1722" s="76">
        <v>7460</v>
      </c>
      <c r="G1722" s="49">
        <v>0</v>
      </c>
      <c r="H1722" s="50">
        <f>IFERROR(Table1[Re-process (Kg)]/Table1[Actual Production (Kg)], "")</f>
        <v>0</v>
      </c>
      <c r="I1722" s="49">
        <f>IFERROR(Table1[[#This Row],[Actual Production (Kg)]]-Table1[[#This Row],[Re-process (Kg)]], "")</f>
        <v>7460</v>
      </c>
      <c r="J1722" s="49">
        <v>22</v>
      </c>
      <c r="K1722" s="72">
        <v>1.5</v>
      </c>
      <c r="L1722" s="49">
        <f>IF(Table1[[#This Row],[Target Time (Hours)]]="","",Table1[[#This Row],[Target Time (Hours)]]-Table1[[#This Row],[Downtime (Hours)]])</f>
        <v>20.5</v>
      </c>
      <c r="M1722" s="49">
        <f>IFERROR(Table1[[#This Row],[Capacity (Kg)]]/Table1[[#This Row],[Target Time (Hours)]] * Table1[[#This Row],[Downtime (Hours)]], "")</f>
        <v>681.81818181818187</v>
      </c>
      <c r="N1722" s="50">
        <f>IFERROR(Table1[[#This Row],[Running Time (hr)]]/Table1[Target Time (Hours)], "")</f>
        <v>0.93181818181818177</v>
      </c>
      <c r="O1722" s="50">
        <f>IFERROR(Table1[[#This Row],[Actual Production (Kg)]]/Table1[Capacity (Kg)], "")</f>
        <v>0.746</v>
      </c>
      <c r="P1722" s="50">
        <f>IFERROR(Table1[[#This Row],[Quality Pass Production]]/Table1[[#This Row],[Actual Production (Kg)]], "")</f>
        <v>1</v>
      </c>
      <c r="Q1722" s="50">
        <f>IFERROR(Table1[[#This Row],[Utilization %]]*Table1[[#This Row],[Efficiency %]]*Table1[[#This Row],[Quality %]], "")</f>
        <v>0.69513636363636355</v>
      </c>
      <c r="R1722" s="48" t="s">
        <v>466</v>
      </c>
    </row>
    <row r="1723" spans="1:18" x14ac:dyDescent="0.25">
      <c r="A1723" s="51">
        <v>46274</v>
      </c>
      <c r="B1723" s="52" t="s">
        <v>18</v>
      </c>
      <c r="C1723" s="52" t="s">
        <v>238</v>
      </c>
      <c r="D1723" s="52" t="s">
        <v>20</v>
      </c>
      <c r="E1723" s="53">
        <v>9907</v>
      </c>
      <c r="F1723" s="53">
        <v>9907</v>
      </c>
      <c r="G1723" s="53">
        <v>0</v>
      </c>
      <c r="H1723" s="57">
        <f>IFERROR(Table1[Re-process (Kg)]/Table1[Actual Production (Kg)], "")</f>
        <v>0</v>
      </c>
      <c r="I1723" s="53">
        <f>IFERROR(Table1[[#This Row],[Actual Production (Kg)]]-Table1[[#This Row],[Re-process (Kg)]], "")</f>
        <v>9907</v>
      </c>
      <c r="J1723" s="53"/>
      <c r="K1723" s="52"/>
      <c r="L1723" s="53" t="str">
        <f>IF(Table1[[#This Row],[Target Time (Hours)]]="","",Table1[[#This Row],[Target Time (Hours)]]-Table1[[#This Row],[Downtime (Hours)]])</f>
        <v/>
      </c>
      <c r="M1723" s="53" t="str">
        <f>IFERROR(Table1[[#This Row],[Capacity (Kg)]]/Table1[[#This Row],[Target Time (Hours)]] * Table1[[#This Row],[Downtime (Hours)]], "")</f>
        <v/>
      </c>
      <c r="N1723" s="57" t="str">
        <f>IFERROR(Table1[[#This Row],[Running Time (hr)]]/Table1[Target Time (Hours)], "")</f>
        <v/>
      </c>
      <c r="O1723" s="57">
        <f>IFERROR(Table1[[#This Row],[Actual Production (Kg)]]/Table1[Capacity (Kg)], "")</f>
        <v>1</v>
      </c>
      <c r="P1723" s="57">
        <f>IFERROR(Table1[[#This Row],[Quality Pass Production]]/Table1[[#This Row],[Actual Production (Kg)]], "")</f>
        <v>1</v>
      </c>
      <c r="Q1723" s="57" t="str">
        <f>IFERROR(Table1[[#This Row],[Utilization %]]*Table1[[#This Row],[Efficiency %]]*Table1[[#This Row],[Quality %]], "")</f>
        <v/>
      </c>
      <c r="R1723" s="52"/>
    </row>
    <row r="1724" spans="1:18" x14ac:dyDescent="0.25">
      <c r="A1724" s="47">
        <v>46274</v>
      </c>
      <c r="B1724" s="48" t="s">
        <v>18</v>
      </c>
      <c r="C1724" s="48" t="s">
        <v>22</v>
      </c>
      <c r="D1724" s="48" t="s">
        <v>23</v>
      </c>
      <c r="E1724" s="49">
        <v>5000</v>
      </c>
      <c r="F1724" s="76">
        <v>5636</v>
      </c>
      <c r="G1724" s="49">
        <v>0</v>
      </c>
      <c r="H1724" s="50">
        <f>IFERROR(Table1[Re-process (Kg)]/Table1[Actual Production (Kg)], "")</f>
        <v>0</v>
      </c>
      <c r="I1724" s="49">
        <f>IFERROR(Table1[[#This Row],[Actual Production (Kg)]]-Table1[[#This Row],[Re-process (Kg)]], "")</f>
        <v>5636</v>
      </c>
      <c r="J1724" s="49">
        <v>22</v>
      </c>
      <c r="K1724" s="72"/>
      <c r="L1724" s="49">
        <f>IF(Table1[[#This Row],[Target Time (Hours)]]="","",Table1[[#This Row],[Target Time (Hours)]]-Table1[[#This Row],[Downtime (Hours)]])</f>
        <v>22</v>
      </c>
      <c r="M1724" s="49">
        <f>IFERROR(Table1[[#This Row],[Capacity (Kg)]]/Table1[[#This Row],[Target Time (Hours)]] * Table1[[#This Row],[Downtime (Hours)]], "")</f>
        <v>0</v>
      </c>
      <c r="N1724" s="50">
        <f>IFERROR(Table1[[#This Row],[Running Time (hr)]]/Table1[Target Time (Hours)], "")</f>
        <v>1</v>
      </c>
      <c r="O1724" s="50">
        <f>IFERROR(Table1[[#This Row],[Actual Production (Kg)]]/Table1[Capacity (Kg)], "")</f>
        <v>1.1272</v>
      </c>
      <c r="P1724" s="50">
        <f>IFERROR(Table1[[#This Row],[Quality Pass Production]]/Table1[[#This Row],[Actual Production (Kg)]], "")</f>
        <v>1</v>
      </c>
      <c r="Q1724" s="50">
        <f>IFERROR(Table1[[#This Row],[Utilization %]]*Table1[[#This Row],[Efficiency %]]*Table1[[#This Row],[Quality %]], "")</f>
        <v>1.1272</v>
      </c>
    </row>
    <row r="1725" spans="1:18" x14ac:dyDescent="0.25">
      <c r="A1725" s="47">
        <v>46274</v>
      </c>
      <c r="B1725" s="48" t="s">
        <v>18</v>
      </c>
      <c r="C1725" s="48" t="s">
        <v>22</v>
      </c>
      <c r="D1725" s="48" t="s">
        <v>25</v>
      </c>
      <c r="E1725" s="49">
        <v>4000</v>
      </c>
      <c r="F1725" s="76">
        <v>3039</v>
      </c>
      <c r="G1725" s="49">
        <v>0</v>
      </c>
      <c r="H1725" s="50">
        <f>IFERROR(Table1[Re-process (Kg)]/Table1[Actual Production (Kg)], "")</f>
        <v>0</v>
      </c>
      <c r="I1725" s="49">
        <f>IFERROR(Table1[[#This Row],[Actual Production (Kg)]]-Table1[[#This Row],[Re-process (Kg)]], "")</f>
        <v>3039</v>
      </c>
      <c r="J1725" s="49"/>
      <c r="K1725" s="72"/>
      <c r="L1725" s="49" t="str">
        <f>IF(Table1[[#This Row],[Target Time (Hours)]]="","",Table1[[#This Row],[Target Time (Hours)]]-Table1[[#This Row],[Downtime (Hours)]])</f>
        <v/>
      </c>
      <c r="M1725" s="49" t="str">
        <f>IFERROR(Table1[[#This Row],[Capacity (Kg)]]/Table1[[#This Row],[Target Time (Hours)]] * Table1[[#This Row],[Downtime (Hours)]], "")</f>
        <v/>
      </c>
      <c r="N1725" s="50" t="str">
        <f>IFERROR(Table1[[#This Row],[Running Time (hr)]]/Table1[Target Time (Hours)], "")</f>
        <v/>
      </c>
      <c r="O1725" s="50">
        <f>IFERROR(Table1[[#This Row],[Actual Production (Kg)]]/Table1[Capacity (Kg)], "")</f>
        <v>0.75975000000000004</v>
      </c>
      <c r="P1725" s="50">
        <f>IFERROR(Table1[[#This Row],[Quality Pass Production]]/Table1[[#This Row],[Actual Production (Kg)]], "")</f>
        <v>1</v>
      </c>
      <c r="Q1725" s="50" t="str">
        <f>IFERROR(Table1[[#This Row],[Utilization %]]*Table1[[#This Row],[Efficiency %]]*Table1[[#This Row],[Quality %]], "")</f>
        <v/>
      </c>
    </row>
    <row r="1726" spans="1:18" x14ac:dyDescent="0.25">
      <c r="A1726" s="47">
        <v>46274</v>
      </c>
      <c r="B1726" s="48" t="s">
        <v>18</v>
      </c>
      <c r="C1726" s="48" t="s">
        <v>26</v>
      </c>
      <c r="D1726" s="48" t="s">
        <v>25</v>
      </c>
      <c r="E1726" s="49">
        <v>7000</v>
      </c>
      <c r="F1726" s="76">
        <v>7121</v>
      </c>
      <c r="G1726" s="49">
        <v>0</v>
      </c>
      <c r="H1726" s="50">
        <f>IFERROR(Table1[Re-process (Kg)]/Table1[Actual Production (Kg)], "")</f>
        <v>0</v>
      </c>
      <c r="I1726" s="49">
        <f>IFERROR(Table1[[#This Row],[Actual Production (Kg)]]-Table1[[#This Row],[Re-process (Kg)]], "")</f>
        <v>7121</v>
      </c>
      <c r="J1726" s="49">
        <v>22</v>
      </c>
      <c r="K1726" s="72"/>
      <c r="L1726" s="49">
        <f>IF(Table1[[#This Row],[Target Time (Hours)]]="","",Table1[[#This Row],[Target Time (Hours)]]-Table1[[#This Row],[Downtime (Hours)]])</f>
        <v>22</v>
      </c>
      <c r="M1726" s="49">
        <f>IFERROR(Table1[[#This Row],[Capacity (Kg)]]/Table1[[#This Row],[Target Time (Hours)]] * Table1[[#This Row],[Downtime (Hours)]], "")</f>
        <v>0</v>
      </c>
      <c r="N1726" s="50">
        <f>IFERROR(Table1[[#This Row],[Running Time (hr)]]/Table1[Target Time (Hours)], "")</f>
        <v>1</v>
      </c>
      <c r="O1726" s="50">
        <f>IFERROR(Table1[[#This Row],[Actual Production (Kg)]]/Table1[Capacity (Kg)], "")</f>
        <v>1.0172857142857143</v>
      </c>
      <c r="P1726" s="50">
        <f>IFERROR(Table1[[#This Row],[Quality Pass Production]]/Table1[[#This Row],[Actual Production (Kg)]], "")</f>
        <v>1</v>
      </c>
      <c r="Q1726" s="50">
        <f>IFERROR(Table1[[#This Row],[Utilization %]]*Table1[[#This Row],[Efficiency %]]*Table1[[#This Row],[Quality %]], "")</f>
        <v>1.0172857142857143</v>
      </c>
    </row>
    <row r="1727" spans="1:18" ht="30" customHeight="1" x14ac:dyDescent="0.25">
      <c r="A1727" s="47">
        <v>46274</v>
      </c>
      <c r="B1727" s="48" t="s">
        <v>18</v>
      </c>
      <c r="C1727" s="48" t="s">
        <v>28</v>
      </c>
      <c r="D1727" s="48" t="s">
        <v>29</v>
      </c>
      <c r="E1727" s="49">
        <v>7800</v>
      </c>
      <c r="F1727" s="76">
        <v>5492</v>
      </c>
      <c r="G1727" s="49">
        <v>0</v>
      </c>
      <c r="H1727" s="50">
        <f>IFERROR(Table1[Re-process (Kg)]/Table1[Actual Production (Kg)], "")</f>
        <v>0</v>
      </c>
      <c r="I1727" s="49">
        <f>IFERROR(Table1[[#This Row],[Actual Production (Kg)]]-Table1[[#This Row],[Re-process (Kg)]], "")</f>
        <v>5492</v>
      </c>
      <c r="J1727" s="49">
        <v>22</v>
      </c>
      <c r="K1727" s="72">
        <v>4</v>
      </c>
      <c r="L1727" s="49">
        <f>IF(Table1[[#This Row],[Target Time (Hours)]]="","",Table1[[#This Row],[Target Time (Hours)]]-Table1[[#This Row],[Downtime (Hours)]])</f>
        <v>18</v>
      </c>
      <c r="M1727" s="49">
        <f>IFERROR(Table1[[#This Row],[Capacity (Kg)]]/Table1[[#This Row],[Target Time (Hours)]] * Table1[[#This Row],[Downtime (Hours)]], "")</f>
        <v>1418.1818181818182</v>
      </c>
      <c r="N1727" s="50">
        <f>IFERROR(Table1[[#This Row],[Running Time (hr)]]/Table1[Target Time (Hours)], "")</f>
        <v>0.81818181818181823</v>
      </c>
      <c r="O1727" s="50">
        <f>IFERROR(Table1[[#This Row],[Actual Production (Kg)]]/Table1[Capacity (Kg)], "")</f>
        <v>0.70410256410256411</v>
      </c>
      <c r="P1727" s="50">
        <f>IFERROR(Table1[[#This Row],[Quality Pass Production]]/Table1[[#This Row],[Actual Production (Kg)]], "")</f>
        <v>1</v>
      </c>
      <c r="Q1727" s="50">
        <f>IFERROR(Table1[[#This Row],[Utilization %]]*Table1[[#This Row],[Efficiency %]]*Table1[[#This Row],[Quality %]], "")</f>
        <v>0.57608391608391618</v>
      </c>
      <c r="R1727" s="48" t="s">
        <v>428</v>
      </c>
    </row>
    <row r="1728" spans="1:18" ht="30" customHeight="1" x14ac:dyDescent="0.25">
      <c r="A1728" s="51">
        <v>46274</v>
      </c>
      <c r="B1728" s="52" t="s">
        <v>18</v>
      </c>
      <c r="C1728" s="52" t="s">
        <v>135</v>
      </c>
      <c r="D1728" s="52" t="s">
        <v>29</v>
      </c>
      <c r="E1728" s="53"/>
      <c r="F1728" s="53"/>
      <c r="G1728" s="53"/>
      <c r="H1728" s="57" t="str">
        <f>IFERROR(Table1[Re-process (Kg)]/Table1[Actual Production (Kg)], "")</f>
        <v/>
      </c>
      <c r="I1728" s="53">
        <f>IFERROR(Table1[[#This Row],[Actual Production (Kg)]]-Table1[[#This Row],[Re-process (Kg)]], "")</f>
        <v>0</v>
      </c>
      <c r="J1728" s="53"/>
      <c r="K1728" s="52"/>
      <c r="L1728" s="53" t="str">
        <f>IF(Table1[[#This Row],[Target Time (Hours)]]="","",Table1[[#This Row],[Target Time (Hours)]]-Table1[[#This Row],[Downtime (Hours)]])</f>
        <v/>
      </c>
      <c r="M1728" s="53" t="str">
        <f>IFERROR(Table1[[#This Row],[Capacity (Kg)]]/Table1[[#This Row],[Target Time (Hours)]] * Table1[[#This Row],[Downtime (Hours)]], "")</f>
        <v/>
      </c>
      <c r="N1728" s="57" t="str">
        <f>IFERROR(Table1[[#This Row],[Running Time (hr)]]/Table1[Target Time (Hours)], "")</f>
        <v/>
      </c>
      <c r="O1728" s="57" t="str">
        <f>IFERROR(Table1[[#This Row],[Actual Production (Kg)]]/Table1[Capacity (Kg)], "")</f>
        <v/>
      </c>
      <c r="P1728" s="57" t="str">
        <f>IFERROR(Table1[[#This Row],[Quality Pass Production]]/Table1[[#This Row],[Actual Production (Kg)]], "")</f>
        <v/>
      </c>
      <c r="Q1728" s="57" t="str">
        <f>IFERROR(Table1[[#This Row],[Utilization %]]*Table1[[#This Row],[Efficiency %]]*Table1[[#This Row],[Quality %]], "")</f>
        <v/>
      </c>
      <c r="R1728" s="52"/>
    </row>
    <row r="1729" spans="1:18" ht="30" customHeight="1" x14ac:dyDescent="0.25">
      <c r="A1729" s="47">
        <v>46274</v>
      </c>
      <c r="B1729" s="48" t="s">
        <v>18</v>
      </c>
      <c r="C1729" s="48" t="s">
        <v>30</v>
      </c>
      <c r="D1729" s="48" t="s">
        <v>31</v>
      </c>
      <c r="E1729" s="49">
        <v>9000</v>
      </c>
      <c r="F1729" s="76">
        <v>8072</v>
      </c>
      <c r="G1729" s="49">
        <v>0</v>
      </c>
      <c r="H1729" s="50">
        <f>IFERROR(Table1[Re-process (Kg)]/Table1[Actual Production (Kg)], "")</f>
        <v>0</v>
      </c>
      <c r="I1729" s="49">
        <f>IFERROR(Table1[[#This Row],[Actual Production (Kg)]]-Table1[[#This Row],[Re-process (Kg)]], "")</f>
        <v>8072</v>
      </c>
      <c r="J1729" s="49">
        <v>22</v>
      </c>
      <c r="K1729" s="72">
        <v>3.33</v>
      </c>
      <c r="L1729" s="49">
        <f>IF(Table1[[#This Row],[Target Time (Hours)]]="","",Table1[[#This Row],[Target Time (Hours)]]-Table1[[#This Row],[Downtime (Hours)]])</f>
        <v>18.670000000000002</v>
      </c>
      <c r="M1729" s="49">
        <f>IFERROR(Table1[[#This Row],[Capacity (Kg)]]/Table1[[#This Row],[Target Time (Hours)]] * Table1[[#This Row],[Downtime (Hours)]], "")</f>
        <v>1362.2727272727273</v>
      </c>
      <c r="N1729" s="50">
        <f>IFERROR(Table1[[#This Row],[Running Time (hr)]]/Table1[Target Time (Hours)], "")</f>
        <v>0.84863636363636374</v>
      </c>
      <c r="O1729" s="50">
        <f>IFERROR(Table1[[#This Row],[Actual Production (Kg)]]/Table1[Capacity (Kg)], "")</f>
        <v>0.89688888888888885</v>
      </c>
      <c r="P1729" s="50">
        <f>IFERROR(Table1[[#This Row],[Quality Pass Production]]/Table1[[#This Row],[Actual Production (Kg)]], "")</f>
        <v>1</v>
      </c>
      <c r="Q1729" s="50">
        <f>IFERROR(Table1[[#This Row],[Utilization %]]*Table1[[#This Row],[Efficiency %]]*Table1[[#This Row],[Quality %]], "")</f>
        <v>0.76113252525252528</v>
      </c>
      <c r="R1729" s="48" t="s">
        <v>467</v>
      </c>
    </row>
    <row r="1730" spans="1:18" ht="30" customHeight="1" x14ac:dyDescent="0.25">
      <c r="A1730" s="51">
        <v>46274</v>
      </c>
      <c r="B1730" s="52" t="s">
        <v>18</v>
      </c>
      <c r="C1730" s="52" t="s">
        <v>32</v>
      </c>
      <c r="D1730" s="52" t="s">
        <v>31</v>
      </c>
      <c r="E1730" s="53"/>
      <c r="F1730" s="53"/>
      <c r="G1730" s="53"/>
      <c r="H1730" s="57" t="str">
        <f>IFERROR(Table1[Re-process (Kg)]/Table1[Actual Production (Kg)], "")</f>
        <v/>
      </c>
      <c r="I1730" s="53">
        <f>IFERROR(Table1[[#This Row],[Actual Production (Kg)]]-Table1[[#This Row],[Re-process (Kg)]], "")</f>
        <v>0</v>
      </c>
      <c r="J1730" s="53"/>
      <c r="K1730" s="52"/>
      <c r="L1730" s="53" t="str">
        <f>IF(Table1[[#This Row],[Target Time (Hours)]]="","",Table1[[#This Row],[Target Time (Hours)]]-Table1[[#This Row],[Downtime (Hours)]])</f>
        <v/>
      </c>
      <c r="M1730" s="53" t="str">
        <f>IFERROR(Table1[[#This Row],[Capacity (Kg)]]/Table1[[#This Row],[Target Time (Hours)]] * Table1[[#This Row],[Downtime (Hours)]], "")</f>
        <v/>
      </c>
      <c r="N1730" s="57" t="str">
        <f>IFERROR(Table1[[#This Row],[Running Time (hr)]]/Table1[Target Time (Hours)], "")</f>
        <v/>
      </c>
      <c r="O1730" s="57" t="str">
        <f>IFERROR(Table1[[#This Row],[Actual Production (Kg)]]/Table1[Capacity (Kg)], "")</f>
        <v/>
      </c>
      <c r="P1730" s="57" t="str">
        <f>IFERROR(Table1[[#This Row],[Quality Pass Production]]/Table1[[#This Row],[Actual Production (Kg)]], "")</f>
        <v/>
      </c>
      <c r="Q1730" s="57" t="str">
        <f>IFERROR(Table1[[#This Row],[Utilization %]]*Table1[[#This Row],[Efficiency %]]*Table1[[#This Row],[Quality %]], "")</f>
        <v/>
      </c>
      <c r="R1730" s="52"/>
    </row>
    <row r="1731" spans="1:18" ht="30" customHeight="1" x14ac:dyDescent="0.25">
      <c r="A1731" s="47">
        <v>46274</v>
      </c>
      <c r="B1731" s="48" t="s">
        <v>33</v>
      </c>
      <c r="C1731" s="48" t="s">
        <v>34</v>
      </c>
      <c r="D1731" s="48" t="s">
        <v>35</v>
      </c>
      <c r="E1731" s="49">
        <v>9000</v>
      </c>
      <c r="F1731" s="76">
        <v>7673</v>
      </c>
      <c r="G1731" s="49">
        <v>0</v>
      </c>
      <c r="H1731" s="50">
        <f>IFERROR(Table1[Re-process (Kg)]/Table1[Actual Production (Kg)], "")</f>
        <v>0</v>
      </c>
      <c r="I1731" s="49">
        <f>IFERROR(Table1[[#This Row],[Actual Production (Kg)]]-Table1[[#This Row],[Re-process (Kg)]], "")</f>
        <v>7673</v>
      </c>
      <c r="J1731" s="49">
        <v>22</v>
      </c>
      <c r="K1731" s="72"/>
      <c r="L1731" s="49">
        <f>IF(Table1[[#This Row],[Target Time (Hours)]]="","",Table1[[#This Row],[Target Time (Hours)]]-Table1[[#This Row],[Downtime (Hours)]])</f>
        <v>22</v>
      </c>
      <c r="M1731" s="49">
        <f>IFERROR(Table1[[#This Row],[Capacity (Kg)]]/Table1[[#This Row],[Target Time (Hours)]] * Table1[[#This Row],[Downtime (Hours)]], "")</f>
        <v>0</v>
      </c>
      <c r="N1731" s="50">
        <f>IFERROR(Table1[[#This Row],[Running Time (hr)]]/Table1[Target Time (Hours)], "")</f>
        <v>1</v>
      </c>
      <c r="O1731" s="50">
        <f>IFERROR(Table1[[#This Row],[Actual Production (Kg)]]/Table1[Capacity (Kg)], "")</f>
        <v>0.85255555555555551</v>
      </c>
      <c r="P1731" s="50">
        <f>IFERROR(Table1[[#This Row],[Quality Pass Production]]/Table1[[#This Row],[Actual Production (Kg)]], "")</f>
        <v>1</v>
      </c>
      <c r="Q1731" s="50">
        <f>IFERROR(Table1[[#This Row],[Utilization %]]*Table1[[#This Row],[Efficiency %]]*Table1[[#This Row],[Quality %]], "")</f>
        <v>0.85255555555555551</v>
      </c>
    </row>
    <row r="1732" spans="1:18" ht="45" customHeight="1" x14ac:dyDescent="0.25">
      <c r="A1732" s="47">
        <v>46274</v>
      </c>
      <c r="B1732" s="48" t="s">
        <v>33</v>
      </c>
      <c r="C1732" s="48" t="s">
        <v>36</v>
      </c>
      <c r="D1732" s="48" t="s">
        <v>37</v>
      </c>
      <c r="E1732" s="49">
        <v>8000</v>
      </c>
      <c r="F1732" s="76">
        <v>7456</v>
      </c>
      <c r="G1732" s="49">
        <v>0</v>
      </c>
      <c r="H1732" s="50">
        <f>IFERROR(Table1[Re-process (Kg)]/Table1[Actual Production (Kg)], "")</f>
        <v>0</v>
      </c>
      <c r="I1732" s="49">
        <f>IFERROR(Table1[[#This Row],[Actual Production (Kg)]]-Table1[[#This Row],[Re-process (Kg)]], "")</f>
        <v>7456</v>
      </c>
      <c r="J1732" s="49">
        <v>22</v>
      </c>
      <c r="K1732" s="72">
        <v>2.42</v>
      </c>
      <c r="L1732" s="49">
        <f>IF(Table1[[#This Row],[Target Time (Hours)]]="","",Table1[[#This Row],[Target Time (Hours)]]-Table1[[#This Row],[Downtime (Hours)]])</f>
        <v>19.579999999999998</v>
      </c>
      <c r="M1732" s="49">
        <f>IFERROR(Table1[[#This Row],[Capacity (Kg)]]/Table1[[#This Row],[Target Time (Hours)]] * Table1[[#This Row],[Downtime (Hours)]], "")</f>
        <v>880</v>
      </c>
      <c r="N1732" s="50">
        <f>IFERROR(Table1[[#This Row],[Running Time (hr)]]/Table1[Target Time (Hours)], "")</f>
        <v>0.8899999999999999</v>
      </c>
      <c r="O1732" s="50">
        <f>IFERROR(Table1[[#This Row],[Actual Production (Kg)]]/Table1[Capacity (Kg)], "")</f>
        <v>0.93200000000000005</v>
      </c>
      <c r="P1732" s="50">
        <f>IFERROR(Table1[[#This Row],[Quality Pass Production]]/Table1[[#This Row],[Actual Production (Kg)]], "")</f>
        <v>1</v>
      </c>
      <c r="Q1732" s="50">
        <f>IFERROR(Table1[[#This Row],[Utilization %]]*Table1[[#This Row],[Efficiency %]]*Table1[[#This Row],[Quality %]], "")</f>
        <v>0.82948</v>
      </c>
      <c r="R1732" s="48" t="s">
        <v>468</v>
      </c>
    </row>
    <row r="1733" spans="1:18" ht="45" customHeight="1" x14ac:dyDescent="0.25">
      <c r="A1733" s="47">
        <v>46274</v>
      </c>
      <c r="B1733" s="48" t="s">
        <v>33</v>
      </c>
      <c r="C1733" s="48" t="s">
        <v>39</v>
      </c>
      <c r="D1733" s="48" t="s">
        <v>31</v>
      </c>
      <c r="E1733" s="49">
        <v>6000</v>
      </c>
      <c r="F1733" s="76">
        <v>3219</v>
      </c>
      <c r="G1733" s="49">
        <v>0</v>
      </c>
      <c r="H1733" s="50">
        <f>IFERROR(Table1[Re-process (Kg)]/Table1[Actual Production (Kg)], "")</f>
        <v>0</v>
      </c>
      <c r="I1733" s="49">
        <f>IFERROR(Table1[[#This Row],[Actual Production (Kg)]]-Table1[[#This Row],[Re-process (Kg)]], "")</f>
        <v>3219</v>
      </c>
      <c r="J1733" s="49">
        <v>22</v>
      </c>
      <c r="K1733" s="72">
        <v>4</v>
      </c>
      <c r="L1733" s="49">
        <f>IF(Table1[[#This Row],[Target Time (Hours)]]="","",Table1[[#This Row],[Target Time (Hours)]]-Table1[[#This Row],[Downtime (Hours)]])</f>
        <v>18</v>
      </c>
      <c r="M1733" s="49">
        <f>IFERROR(Table1[[#This Row],[Capacity (Kg)]]/Table1[[#This Row],[Target Time (Hours)]] * Table1[[#This Row],[Downtime (Hours)]], "")</f>
        <v>1090.909090909091</v>
      </c>
      <c r="N1733" s="50">
        <f>IFERROR(Table1[[#This Row],[Running Time (hr)]]/Table1[Target Time (Hours)], "")</f>
        <v>0.81818181818181823</v>
      </c>
      <c r="O1733" s="50">
        <f>IFERROR(Table1[[#This Row],[Actual Production (Kg)]]/Table1[Capacity (Kg)], "")</f>
        <v>0.53649999999999998</v>
      </c>
      <c r="P1733" s="50">
        <f>IFERROR(Table1[[#This Row],[Quality Pass Production]]/Table1[[#This Row],[Actual Production (Kg)]], "")</f>
        <v>1</v>
      </c>
      <c r="Q1733" s="50">
        <f>IFERROR(Table1[[#This Row],[Utilization %]]*Table1[[#This Row],[Efficiency %]]*Table1[[#This Row],[Quality %]], "")</f>
        <v>0.43895454545454549</v>
      </c>
      <c r="R1733" s="48" t="s">
        <v>468</v>
      </c>
    </row>
    <row r="1734" spans="1:18" ht="45" customHeight="1" x14ac:dyDescent="0.25">
      <c r="A1734" s="54">
        <v>46274</v>
      </c>
      <c r="B1734" s="55" t="s">
        <v>33</v>
      </c>
      <c r="C1734" s="55" t="s">
        <v>40</v>
      </c>
      <c r="D1734" s="55" t="s">
        <v>31</v>
      </c>
      <c r="E1734" s="56">
        <v>5000</v>
      </c>
      <c r="F1734" s="56">
        <v>4147</v>
      </c>
      <c r="G1734" s="56">
        <v>0</v>
      </c>
      <c r="H1734" s="58">
        <f>IFERROR(Table1[Re-process (Kg)]/Table1[Actual Production (Kg)], "")</f>
        <v>0</v>
      </c>
      <c r="I1734" s="56">
        <f>IFERROR(Table1[[#This Row],[Actual Production (Kg)]]-Table1[[#This Row],[Re-process (Kg)]], "")</f>
        <v>4147</v>
      </c>
      <c r="J1734" s="56">
        <v>22</v>
      </c>
      <c r="K1734" s="55">
        <v>2</v>
      </c>
      <c r="L1734" s="56">
        <f>IF(Table1[[#This Row],[Target Time (Hours)]]="","",Table1[[#This Row],[Target Time (Hours)]]-Table1[[#This Row],[Downtime (Hours)]])</f>
        <v>20</v>
      </c>
      <c r="M1734" s="56">
        <f>IFERROR(Table1[[#This Row],[Capacity (Kg)]]/Table1[[#This Row],[Target Time (Hours)]] * Table1[[#This Row],[Downtime (Hours)]], "")</f>
        <v>454.54545454545456</v>
      </c>
      <c r="N1734" s="58">
        <f>IFERROR(Table1[[#This Row],[Running Time (hr)]]/Table1[Target Time (Hours)], "")</f>
        <v>0.90909090909090906</v>
      </c>
      <c r="O1734" s="58">
        <f>IFERROR(Table1[[#This Row],[Actual Production (Kg)]]/Table1[Capacity (Kg)], "")</f>
        <v>0.82940000000000003</v>
      </c>
      <c r="P1734" s="58">
        <f>IFERROR(Table1[[#This Row],[Quality Pass Production]]/Table1[[#This Row],[Actual Production (Kg)]], "")</f>
        <v>1</v>
      </c>
      <c r="Q1734" s="58">
        <f>IFERROR(Table1[[#This Row],[Utilization %]]*Table1[[#This Row],[Efficiency %]]*Table1[[#This Row],[Quality %]], "")</f>
        <v>0.754</v>
      </c>
      <c r="R1734" s="55" t="s">
        <v>469</v>
      </c>
    </row>
    <row r="1735" spans="1:18" ht="30" customHeight="1" x14ac:dyDescent="0.25">
      <c r="A1735" s="47">
        <v>46275</v>
      </c>
      <c r="B1735" s="48" t="s">
        <v>18</v>
      </c>
      <c r="C1735" s="48" t="s">
        <v>19</v>
      </c>
      <c r="D1735" s="48" t="s">
        <v>20</v>
      </c>
      <c r="E1735" s="49">
        <v>13000</v>
      </c>
      <c r="F1735" s="76">
        <v>11510</v>
      </c>
      <c r="G1735" s="49">
        <v>0</v>
      </c>
      <c r="H1735" s="50">
        <f>IFERROR(Table1[Re-process (Kg)]/Table1[Actual Production (Kg)], "")</f>
        <v>0</v>
      </c>
      <c r="I1735" s="49">
        <f>IFERROR(Table1[[#This Row],[Actual Production (Kg)]]-Table1[[#This Row],[Re-process (Kg)]], "")</f>
        <v>11510</v>
      </c>
      <c r="J1735" s="49">
        <v>22</v>
      </c>
      <c r="K1735" s="72"/>
      <c r="L1735" s="49">
        <f>IF(Table1[[#This Row],[Target Time (Hours)]]="","",Table1[[#This Row],[Target Time (Hours)]]-Table1[[#This Row],[Downtime (Hours)]])</f>
        <v>22</v>
      </c>
      <c r="M1735" s="49">
        <f>IFERROR(Table1[[#This Row],[Capacity (Kg)]]/Table1[[#This Row],[Target Time (Hours)]] * Table1[[#This Row],[Downtime (Hours)]], "")</f>
        <v>0</v>
      </c>
      <c r="N1735" s="50">
        <f>IFERROR(Table1[[#This Row],[Running Time (hr)]]/Table1[Target Time (Hours)], "")</f>
        <v>1</v>
      </c>
      <c r="O1735" s="50">
        <f>IFERROR(Table1[[#This Row],[Actual Production (Kg)]]/Table1[Capacity (Kg)], "")</f>
        <v>0.88538461538461544</v>
      </c>
      <c r="P1735" s="50">
        <f>IFERROR(Table1[[#This Row],[Quality Pass Production]]/Table1[[#This Row],[Actual Production (Kg)]], "")</f>
        <v>1</v>
      </c>
      <c r="Q1735" s="50">
        <f>IFERROR(Table1[[#This Row],[Utilization %]]*Table1[[#This Row],[Efficiency %]]*Table1[[#This Row],[Quality %]], "")</f>
        <v>0.88538461538461544</v>
      </c>
    </row>
    <row r="1736" spans="1:18" x14ac:dyDescent="0.25">
      <c r="A1736" s="51">
        <v>46275</v>
      </c>
      <c r="B1736" s="52" t="s">
        <v>18</v>
      </c>
      <c r="C1736" s="52" t="s">
        <v>238</v>
      </c>
      <c r="D1736" s="52" t="s">
        <v>20</v>
      </c>
      <c r="E1736" s="53">
        <v>12308</v>
      </c>
      <c r="F1736" s="53">
        <v>12308</v>
      </c>
      <c r="G1736" s="53">
        <v>0</v>
      </c>
      <c r="H1736" s="57">
        <f>IFERROR(Table1[Re-process (Kg)]/Table1[Actual Production (Kg)], "")</f>
        <v>0</v>
      </c>
      <c r="I1736" s="53">
        <f>IFERROR(Table1[[#This Row],[Actual Production (Kg)]]-Table1[[#This Row],[Re-process (Kg)]], "")</f>
        <v>12308</v>
      </c>
      <c r="J1736" s="53"/>
      <c r="K1736" s="52"/>
      <c r="L1736" s="53" t="str">
        <f>IF(Table1[[#This Row],[Target Time (Hours)]]="","",Table1[[#This Row],[Target Time (Hours)]]-Table1[[#This Row],[Downtime (Hours)]])</f>
        <v/>
      </c>
      <c r="M1736" s="53" t="str">
        <f>IFERROR(Table1[[#This Row],[Capacity (Kg)]]/Table1[[#This Row],[Target Time (Hours)]] * Table1[[#This Row],[Downtime (Hours)]], "")</f>
        <v/>
      </c>
      <c r="N1736" s="57" t="str">
        <f>IFERROR(Table1[[#This Row],[Running Time (hr)]]/Table1[Target Time (Hours)], "")</f>
        <v/>
      </c>
      <c r="O1736" s="57">
        <f>IFERROR(Table1[[#This Row],[Actual Production (Kg)]]/Table1[Capacity (Kg)], "")</f>
        <v>1</v>
      </c>
      <c r="P1736" s="57">
        <f>IFERROR(Table1[[#This Row],[Quality Pass Production]]/Table1[[#This Row],[Actual Production (Kg)]], "")</f>
        <v>1</v>
      </c>
      <c r="Q1736" s="57" t="str">
        <f>IFERROR(Table1[[#This Row],[Utilization %]]*Table1[[#This Row],[Efficiency %]]*Table1[[#This Row],[Quality %]], "")</f>
        <v/>
      </c>
      <c r="R1736" s="52"/>
    </row>
    <row r="1737" spans="1:18" x14ac:dyDescent="0.25">
      <c r="A1737" s="47">
        <v>46275</v>
      </c>
      <c r="B1737" s="48" t="s">
        <v>18</v>
      </c>
      <c r="C1737" s="48" t="s">
        <v>22</v>
      </c>
      <c r="D1737" s="48" t="s">
        <v>23</v>
      </c>
      <c r="E1737" s="49">
        <v>12000</v>
      </c>
      <c r="F1737" s="76">
        <v>11182</v>
      </c>
      <c r="G1737" s="49">
        <v>0</v>
      </c>
      <c r="H1737" s="50">
        <f>IFERROR(Table1[Re-process (Kg)]/Table1[Actual Production (Kg)], "")</f>
        <v>0</v>
      </c>
      <c r="I1737" s="49">
        <f>IFERROR(Table1[[#This Row],[Actual Production (Kg)]]-Table1[[#This Row],[Re-process (Kg)]], "")</f>
        <v>11182</v>
      </c>
      <c r="J1737" s="49">
        <v>22</v>
      </c>
      <c r="K1737" s="72"/>
      <c r="L1737" s="49">
        <f>IF(Table1[[#This Row],[Target Time (Hours)]]="","",Table1[[#This Row],[Target Time (Hours)]]-Table1[[#This Row],[Downtime (Hours)]])</f>
        <v>22</v>
      </c>
      <c r="M1737" s="49">
        <f>IFERROR(Table1[[#This Row],[Capacity (Kg)]]/Table1[[#This Row],[Target Time (Hours)]] * Table1[[#This Row],[Downtime (Hours)]], "")</f>
        <v>0</v>
      </c>
      <c r="N1737" s="50">
        <f>IFERROR(Table1[[#This Row],[Running Time (hr)]]/Table1[Target Time (Hours)], "")</f>
        <v>1</v>
      </c>
      <c r="O1737" s="50">
        <f>IFERROR(Table1[[#This Row],[Actual Production (Kg)]]/Table1[Capacity (Kg)], "")</f>
        <v>0.93183333333333329</v>
      </c>
      <c r="P1737" s="50">
        <f>IFERROR(Table1[[#This Row],[Quality Pass Production]]/Table1[[#This Row],[Actual Production (Kg)]], "")</f>
        <v>1</v>
      </c>
      <c r="Q1737" s="50">
        <f>IFERROR(Table1[[#This Row],[Utilization %]]*Table1[[#This Row],[Efficiency %]]*Table1[[#This Row],[Quality %]], "")</f>
        <v>0.93183333333333329</v>
      </c>
    </row>
    <row r="1738" spans="1:18" x14ac:dyDescent="0.25">
      <c r="A1738" s="47">
        <v>46275</v>
      </c>
      <c r="B1738" s="48" t="s">
        <v>18</v>
      </c>
      <c r="C1738" s="48" t="s">
        <v>22</v>
      </c>
      <c r="D1738" s="48" t="s">
        <v>25</v>
      </c>
      <c r="E1738" s="49">
        <v>4000</v>
      </c>
      <c r="F1738" s="76">
        <v>2170</v>
      </c>
      <c r="G1738" s="49">
        <v>0</v>
      </c>
      <c r="H1738" s="50">
        <f>IFERROR(Table1[Re-process (Kg)]/Table1[Actual Production (Kg)], "")</f>
        <v>0</v>
      </c>
      <c r="I1738" s="49">
        <f>IFERROR(Table1[[#This Row],[Actual Production (Kg)]]-Table1[[#This Row],[Re-process (Kg)]], "")</f>
        <v>2170</v>
      </c>
      <c r="J1738" s="49"/>
      <c r="K1738" s="72"/>
      <c r="L1738" s="49" t="str">
        <f>IF(Table1[[#This Row],[Target Time (Hours)]]="","",Table1[[#This Row],[Target Time (Hours)]]-Table1[[#This Row],[Downtime (Hours)]])</f>
        <v/>
      </c>
      <c r="M1738" s="49" t="str">
        <f>IFERROR(Table1[[#This Row],[Capacity (Kg)]]/Table1[[#This Row],[Target Time (Hours)]] * Table1[[#This Row],[Downtime (Hours)]], "")</f>
        <v/>
      </c>
      <c r="N1738" s="50" t="str">
        <f>IFERROR(Table1[[#This Row],[Running Time (hr)]]/Table1[Target Time (Hours)], "")</f>
        <v/>
      </c>
      <c r="O1738" s="50">
        <f>IFERROR(Table1[[#This Row],[Actual Production (Kg)]]/Table1[Capacity (Kg)], "")</f>
        <v>0.54249999999999998</v>
      </c>
      <c r="P1738" s="50">
        <f>IFERROR(Table1[[#This Row],[Quality Pass Production]]/Table1[[#This Row],[Actual Production (Kg)]], "")</f>
        <v>1</v>
      </c>
      <c r="Q1738" s="50" t="str">
        <f>IFERROR(Table1[[#This Row],[Utilization %]]*Table1[[#This Row],[Efficiency %]]*Table1[[#This Row],[Quality %]], "")</f>
        <v/>
      </c>
    </row>
    <row r="1739" spans="1:18" x14ac:dyDescent="0.25">
      <c r="A1739" s="47">
        <v>46275</v>
      </c>
      <c r="B1739" s="48" t="s">
        <v>18</v>
      </c>
      <c r="C1739" s="48" t="s">
        <v>26</v>
      </c>
      <c r="D1739" s="48" t="s">
        <v>25</v>
      </c>
      <c r="E1739" s="49">
        <v>10000</v>
      </c>
      <c r="F1739" s="76">
        <v>10084</v>
      </c>
      <c r="G1739" s="49">
        <v>0</v>
      </c>
      <c r="H1739" s="50">
        <f>IFERROR(Table1[Re-process (Kg)]/Table1[Actual Production (Kg)], "")</f>
        <v>0</v>
      </c>
      <c r="I1739" s="49">
        <f>IFERROR(Table1[[#This Row],[Actual Production (Kg)]]-Table1[[#This Row],[Re-process (Kg)]], "")</f>
        <v>10084</v>
      </c>
      <c r="J1739" s="49">
        <v>22</v>
      </c>
      <c r="K1739" s="72"/>
      <c r="L1739" s="49">
        <f>IF(Table1[[#This Row],[Target Time (Hours)]]="","",Table1[[#This Row],[Target Time (Hours)]]-Table1[[#This Row],[Downtime (Hours)]])</f>
        <v>22</v>
      </c>
      <c r="M1739" s="49">
        <f>IFERROR(Table1[[#This Row],[Capacity (Kg)]]/Table1[[#This Row],[Target Time (Hours)]] * Table1[[#This Row],[Downtime (Hours)]], "")</f>
        <v>0</v>
      </c>
      <c r="N1739" s="50">
        <f>IFERROR(Table1[[#This Row],[Running Time (hr)]]/Table1[Target Time (Hours)], "")</f>
        <v>1</v>
      </c>
      <c r="O1739" s="50">
        <f>IFERROR(Table1[[#This Row],[Actual Production (Kg)]]/Table1[Capacity (Kg)], "")</f>
        <v>1.0084</v>
      </c>
      <c r="P1739" s="50">
        <f>IFERROR(Table1[[#This Row],[Quality Pass Production]]/Table1[[#This Row],[Actual Production (Kg)]], "")</f>
        <v>1</v>
      </c>
      <c r="Q1739" s="50">
        <f>IFERROR(Table1[[#This Row],[Utilization %]]*Table1[[#This Row],[Efficiency %]]*Table1[[#This Row],[Quality %]], "")</f>
        <v>1.0084</v>
      </c>
    </row>
    <row r="1740" spans="1:18" ht="30" customHeight="1" x14ac:dyDescent="0.25">
      <c r="A1740" s="47">
        <v>46275</v>
      </c>
      <c r="B1740" s="48" t="s">
        <v>18</v>
      </c>
      <c r="C1740" s="48" t="s">
        <v>28</v>
      </c>
      <c r="D1740" s="48" t="s">
        <v>29</v>
      </c>
      <c r="E1740" s="49">
        <v>11700</v>
      </c>
      <c r="F1740" s="76">
        <v>8459</v>
      </c>
      <c r="G1740" s="49">
        <v>0</v>
      </c>
      <c r="H1740" s="50">
        <f>IFERROR(Table1[Re-process (Kg)]/Table1[Actual Production (Kg)], "")</f>
        <v>0</v>
      </c>
      <c r="I1740" s="49">
        <f>IFERROR(Table1[[#This Row],[Actual Production (Kg)]]-Table1[[#This Row],[Re-process (Kg)]], "")</f>
        <v>8459</v>
      </c>
      <c r="J1740" s="49">
        <v>22</v>
      </c>
      <c r="K1740" s="72"/>
      <c r="L1740" s="49">
        <f>IF(Table1[[#This Row],[Target Time (Hours)]]="","",Table1[[#This Row],[Target Time (Hours)]]-Table1[[#This Row],[Downtime (Hours)]])</f>
        <v>22</v>
      </c>
      <c r="M1740" s="49">
        <f>IFERROR(Table1[[#This Row],[Capacity (Kg)]]/Table1[[#This Row],[Target Time (Hours)]] * Table1[[#This Row],[Downtime (Hours)]], "")</f>
        <v>0</v>
      </c>
      <c r="N1740" s="50">
        <f>IFERROR(Table1[[#This Row],[Running Time (hr)]]/Table1[Target Time (Hours)], "")</f>
        <v>1</v>
      </c>
      <c r="O1740" s="50">
        <f>IFERROR(Table1[[#This Row],[Actual Production (Kg)]]/Table1[Capacity (Kg)], "")</f>
        <v>0.72299145299145295</v>
      </c>
      <c r="P1740" s="50">
        <f>IFERROR(Table1[[#This Row],[Quality Pass Production]]/Table1[[#This Row],[Actual Production (Kg)]], "")</f>
        <v>1</v>
      </c>
      <c r="Q1740" s="50">
        <f>IFERROR(Table1[[#This Row],[Utilization %]]*Table1[[#This Row],[Efficiency %]]*Table1[[#This Row],[Quality %]], "")</f>
        <v>0.72299145299145295</v>
      </c>
    </row>
    <row r="1741" spans="1:18" ht="30" customHeight="1" x14ac:dyDescent="0.25">
      <c r="A1741" s="51">
        <v>46275</v>
      </c>
      <c r="B1741" s="52" t="s">
        <v>18</v>
      </c>
      <c r="C1741" s="52" t="s">
        <v>135</v>
      </c>
      <c r="D1741" s="52" t="s">
        <v>29</v>
      </c>
      <c r="E1741" s="53"/>
      <c r="F1741" s="53"/>
      <c r="G1741" s="53"/>
      <c r="H1741" s="57" t="str">
        <f>IFERROR(Table1[Re-process (Kg)]/Table1[Actual Production (Kg)], "")</f>
        <v/>
      </c>
      <c r="I1741" s="53">
        <f>IFERROR(Table1[[#This Row],[Actual Production (Kg)]]-Table1[[#This Row],[Re-process (Kg)]], "")</f>
        <v>0</v>
      </c>
      <c r="J1741" s="53"/>
      <c r="K1741" s="52"/>
      <c r="L1741" s="53" t="str">
        <f>IF(Table1[[#This Row],[Target Time (Hours)]]="","",Table1[[#This Row],[Target Time (Hours)]]-Table1[[#This Row],[Downtime (Hours)]])</f>
        <v/>
      </c>
      <c r="M1741" s="53" t="str">
        <f>IFERROR(Table1[[#This Row],[Capacity (Kg)]]/Table1[[#This Row],[Target Time (Hours)]] * Table1[[#This Row],[Downtime (Hours)]], "")</f>
        <v/>
      </c>
      <c r="N1741" s="57" t="str">
        <f>IFERROR(Table1[[#This Row],[Running Time (hr)]]/Table1[Target Time (Hours)], "")</f>
        <v/>
      </c>
      <c r="O1741" s="57" t="str">
        <f>IFERROR(Table1[[#This Row],[Actual Production (Kg)]]/Table1[Capacity (Kg)], "")</f>
        <v/>
      </c>
      <c r="P1741" s="57" t="str">
        <f>IFERROR(Table1[[#This Row],[Quality Pass Production]]/Table1[[#This Row],[Actual Production (Kg)]], "")</f>
        <v/>
      </c>
      <c r="Q1741" s="57" t="str">
        <f>IFERROR(Table1[[#This Row],[Utilization %]]*Table1[[#This Row],[Efficiency %]]*Table1[[#This Row],[Quality %]], "")</f>
        <v/>
      </c>
      <c r="R1741" s="52"/>
    </row>
    <row r="1742" spans="1:18" ht="30" customHeight="1" x14ac:dyDescent="0.25">
      <c r="A1742" s="47">
        <v>46275</v>
      </c>
      <c r="B1742" s="48" t="s">
        <v>18</v>
      </c>
      <c r="C1742" s="48" t="s">
        <v>30</v>
      </c>
      <c r="D1742" s="48" t="s">
        <v>31</v>
      </c>
      <c r="E1742" s="49">
        <v>9000</v>
      </c>
      <c r="F1742" s="76">
        <v>5972</v>
      </c>
      <c r="G1742" s="49">
        <v>0</v>
      </c>
      <c r="H1742" s="50">
        <f>IFERROR(Table1[Re-process (Kg)]/Table1[Actual Production (Kg)], "")</f>
        <v>0</v>
      </c>
      <c r="I1742" s="49">
        <f>IFERROR(Table1[[#This Row],[Actual Production (Kg)]]-Table1[[#This Row],[Re-process (Kg)]], "")</f>
        <v>5972</v>
      </c>
      <c r="J1742" s="49">
        <v>22</v>
      </c>
      <c r="K1742" s="72"/>
      <c r="L1742" s="49">
        <f>IF(Table1[[#This Row],[Target Time (Hours)]]="","",Table1[[#This Row],[Target Time (Hours)]]-Table1[[#This Row],[Downtime (Hours)]])</f>
        <v>22</v>
      </c>
      <c r="M1742" s="49">
        <f>IFERROR(Table1[[#This Row],[Capacity (Kg)]]/Table1[[#This Row],[Target Time (Hours)]] * Table1[[#This Row],[Downtime (Hours)]], "")</f>
        <v>0</v>
      </c>
      <c r="N1742" s="50">
        <f>IFERROR(Table1[[#This Row],[Running Time (hr)]]/Table1[Target Time (Hours)], "")</f>
        <v>1</v>
      </c>
      <c r="O1742" s="50">
        <f>IFERROR(Table1[[#This Row],[Actual Production (Kg)]]/Table1[Capacity (Kg)], "")</f>
        <v>0.66355555555555557</v>
      </c>
      <c r="P1742" s="50">
        <f>IFERROR(Table1[[#This Row],[Quality Pass Production]]/Table1[[#This Row],[Actual Production (Kg)]], "")</f>
        <v>1</v>
      </c>
      <c r="Q1742" s="50">
        <f>IFERROR(Table1[[#This Row],[Utilization %]]*Table1[[#This Row],[Efficiency %]]*Table1[[#This Row],[Quality %]], "")</f>
        <v>0.66355555555555557</v>
      </c>
    </row>
    <row r="1743" spans="1:18" ht="30" customHeight="1" x14ac:dyDescent="0.25">
      <c r="A1743" s="51">
        <v>46275</v>
      </c>
      <c r="B1743" s="52" t="s">
        <v>18</v>
      </c>
      <c r="C1743" s="52" t="s">
        <v>32</v>
      </c>
      <c r="D1743" s="52" t="s">
        <v>31</v>
      </c>
      <c r="E1743" s="53"/>
      <c r="F1743" s="53"/>
      <c r="G1743" s="53"/>
      <c r="H1743" s="57" t="str">
        <f>IFERROR(Table1[Re-process (Kg)]/Table1[Actual Production (Kg)], "")</f>
        <v/>
      </c>
      <c r="I1743" s="53">
        <f>IFERROR(Table1[[#This Row],[Actual Production (Kg)]]-Table1[[#This Row],[Re-process (Kg)]], "")</f>
        <v>0</v>
      </c>
      <c r="J1743" s="53"/>
      <c r="K1743" s="52"/>
      <c r="L1743" s="53" t="str">
        <f>IF(Table1[[#This Row],[Target Time (Hours)]]="","",Table1[[#This Row],[Target Time (Hours)]]-Table1[[#This Row],[Downtime (Hours)]])</f>
        <v/>
      </c>
      <c r="M1743" s="53" t="str">
        <f>IFERROR(Table1[[#This Row],[Capacity (Kg)]]/Table1[[#This Row],[Target Time (Hours)]] * Table1[[#This Row],[Downtime (Hours)]], "")</f>
        <v/>
      </c>
      <c r="N1743" s="57" t="str">
        <f>IFERROR(Table1[[#This Row],[Running Time (hr)]]/Table1[Target Time (Hours)], "")</f>
        <v/>
      </c>
      <c r="O1743" s="57" t="str">
        <f>IFERROR(Table1[[#This Row],[Actual Production (Kg)]]/Table1[Capacity (Kg)], "")</f>
        <v/>
      </c>
      <c r="P1743" s="57" t="str">
        <f>IFERROR(Table1[[#This Row],[Quality Pass Production]]/Table1[[#This Row],[Actual Production (Kg)]], "")</f>
        <v/>
      </c>
      <c r="Q1743" s="57" t="str">
        <f>IFERROR(Table1[[#This Row],[Utilization %]]*Table1[[#This Row],[Efficiency %]]*Table1[[#This Row],[Quality %]], "")</f>
        <v/>
      </c>
      <c r="R1743" s="52"/>
    </row>
    <row r="1744" spans="1:18" ht="30" customHeight="1" x14ac:dyDescent="0.25">
      <c r="A1744" s="47">
        <v>46275</v>
      </c>
      <c r="B1744" s="48" t="s">
        <v>33</v>
      </c>
      <c r="C1744" s="48" t="s">
        <v>34</v>
      </c>
      <c r="D1744" s="48" t="s">
        <v>35</v>
      </c>
      <c r="E1744" s="49">
        <v>9000</v>
      </c>
      <c r="F1744" s="76">
        <v>5484</v>
      </c>
      <c r="G1744" s="49">
        <v>0</v>
      </c>
      <c r="H1744" s="50">
        <f>IFERROR(Table1[Re-process (Kg)]/Table1[Actual Production (Kg)], "")</f>
        <v>0</v>
      </c>
      <c r="I1744" s="49">
        <f>IFERROR(Table1[[#This Row],[Actual Production (Kg)]]-Table1[[#This Row],[Re-process (Kg)]], "")</f>
        <v>5484</v>
      </c>
      <c r="J1744" s="49">
        <v>22</v>
      </c>
      <c r="K1744" s="72"/>
      <c r="L1744" s="49">
        <f>IF(Table1[[#This Row],[Target Time (Hours)]]="","",Table1[[#This Row],[Target Time (Hours)]]-Table1[[#This Row],[Downtime (Hours)]])</f>
        <v>22</v>
      </c>
      <c r="M1744" s="49">
        <f>IFERROR(Table1[[#This Row],[Capacity (Kg)]]/Table1[[#This Row],[Target Time (Hours)]] * Table1[[#This Row],[Downtime (Hours)]], "")</f>
        <v>0</v>
      </c>
      <c r="N1744" s="50">
        <f>IFERROR(Table1[[#This Row],[Running Time (hr)]]/Table1[Target Time (Hours)], "")</f>
        <v>1</v>
      </c>
      <c r="O1744" s="50">
        <f>IFERROR(Table1[[#This Row],[Actual Production (Kg)]]/Table1[Capacity (Kg)], "")</f>
        <v>0.60933333333333328</v>
      </c>
      <c r="P1744" s="50">
        <f>IFERROR(Table1[[#This Row],[Quality Pass Production]]/Table1[[#This Row],[Actual Production (Kg)]], "")</f>
        <v>1</v>
      </c>
      <c r="Q1744" s="50">
        <f>IFERROR(Table1[[#This Row],[Utilization %]]*Table1[[#This Row],[Efficiency %]]*Table1[[#This Row],[Quality %]], "")</f>
        <v>0.60933333333333328</v>
      </c>
    </row>
    <row r="1745" spans="1:18" ht="45" customHeight="1" x14ac:dyDescent="0.25">
      <c r="A1745" s="47">
        <v>46275</v>
      </c>
      <c r="B1745" s="48" t="s">
        <v>33</v>
      </c>
      <c r="C1745" s="48" t="s">
        <v>36</v>
      </c>
      <c r="D1745" s="48" t="s">
        <v>37</v>
      </c>
      <c r="E1745" s="49">
        <v>8000</v>
      </c>
      <c r="F1745" s="76">
        <v>6538</v>
      </c>
      <c r="G1745" s="49">
        <v>0</v>
      </c>
      <c r="H1745" s="50">
        <f>IFERROR(Table1[Re-process (Kg)]/Table1[Actual Production (Kg)], "")</f>
        <v>0</v>
      </c>
      <c r="I1745" s="49">
        <f>IFERROR(Table1[[#This Row],[Actual Production (Kg)]]-Table1[[#This Row],[Re-process (Kg)]], "")</f>
        <v>6538</v>
      </c>
      <c r="J1745" s="49">
        <v>22</v>
      </c>
      <c r="K1745" s="72">
        <v>4.58</v>
      </c>
      <c r="L1745" s="49">
        <f>IF(Table1[[#This Row],[Target Time (Hours)]]="","",Table1[[#This Row],[Target Time (Hours)]]-Table1[[#This Row],[Downtime (Hours)]])</f>
        <v>17.420000000000002</v>
      </c>
      <c r="M1745" s="49">
        <f>IFERROR(Table1[[#This Row],[Capacity (Kg)]]/Table1[[#This Row],[Target Time (Hours)]] * Table1[[#This Row],[Downtime (Hours)]], "")</f>
        <v>1665.4545454545455</v>
      </c>
      <c r="N1745" s="50">
        <f>IFERROR(Table1[[#This Row],[Running Time (hr)]]/Table1[Target Time (Hours)], "")</f>
        <v>0.79181818181818187</v>
      </c>
      <c r="O1745" s="50">
        <f>IFERROR(Table1[[#This Row],[Actual Production (Kg)]]/Table1[Capacity (Kg)], "")</f>
        <v>0.81725000000000003</v>
      </c>
      <c r="P1745" s="50">
        <f>IFERROR(Table1[[#This Row],[Quality Pass Production]]/Table1[[#This Row],[Actual Production (Kg)]], "")</f>
        <v>1</v>
      </c>
      <c r="Q1745" s="50">
        <f>IFERROR(Table1[[#This Row],[Utilization %]]*Table1[[#This Row],[Efficiency %]]*Table1[[#This Row],[Quality %]], "")</f>
        <v>0.6471134090909092</v>
      </c>
      <c r="R1745" s="48" t="s">
        <v>470</v>
      </c>
    </row>
    <row r="1746" spans="1:18" ht="45" customHeight="1" x14ac:dyDescent="0.25">
      <c r="A1746" s="47">
        <v>46275</v>
      </c>
      <c r="B1746" s="48" t="s">
        <v>33</v>
      </c>
      <c r="C1746" s="48" t="s">
        <v>39</v>
      </c>
      <c r="D1746" s="48" t="s">
        <v>31</v>
      </c>
      <c r="E1746" s="49">
        <v>6000</v>
      </c>
      <c r="F1746" s="76">
        <v>2381</v>
      </c>
      <c r="G1746" s="49">
        <v>0</v>
      </c>
      <c r="H1746" s="50">
        <f>IFERROR(Table1[Re-process (Kg)]/Table1[Actual Production (Kg)], "")</f>
        <v>0</v>
      </c>
      <c r="I1746" s="49">
        <f>IFERROR(Table1[[#This Row],[Actual Production (Kg)]]-Table1[[#This Row],[Re-process (Kg)]], "")</f>
        <v>2381</v>
      </c>
      <c r="J1746" s="49">
        <v>22</v>
      </c>
      <c r="K1746" s="72">
        <v>6.83</v>
      </c>
      <c r="L1746" s="49">
        <f>IF(Table1[[#This Row],[Target Time (Hours)]]="","",Table1[[#This Row],[Target Time (Hours)]]-Table1[[#This Row],[Downtime (Hours)]])</f>
        <v>15.17</v>
      </c>
      <c r="M1746" s="49">
        <f>IFERROR(Table1[[#This Row],[Capacity (Kg)]]/Table1[[#This Row],[Target Time (Hours)]] * Table1[[#This Row],[Downtime (Hours)]], "")</f>
        <v>1862.727272727273</v>
      </c>
      <c r="N1746" s="50">
        <f>IFERROR(Table1[[#This Row],[Running Time (hr)]]/Table1[Target Time (Hours)], "")</f>
        <v>0.68954545454545457</v>
      </c>
      <c r="O1746" s="50">
        <f>IFERROR(Table1[[#This Row],[Actual Production (Kg)]]/Table1[Capacity (Kg)], "")</f>
        <v>0.39683333333333332</v>
      </c>
      <c r="P1746" s="50">
        <f>IFERROR(Table1[[#This Row],[Quality Pass Production]]/Table1[[#This Row],[Actual Production (Kg)]], "")</f>
        <v>1</v>
      </c>
      <c r="Q1746" s="50">
        <f>IFERROR(Table1[[#This Row],[Utilization %]]*Table1[[#This Row],[Efficiency %]]*Table1[[#This Row],[Quality %]], "")</f>
        <v>0.27363462121212123</v>
      </c>
      <c r="R1746" s="48" t="s">
        <v>471</v>
      </c>
    </row>
    <row r="1747" spans="1:18" ht="45" customHeight="1" x14ac:dyDescent="0.25">
      <c r="A1747" s="54">
        <v>46275</v>
      </c>
      <c r="B1747" s="55" t="s">
        <v>33</v>
      </c>
      <c r="C1747" s="55" t="s">
        <v>40</v>
      </c>
      <c r="D1747" s="55" t="s">
        <v>31</v>
      </c>
      <c r="E1747" s="56">
        <v>5000</v>
      </c>
      <c r="F1747" s="56">
        <v>2573</v>
      </c>
      <c r="G1747" s="56">
        <v>0</v>
      </c>
      <c r="H1747" s="58">
        <f>IFERROR(Table1[Re-process (Kg)]/Table1[Actual Production (Kg)], "")</f>
        <v>0</v>
      </c>
      <c r="I1747" s="56">
        <f>IFERROR(Table1[[#This Row],[Actual Production (Kg)]]-Table1[[#This Row],[Re-process (Kg)]], "")</f>
        <v>2573</v>
      </c>
      <c r="J1747" s="56">
        <v>22</v>
      </c>
      <c r="K1747" s="55">
        <v>2</v>
      </c>
      <c r="L1747" s="56">
        <f>IF(Table1[[#This Row],[Target Time (Hours)]]="","",Table1[[#This Row],[Target Time (Hours)]]-Table1[[#This Row],[Downtime (Hours)]])</f>
        <v>20</v>
      </c>
      <c r="M1747" s="56">
        <f>IFERROR(Table1[[#This Row],[Capacity (Kg)]]/Table1[[#This Row],[Target Time (Hours)]] * Table1[[#This Row],[Downtime (Hours)]], "")</f>
        <v>454.54545454545456</v>
      </c>
      <c r="N1747" s="58">
        <f>IFERROR(Table1[[#This Row],[Running Time (hr)]]/Table1[Target Time (Hours)], "")</f>
        <v>0.90909090909090906</v>
      </c>
      <c r="O1747" s="58">
        <f>IFERROR(Table1[[#This Row],[Actual Production (Kg)]]/Table1[Capacity (Kg)], "")</f>
        <v>0.51459999999999995</v>
      </c>
      <c r="P1747" s="58">
        <f>IFERROR(Table1[[#This Row],[Quality Pass Production]]/Table1[[#This Row],[Actual Production (Kg)]], "")</f>
        <v>1</v>
      </c>
      <c r="Q1747" s="58">
        <f>IFERROR(Table1[[#This Row],[Utilization %]]*Table1[[#This Row],[Efficiency %]]*Table1[[#This Row],[Quality %]], "")</f>
        <v>0.46781818181818174</v>
      </c>
      <c r="R1747" s="55" t="s">
        <v>472</v>
      </c>
    </row>
    <row r="1748" spans="1:18" ht="30" customHeight="1" x14ac:dyDescent="0.25">
      <c r="A1748" s="47">
        <v>46277</v>
      </c>
      <c r="B1748" s="48" t="s">
        <v>18</v>
      </c>
      <c r="C1748" s="48" t="s">
        <v>19</v>
      </c>
      <c r="D1748" s="48" t="s">
        <v>20</v>
      </c>
      <c r="E1748" s="49">
        <v>10000</v>
      </c>
      <c r="F1748" s="76">
        <v>9054</v>
      </c>
      <c r="G1748" s="49">
        <v>0</v>
      </c>
      <c r="H1748" s="50">
        <f>IFERROR(Table1[Re-process (Kg)]/Table1[Actual Production (Kg)], "")</f>
        <v>0</v>
      </c>
      <c r="I1748" s="49">
        <f>IFERROR(Table1[[#This Row],[Actual Production (Kg)]]-Table1[[#This Row],[Re-process (Kg)]], "")</f>
        <v>9054</v>
      </c>
      <c r="J1748" s="49">
        <v>22</v>
      </c>
      <c r="K1748" s="72"/>
      <c r="L1748" s="49">
        <f>IF(Table1[[#This Row],[Target Time (Hours)]]="","",Table1[[#This Row],[Target Time (Hours)]]-Table1[[#This Row],[Downtime (Hours)]])</f>
        <v>22</v>
      </c>
      <c r="M1748" s="49">
        <f>IFERROR(Table1[[#This Row],[Capacity (Kg)]]/Table1[[#This Row],[Target Time (Hours)]] * Table1[[#This Row],[Downtime (Hours)]], "")</f>
        <v>0</v>
      </c>
      <c r="N1748" s="50">
        <f>IFERROR(Table1[[#This Row],[Running Time (hr)]]/Table1[Target Time (Hours)], "")</f>
        <v>1</v>
      </c>
      <c r="O1748" s="50">
        <f>IFERROR(Table1[[#This Row],[Actual Production (Kg)]]/Table1[Capacity (Kg)], "")</f>
        <v>0.90539999999999998</v>
      </c>
      <c r="P1748" s="50">
        <f>IFERROR(Table1[[#This Row],[Quality Pass Production]]/Table1[[#This Row],[Actual Production (Kg)]], "")</f>
        <v>1</v>
      </c>
      <c r="Q1748" s="50">
        <f>IFERROR(Table1[[#This Row],[Utilization %]]*Table1[[#This Row],[Efficiency %]]*Table1[[#This Row],[Quality %]], "")</f>
        <v>0.90539999999999998</v>
      </c>
    </row>
    <row r="1749" spans="1:18" x14ac:dyDescent="0.25">
      <c r="A1749" s="51">
        <v>46277</v>
      </c>
      <c r="B1749" s="52" t="s">
        <v>18</v>
      </c>
      <c r="C1749" s="52" t="s">
        <v>238</v>
      </c>
      <c r="D1749" s="52" t="s">
        <v>20</v>
      </c>
      <c r="E1749" s="53">
        <v>9907</v>
      </c>
      <c r="F1749" s="53">
        <v>9464</v>
      </c>
      <c r="G1749" s="53">
        <v>0</v>
      </c>
      <c r="H1749" s="57">
        <f>IFERROR(Table1[Re-process (Kg)]/Table1[Actual Production (Kg)], "")</f>
        <v>0</v>
      </c>
      <c r="I1749" s="53">
        <f>IFERROR(Table1[[#This Row],[Actual Production (Kg)]]-Table1[[#This Row],[Re-process (Kg)]], "")</f>
        <v>9464</v>
      </c>
      <c r="J1749" s="53"/>
      <c r="K1749" s="52"/>
      <c r="L1749" s="53" t="str">
        <f>IF(Table1[[#This Row],[Target Time (Hours)]]="","",Table1[[#This Row],[Target Time (Hours)]]-Table1[[#This Row],[Downtime (Hours)]])</f>
        <v/>
      </c>
      <c r="M1749" s="53" t="str">
        <f>IFERROR(Table1[[#This Row],[Capacity (Kg)]]/Table1[[#This Row],[Target Time (Hours)]] * Table1[[#This Row],[Downtime (Hours)]], "")</f>
        <v/>
      </c>
      <c r="N1749" s="57" t="str">
        <f>IFERROR(Table1[[#This Row],[Running Time (hr)]]/Table1[Target Time (Hours)], "")</f>
        <v/>
      </c>
      <c r="O1749" s="57">
        <f>IFERROR(Table1[[#This Row],[Actual Production (Kg)]]/Table1[Capacity (Kg)], "")</f>
        <v>0.95528414252548699</v>
      </c>
      <c r="P1749" s="57">
        <f>IFERROR(Table1[[#This Row],[Quality Pass Production]]/Table1[[#This Row],[Actual Production (Kg)]], "")</f>
        <v>1</v>
      </c>
      <c r="Q1749" s="57" t="str">
        <f>IFERROR(Table1[[#This Row],[Utilization %]]*Table1[[#This Row],[Efficiency %]]*Table1[[#This Row],[Quality %]], "")</f>
        <v/>
      </c>
      <c r="R1749" s="52"/>
    </row>
    <row r="1750" spans="1:18" x14ac:dyDescent="0.25">
      <c r="A1750" s="47">
        <v>46277</v>
      </c>
      <c r="B1750" s="48" t="s">
        <v>18</v>
      </c>
      <c r="C1750" s="48" t="s">
        <v>22</v>
      </c>
      <c r="D1750" s="48" t="s">
        <v>23</v>
      </c>
      <c r="E1750" s="49">
        <v>5000</v>
      </c>
      <c r="F1750" s="76">
        <v>5722</v>
      </c>
      <c r="G1750" s="49">
        <v>0</v>
      </c>
      <c r="H1750" s="50">
        <f>IFERROR(Table1[Re-process (Kg)]/Table1[Actual Production (Kg)], "")</f>
        <v>0</v>
      </c>
      <c r="I1750" s="49">
        <f>IFERROR(Table1[[#This Row],[Actual Production (Kg)]]-Table1[[#This Row],[Re-process (Kg)]], "")</f>
        <v>5722</v>
      </c>
      <c r="J1750" s="49">
        <v>22</v>
      </c>
      <c r="K1750" s="72"/>
      <c r="L1750" s="49">
        <f>IF(Table1[[#This Row],[Target Time (Hours)]]="","",Table1[[#This Row],[Target Time (Hours)]]-Table1[[#This Row],[Downtime (Hours)]])</f>
        <v>22</v>
      </c>
      <c r="M1750" s="49">
        <f>IFERROR(Table1[[#This Row],[Capacity (Kg)]]/Table1[[#This Row],[Target Time (Hours)]] * Table1[[#This Row],[Downtime (Hours)]], "")</f>
        <v>0</v>
      </c>
      <c r="N1750" s="50">
        <f>IFERROR(Table1[[#This Row],[Running Time (hr)]]/Table1[Target Time (Hours)], "")</f>
        <v>1</v>
      </c>
      <c r="O1750" s="50">
        <f>IFERROR(Table1[[#This Row],[Actual Production (Kg)]]/Table1[Capacity (Kg)], "")</f>
        <v>1.1444000000000001</v>
      </c>
      <c r="P1750" s="50">
        <f>IFERROR(Table1[[#This Row],[Quality Pass Production]]/Table1[[#This Row],[Actual Production (Kg)]], "")</f>
        <v>1</v>
      </c>
      <c r="Q1750" s="50">
        <f>IFERROR(Table1[[#This Row],[Utilization %]]*Table1[[#This Row],[Efficiency %]]*Table1[[#This Row],[Quality %]], "")</f>
        <v>1.1444000000000001</v>
      </c>
    </row>
    <row r="1751" spans="1:18" x14ac:dyDescent="0.25">
      <c r="A1751" s="47">
        <v>46277</v>
      </c>
      <c r="B1751" s="48" t="s">
        <v>18</v>
      </c>
      <c r="C1751" s="48" t="s">
        <v>22</v>
      </c>
      <c r="D1751" s="48" t="s">
        <v>25</v>
      </c>
      <c r="E1751" s="49">
        <v>4000</v>
      </c>
      <c r="F1751" s="76">
        <v>2741</v>
      </c>
      <c r="G1751" s="49">
        <v>0</v>
      </c>
      <c r="H1751" s="50">
        <f>IFERROR(Table1[Re-process (Kg)]/Table1[Actual Production (Kg)], "")</f>
        <v>0</v>
      </c>
      <c r="I1751" s="49">
        <f>IFERROR(Table1[[#This Row],[Actual Production (Kg)]]-Table1[[#This Row],[Re-process (Kg)]], "")</f>
        <v>2741</v>
      </c>
      <c r="J1751" s="49"/>
      <c r="K1751" s="72"/>
      <c r="L1751" s="49" t="str">
        <f>IF(Table1[[#This Row],[Target Time (Hours)]]="","",Table1[[#This Row],[Target Time (Hours)]]-Table1[[#This Row],[Downtime (Hours)]])</f>
        <v/>
      </c>
      <c r="M1751" s="49" t="str">
        <f>IFERROR(Table1[[#This Row],[Capacity (Kg)]]/Table1[[#This Row],[Target Time (Hours)]] * Table1[[#This Row],[Downtime (Hours)]], "")</f>
        <v/>
      </c>
      <c r="N1751" s="50" t="str">
        <f>IFERROR(Table1[[#This Row],[Running Time (hr)]]/Table1[Target Time (Hours)], "")</f>
        <v/>
      </c>
      <c r="O1751" s="50">
        <f>IFERROR(Table1[[#This Row],[Actual Production (Kg)]]/Table1[Capacity (Kg)], "")</f>
        <v>0.68525000000000003</v>
      </c>
      <c r="P1751" s="50">
        <f>IFERROR(Table1[[#This Row],[Quality Pass Production]]/Table1[[#This Row],[Actual Production (Kg)]], "")</f>
        <v>1</v>
      </c>
      <c r="Q1751" s="50" t="str">
        <f>IFERROR(Table1[[#This Row],[Utilization %]]*Table1[[#This Row],[Efficiency %]]*Table1[[#This Row],[Quality %]], "")</f>
        <v/>
      </c>
    </row>
    <row r="1752" spans="1:18" ht="30" customHeight="1" x14ac:dyDescent="0.25">
      <c r="A1752" s="47">
        <v>46277</v>
      </c>
      <c r="B1752" s="48" t="s">
        <v>18</v>
      </c>
      <c r="C1752" s="48" t="s">
        <v>26</v>
      </c>
      <c r="D1752" s="48" t="s">
        <v>25</v>
      </c>
      <c r="E1752" s="49">
        <v>7000</v>
      </c>
      <c r="F1752" s="76">
        <v>6785</v>
      </c>
      <c r="G1752" s="49">
        <v>0</v>
      </c>
      <c r="H1752" s="50">
        <f>IFERROR(Table1[Re-process (Kg)]/Table1[Actual Production (Kg)], "")</f>
        <v>0</v>
      </c>
      <c r="I1752" s="49">
        <f>IFERROR(Table1[[#This Row],[Actual Production (Kg)]]-Table1[[#This Row],[Re-process (Kg)]], "")</f>
        <v>6785</v>
      </c>
      <c r="J1752" s="49">
        <v>22</v>
      </c>
      <c r="K1752" s="72">
        <v>2.33</v>
      </c>
      <c r="L1752" s="49">
        <f>IF(Table1[[#This Row],[Target Time (Hours)]]="","",Table1[[#This Row],[Target Time (Hours)]]-Table1[[#This Row],[Downtime (Hours)]])</f>
        <v>19.670000000000002</v>
      </c>
      <c r="M1752" s="49">
        <f>IFERROR(Table1[[#This Row],[Capacity (Kg)]]/Table1[[#This Row],[Target Time (Hours)]] * Table1[[#This Row],[Downtime (Hours)]], "")</f>
        <v>741.36363636363637</v>
      </c>
      <c r="N1752" s="50">
        <f>IFERROR(Table1[[#This Row],[Running Time (hr)]]/Table1[Target Time (Hours)], "")</f>
        <v>0.89409090909090916</v>
      </c>
      <c r="O1752" s="50">
        <f>IFERROR(Table1[[#This Row],[Actual Production (Kg)]]/Table1[Capacity (Kg)], "")</f>
        <v>0.96928571428571431</v>
      </c>
      <c r="P1752" s="50">
        <f>IFERROR(Table1[[#This Row],[Quality Pass Production]]/Table1[[#This Row],[Actual Production (Kg)]], "")</f>
        <v>1</v>
      </c>
      <c r="Q1752" s="50">
        <f>IFERROR(Table1[[#This Row],[Utilization %]]*Table1[[#This Row],[Efficiency %]]*Table1[[#This Row],[Quality %]], "")</f>
        <v>0.86662954545454551</v>
      </c>
      <c r="R1752" s="48" t="s">
        <v>473</v>
      </c>
    </row>
    <row r="1753" spans="1:18" ht="30" customHeight="1" x14ac:dyDescent="0.25">
      <c r="A1753" s="47">
        <v>46277</v>
      </c>
      <c r="B1753" s="48" t="s">
        <v>18</v>
      </c>
      <c r="C1753" s="48" t="s">
        <v>28</v>
      </c>
      <c r="D1753" s="48" t="s">
        <v>29</v>
      </c>
      <c r="E1753" s="49">
        <v>7800</v>
      </c>
      <c r="F1753" s="76">
        <v>5735</v>
      </c>
      <c r="G1753" s="49">
        <v>0</v>
      </c>
      <c r="H1753" s="50">
        <f>IFERROR(Table1[Re-process (Kg)]/Table1[Actual Production (Kg)], "")</f>
        <v>0</v>
      </c>
      <c r="I1753" s="49">
        <f>IFERROR(Table1[[#This Row],[Actual Production (Kg)]]-Table1[[#This Row],[Re-process (Kg)]], "")</f>
        <v>5735</v>
      </c>
      <c r="J1753" s="49">
        <v>22</v>
      </c>
      <c r="K1753" s="72">
        <v>3.5</v>
      </c>
      <c r="L1753" s="49">
        <f>IF(Table1[[#This Row],[Target Time (Hours)]]="","",Table1[[#This Row],[Target Time (Hours)]]-Table1[[#This Row],[Downtime (Hours)]])</f>
        <v>18.5</v>
      </c>
      <c r="M1753" s="49">
        <f>IFERROR(Table1[[#This Row],[Capacity (Kg)]]/Table1[[#This Row],[Target Time (Hours)]] * Table1[[#This Row],[Downtime (Hours)]], "")</f>
        <v>1240.909090909091</v>
      </c>
      <c r="N1753" s="50">
        <f>IFERROR(Table1[[#This Row],[Running Time (hr)]]/Table1[Target Time (Hours)], "")</f>
        <v>0.84090909090909094</v>
      </c>
      <c r="O1753" s="50">
        <f>IFERROR(Table1[[#This Row],[Actual Production (Kg)]]/Table1[Capacity (Kg)], "")</f>
        <v>0.73525641025641031</v>
      </c>
      <c r="P1753" s="50">
        <f>IFERROR(Table1[[#This Row],[Quality Pass Production]]/Table1[[#This Row],[Actual Production (Kg)]], "")</f>
        <v>1</v>
      </c>
      <c r="Q1753" s="50">
        <f>IFERROR(Table1[[#This Row],[Utilization %]]*Table1[[#This Row],[Efficiency %]]*Table1[[#This Row],[Quality %]], "")</f>
        <v>0.61828379953379964</v>
      </c>
      <c r="R1753" s="48" t="s">
        <v>474</v>
      </c>
    </row>
    <row r="1754" spans="1:18" ht="30" customHeight="1" x14ac:dyDescent="0.25">
      <c r="A1754" s="51">
        <v>46277</v>
      </c>
      <c r="B1754" s="52" t="s">
        <v>18</v>
      </c>
      <c r="C1754" s="52" t="s">
        <v>135</v>
      </c>
      <c r="D1754" s="52" t="s">
        <v>29</v>
      </c>
      <c r="E1754" s="53"/>
      <c r="F1754" s="53"/>
      <c r="G1754" s="53"/>
      <c r="H1754" s="57" t="str">
        <f>IFERROR(Table1[Re-process (Kg)]/Table1[Actual Production (Kg)], "")</f>
        <v/>
      </c>
      <c r="I1754" s="53">
        <f>IFERROR(Table1[[#This Row],[Actual Production (Kg)]]-Table1[[#This Row],[Re-process (Kg)]], "")</f>
        <v>0</v>
      </c>
      <c r="J1754" s="53"/>
      <c r="K1754" s="52"/>
      <c r="L1754" s="53" t="str">
        <f>IF(Table1[[#This Row],[Target Time (Hours)]]="","",Table1[[#This Row],[Target Time (Hours)]]-Table1[[#This Row],[Downtime (Hours)]])</f>
        <v/>
      </c>
      <c r="M1754" s="53" t="str">
        <f>IFERROR(Table1[[#This Row],[Capacity (Kg)]]/Table1[[#This Row],[Target Time (Hours)]] * Table1[[#This Row],[Downtime (Hours)]], "")</f>
        <v/>
      </c>
      <c r="N1754" s="57" t="str">
        <f>IFERROR(Table1[[#This Row],[Running Time (hr)]]/Table1[Target Time (Hours)], "")</f>
        <v/>
      </c>
      <c r="O1754" s="57" t="str">
        <f>IFERROR(Table1[[#This Row],[Actual Production (Kg)]]/Table1[Capacity (Kg)], "")</f>
        <v/>
      </c>
      <c r="P1754" s="57" t="str">
        <f>IFERROR(Table1[[#This Row],[Quality Pass Production]]/Table1[[#This Row],[Actual Production (Kg)]], "")</f>
        <v/>
      </c>
      <c r="Q1754" s="57" t="str">
        <f>IFERROR(Table1[[#This Row],[Utilization %]]*Table1[[#This Row],[Efficiency %]]*Table1[[#This Row],[Quality %]], "")</f>
        <v/>
      </c>
      <c r="R1754" s="52"/>
    </row>
    <row r="1755" spans="1:18" ht="30" customHeight="1" x14ac:dyDescent="0.25">
      <c r="A1755" s="47">
        <v>46277</v>
      </c>
      <c r="B1755" s="48" t="s">
        <v>18</v>
      </c>
      <c r="C1755" s="48" t="s">
        <v>30</v>
      </c>
      <c r="D1755" s="48" t="s">
        <v>31</v>
      </c>
      <c r="E1755" s="49">
        <v>9000</v>
      </c>
      <c r="F1755" s="76">
        <v>7243</v>
      </c>
      <c r="G1755" s="49">
        <v>0</v>
      </c>
      <c r="H1755" s="50">
        <f>IFERROR(Table1[Re-process (Kg)]/Table1[Actual Production (Kg)], "")</f>
        <v>0</v>
      </c>
      <c r="I1755" s="49">
        <f>IFERROR(Table1[[#This Row],[Actual Production (Kg)]]-Table1[[#This Row],[Re-process (Kg)]], "")</f>
        <v>7243</v>
      </c>
      <c r="J1755" s="49">
        <v>22</v>
      </c>
      <c r="K1755" s="72"/>
      <c r="L1755" s="49">
        <f>IF(Table1[[#This Row],[Target Time (Hours)]]="","",Table1[[#This Row],[Target Time (Hours)]]-Table1[[#This Row],[Downtime (Hours)]])</f>
        <v>22</v>
      </c>
      <c r="M1755" s="49">
        <f>IFERROR(Table1[[#This Row],[Capacity (Kg)]]/Table1[[#This Row],[Target Time (Hours)]] * Table1[[#This Row],[Downtime (Hours)]], "")</f>
        <v>0</v>
      </c>
      <c r="N1755" s="50">
        <f>IFERROR(Table1[[#This Row],[Running Time (hr)]]/Table1[Target Time (Hours)], "")</f>
        <v>1</v>
      </c>
      <c r="O1755" s="50">
        <f>IFERROR(Table1[[#This Row],[Actual Production (Kg)]]/Table1[Capacity (Kg)], "")</f>
        <v>0.80477777777777781</v>
      </c>
      <c r="P1755" s="50">
        <f>IFERROR(Table1[[#This Row],[Quality Pass Production]]/Table1[[#This Row],[Actual Production (Kg)]], "")</f>
        <v>1</v>
      </c>
      <c r="Q1755" s="50">
        <f>IFERROR(Table1[[#This Row],[Utilization %]]*Table1[[#This Row],[Efficiency %]]*Table1[[#This Row],[Quality %]], "")</f>
        <v>0.80477777777777781</v>
      </c>
    </row>
    <row r="1756" spans="1:18" ht="30" customHeight="1" x14ac:dyDescent="0.25">
      <c r="A1756" s="51">
        <v>46277</v>
      </c>
      <c r="B1756" s="52" t="s">
        <v>18</v>
      </c>
      <c r="C1756" s="52" t="s">
        <v>32</v>
      </c>
      <c r="D1756" s="52" t="s">
        <v>31</v>
      </c>
      <c r="E1756" s="53"/>
      <c r="F1756" s="53">
        <v>1002</v>
      </c>
      <c r="G1756" s="53"/>
      <c r="H1756" s="57">
        <f>IFERROR(Table1[Re-process (Kg)]/Table1[Actual Production (Kg)], "")</f>
        <v>0</v>
      </c>
      <c r="I1756" s="53">
        <f>IFERROR(Table1[[#This Row],[Actual Production (Kg)]]-Table1[[#This Row],[Re-process (Kg)]], "")</f>
        <v>1002</v>
      </c>
      <c r="J1756" s="53"/>
      <c r="K1756" s="52"/>
      <c r="L1756" s="53" t="str">
        <f>IF(Table1[[#This Row],[Target Time (Hours)]]="","",Table1[[#This Row],[Target Time (Hours)]]-Table1[[#This Row],[Downtime (Hours)]])</f>
        <v/>
      </c>
      <c r="M1756" s="53" t="str">
        <f>IFERROR(Table1[[#This Row],[Capacity (Kg)]]/Table1[[#This Row],[Target Time (Hours)]] * Table1[[#This Row],[Downtime (Hours)]], "")</f>
        <v/>
      </c>
      <c r="N1756" s="57" t="str">
        <f>IFERROR(Table1[[#This Row],[Running Time (hr)]]/Table1[Target Time (Hours)], "")</f>
        <v/>
      </c>
      <c r="O1756" s="57" t="str">
        <f>IFERROR(Table1[[#This Row],[Actual Production (Kg)]]/Table1[Capacity (Kg)], "")</f>
        <v/>
      </c>
      <c r="P1756" s="57">
        <f>IFERROR(Table1[[#This Row],[Quality Pass Production]]/Table1[[#This Row],[Actual Production (Kg)]], "")</f>
        <v>1</v>
      </c>
      <c r="Q1756" s="57" t="str">
        <f>IFERROR(Table1[[#This Row],[Utilization %]]*Table1[[#This Row],[Efficiency %]]*Table1[[#This Row],[Quality %]], "")</f>
        <v/>
      </c>
      <c r="R1756" s="52"/>
    </row>
    <row r="1757" spans="1:18" ht="30" customHeight="1" x14ac:dyDescent="0.25">
      <c r="A1757" s="47">
        <v>46277</v>
      </c>
      <c r="B1757" s="48" t="s">
        <v>33</v>
      </c>
      <c r="C1757" s="48" t="s">
        <v>34</v>
      </c>
      <c r="D1757" s="48" t="s">
        <v>35</v>
      </c>
      <c r="E1757" s="49">
        <v>9000</v>
      </c>
      <c r="F1757" s="76">
        <v>4165</v>
      </c>
      <c r="G1757" s="49">
        <v>0</v>
      </c>
      <c r="H1757" s="50">
        <f>IFERROR(Table1[Re-process (Kg)]/Table1[Actual Production (Kg)], "")</f>
        <v>0</v>
      </c>
      <c r="I1757" s="49">
        <f>IFERROR(Table1[[#This Row],[Actual Production (Kg)]]-Table1[[#This Row],[Re-process (Kg)]], "")</f>
        <v>4165</v>
      </c>
      <c r="J1757" s="49">
        <v>22</v>
      </c>
      <c r="K1757" s="72"/>
      <c r="L1757" s="49">
        <f>IF(Table1[[#This Row],[Target Time (Hours)]]="","",Table1[[#This Row],[Target Time (Hours)]]-Table1[[#This Row],[Downtime (Hours)]])</f>
        <v>22</v>
      </c>
      <c r="M1757" s="49">
        <f>IFERROR(Table1[[#This Row],[Capacity (Kg)]]/Table1[[#This Row],[Target Time (Hours)]] * Table1[[#This Row],[Downtime (Hours)]], "")</f>
        <v>0</v>
      </c>
      <c r="N1757" s="50">
        <f>IFERROR(Table1[[#This Row],[Running Time (hr)]]/Table1[Target Time (Hours)], "")</f>
        <v>1</v>
      </c>
      <c r="O1757" s="50">
        <f>IFERROR(Table1[[#This Row],[Actual Production (Kg)]]/Table1[Capacity (Kg)], "")</f>
        <v>0.46277777777777779</v>
      </c>
      <c r="P1757" s="50">
        <f>IFERROR(Table1[[#This Row],[Quality Pass Production]]/Table1[[#This Row],[Actual Production (Kg)]], "")</f>
        <v>1</v>
      </c>
      <c r="Q1757" s="50">
        <f>IFERROR(Table1[[#This Row],[Utilization %]]*Table1[[#This Row],[Efficiency %]]*Table1[[#This Row],[Quality %]], "")</f>
        <v>0.46277777777777779</v>
      </c>
    </row>
    <row r="1758" spans="1:18" ht="45" customHeight="1" x14ac:dyDescent="0.25">
      <c r="A1758" s="47">
        <v>46277</v>
      </c>
      <c r="B1758" s="48" t="s">
        <v>33</v>
      </c>
      <c r="C1758" s="48" t="s">
        <v>36</v>
      </c>
      <c r="D1758" s="48" t="s">
        <v>37</v>
      </c>
      <c r="E1758" s="49">
        <v>8000</v>
      </c>
      <c r="F1758" s="76">
        <v>4184</v>
      </c>
      <c r="G1758" s="49">
        <v>0</v>
      </c>
      <c r="H1758" s="50">
        <f>IFERROR(Table1[Re-process (Kg)]/Table1[Actual Production (Kg)], "")</f>
        <v>0</v>
      </c>
      <c r="I1758" s="49">
        <f>IFERROR(Table1[[#This Row],[Actual Production (Kg)]]-Table1[[#This Row],[Re-process (Kg)]], "")</f>
        <v>4184</v>
      </c>
      <c r="J1758" s="49">
        <v>22</v>
      </c>
      <c r="K1758" s="72">
        <v>7.5</v>
      </c>
      <c r="L1758" s="49">
        <f>IF(Table1[[#This Row],[Target Time (Hours)]]="","",Table1[[#This Row],[Target Time (Hours)]]-Table1[[#This Row],[Downtime (Hours)]])</f>
        <v>14.5</v>
      </c>
      <c r="M1758" s="49">
        <f>IFERROR(Table1[[#This Row],[Capacity (Kg)]]/Table1[[#This Row],[Target Time (Hours)]] * Table1[[#This Row],[Downtime (Hours)]], "")</f>
        <v>2727.272727272727</v>
      </c>
      <c r="N1758" s="50">
        <f>IFERROR(Table1[[#This Row],[Running Time (hr)]]/Table1[Target Time (Hours)], "")</f>
        <v>0.65909090909090906</v>
      </c>
      <c r="O1758" s="50">
        <f>IFERROR(Table1[[#This Row],[Actual Production (Kg)]]/Table1[Capacity (Kg)], "")</f>
        <v>0.52300000000000002</v>
      </c>
      <c r="P1758" s="50">
        <f>IFERROR(Table1[[#This Row],[Quality Pass Production]]/Table1[[#This Row],[Actual Production (Kg)]], "")</f>
        <v>1</v>
      </c>
      <c r="Q1758" s="50">
        <f>IFERROR(Table1[[#This Row],[Utilization %]]*Table1[[#This Row],[Efficiency %]]*Table1[[#This Row],[Quality %]], "")</f>
        <v>0.34470454545454543</v>
      </c>
      <c r="R1758" s="48" t="s">
        <v>475</v>
      </c>
    </row>
    <row r="1759" spans="1:18" ht="45" customHeight="1" x14ac:dyDescent="0.25">
      <c r="A1759" s="47">
        <v>46277</v>
      </c>
      <c r="B1759" s="48" t="s">
        <v>33</v>
      </c>
      <c r="C1759" s="48" t="s">
        <v>39</v>
      </c>
      <c r="D1759" s="48" t="s">
        <v>31</v>
      </c>
      <c r="E1759" s="49">
        <v>6000</v>
      </c>
      <c r="F1759" s="76">
        <v>2609</v>
      </c>
      <c r="G1759" s="49">
        <v>0</v>
      </c>
      <c r="H1759" s="50">
        <f>IFERROR(Table1[Re-process (Kg)]/Table1[Actual Production (Kg)], "")</f>
        <v>0</v>
      </c>
      <c r="I1759" s="49">
        <f>IFERROR(Table1[[#This Row],[Actual Production (Kg)]]-Table1[[#This Row],[Re-process (Kg)]], "")</f>
        <v>2609</v>
      </c>
      <c r="J1759" s="49">
        <v>22</v>
      </c>
      <c r="K1759" s="72">
        <v>4</v>
      </c>
      <c r="L1759" s="49">
        <f>IF(Table1[[#This Row],[Target Time (Hours)]]="","",Table1[[#This Row],[Target Time (Hours)]]-Table1[[#This Row],[Downtime (Hours)]])</f>
        <v>18</v>
      </c>
      <c r="M1759" s="49">
        <f>IFERROR(Table1[[#This Row],[Capacity (Kg)]]/Table1[[#This Row],[Target Time (Hours)]] * Table1[[#This Row],[Downtime (Hours)]], "")</f>
        <v>1090.909090909091</v>
      </c>
      <c r="N1759" s="50">
        <f>IFERROR(Table1[[#This Row],[Running Time (hr)]]/Table1[Target Time (Hours)], "")</f>
        <v>0.81818181818181823</v>
      </c>
      <c r="O1759" s="50">
        <f>IFERROR(Table1[[#This Row],[Actual Production (Kg)]]/Table1[Capacity (Kg)], "")</f>
        <v>0.43483333333333335</v>
      </c>
      <c r="P1759" s="50">
        <f>IFERROR(Table1[[#This Row],[Quality Pass Production]]/Table1[[#This Row],[Actual Production (Kg)]], "")</f>
        <v>1</v>
      </c>
      <c r="Q1759" s="50">
        <f>IFERROR(Table1[[#This Row],[Utilization %]]*Table1[[#This Row],[Efficiency %]]*Table1[[#This Row],[Quality %]], "")</f>
        <v>0.3557727272727273</v>
      </c>
      <c r="R1759" s="48" t="s">
        <v>476</v>
      </c>
    </row>
    <row r="1760" spans="1:18" ht="45" customHeight="1" x14ac:dyDescent="0.25">
      <c r="A1760" s="54">
        <v>46277</v>
      </c>
      <c r="B1760" s="55" t="s">
        <v>33</v>
      </c>
      <c r="C1760" s="55" t="s">
        <v>40</v>
      </c>
      <c r="D1760" s="55" t="s">
        <v>31</v>
      </c>
      <c r="E1760" s="56">
        <v>5000</v>
      </c>
      <c r="F1760" s="56">
        <v>2798</v>
      </c>
      <c r="G1760" s="56">
        <v>0</v>
      </c>
      <c r="H1760" s="58">
        <f>IFERROR(Table1[Re-process (Kg)]/Table1[Actual Production (Kg)], "")</f>
        <v>0</v>
      </c>
      <c r="I1760" s="56">
        <f>IFERROR(Table1[[#This Row],[Actual Production (Kg)]]-Table1[[#This Row],[Re-process (Kg)]], "")</f>
        <v>2798</v>
      </c>
      <c r="J1760" s="56">
        <v>22</v>
      </c>
      <c r="K1760" s="55">
        <v>4</v>
      </c>
      <c r="L1760" s="56">
        <f>IF(Table1[[#This Row],[Target Time (Hours)]]="","",Table1[[#This Row],[Target Time (Hours)]]-Table1[[#This Row],[Downtime (Hours)]])</f>
        <v>18</v>
      </c>
      <c r="M1760" s="56">
        <f>IFERROR(Table1[[#This Row],[Capacity (Kg)]]/Table1[[#This Row],[Target Time (Hours)]] * Table1[[#This Row],[Downtime (Hours)]], "")</f>
        <v>909.09090909090912</v>
      </c>
      <c r="N1760" s="58">
        <f>IFERROR(Table1[[#This Row],[Running Time (hr)]]/Table1[Target Time (Hours)], "")</f>
        <v>0.81818181818181823</v>
      </c>
      <c r="O1760" s="58">
        <f>IFERROR(Table1[[#This Row],[Actual Production (Kg)]]/Table1[Capacity (Kg)], "")</f>
        <v>0.55959999999999999</v>
      </c>
      <c r="P1760" s="58">
        <f>IFERROR(Table1[[#This Row],[Quality Pass Production]]/Table1[[#This Row],[Actual Production (Kg)]], "")</f>
        <v>1</v>
      </c>
      <c r="Q1760" s="58">
        <f>IFERROR(Table1[[#This Row],[Utilization %]]*Table1[[#This Row],[Efficiency %]]*Table1[[#This Row],[Quality %]], "")</f>
        <v>0.45785454545454546</v>
      </c>
      <c r="R1760" s="55" t="s">
        <v>476</v>
      </c>
    </row>
    <row r="1761" spans="1:18" ht="30" customHeight="1" x14ac:dyDescent="0.25">
      <c r="A1761" s="47">
        <v>46278</v>
      </c>
      <c r="B1761" s="48" t="s">
        <v>18</v>
      </c>
      <c r="C1761" s="48" t="s">
        <v>19</v>
      </c>
      <c r="D1761" s="48" t="s">
        <v>20</v>
      </c>
      <c r="E1761" s="49">
        <v>10000</v>
      </c>
      <c r="F1761" s="76">
        <v>9540</v>
      </c>
      <c r="G1761" s="49">
        <v>0</v>
      </c>
      <c r="H1761" s="50">
        <f>IFERROR(Table1[Re-process (Kg)]/Table1[Actual Production (Kg)], "")</f>
        <v>0</v>
      </c>
      <c r="I1761" s="49">
        <f>IFERROR(Table1[[#This Row],[Actual Production (Kg)]]-Table1[[#This Row],[Re-process (Kg)]], "")</f>
        <v>9540</v>
      </c>
      <c r="J1761" s="49">
        <v>22</v>
      </c>
      <c r="K1761" s="72"/>
      <c r="L1761" s="49">
        <f>IF(Table1[[#This Row],[Target Time (Hours)]]="","",Table1[[#This Row],[Target Time (Hours)]]-Table1[[#This Row],[Downtime (Hours)]])</f>
        <v>22</v>
      </c>
      <c r="M1761" s="49">
        <f>IFERROR(Table1[[#This Row],[Capacity (Kg)]]/Table1[[#This Row],[Target Time (Hours)]] * Table1[[#This Row],[Downtime (Hours)]], "")</f>
        <v>0</v>
      </c>
      <c r="N1761" s="50">
        <f>IFERROR(Table1[[#This Row],[Running Time (hr)]]/Table1[Target Time (Hours)], "")</f>
        <v>1</v>
      </c>
      <c r="O1761" s="50">
        <f>IFERROR(Table1[[#This Row],[Actual Production (Kg)]]/Table1[Capacity (Kg)], "")</f>
        <v>0.95399999999999996</v>
      </c>
      <c r="P1761" s="50">
        <f>IFERROR(Table1[[#This Row],[Quality Pass Production]]/Table1[[#This Row],[Actual Production (Kg)]], "")</f>
        <v>1</v>
      </c>
      <c r="Q1761" s="50">
        <f>IFERROR(Table1[[#This Row],[Utilization %]]*Table1[[#This Row],[Efficiency %]]*Table1[[#This Row],[Quality %]], "")</f>
        <v>0.95399999999999996</v>
      </c>
    </row>
    <row r="1762" spans="1:18" x14ac:dyDescent="0.25">
      <c r="A1762" s="51">
        <v>46278</v>
      </c>
      <c r="B1762" s="52" t="s">
        <v>18</v>
      </c>
      <c r="C1762" s="52" t="s">
        <v>238</v>
      </c>
      <c r="D1762" s="52" t="s">
        <v>20</v>
      </c>
      <c r="E1762" s="53">
        <v>10215</v>
      </c>
      <c r="F1762" s="53">
        <v>10215</v>
      </c>
      <c r="G1762" s="53">
        <v>0</v>
      </c>
      <c r="H1762" s="57">
        <f>IFERROR(Table1[Re-process (Kg)]/Table1[Actual Production (Kg)], "")</f>
        <v>0</v>
      </c>
      <c r="I1762" s="53">
        <f>IFERROR(Table1[[#This Row],[Actual Production (Kg)]]-Table1[[#This Row],[Re-process (Kg)]], "")</f>
        <v>10215</v>
      </c>
      <c r="J1762" s="53"/>
      <c r="K1762" s="52"/>
      <c r="L1762" s="53" t="str">
        <f>IF(Table1[[#This Row],[Target Time (Hours)]]="","",Table1[[#This Row],[Target Time (Hours)]]-Table1[[#This Row],[Downtime (Hours)]])</f>
        <v/>
      </c>
      <c r="M1762" s="53" t="str">
        <f>IFERROR(Table1[[#This Row],[Capacity (Kg)]]/Table1[[#This Row],[Target Time (Hours)]] * Table1[[#This Row],[Downtime (Hours)]], "")</f>
        <v/>
      </c>
      <c r="N1762" s="57" t="str">
        <f>IFERROR(Table1[[#This Row],[Running Time (hr)]]/Table1[Target Time (Hours)], "")</f>
        <v/>
      </c>
      <c r="O1762" s="57">
        <f>IFERROR(Table1[[#This Row],[Actual Production (Kg)]]/Table1[Capacity (Kg)], "")</f>
        <v>1</v>
      </c>
      <c r="P1762" s="57">
        <f>IFERROR(Table1[[#This Row],[Quality Pass Production]]/Table1[[#This Row],[Actual Production (Kg)]], "")</f>
        <v>1</v>
      </c>
      <c r="Q1762" s="57" t="str">
        <f>IFERROR(Table1[[#This Row],[Utilization %]]*Table1[[#This Row],[Efficiency %]]*Table1[[#This Row],[Quality %]], "")</f>
        <v/>
      </c>
      <c r="R1762" s="52"/>
    </row>
    <row r="1763" spans="1:18" ht="30" customHeight="1" x14ac:dyDescent="0.25">
      <c r="A1763" s="47">
        <v>46278</v>
      </c>
      <c r="B1763" s="48" t="s">
        <v>18</v>
      </c>
      <c r="C1763" s="48" t="s">
        <v>22</v>
      </c>
      <c r="D1763" s="48" t="s">
        <v>23</v>
      </c>
      <c r="E1763" s="49">
        <v>5000</v>
      </c>
      <c r="F1763" s="76">
        <v>4732</v>
      </c>
      <c r="G1763" s="49">
        <v>0</v>
      </c>
      <c r="H1763" s="50">
        <f>IFERROR(Table1[Re-process (Kg)]/Table1[Actual Production (Kg)], "")</f>
        <v>0</v>
      </c>
      <c r="I1763" s="49">
        <f>IFERROR(Table1[[#This Row],[Actual Production (Kg)]]-Table1[[#This Row],[Re-process (Kg)]], "")</f>
        <v>4732</v>
      </c>
      <c r="J1763" s="49">
        <v>22</v>
      </c>
      <c r="K1763" s="72">
        <v>0.57999999999999996</v>
      </c>
      <c r="L1763" s="49">
        <f>IF(Table1[[#This Row],[Target Time (Hours)]]="","",Table1[[#This Row],[Target Time (Hours)]]-Table1[[#This Row],[Downtime (Hours)]])</f>
        <v>21.42</v>
      </c>
      <c r="M1763" s="49">
        <f>IFERROR(Table1[[#This Row],[Capacity (Kg)]]/Table1[[#This Row],[Target Time (Hours)]] * Table1[[#This Row],[Downtime (Hours)]], "")</f>
        <v>131.81818181818181</v>
      </c>
      <c r="N1763" s="50">
        <f>IFERROR(Table1[[#This Row],[Running Time (hr)]]/Table1[Target Time (Hours)], "")</f>
        <v>0.97363636363636374</v>
      </c>
      <c r="O1763" s="50">
        <f>IFERROR(Table1[[#This Row],[Actual Production (Kg)]]/Table1[Capacity (Kg)], "")</f>
        <v>0.94640000000000002</v>
      </c>
      <c r="P1763" s="50">
        <f>IFERROR(Table1[[#This Row],[Quality Pass Production]]/Table1[[#This Row],[Actual Production (Kg)]], "")</f>
        <v>1</v>
      </c>
      <c r="Q1763" s="50">
        <f>IFERROR(Table1[[#This Row],[Utilization %]]*Table1[[#This Row],[Efficiency %]]*Table1[[#This Row],[Quality %]], "")</f>
        <v>0.92144945454545468</v>
      </c>
      <c r="R1763" s="48" t="s">
        <v>477</v>
      </c>
    </row>
    <row r="1764" spans="1:18" x14ac:dyDescent="0.25">
      <c r="A1764" s="47">
        <v>46278</v>
      </c>
      <c r="B1764" s="48" t="s">
        <v>18</v>
      </c>
      <c r="C1764" s="48" t="s">
        <v>22</v>
      </c>
      <c r="D1764" s="48" t="s">
        <v>25</v>
      </c>
      <c r="E1764" s="49">
        <v>4000</v>
      </c>
      <c r="F1764" s="76">
        <v>4832</v>
      </c>
      <c r="G1764" s="49">
        <v>0</v>
      </c>
      <c r="H1764" s="50">
        <f>IFERROR(Table1[Re-process (Kg)]/Table1[Actual Production (Kg)], "")</f>
        <v>0</v>
      </c>
      <c r="I1764" s="49">
        <f>IFERROR(Table1[[#This Row],[Actual Production (Kg)]]-Table1[[#This Row],[Re-process (Kg)]], "")</f>
        <v>4832</v>
      </c>
      <c r="J1764" s="49"/>
      <c r="K1764" s="72"/>
      <c r="L1764" s="49" t="str">
        <f>IF(Table1[[#This Row],[Target Time (Hours)]]="","",Table1[[#This Row],[Target Time (Hours)]]-Table1[[#This Row],[Downtime (Hours)]])</f>
        <v/>
      </c>
      <c r="M1764" s="49" t="str">
        <f>IFERROR(Table1[[#This Row],[Capacity (Kg)]]/Table1[[#This Row],[Target Time (Hours)]] * Table1[[#This Row],[Downtime (Hours)]], "")</f>
        <v/>
      </c>
      <c r="N1764" s="50" t="str">
        <f>IFERROR(Table1[[#This Row],[Running Time (hr)]]/Table1[Target Time (Hours)], "")</f>
        <v/>
      </c>
      <c r="O1764" s="50">
        <f>IFERROR(Table1[[#This Row],[Actual Production (Kg)]]/Table1[Capacity (Kg)], "")</f>
        <v>1.208</v>
      </c>
      <c r="P1764" s="50">
        <f>IFERROR(Table1[[#This Row],[Quality Pass Production]]/Table1[[#This Row],[Actual Production (Kg)]], "")</f>
        <v>1</v>
      </c>
      <c r="Q1764" s="50" t="str">
        <f>IFERROR(Table1[[#This Row],[Utilization %]]*Table1[[#This Row],[Efficiency %]]*Table1[[#This Row],[Quality %]], "")</f>
        <v/>
      </c>
    </row>
    <row r="1765" spans="1:18" ht="30" customHeight="1" x14ac:dyDescent="0.25">
      <c r="A1765" s="47">
        <v>46278</v>
      </c>
      <c r="B1765" s="48" t="s">
        <v>18</v>
      </c>
      <c r="C1765" s="48" t="s">
        <v>26</v>
      </c>
      <c r="D1765" s="48" t="s">
        <v>25</v>
      </c>
      <c r="E1765" s="49">
        <v>7000</v>
      </c>
      <c r="F1765" s="76">
        <v>6917</v>
      </c>
      <c r="G1765" s="49">
        <v>0</v>
      </c>
      <c r="H1765" s="50">
        <f>IFERROR(Table1[Re-process (Kg)]/Table1[Actual Production (Kg)], "")</f>
        <v>0</v>
      </c>
      <c r="I1765" s="49">
        <f>IFERROR(Table1[[#This Row],[Actual Production (Kg)]]-Table1[[#This Row],[Re-process (Kg)]], "")</f>
        <v>6917</v>
      </c>
      <c r="J1765" s="49">
        <v>22</v>
      </c>
      <c r="K1765" s="72">
        <v>1.83</v>
      </c>
      <c r="L1765" s="49">
        <f>IF(Table1[[#This Row],[Target Time (Hours)]]="","",Table1[[#This Row],[Target Time (Hours)]]-Table1[[#This Row],[Downtime (Hours)]])</f>
        <v>20.170000000000002</v>
      </c>
      <c r="M1765" s="49">
        <f>IFERROR(Table1[[#This Row],[Capacity (Kg)]]/Table1[[#This Row],[Target Time (Hours)]] * Table1[[#This Row],[Downtime (Hours)]], "")</f>
        <v>582.27272727272725</v>
      </c>
      <c r="N1765" s="50">
        <f>IFERROR(Table1[[#This Row],[Running Time (hr)]]/Table1[Target Time (Hours)], "")</f>
        <v>0.91681818181818187</v>
      </c>
      <c r="O1765" s="50">
        <f>IFERROR(Table1[[#This Row],[Actual Production (Kg)]]/Table1[Capacity (Kg)], "")</f>
        <v>0.9881428571428571</v>
      </c>
      <c r="P1765" s="50">
        <f>IFERROR(Table1[[#This Row],[Quality Pass Production]]/Table1[[#This Row],[Actual Production (Kg)]], "")</f>
        <v>1</v>
      </c>
      <c r="Q1765" s="50">
        <f>IFERROR(Table1[[#This Row],[Utilization %]]*Table1[[#This Row],[Efficiency %]]*Table1[[#This Row],[Quality %]], "")</f>
        <v>0.9059473376623377</v>
      </c>
      <c r="R1765" s="48" t="s">
        <v>478</v>
      </c>
    </row>
    <row r="1766" spans="1:18" ht="30" customHeight="1" x14ac:dyDescent="0.25">
      <c r="A1766" s="47">
        <v>46278</v>
      </c>
      <c r="B1766" s="48" t="s">
        <v>18</v>
      </c>
      <c r="C1766" s="48" t="s">
        <v>28</v>
      </c>
      <c r="D1766" s="48" t="s">
        <v>29</v>
      </c>
      <c r="E1766" s="49">
        <v>7800</v>
      </c>
      <c r="F1766" s="76">
        <v>7019</v>
      </c>
      <c r="G1766" s="49">
        <v>0</v>
      </c>
      <c r="H1766" s="50">
        <f>IFERROR(Table1[Re-process (Kg)]/Table1[Actual Production (Kg)], "")</f>
        <v>0</v>
      </c>
      <c r="I1766" s="49">
        <f>IFERROR(Table1[[#This Row],[Actual Production (Kg)]]-Table1[[#This Row],[Re-process (Kg)]], "")</f>
        <v>7019</v>
      </c>
      <c r="J1766" s="49">
        <v>22</v>
      </c>
      <c r="K1766" s="72">
        <v>3</v>
      </c>
      <c r="L1766" s="49">
        <f>IF(Table1[[#This Row],[Target Time (Hours)]]="","",Table1[[#This Row],[Target Time (Hours)]]-Table1[[#This Row],[Downtime (Hours)]])</f>
        <v>19</v>
      </c>
      <c r="M1766" s="49">
        <f>IFERROR(Table1[[#This Row],[Capacity (Kg)]]/Table1[[#This Row],[Target Time (Hours)]] * Table1[[#This Row],[Downtime (Hours)]], "")</f>
        <v>1063.6363636363637</v>
      </c>
      <c r="N1766" s="50">
        <f>IFERROR(Table1[[#This Row],[Running Time (hr)]]/Table1[Target Time (Hours)], "")</f>
        <v>0.86363636363636365</v>
      </c>
      <c r="O1766" s="50">
        <f>IFERROR(Table1[[#This Row],[Actual Production (Kg)]]/Table1[Capacity (Kg)], "")</f>
        <v>0.89987179487179492</v>
      </c>
      <c r="P1766" s="50">
        <f>IFERROR(Table1[[#This Row],[Quality Pass Production]]/Table1[[#This Row],[Actual Production (Kg)]], "")</f>
        <v>1</v>
      </c>
      <c r="Q1766" s="50">
        <f>IFERROR(Table1[[#This Row],[Utilization %]]*Table1[[#This Row],[Efficiency %]]*Table1[[#This Row],[Quality %]], "")</f>
        <v>0.77716200466200469</v>
      </c>
      <c r="R1766" s="48" t="s">
        <v>436</v>
      </c>
    </row>
    <row r="1767" spans="1:18" ht="30" customHeight="1" x14ac:dyDescent="0.25">
      <c r="A1767" s="51">
        <v>46278</v>
      </c>
      <c r="B1767" s="52" t="s">
        <v>18</v>
      </c>
      <c r="C1767" s="52" t="s">
        <v>135</v>
      </c>
      <c r="D1767" s="52" t="s">
        <v>29</v>
      </c>
      <c r="E1767" s="53"/>
      <c r="F1767" s="53"/>
      <c r="G1767" s="53"/>
      <c r="H1767" s="57" t="str">
        <f>IFERROR(Table1[Re-process (Kg)]/Table1[Actual Production (Kg)], "")</f>
        <v/>
      </c>
      <c r="I1767" s="53">
        <f>IFERROR(Table1[[#This Row],[Actual Production (Kg)]]-Table1[[#This Row],[Re-process (Kg)]], "")</f>
        <v>0</v>
      </c>
      <c r="J1767" s="53"/>
      <c r="K1767" s="52"/>
      <c r="L1767" s="53" t="str">
        <f>IF(Table1[[#This Row],[Target Time (Hours)]]="","",Table1[[#This Row],[Target Time (Hours)]]-Table1[[#This Row],[Downtime (Hours)]])</f>
        <v/>
      </c>
      <c r="M1767" s="53" t="str">
        <f>IFERROR(Table1[[#This Row],[Capacity (Kg)]]/Table1[[#This Row],[Target Time (Hours)]] * Table1[[#This Row],[Downtime (Hours)]], "")</f>
        <v/>
      </c>
      <c r="N1767" s="57" t="str">
        <f>IFERROR(Table1[[#This Row],[Running Time (hr)]]/Table1[Target Time (Hours)], "")</f>
        <v/>
      </c>
      <c r="O1767" s="57" t="str">
        <f>IFERROR(Table1[[#This Row],[Actual Production (Kg)]]/Table1[Capacity (Kg)], "")</f>
        <v/>
      </c>
      <c r="P1767" s="57" t="str">
        <f>IFERROR(Table1[[#This Row],[Quality Pass Production]]/Table1[[#This Row],[Actual Production (Kg)]], "")</f>
        <v/>
      </c>
      <c r="Q1767" s="57" t="str">
        <f>IFERROR(Table1[[#This Row],[Utilization %]]*Table1[[#This Row],[Efficiency %]]*Table1[[#This Row],[Quality %]], "")</f>
        <v/>
      </c>
      <c r="R1767" s="52"/>
    </row>
    <row r="1768" spans="1:18" ht="30" customHeight="1" x14ac:dyDescent="0.25">
      <c r="A1768" s="47">
        <v>46278</v>
      </c>
      <c r="B1768" s="48" t="s">
        <v>18</v>
      </c>
      <c r="C1768" s="48" t="s">
        <v>30</v>
      </c>
      <c r="D1768" s="48" t="s">
        <v>31</v>
      </c>
      <c r="E1768" s="49">
        <v>9000</v>
      </c>
      <c r="F1768" s="76">
        <v>9301</v>
      </c>
      <c r="G1768" s="49">
        <v>0</v>
      </c>
      <c r="H1768" s="50">
        <f>IFERROR(Table1[Re-process (Kg)]/Table1[Actual Production (Kg)], "")</f>
        <v>0</v>
      </c>
      <c r="I1768" s="49">
        <f>IFERROR(Table1[[#This Row],[Actual Production (Kg)]]-Table1[[#This Row],[Re-process (Kg)]], "")</f>
        <v>9301</v>
      </c>
      <c r="J1768" s="49">
        <v>22</v>
      </c>
      <c r="K1768" s="72"/>
      <c r="L1768" s="49">
        <f>IF(Table1[[#This Row],[Target Time (Hours)]]="","",Table1[[#This Row],[Target Time (Hours)]]-Table1[[#This Row],[Downtime (Hours)]])</f>
        <v>22</v>
      </c>
      <c r="M1768" s="49">
        <f>IFERROR(Table1[[#This Row],[Capacity (Kg)]]/Table1[[#This Row],[Target Time (Hours)]] * Table1[[#This Row],[Downtime (Hours)]], "")</f>
        <v>0</v>
      </c>
      <c r="N1768" s="50">
        <f>IFERROR(Table1[[#This Row],[Running Time (hr)]]/Table1[Target Time (Hours)], "")</f>
        <v>1</v>
      </c>
      <c r="O1768" s="50">
        <f>IFERROR(Table1[[#This Row],[Actual Production (Kg)]]/Table1[Capacity (Kg)], "")</f>
        <v>1.0334444444444444</v>
      </c>
      <c r="P1768" s="50">
        <f>IFERROR(Table1[[#This Row],[Quality Pass Production]]/Table1[[#This Row],[Actual Production (Kg)]], "")</f>
        <v>1</v>
      </c>
      <c r="Q1768" s="50">
        <f>IFERROR(Table1[[#This Row],[Utilization %]]*Table1[[#This Row],[Efficiency %]]*Table1[[#This Row],[Quality %]], "")</f>
        <v>1.0334444444444444</v>
      </c>
    </row>
    <row r="1769" spans="1:18" ht="30" customHeight="1" x14ac:dyDescent="0.25">
      <c r="A1769" s="51">
        <v>46278</v>
      </c>
      <c r="B1769" s="52" t="s">
        <v>18</v>
      </c>
      <c r="C1769" s="52" t="s">
        <v>32</v>
      </c>
      <c r="D1769" s="52" t="s">
        <v>31</v>
      </c>
      <c r="E1769" s="53"/>
      <c r="F1769" s="53">
        <v>398</v>
      </c>
      <c r="G1769" s="53"/>
      <c r="H1769" s="57">
        <f>IFERROR(Table1[Re-process (Kg)]/Table1[Actual Production (Kg)], "")</f>
        <v>0</v>
      </c>
      <c r="I1769" s="53">
        <f>IFERROR(Table1[[#This Row],[Actual Production (Kg)]]-Table1[[#This Row],[Re-process (Kg)]], "")</f>
        <v>398</v>
      </c>
      <c r="J1769" s="53"/>
      <c r="K1769" s="52"/>
      <c r="L1769" s="53" t="str">
        <f>IF(Table1[[#This Row],[Target Time (Hours)]]="","",Table1[[#This Row],[Target Time (Hours)]]-Table1[[#This Row],[Downtime (Hours)]])</f>
        <v/>
      </c>
      <c r="M1769" s="53" t="str">
        <f>IFERROR(Table1[[#This Row],[Capacity (Kg)]]/Table1[[#This Row],[Target Time (Hours)]] * Table1[[#This Row],[Downtime (Hours)]], "")</f>
        <v/>
      </c>
      <c r="N1769" s="57" t="str">
        <f>IFERROR(Table1[[#This Row],[Running Time (hr)]]/Table1[Target Time (Hours)], "")</f>
        <v/>
      </c>
      <c r="O1769" s="57" t="str">
        <f>IFERROR(Table1[[#This Row],[Actual Production (Kg)]]/Table1[Capacity (Kg)], "")</f>
        <v/>
      </c>
      <c r="P1769" s="57">
        <f>IFERROR(Table1[[#This Row],[Quality Pass Production]]/Table1[[#This Row],[Actual Production (Kg)]], "")</f>
        <v>1</v>
      </c>
      <c r="Q1769" s="57" t="str">
        <f>IFERROR(Table1[[#This Row],[Utilization %]]*Table1[[#This Row],[Efficiency %]]*Table1[[#This Row],[Quality %]], "")</f>
        <v/>
      </c>
      <c r="R1769" s="52"/>
    </row>
    <row r="1770" spans="1:18" ht="45" customHeight="1" x14ac:dyDescent="0.25">
      <c r="A1770" s="47">
        <v>46278</v>
      </c>
      <c r="B1770" s="48" t="s">
        <v>33</v>
      </c>
      <c r="C1770" s="48" t="s">
        <v>34</v>
      </c>
      <c r="D1770" s="48" t="s">
        <v>35</v>
      </c>
      <c r="E1770" s="49">
        <v>9000</v>
      </c>
      <c r="F1770" s="76">
        <v>4923</v>
      </c>
      <c r="G1770" s="49">
        <v>0</v>
      </c>
      <c r="H1770" s="50">
        <f>IFERROR(Table1[Re-process (Kg)]/Table1[Actual Production (Kg)], "")</f>
        <v>0</v>
      </c>
      <c r="I1770" s="49">
        <f>IFERROR(Table1[[#This Row],[Actual Production (Kg)]]-Table1[[#This Row],[Re-process (Kg)]], "")</f>
        <v>4923</v>
      </c>
      <c r="J1770" s="49">
        <v>22</v>
      </c>
      <c r="K1770" s="72">
        <v>2</v>
      </c>
      <c r="L1770" s="49">
        <f>IF(Table1[[#This Row],[Target Time (Hours)]]="","",Table1[[#This Row],[Target Time (Hours)]]-Table1[[#This Row],[Downtime (Hours)]])</f>
        <v>20</v>
      </c>
      <c r="M1770" s="49">
        <f>IFERROR(Table1[[#This Row],[Capacity (Kg)]]/Table1[[#This Row],[Target Time (Hours)]] * Table1[[#This Row],[Downtime (Hours)]], "")</f>
        <v>818.18181818181813</v>
      </c>
      <c r="N1770" s="50">
        <f>IFERROR(Table1[[#This Row],[Running Time (hr)]]/Table1[Target Time (Hours)], "")</f>
        <v>0.90909090909090906</v>
      </c>
      <c r="O1770" s="50">
        <f>IFERROR(Table1[[#This Row],[Actual Production (Kg)]]/Table1[Capacity (Kg)], "")</f>
        <v>0.54700000000000004</v>
      </c>
      <c r="P1770" s="50">
        <f>IFERROR(Table1[[#This Row],[Quality Pass Production]]/Table1[[#This Row],[Actual Production (Kg)]], "")</f>
        <v>1</v>
      </c>
      <c r="Q1770" s="50">
        <f>IFERROR(Table1[[#This Row],[Utilization %]]*Table1[[#This Row],[Efficiency %]]*Table1[[#This Row],[Quality %]], "")</f>
        <v>0.49727272727272731</v>
      </c>
      <c r="R1770" s="48" t="s">
        <v>479</v>
      </c>
    </row>
    <row r="1771" spans="1:18" ht="45" customHeight="1" x14ac:dyDescent="0.25">
      <c r="A1771" s="47">
        <v>46278</v>
      </c>
      <c r="B1771" s="48" t="s">
        <v>33</v>
      </c>
      <c r="C1771" s="48" t="s">
        <v>36</v>
      </c>
      <c r="D1771" s="48" t="s">
        <v>37</v>
      </c>
      <c r="E1771" s="49">
        <v>8000</v>
      </c>
      <c r="F1771" s="76">
        <v>4921</v>
      </c>
      <c r="G1771" s="49">
        <v>0</v>
      </c>
      <c r="H1771" s="50">
        <f>IFERROR(Table1[Re-process (Kg)]/Table1[Actual Production (Kg)], "")</f>
        <v>0</v>
      </c>
      <c r="I1771" s="49">
        <f>IFERROR(Table1[[#This Row],[Actual Production (Kg)]]-Table1[[#This Row],[Re-process (Kg)]], "")</f>
        <v>4921</v>
      </c>
      <c r="J1771" s="49">
        <v>22</v>
      </c>
      <c r="K1771" s="72">
        <v>5.17</v>
      </c>
      <c r="L1771" s="49">
        <f>IF(Table1[[#This Row],[Target Time (Hours)]]="","",Table1[[#This Row],[Target Time (Hours)]]-Table1[[#This Row],[Downtime (Hours)]])</f>
        <v>16.829999999999998</v>
      </c>
      <c r="M1771" s="49">
        <f>IFERROR(Table1[[#This Row],[Capacity (Kg)]]/Table1[[#This Row],[Target Time (Hours)]] * Table1[[#This Row],[Downtime (Hours)]], "")</f>
        <v>1880</v>
      </c>
      <c r="N1771" s="50">
        <f>IFERROR(Table1[[#This Row],[Running Time (hr)]]/Table1[Target Time (Hours)], "")</f>
        <v>0.7649999999999999</v>
      </c>
      <c r="O1771" s="50">
        <f>IFERROR(Table1[[#This Row],[Actual Production (Kg)]]/Table1[Capacity (Kg)], "")</f>
        <v>0.61512500000000003</v>
      </c>
      <c r="P1771" s="50">
        <f>IFERROR(Table1[[#This Row],[Quality Pass Production]]/Table1[[#This Row],[Actual Production (Kg)]], "")</f>
        <v>1</v>
      </c>
      <c r="Q1771" s="50">
        <f>IFERROR(Table1[[#This Row],[Utilization %]]*Table1[[#This Row],[Efficiency %]]*Table1[[#This Row],[Quality %]], "")</f>
        <v>0.47057062499999996</v>
      </c>
      <c r="R1771" s="48" t="s">
        <v>480</v>
      </c>
    </row>
    <row r="1772" spans="1:18" ht="45" customHeight="1" x14ac:dyDescent="0.25">
      <c r="A1772" s="47">
        <v>46278</v>
      </c>
      <c r="B1772" s="48" t="s">
        <v>33</v>
      </c>
      <c r="C1772" s="48" t="s">
        <v>39</v>
      </c>
      <c r="D1772" s="48" t="s">
        <v>31</v>
      </c>
      <c r="E1772" s="49">
        <v>6000</v>
      </c>
      <c r="F1772" s="76">
        <v>1530</v>
      </c>
      <c r="G1772" s="49">
        <v>0</v>
      </c>
      <c r="H1772" s="50">
        <f>IFERROR(Table1[Re-process (Kg)]/Table1[Actual Production (Kg)], "")</f>
        <v>0</v>
      </c>
      <c r="I1772" s="49">
        <f>IFERROR(Table1[[#This Row],[Actual Production (Kg)]]-Table1[[#This Row],[Re-process (Kg)]], "")</f>
        <v>1530</v>
      </c>
      <c r="J1772" s="49">
        <v>22</v>
      </c>
      <c r="K1772" s="72">
        <v>10.5</v>
      </c>
      <c r="L1772" s="49">
        <f>IF(Table1[[#This Row],[Target Time (Hours)]]="","",Table1[[#This Row],[Target Time (Hours)]]-Table1[[#This Row],[Downtime (Hours)]])</f>
        <v>11.5</v>
      </c>
      <c r="M1772" s="49">
        <f>IFERROR(Table1[[#This Row],[Capacity (Kg)]]/Table1[[#This Row],[Target Time (Hours)]] * Table1[[#This Row],[Downtime (Hours)]], "")</f>
        <v>2863.636363636364</v>
      </c>
      <c r="N1772" s="50">
        <f>IFERROR(Table1[[#This Row],[Running Time (hr)]]/Table1[Target Time (Hours)], "")</f>
        <v>0.52272727272727271</v>
      </c>
      <c r="O1772" s="50">
        <f>IFERROR(Table1[[#This Row],[Actual Production (Kg)]]/Table1[Capacity (Kg)], "")</f>
        <v>0.255</v>
      </c>
      <c r="P1772" s="50">
        <f>IFERROR(Table1[[#This Row],[Quality Pass Production]]/Table1[[#This Row],[Actual Production (Kg)]], "")</f>
        <v>1</v>
      </c>
      <c r="Q1772" s="50">
        <f>IFERROR(Table1[[#This Row],[Utilization %]]*Table1[[#This Row],[Efficiency %]]*Table1[[#This Row],[Quality %]], "")</f>
        <v>0.13329545454545455</v>
      </c>
      <c r="R1772" s="48" t="s">
        <v>481</v>
      </c>
    </row>
    <row r="1773" spans="1:18" ht="45" customHeight="1" x14ac:dyDescent="0.25">
      <c r="A1773" s="54">
        <v>46278</v>
      </c>
      <c r="B1773" s="55" t="s">
        <v>33</v>
      </c>
      <c r="C1773" s="55" t="s">
        <v>40</v>
      </c>
      <c r="D1773" s="55" t="s">
        <v>31</v>
      </c>
      <c r="E1773" s="56">
        <v>5000</v>
      </c>
      <c r="F1773" s="56">
        <v>3273</v>
      </c>
      <c r="G1773" s="56">
        <v>0</v>
      </c>
      <c r="H1773" s="58">
        <f>IFERROR(Table1[Re-process (Kg)]/Table1[Actual Production (Kg)], "")</f>
        <v>0</v>
      </c>
      <c r="I1773" s="56">
        <f>IFERROR(Table1[[#This Row],[Actual Production (Kg)]]-Table1[[#This Row],[Re-process (Kg)]], "")</f>
        <v>3273</v>
      </c>
      <c r="J1773" s="56">
        <v>22</v>
      </c>
      <c r="K1773" s="55">
        <v>2</v>
      </c>
      <c r="L1773" s="56">
        <f>IF(Table1[[#This Row],[Target Time (Hours)]]="","",Table1[[#This Row],[Target Time (Hours)]]-Table1[[#This Row],[Downtime (Hours)]])</f>
        <v>20</v>
      </c>
      <c r="M1773" s="56">
        <f>IFERROR(Table1[[#This Row],[Capacity (Kg)]]/Table1[[#This Row],[Target Time (Hours)]] * Table1[[#This Row],[Downtime (Hours)]], "")</f>
        <v>454.54545454545456</v>
      </c>
      <c r="N1773" s="58">
        <f>IFERROR(Table1[[#This Row],[Running Time (hr)]]/Table1[Target Time (Hours)], "")</f>
        <v>0.90909090909090906</v>
      </c>
      <c r="O1773" s="58">
        <f>IFERROR(Table1[[#This Row],[Actual Production (Kg)]]/Table1[Capacity (Kg)], "")</f>
        <v>0.65459999999999996</v>
      </c>
      <c r="P1773" s="58">
        <f>IFERROR(Table1[[#This Row],[Quality Pass Production]]/Table1[[#This Row],[Actual Production (Kg)]], "")</f>
        <v>1</v>
      </c>
      <c r="Q1773" s="58">
        <f>IFERROR(Table1[[#This Row],[Utilization %]]*Table1[[#This Row],[Efficiency %]]*Table1[[#This Row],[Quality %]], "")</f>
        <v>0.595090909090909</v>
      </c>
      <c r="R1773" s="55" t="s">
        <v>482</v>
      </c>
    </row>
    <row r="1774" spans="1:18" ht="30" customHeight="1" x14ac:dyDescent="0.25">
      <c r="A1774" s="47">
        <v>46279</v>
      </c>
      <c r="B1774" s="48" t="s">
        <v>18</v>
      </c>
      <c r="C1774" s="48" t="s">
        <v>19</v>
      </c>
      <c r="D1774" s="48" t="s">
        <v>20</v>
      </c>
      <c r="E1774" s="49">
        <v>10000</v>
      </c>
      <c r="F1774" s="76">
        <v>8584</v>
      </c>
      <c r="G1774" s="49">
        <v>0</v>
      </c>
      <c r="H1774" s="50">
        <f>IFERROR(Table1[Re-process (Kg)]/Table1[Actual Production (Kg)], "")</f>
        <v>0</v>
      </c>
      <c r="I1774" s="49">
        <f>IFERROR(Table1[[#This Row],[Actual Production (Kg)]]-Table1[[#This Row],[Re-process (Kg)]], "")</f>
        <v>8584</v>
      </c>
      <c r="J1774" s="49">
        <v>22</v>
      </c>
      <c r="K1774" s="72">
        <v>1</v>
      </c>
      <c r="L1774" s="49">
        <f>IF(Table1[[#This Row],[Target Time (Hours)]]="","",Table1[[#This Row],[Target Time (Hours)]]-Table1[[#This Row],[Downtime (Hours)]])</f>
        <v>21</v>
      </c>
      <c r="M1774" s="49">
        <f>IFERROR(Table1[[#This Row],[Capacity (Kg)]]/Table1[[#This Row],[Target Time (Hours)]] * Table1[[#This Row],[Downtime (Hours)]], "")</f>
        <v>454.54545454545456</v>
      </c>
      <c r="N1774" s="50">
        <f>IFERROR(Table1[[#This Row],[Running Time (hr)]]/Table1[Target Time (Hours)], "")</f>
        <v>0.95454545454545459</v>
      </c>
      <c r="O1774" s="50">
        <f>IFERROR(Table1[[#This Row],[Actual Production (Kg)]]/Table1[Capacity (Kg)], "")</f>
        <v>0.85840000000000005</v>
      </c>
      <c r="P1774" s="50">
        <f>IFERROR(Table1[[#This Row],[Quality Pass Production]]/Table1[[#This Row],[Actual Production (Kg)]], "")</f>
        <v>1</v>
      </c>
      <c r="Q1774" s="50">
        <f>IFERROR(Table1[[#This Row],[Utilization %]]*Table1[[#This Row],[Efficiency %]]*Table1[[#This Row],[Quality %]], "")</f>
        <v>0.81938181818181821</v>
      </c>
      <c r="R1774" s="48" t="s">
        <v>483</v>
      </c>
    </row>
    <row r="1775" spans="1:18" x14ac:dyDescent="0.25">
      <c r="A1775" s="51">
        <v>46279</v>
      </c>
      <c r="B1775" s="52" t="s">
        <v>18</v>
      </c>
      <c r="C1775" s="52" t="s">
        <v>238</v>
      </c>
      <c r="D1775" s="52" t="s">
        <v>20</v>
      </c>
      <c r="E1775" s="53">
        <v>7947</v>
      </c>
      <c r="F1775" s="53">
        <v>7947</v>
      </c>
      <c r="G1775" s="53">
        <v>0</v>
      </c>
      <c r="H1775" s="57">
        <f>IFERROR(Table1[Re-process (Kg)]/Table1[Actual Production (Kg)], "")</f>
        <v>0</v>
      </c>
      <c r="I1775" s="53">
        <f>IFERROR(Table1[[#This Row],[Actual Production (Kg)]]-Table1[[#This Row],[Re-process (Kg)]], "")</f>
        <v>7947</v>
      </c>
      <c r="J1775" s="53"/>
      <c r="K1775" s="52"/>
      <c r="L1775" s="53" t="str">
        <f>IF(Table1[[#This Row],[Target Time (Hours)]]="","",Table1[[#This Row],[Target Time (Hours)]]-Table1[[#This Row],[Downtime (Hours)]])</f>
        <v/>
      </c>
      <c r="M1775" s="53" t="str">
        <f>IFERROR(Table1[[#This Row],[Capacity (Kg)]]/Table1[[#This Row],[Target Time (Hours)]] * Table1[[#This Row],[Downtime (Hours)]], "")</f>
        <v/>
      </c>
      <c r="N1775" s="57" t="str">
        <f>IFERROR(Table1[[#This Row],[Running Time (hr)]]/Table1[Target Time (Hours)], "")</f>
        <v/>
      </c>
      <c r="O1775" s="57">
        <f>IFERROR(Table1[[#This Row],[Actual Production (Kg)]]/Table1[Capacity (Kg)], "")</f>
        <v>1</v>
      </c>
      <c r="P1775" s="57">
        <f>IFERROR(Table1[[#This Row],[Quality Pass Production]]/Table1[[#This Row],[Actual Production (Kg)]], "")</f>
        <v>1</v>
      </c>
      <c r="Q1775" s="57" t="str">
        <f>IFERROR(Table1[[#This Row],[Utilization %]]*Table1[[#This Row],[Efficiency %]]*Table1[[#This Row],[Quality %]], "")</f>
        <v/>
      </c>
      <c r="R1775" s="52"/>
    </row>
    <row r="1776" spans="1:18" x14ac:dyDescent="0.25">
      <c r="A1776" s="47">
        <v>46279</v>
      </c>
      <c r="B1776" s="48" t="s">
        <v>18</v>
      </c>
      <c r="C1776" s="48" t="s">
        <v>22</v>
      </c>
      <c r="D1776" s="48" t="s">
        <v>23</v>
      </c>
      <c r="E1776" s="49">
        <v>5000</v>
      </c>
      <c r="F1776" s="76">
        <v>4940</v>
      </c>
      <c r="G1776" s="49">
        <v>0</v>
      </c>
      <c r="H1776" s="50">
        <f>IFERROR(Table1[Re-process (Kg)]/Table1[Actual Production (Kg)], "")</f>
        <v>0</v>
      </c>
      <c r="I1776" s="49">
        <f>IFERROR(Table1[[#This Row],[Actual Production (Kg)]]-Table1[[#This Row],[Re-process (Kg)]], "")</f>
        <v>4940</v>
      </c>
      <c r="J1776" s="49">
        <v>22</v>
      </c>
      <c r="K1776" s="72"/>
      <c r="L1776" s="49">
        <f>IF(Table1[[#This Row],[Target Time (Hours)]]="","",Table1[[#This Row],[Target Time (Hours)]]-Table1[[#This Row],[Downtime (Hours)]])</f>
        <v>22</v>
      </c>
      <c r="M1776" s="49">
        <f>IFERROR(Table1[[#This Row],[Capacity (Kg)]]/Table1[[#This Row],[Target Time (Hours)]] * Table1[[#This Row],[Downtime (Hours)]], "")</f>
        <v>0</v>
      </c>
      <c r="N1776" s="50">
        <f>IFERROR(Table1[[#This Row],[Running Time (hr)]]/Table1[Target Time (Hours)], "")</f>
        <v>1</v>
      </c>
      <c r="O1776" s="50">
        <f>IFERROR(Table1[[#This Row],[Actual Production (Kg)]]/Table1[Capacity (Kg)], "")</f>
        <v>0.98799999999999999</v>
      </c>
      <c r="P1776" s="50">
        <f>IFERROR(Table1[[#This Row],[Quality Pass Production]]/Table1[[#This Row],[Actual Production (Kg)]], "")</f>
        <v>1</v>
      </c>
      <c r="Q1776" s="50">
        <f>IFERROR(Table1[[#This Row],[Utilization %]]*Table1[[#This Row],[Efficiency %]]*Table1[[#This Row],[Quality %]], "")</f>
        <v>0.98799999999999999</v>
      </c>
    </row>
    <row r="1777" spans="1:18" x14ac:dyDescent="0.25">
      <c r="A1777" s="47">
        <v>46279</v>
      </c>
      <c r="B1777" s="48" t="s">
        <v>18</v>
      </c>
      <c r="C1777" s="48" t="s">
        <v>22</v>
      </c>
      <c r="D1777" s="48" t="s">
        <v>25</v>
      </c>
      <c r="E1777" s="49">
        <v>4000</v>
      </c>
      <c r="F1777" s="76">
        <v>4023</v>
      </c>
      <c r="G1777" s="49">
        <v>0</v>
      </c>
      <c r="H1777" s="50">
        <f>IFERROR(Table1[Re-process (Kg)]/Table1[Actual Production (Kg)], "")</f>
        <v>0</v>
      </c>
      <c r="I1777" s="49">
        <f>IFERROR(Table1[[#This Row],[Actual Production (Kg)]]-Table1[[#This Row],[Re-process (Kg)]], "")</f>
        <v>4023</v>
      </c>
      <c r="J1777" s="49"/>
      <c r="K1777" s="72"/>
      <c r="L1777" s="49" t="str">
        <f>IF(Table1[[#This Row],[Target Time (Hours)]]="","",Table1[[#This Row],[Target Time (Hours)]]-Table1[[#This Row],[Downtime (Hours)]])</f>
        <v/>
      </c>
      <c r="M1777" s="49" t="str">
        <f>IFERROR(Table1[[#This Row],[Capacity (Kg)]]/Table1[[#This Row],[Target Time (Hours)]] * Table1[[#This Row],[Downtime (Hours)]], "")</f>
        <v/>
      </c>
      <c r="N1777" s="50" t="str">
        <f>IFERROR(Table1[[#This Row],[Running Time (hr)]]/Table1[Target Time (Hours)], "")</f>
        <v/>
      </c>
      <c r="O1777" s="50">
        <f>IFERROR(Table1[[#This Row],[Actual Production (Kg)]]/Table1[Capacity (Kg)], "")</f>
        <v>1.0057499999999999</v>
      </c>
      <c r="P1777" s="50">
        <f>IFERROR(Table1[[#This Row],[Quality Pass Production]]/Table1[[#This Row],[Actual Production (Kg)]], "")</f>
        <v>1</v>
      </c>
      <c r="Q1777" s="50" t="str">
        <f>IFERROR(Table1[[#This Row],[Utilization %]]*Table1[[#This Row],[Efficiency %]]*Table1[[#This Row],[Quality %]], "")</f>
        <v/>
      </c>
    </row>
    <row r="1778" spans="1:18" ht="45" customHeight="1" x14ac:dyDescent="0.25">
      <c r="A1778" s="47">
        <v>46279</v>
      </c>
      <c r="B1778" s="48" t="s">
        <v>18</v>
      </c>
      <c r="C1778" s="48" t="s">
        <v>26</v>
      </c>
      <c r="D1778" s="48" t="s">
        <v>25</v>
      </c>
      <c r="E1778" s="49">
        <v>7000</v>
      </c>
      <c r="F1778" s="76">
        <v>6314</v>
      </c>
      <c r="G1778" s="49">
        <v>0</v>
      </c>
      <c r="H1778" s="50">
        <f>IFERROR(Table1[Re-process (Kg)]/Table1[Actual Production (Kg)], "")</f>
        <v>0</v>
      </c>
      <c r="I1778" s="49">
        <f>IFERROR(Table1[[#This Row],[Actual Production (Kg)]]-Table1[[#This Row],[Re-process (Kg)]], "")</f>
        <v>6314</v>
      </c>
      <c r="J1778" s="49">
        <v>22</v>
      </c>
      <c r="K1778" s="72"/>
      <c r="L1778" s="49">
        <f>IF(Table1[[#This Row],[Target Time (Hours)]]="","",Table1[[#This Row],[Target Time (Hours)]]-Table1[[#This Row],[Downtime (Hours)]])</f>
        <v>22</v>
      </c>
      <c r="M1778" s="49">
        <f>IFERROR(Table1[[#This Row],[Capacity (Kg)]]/Table1[[#This Row],[Target Time (Hours)]] * Table1[[#This Row],[Downtime (Hours)]], "")</f>
        <v>0</v>
      </c>
      <c r="N1778" s="50">
        <f>IFERROR(Table1[[#This Row],[Running Time (hr)]]/Table1[Target Time (Hours)], "")</f>
        <v>1</v>
      </c>
      <c r="O1778" s="50">
        <f>IFERROR(Table1[[#This Row],[Actual Production (Kg)]]/Table1[Capacity (Kg)], "")</f>
        <v>0.90200000000000002</v>
      </c>
      <c r="P1778" s="50">
        <f>IFERROR(Table1[[#This Row],[Quality Pass Production]]/Table1[[#This Row],[Actual Production (Kg)]], "")</f>
        <v>1</v>
      </c>
      <c r="Q1778" s="50">
        <f>IFERROR(Table1[[#This Row],[Utilization %]]*Table1[[#This Row],[Efficiency %]]*Table1[[#This Row],[Quality %]], "")</f>
        <v>0.90200000000000002</v>
      </c>
      <c r="R1778" s="48" t="s">
        <v>484</v>
      </c>
    </row>
    <row r="1779" spans="1:18" ht="30" customHeight="1" x14ac:dyDescent="0.25">
      <c r="A1779" s="47">
        <v>46279</v>
      </c>
      <c r="B1779" s="48" t="s">
        <v>18</v>
      </c>
      <c r="C1779" s="48" t="s">
        <v>28</v>
      </c>
      <c r="D1779" s="48" t="s">
        <v>29</v>
      </c>
      <c r="E1779" s="49">
        <v>7800</v>
      </c>
      <c r="F1779" s="76">
        <v>5887</v>
      </c>
      <c r="G1779" s="49">
        <v>0</v>
      </c>
      <c r="H1779" s="50">
        <f>IFERROR(Table1[Re-process (Kg)]/Table1[Actual Production (Kg)], "")</f>
        <v>0</v>
      </c>
      <c r="I1779" s="49">
        <f>IFERROR(Table1[[#This Row],[Actual Production (Kg)]]-Table1[[#This Row],[Re-process (Kg)]], "")</f>
        <v>5887</v>
      </c>
      <c r="J1779" s="49">
        <v>22</v>
      </c>
      <c r="K1779" s="72"/>
      <c r="L1779" s="49">
        <f>IF(Table1[[#This Row],[Target Time (Hours)]]="","",Table1[[#This Row],[Target Time (Hours)]]-Table1[[#This Row],[Downtime (Hours)]])</f>
        <v>22</v>
      </c>
      <c r="M1779" s="49">
        <f>IFERROR(Table1[[#This Row],[Capacity (Kg)]]/Table1[[#This Row],[Target Time (Hours)]] * Table1[[#This Row],[Downtime (Hours)]], "")</f>
        <v>0</v>
      </c>
      <c r="N1779" s="50">
        <f>IFERROR(Table1[[#This Row],[Running Time (hr)]]/Table1[Target Time (Hours)], "")</f>
        <v>1</v>
      </c>
      <c r="O1779" s="50">
        <f>IFERROR(Table1[[#This Row],[Actual Production (Kg)]]/Table1[Capacity (Kg)], "")</f>
        <v>0.75474358974358979</v>
      </c>
      <c r="P1779" s="50">
        <f>IFERROR(Table1[[#This Row],[Quality Pass Production]]/Table1[[#This Row],[Actual Production (Kg)]], "")</f>
        <v>1</v>
      </c>
      <c r="Q1779" s="50">
        <f>IFERROR(Table1[[#This Row],[Utilization %]]*Table1[[#This Row],[Efficiency %]]*Table1[[#This Row],[Quality %]], "")</f>
        <v>0.75474358974358979</v>
      </c>
    </row>
    <row r="1780" spans="1:18" ht="30" customHeight="1" x14ac:dyDescent="0.25">
      <c r="A1780" s="51">
        <v>46279</v>
      </c>
      <c r="B1780" s="52" t="s">
        <v>18</v>
      </c>
      <c r="C1780" s="52" t="s">
        <v>135</v>
      </c>
      <c r="D1780" s="52" t="s">
        <v>29</v>
      </c>
      <c r="E1780" s="53"/>
      <c r="F1780" s="53"/>
      <c r="G1780" s="53"/>
      <c r="H1780" s="57" t="str">
        <f>IFERROR(Table1[Re-process (Kg)]/Table1[Actual Production (Kg)], "")</f>
        <v/>
      </c>
      <c r="I1780" s="53">
        <f>IFERROR(Table1[[#This Row],[Actual Production (Kg)]]-Table1[[#This Row],[Re-process (Kg)]], "")</f>
        <v>0</v>
      </c>
      <c r="J1780" s="53"/>
      <c r="K1780" s="52"/>
      <c r="L1780" s="53" t="str">
        <f>IF(Table1[[#This Row],[Target Time (Hours)]]="","",Table1[[#This Row],[Target Time (Hours)]]-Table1[[#This Row],[Downtime (Hours)]])</f>
        <v/>
      </c>
      <c r="M1780" s="53" t="str">
        <f>IFERROR(Table1[[#This Row],[Capacity (Kg)]]/Table1[[#This Row],[Target Time (Hours)]] * Table1[[#This Row],[Downtime (Hours)]], "")</f>
        <v/>
      </c>
      <c r="N1780" s="57" t="str">
        <f>IFERROR(Table1[[#This Row],[Running Time (hr)]]/Table1[Target Time (Hours)], "")</f>
        <v/>
      </c>
      <c r="O1780" s="57" t="str">
        <f>IFERROR(Table1[[#This Row],[Actual Production (Kg)]]/Table1[Capacity (Kg)], "")</f>
        <v/>
      </c>
      <c r="P1780" s="57" t="str">
        <f>IFERROR(Table1[[#This Row],[Quality Pass Production]]/Table1[[#This Row],[Actual Production (Kg)]], "")</f>
        <v/>
      </c>
      <c r="Q1780" s="57" t="str">
        <f>IFERROR(Table1[[#This Row],[Utilization %]]*Table1[[#This Row],[Efficiency %]]*Table1[[#This Row],[Quality %]], "")</f>
        <v/>
      </c>
      <c r="R1780" s="52"/>
    </row>
    <row r="1781" spans="1:18" ht="30" customHeight="1" x14ac:dyDescent="0.25">
      <c r="A1781" s="47">
        <v>46279</v>
      </c>
      <c r="B1781" s="48" t="s">
        <v>18</v>
      </c>
      <c r="C1781" s="48" t="s">
        <v>30</v>
      </c>
      <c r="D1781" s="48" t="s">
        <v>31</v>
      </c>
      <c r="E1781" s="49">
        <v>9000</v>
      </c>
      <c r="F1781" s="76">
        <v>7370</v>
      </c>
      <c r="G1781" s="49">
        <v>0</v>
      </c>
      <c r="H1781" s="50">
        <f>IFERROR(Table1[Re-process (Kg)]/Table1[Actual Production (Kg)], "")</f>
        <v>0</v>
      </c>
      <c r="I1781" s="49">
        <f>IFERROR(Table1[[#This Row],[Actual Production (Kg)]]-Table1[[#This Row],[Re-process (Kg)]], "")</f>
        <v>7370</v>
      </c>
      <c r="J1781" s="49">
        <v>22</v>
      </c>
      <c r="K1781" s="72"/>
      <c r="L1781" s="49">
        <f>IF(Table1[[#This Row],[Target Time (Hours)]]="","",Table1[[#This Row],[Target Time (Hours)]]-Table1[[#This Row],[Downtime (Hours)]])</f>
        <v>22</v>
      </c>
      <c r="M1781" s="49">
        <f>IFERROR(Table1[[#This Row],[Capacity (Kg)]]/Table1[[#This Row],[Target Time (Hours)]] * Table1[[#This Row],[Downtime (Hours)]], "")</f>
        <v>0</v>
      </c>
      <c r="N1781" s="50">
        <f>IFERROR(Table1[[#This Row],[Running Time (hr)]]/Table1[Target Time (Hours)], "")</f>
        <v>1</v>
      </c>
      <c r="O1781" s="50">
        <f>IFERROR(Table1[[#This Row],[Actual Production (Kg)]]/Table1[Capacity (Kg)], "")</f>
        <v>0.81888888888888889</v>
      </c>
      <c r="P1781" s="50">
        <f>IFERROR(Table1[[#This Row],[Quality Pass Production]]/Table1[[#This Row],[Actual Production (Kg)]], "")</f>
        <v>1</v>
      </c>
      <c r="Q1781" s="50">
        <f>IFERROR(Table1[[#This Row],[Utilization %]]*Table1[[#This Row],[Efficiency %]]*Table1[[#This Row],[Quality %]], "")</f>
        <v>0.81888888888888889</v>
      </c>
    </row>
    <row r="1782" spans="1:18" ht="30" customHeight="1" x14ac:dyDescent="0.25">
      <c r="A1782" s="51">
        <v>46279</v>
      </c>
      <c r="B1782" s="52" t="s">
        <v>18</v>
      </c>
      <c r="C1782" s="52" t="s">
        <v>32</v>
      </c>
      <c r="D1782" s="52" t="s">
        <v>31</v>
      </c>
      <c r="E1782" s="53"/>
      <c r="F1782" s="53">
        <v>951</v>
      </c>
      <c r="G1782" s="53"/>
      <c r="H1782" s="57">
        <f>IFERROR(Table1[Re-process (Kg)]/Table1[Actual Production (Kg)], "")</f>
        <v>0</v>
      </c>
      <c r="I1782" s="53">
        <f>IFERROR(Table1[[#This Row],[Actual Production (Kg)]]-Table1[[#This Row],[Re-process (Kg)]], "")</f>
        <v>951</v>
      </c>
      <c r="J1782" s="53"/>
      <c r="K1782" s="52"/>
      <c r="L1782" s="53" t="str">
        <f>IF(Table1[[#This Row],[Target Time (Hours)]]="","",Table1[[#This Row],[Target Time (Hours)]]-Table1[[#This Row],[Downtime (Hours)]])</f>
        <v/>
      </c>
      <c r="M1782" s="53" t="str">
        <f>IFERROR(Table1[[#This Row],[Capacity (Kg)]]/Table1[[#This Row],[Target Time (Hours)]] * Table1[[#This Row],[Downtime (Hours)]], "")</f>
        <v/>
      </c>
      <c r="N1782" s="57" t="str">
        <f>IFERROR(Table1[[#This Row],[Running Time (hr)]]/Table1[Target Time (Hours)], "")</f>
        <v/>
      </c>
      <c r="O1782" s="57" t="str">
        <f>IFERROR(Table1[[#This Row],[Actual Production (Kg)]]/Table1[Capacity (Kg)], "")</f>
        <v/>
      </c>
      <c r="P1782" s="57">
        <f>IFERROR(Table1[[#This Row],[Quality Pass Production]]/Table1[[#This Row],[Actual Production (Kg)]], "")</f>
        <v>1</v>
      </c>
      <c r="Q1782" s="57" t="str">
        <f>IFERROR(Table1[[#This Row],[Utilization %]]*Table1[[#This Row],[Efficiency %]]*Table1[[#This Row],[Quality %]], "")</f>
        <v/>
      </c>
      <c r="R1782" s="52" t="s">
        <v>485</v>
      </c>
    </row>
    <row r="1783" spans="1:18" ht="30" customHeight="1" x14ac:dyDescent="0.25">
      <c r="A1783" s="47">
        <v>46279</v>
      </c>
      <c r="B1783" s="48" t="s">
        <v>33</v>
      </c>
      <c r="C1783" s="48" t="s">
        <v>34</v>
      </c>
      <c r="D1783" s="48" t="s">
        <v>35</v>
      </c>
      <c r="E1783" s="49">
        <v>9000</v>
      </c>
      <c r="F1783" s="76">
        <v>5027</v>
      </c>
      <c r="G1783" s="49">
        <v>0</v>
      </c>
      <c r="H1783" s="50">
        <f>IFERROR(Table1[Re-process (Kg)]/Table1[Actual Production (Kg)], "")</f>
        <v>0</v>
      </c>
      <c r="I1783" s="49">
        <f>IFERROR(Table1[[#This Row],[Actual Production (Kg)]]-Table1[[#This Row],[Re-process (Kg)]], "")</f>
        <v>5027</v>
      </c>
      <c r="J1783" s="49">
        <v>22</v>
      </c>
      <c r="K1783" s="72">
        <v>2</v>
      </c>
      <c r="L1783" s="49">
        <f>IF(Table1[[#This Row],[Target Time (Hours)]]="","",Table1[[#This Row],[Target Time (Hours)]]-Table1[[#This Row],[Downtime (Hours)]])</f>
        <v>20</v>
      </c>
      <c r="M1783" s="49">
        <f>IFERROR(Table1[[#This Row],[Capacity (Kg)]]/Table1[[#This Row],[Target Time (Hours)]] * Table1[[#This Row],[Downtime (Hours)]], "")</f>
        <v>818.18181818181813</v>
      </c>
      <c r="N1783" s="50">
        <f>IFERROR(Table1[[#This Row],[Running Time (hr)]]/Table1[Target Time (Hours)], "")</f>
        <v>0.90909090909090906</v>
      </c>
      <c r="O1783" s="50">
        <f>IFERROR(Table1[[#This Row],[Actual Production (Kg)]]/Table1[Capacity (Kg)], "")</f>
        <v>0.55855555555555558</v>
      </c>
      <c r="P1783" s="50">
        <f>IFERROR(Table1[[#This Row],[Quality Pass Production]]/Table1[[#This Row],[Actual Production (Kg)]], "")</f>
        <v>1</v>
      </c>
      <c r="Q1783" s="50">
        <f>IFERROR(Table1[[#This Row],[Utilization %]]*Table1[[#This Row],[Efficiency %]]*Table1[[#This Row],[Quality %]], "")</f>
        <v>0.50777777777777777</v>
      </c>
      <c r="R1783" s="48" t="s">
        <v>486</v>
      </c>
    </row>
    <row r="1784" spans="1:18" ht="45" customHeight="1" x14ac:dyDescent="0.25">
      <c r="A1784" s="47">
        <v>46279</v>
      </c>
      <c r="B1784" s="48" t="s">
        <v>33</v>
      </c>
      <c r="C1784" s="48" t="s">
        <v>36</v>
      </c>
      <c r="D1784" s="48" t="s">
        <v>37</v>
      </c>
      <c r="E1784" s="49">
        <v>8000</v>
      </c>
      <c r="F1784" s="76">
        <v>5026</v>
      </c>
      <c r="G1784" s="49">
        <v>0</v>
      </c>
      <c r="H1784" s="50">
        <f>IFERROR(Table1[Re-process (Kg)]/Table1[Actual Production (Kg)], "")</f>
        <v>0</v>
      </c>
      <c r="I1784" s="49">
        <f>IFERROR(Table1[[#This Row],[Actual Production (Kg)]]-Table1[[#This Row],[Re-process (Kg)]], "")</f>
        <v>5026</v>
      </c>
      <c r="J1784" s="49">
        <v>22</v>
      </c>
      <c r="K1784" s="72">
        <v>1.92</v>
      </c>
      <c r="L1784" s="49">
        <f>IF(Table1[[#This Row],[Target Time (Hours)]]="","",Table1[[#This Row],[Target Time (Hours)]]-Table1[[#This Row],[Downtime (Hours)]])</f>
        <v>20.079999999999998</v>
      </c>
      <c r="M1784" s="49">
        <f>IFERROR(Table1[[#This Row],[Capacity (Kg)]]/Table1[[#This Row],[Target Time (Hours)]] * Table1[[#This Row],[Downtime (Hours)]], "")</f>
        <v>698.18181818181813</v>
      </c>
      <c r="N1784" s="50">
        <f>IFERROR(Table1[[#This Row],[Running Time (hr)]]/Table1[Target Time (Hours)], "")</f>
        <v>0.91272727272727261</v>
      </c>
      <c r="O1784" s="50">
        <f>IFERROR(Table1[[#This Row],[Actual Production (Kg)]]/Table1[Capacity (Kg)], "")</f>
        <v>0.62824999999999998</v>
      </c>
      <c r="P1784" s="50">
        <f>IFERROR(Table1[[#This Row],[Quality Pass Production]]/Table1[[#This Row],[Actual Production (Kg)]], "")</f>
        <v>1</v>
      </c>
      <c r="Q1784" s="50">
        <f>IFERROR(Table1[[#This Row],[Utilization %]]*Table1[[#This Row],[Efficiency %]]*Table1[[#This Row],[Quality %]], "")</f>
        <v>0.57342090909090904</v>
      </c>
      <c r="R1784" s="48" t="s">
        <v>487</v>
      </c>
    </row>
    <row r="1785" spans="1:18" ht="45" customHeight="1" x14ac:dyDescent="0.25">
      <c r="A1785" s="47">
        <v>46279</v>
      </c>
      <c r="B1785" s="48" t="s">
        <v>33</v>
      </c>
      <c r="C1785" s="48" t="s">
        <v>39</v>
      </c>
      <c r="D1785" s="48" t="s">
        <v>31</v>
      </c>
      <c r="E1785" s="49">
        <v>6000</v>
      </c>
      <c r="F1785" s="76">
        <v>2183</v>
      </c>
      <c r="G1785" s="49">
        <v>0</v>
      </c>
      <c r="H1785" s="50">
        <f>IFERROR(Table1[Re-process (Kg)]/Table1[Actual Production (Kg)], "")</f>
        <v>0</v>
      </c>
      <c r="I1785" s="49">
        <f>IFERROR(Table1[[#This Row],[Actual Production (Kg)]]-Table1[[#This Row],[Re-process (Kg)]], "")</f>
        <v>2183</v>
      </c>
      <c r="J1785" s="49">
        <v>22</v>
      </c>
      <c r="K1785" s="72">
        <v>4</v>
      </c>
      <c r="L1785" s="49">
        <f>IF(Table1[[#This Row],[Target Time (Hours)]]="","",Table1[[#This Row],[Target Time (Hours)]]-Table1[[#This Row],[Downtime (Hours)]])</f>
        <v>18</v>
      </c>
      <c r="M1785" s="49">
        <f>IFERROR(Table1[[#This Row],[Capacity (Kg)]]/Table1[[#This Row],[Target Time (Hours)]] * Table1[[#This Row],[Downtime (Hours)]], "")</f>
        <v>1090.909090909091</v>
      </c>
      <c r="N1785" s="50">
        <f>IFERROR(Table1[[#This Row],[Running Time (hr)]]/Table1[Target Time (Hours)], "")</f>
        <v>0.81818181818181823</v>
      </c>
      <c r="O1785" s="50">
        <f>IFERROR(Table1[[#This Row],[Actual Production (Kg)]]/Table1[Capacity (Kg)], "")</f>
        <v>0.36383333333333334</v>
      </c>
      <c r="P1785" s="50">
        <f>IFERROR(Table1[[#This Row],[Quality Pass Production]]/Table1[[#This Row],[Actual Production (Kg)]], "")</f>
        <v>1</v>
      </c>
      <c r="Q1785" s="50">
        <f>IFERROR(Table1[[#This Row],[Utilization %]]*Table1[[#This Row],[Efficiency %]]*Table1[[#This Row],[Quality %]], "")</f>
        <v>0.29768181818181821</v>
      </c>
      <c r="R1785" s="48" t="s">
        <v>488</v>
      </c>
    </row>
    <row r="1786" spans="1:18" ht="45" customHeight="1" x14ac:dyDescent="0.25">
      <c r="A1786" s="54">
        <v>46279</v>
      </c>
      <c r="B1786" s="55" t="s">
        <v>33</v>
      </c>
      <c r="C1786" s="55" t="s">
        <v>40</v>
      </c>
      <c r="D1786" s="55" t="s">
        <v>31</v>
      </c>
      <c r="E1786" s="56">
        <v>5000</v>
      </c>
      <c r="F1786" s="56">
        <v>1589</v>
      </c>
      <c r="G1786" s="56">
        <v>0</v>
      </c>
      <c r="H1786" s="58">
        <f>IFERROR(Table1[Re-process (Kg)]/Table1[Actual Production (Kg)], "")</f>
        <v>0</v>
      </c>
      <c r="I1786" s="56">
        <f>IFERROR(Table1[[#This Row],[Actual Production (Kg)]]-Table1[[#This Row],[Re-process (Kg)]], "")</f>
        <v>1589</v>
      </c>
      <c r="J1786" s="56">
        <v>22</v>
      </c>
      <c r="K1786" s="55">
        <v>9</v>
      </c>
      <c r="L1786" s="56">
        <f>IF(Table1[[#This Row],[Target Time (Hours)]]="","",Table1[[#This Row],[Target Time (Hours)]]-Table1[[#This Row],[Downtime (Hours)]])</f>
        <v>13</v>
      </c>
      <c r="M1786" s="56">
        <f>IFERROR(Table1[[#This Row],[Capacity (Kg)]]/Table1[[#This Row],[Target Time (Hours)]] * Table1[[#This Row],[Downtime (Hours)]], "")</f>
        <v>2045.4545454545455</v>
      </c>
      <c r="N1786" s="58">
        <f>IFERROR(Table1[[#This Row],[Running Time (hr)]]/Table1[Target Time (Hours)], "")</f>
        <v>0.59090909090909094</v>
      </c>
      <c r="O1786" s="58">
        <f>IFERROR(Table1[[#This Row],[Actual Production (Kg)]]/Table1[Capacity (Kg)], "")</f>
        <v>0.31780000000000003</v>
      </c>
      <c r="P1786" s="58">
        <f>IFERROR(Table1[[#This Row],[Quality Pass Production]]/Table1[[#This Row],[Actual Production (Kg)]], "")</f>
        <v>1</v>
      </c>
      <c r="Q1786" s="58">
        <f>IFERROR(Table1[[#This Row],[Utilization %]]*Table1[[#This Row],[Efficiency %]]*Table1[[#This Row],[Quality %]], "")</f>
        <v>0.18779090909090912</v>
      </c>
      <c r="R1786" s="55" t="s">
        <v>489</v>
      </c>
    </row>
    <row r="1787" spans="1:18" ht="30" customHeight="1" x14ac:dyDescent="0.25">
      <c r="A1787" s="47">
        <v>46280</v>
      </c>
      <c r="B1787" s="48" t="s">
        <v>18</v>
      </c>
      <c r="C1787" s="48" t="s">
        <v>19</v>
      </c>
      <c r="D1787" s="48" t="s">
        <v>20</v>
      </c>
      <c r="E1787" s="49">
        <v>10000</v>
      </c>
      <c r="F1787" s="76">
        <v>8852</v>
      </c>
      <c r="G1787" s="49">
        <v>0</v>
      </c>
      <c r="H1787" s="50">
        <f>IFERROR(Table1[Re-process (Kg)]/Table1[Actual Production (Kg)], "")</f>
        <v>0</v>
      </c>
      <c r="I1787" s="49">
        <f>IFERROR(Table1[[#This Row],[Actual Production (Kg)]]-Table1[[#This Row],[Re-process (Kg)]], "")</f>
        <v>8852</v>
      </c>
      <c r="J1787" s="49">
        <v>22</v>
      </c>
      <c r="K1787" s="72"/>
      <c r="L1787" s="49">
        <f>IF(Table1[[#This Row],[Target Time (Hours)]]="","",Table1[[#This Row],[Target Time (Hours)]]-Table1[[#This Row],[Downtime (Hours)]])</f>
        <v>22</v>
      </c>
      <c r="M1787" s="49">
        <f>IFERROR(Table1[[#This Row],[Capacity (Kg)]]/Table1[[#This Row],[Target Time (Hours)]] * Table1[[#This Row],[Downtime (Hours)]], "")</f>
        <v>0</v>
      </c>
      <c r="N1787" s="50">
        <f>IFERROR(Table1[[#This Row],[Running Time (hr)]]/Table1[Target Time (Hours)], "")</f>
        <v>1</v>
      </c>
      <c r="O1787" s="50">
        <f>IFERROR(Table1[[#This Row],[Actual Production (Kg)]]/Table1[Capacity (Kg)], "")</f>
        <v>0.88519999999999999</v>
      </c>
      <c r="P1787" s="50">
        <f>IFERROR(Table1[[#This Row],[Quality Pass Production]]/Table1[[#This Row],[Actual Production (Kg)]], "")</f>
        <v>1</v>
      </c>
      <c r="Q1787" s="50">
        <f>IFERROR(Table1[[#This Row],[Utilization %]]*Table1[[#This Row],[Efficiency %]]*Table1[[#This Row],[Quality %]], "")</f>
        <v>0.88519999999999999</v>
      </c>
    </row>
    <row r="1788" spans="1:18" x14ac:dyDescent="0.25">
      <c r="A1788" s="51">
        <v>46280</v>
      </c>
      <c r="B1788" s="52" t="s">
        <v>18</v>
      </c>
      <c r="C1788" s="52" t="s">
        <v>238</v>
      </c>
      <c r="D1788" s="52" t="s">
        <v>20</v>
      </c>
      <c r="E1788" s="53">
        <v>11200</v>
      </c>
      <c r="F1788" s="53">
        <v>11200</v>
      </c>
      <c r="G1788" s="53">
        <v>0</v>
      </c>
      <c r="H1788" s="57">
        <f>IFERROR(Table1[Re-process (Kg)]/Table1[Actual Production (Kg)], "")</f>
        <v>0</v>
      </c>
      <c r="I1788" s="53">
        <f>IFERROR(Table1[[#This Row],[Actual Production (Kg)]]-Table1[[#This Row],[Re-process (Kg)]], "")</f>
        <v>11200</v>
      </c>
      <c r="J1788" s="53"/>
      <c r="K1788" s="52"/>
      <c r="L1788" s="53" t="str">
        <f>IF(Table1[[#This Row],[Target Time (Hours)]]="","",Table1[[#This Row],[Target Time (Hours)]]-Table1[[#This Row],[Downtime (Hours)]])</f>
        <v/>
      </c>
      <c r="M1788" s="53" t="str">
        <f>IFERROR(Table1[[#This Row],[Capacity (Kg)]]/Table1[[#This Row],[Target Time (Hours)]] * Table1[[#This Row],[Downtime (Hours)]], "")</f>
        <v/>
      </c>
      <c r="N1788" s="57" t="str">
        <f>IFERROR(Table1[[#This Row],[Running Time (hr)]]/Table1[Target Time (Hours)], "")</f>
        <v/>
      </c>
      <c r="O1788" s="57">
        <f>IFERROR(Table1[[#This Row],[Actual Production (Kg)]]/Table1[Capacity (Kg)], "")</f>
        <v>1</v>
      </c>
      <c r="P1788" s="57">
        <f>IFERROR(Table1[[#This Row],[Quality Pass Production]]/Table1[[#This Row],[Actual Production (Kg)]], "")</f>
        <v>1</v>
      </c>
      <c r="Q1788" s="57" t="str">
        <f>IFERROR(Table1[[#This Row],[Utilization %]]*Table1[[#This Row],[Efficiency %]]*Table1[[#This Row],[Quality %]], "")</f>
        <v/>
      </c>
      <c r="R1788" s="52"/>
    </row>
    <row r="1789" spans="1:18" x14ac:dyDescent="0.25">
      <c r="A1789" s="47">
        <v>46280</v>
      </c>
      <c r="B1789" s="48" t="s">
        <v>18</v>
      </c>
      <c r="C1789" s="48" t="s">
        <v>22</v>
      </c>
      <c r="D1789" s="48" t="s">
        <v>23</v>
      </c>
      <c r="E1789" s="49">
        <v>5000</v>
      </c>
      <c r="F1789" s="76">
        <v>3756</v>
      </c>
      <c r="G1789" s="49">
        <v>0</v>
      </c>
      <c r="H1789" s="50">
        <f>IFERROR(Table1[Re-process (Kg)]/Table1[Actual Production (Kg)], "")</f>
        <v>0</v>
      </c>
      <c r="I1789" s="49">
        <f>IFERROR(Table1[[#This Row],[Actual Production (Kg)]]-Table1[[#This Row],[Re-process (Kg)]], "")</f>
        <v>3756</v>
      </c>
      <c r="J1789" s="49">
        <v>22</v>
      </c>
      <c r="K1789" s="72"/>
      <c r="L1789" s="49">
        <f>IF(Table1[[#This Row],[Target Time (Hours)]]="","",Table1[[#This Row],[Target Time (Hours)]]-Table1[[#This Row],[Downtime (Hours)]])</f>
        <v>22</v>
      </c>
      <c r="M1789" s="49">
        <f>IFERROR(Table1[[#This Row],[Capacity (Kg)]]/Table1[[#This Row],[Target Time (Hours)]] * Table1[[#This Row],[Downtime (Hours)]], "")</f>
        <v>0</v>
      </c>
      <c r="N1789" s="50">
        <f>IFERROR(Table1[[#This Row],[Running Time (hr)]]/Table1[Target Time (Hours)], "")</f>
        <v>1</v>
      </c>
      <c r="O1789" s="50">
        <f>IFERROR(Table1[[#This Row],[Actual Production (Kg)]]/Table1[Capacity (Kg)], "")</f>
        <v>0.75119999999999998</v>
      </c>
      <c r="P1789" s="50">
        <f>IFERROR(Table1[[#This Row],[Quality Pass Production]]/Table1[[#This Row],[Actual Production (Kg)]], "")</f>
        <v>1</v>
      </c>
      <c r="Q1789" s="50">
        <f>IFERROR(Table1[[#This Row],[Utilization %]]*Table1[[#This Row],[Efficiency %]]*Table1[[#This Row],[Quality %]], "")</f>
        <v>0.75119999999999998</v>
      </c>
    </row>
    <row r="1790" spans="1:18" x14ac:dyDescent="0.25">
      <c r="A1790" s="47">
        <v>46280</v>
      </c>
      <c r="B1790" s="48" t="s">
        <v>18</v>
      </c>
      <c r="C1790" s="48" t="s">
        <v>22</v>
      </c>
      <c r="D1790" s="48" t="s">
        <v>25</v>
      </c>
      <c r="E1790" s="49">
        <v>4000</v>
      </c>
      <c r="F1790" s="76">
        <v>5614</v>
      </c>
      <c r="G1790" s="49">
        <v>0</v>
      </c>
      <c r="H1790" s="50">
        <f>IFERROR(Table1[Re-process (Kg)]/Table1[Actual Production (Kg)], "")</f>
        <v>0</v>
      </c>
      <c r="I1790" s="49">
        <f>IFERROR(Table1[[#This Row],[Actual Production (Kg)]]-Table1[[#This Row],[Re-process (Kg)]], "")</f>
        <v>5614</v>
      </c>
      <c r="J1790" s="49"/>
      <c r="K1790" s="72"/>
      <c r="L1790" s="49" t="str">
        <f>IF(Table1[[#This Row],[Target Time (Hours)]]="","",Table1[[#This Row],[Target Time (Hours)]]-Table1[[#This Row],[Downtime (Hours)]])</f>
        <v/>
      </c>
      <c r="M1790" s="49" t="str">
        <f>IFERROR(Table1[[#This Row],[Capacity (Kg)]]/Table1[[#This Row],[Target Time (Hours)]] * Table1[[#This Row],[Downtime (Hours)]], "")</f>
        <v/>
      </c>
      <c r="N1790" s="50" t="str">
        <f>IFERROR(Table1[[#This Row],[Running Time (hr)]]/Table1[Target Time (Hours)], "")</f>
        <v/>
      </c>
      <c r="O1790" s="50">
        <f>IFERROR(Table1[[#This Row],[Actual Production (Kg)]]/Table1[Capacity (Kg)], "")</f>
        <v>1.4035</v>
      </c>
      <c r="P1790" s="50">
        <f>IFERROR(Table1[[#This Row],[Quality Pass Production]]/Table1[[#This Row],[Actual Production (Kg)]], "")</f>
        <v>1</v>
      </c>
      <c r="Q1790" s="50" t="str">
        <f>IFERROR(Table1[[#This Row],[Utilization %]]*Table1[[#This Row],[Efficiency %]]*Table1[[#This Row],[Quality %]], "")</f>
        <v/>
      </c>
    </row>
    <row r="1791" spans="1:18" ht="60" customHeight="1" x14ac:dyDescent="0.25">
      <c r="A1791" s="47">
        <v>46280</v>
      </c>
      <c r="B1791" s="48" t="s">
        <v>18</v>
      </c>
      <c r="C1791" s="48" t="s">
        <v>26</v>
      </c>
      <c r="D1791" s="48" t="s">
        <v>25</v>
      </c>
      <c r="E1791" s="49">
        <v>7000</v>
      </c>
      <c r="F1791" s="76">
        <v>6830</v>
      </c>
      <c r="G1791" s="49">
        <v>0</v>
      </c>
      <c r="H1791" s="50">
        <f>IFERROR(Table1[Re-process (Kg)]/Table1[Actual Production (Kg)], "")</f>
        <v>0</v>
      </c>
      <c r="I1791" s="49">
        <f>IFERROR(Table1[[#This Row],[Actual Production (Kg)]]-Table1[[#This Row],[Re-process (Kg)]], "")</f>
        <v>6830</v>
      </c>
      <c r="J1791" s="49">
        <v>22</v>
      </c>
      <c r="K1791" s="72">
        <v>1.75</v>
      </c>
      <c r="L1791" s="49">
        <f>IF(Table1[[#This Row],[Target Time (Hours)]]="","",Table1[[#This Row],[Target Time (Hours)]]-Table1[[#This Row],[Downtime (Hours)]])</f>
        <v>20.25</v>
      </c>
      <c r="M1791" s="49">
        <f>IFERROR(Table1[[#This Row],[Capacity (Kg)]]/Table1[[#This Row],[Target Time (Hours)]] * Table1[[#This Row],[Downtime (Hours)]], "")</f>
        <v>556.81818181818187</v>
      </c>
      <c r="N1791" s="50">
        <f>IFERROR(Table1[[#This Row],[Running Time (hr)]]/Table1[Target Time (Hours)], "")</f>
        <v>0.92045454545454541</v>
      </c>
      <c r="O1791" s="50">
        <f>IFERROR(Table1[[#This Row],[Actual Production (Kg)]]/Table1[Capacity (Kg)], "")</f>
        <v>0.97571428571428576</v>
      </c>
      <c r="P1791" s="50">
        <f>IFERROR(Table1[[#This Row],[Quality Pass Production]]/Table1[[#This Row],[Actual Production (Kg)]], "")</f>
        <v>1</v>
      </c>
      <c r="Q1791" s="50">
        <f>IFERROR(Table1[[#This Row],[Utilization %]]*Table1[[#This Row],[Efficiency %]]*Table1[[#This Row],[Quality %]], "")</f>
        <v>0.89810064935064937</v>
      </c>
      <c r="R1791" s="48" t="s">
        <v>490</v>
      </c>
    </row>
    <row r="1792" spans="1:18" ht="30" customHeight="1" x14ac:dyDescent="0.25">
      <c r="A1792" s="47">
        <v>46280</v>
      </c>
      <c r="B1792" s="48" t="s">
        <v>18</v>
      </c>
      <c r="C1792" s="48" t="s">
        <v>28</v>
      </c>
      <c r="D1792" s="48" t="s">
        <v>29</v>
      </c>
      <c r="E1792" s="49">
        <v>7800</v>
      </c>
      <c r="F1792" s="76">
        <v>4987</v>
      </c>
      <c r="G1792" s="49">
        <v>0</v>
      </c>
      <c r="H1792" s="50">
        <f>IFERROR(Table1[Re-process (Kg)]/Table1[Actual Production (Kg)], "")</f>
        <v>0</v>
      </c>
      <c r="I1792" s="49">
        <f>IFERROR(Table1[[#This Row],[Actual Production (Kg)]]-Table1[[#This Row],[Re-process (Kg)]], "")</f>
        <v>4987</v>
      </c>
      <c r="J1792" s="49">
        <v>22</v>
      </c>
      <c r="K1792" s="72">
        <v>4</v>
      </c>
      <c r="L1792" s="49">
        <f>IF(Table1[[#This Row],[Target Time (Hours)]]="","",Table1[[#This Row],[Target Time (Hours)]]-Table1[[#This Row],[Downtime (Hours)]])</f>
        <v>18</v>
      </c>
      <c r="M1792" s="49">
        <f>IFERROR(Table1[[#This Row],[Capacity (Kg)]]/Table1[[#This Row],[Target Time (Hours)]] * Table1[[#This Row],[Downtime (Hours)]], "")</f>
        <v>1418.1818181818182</v>
      </c>
      <c r="N1792" s="50">
        <f>IFERROR(Table1[[#This Row],[Running Time (hr)]]/Table1[Target Time (Hours)], "")</f>
        <v>0.81818181818181823</v>
      </c>
      <c r="O1792" s="50">
        <f>IFERROR(Table1[[#This Row],[Actual Production (Kg)]]/Table1[Capacity (Kg)], "")</f>
        <v>0.63935897435897437</v>
      </c>
      <c r="P1792" s="50">
        <f>IFERROR(Table1[[#This Row],[Quality Pass Production]]/Table1[[#This Row],[Actual Production (Kg)]], "")</f>
        <v>1</v>
      </c>
      <c r="Q1792" s="50">
        <f>IFERROR(Table1[[#This Row],[Utilization %]]*Table1[[#This Row],[Efficiency %]]*Table1[[#This Row],[Quality %]], "")</f>
        <v>0.52311188811188813</v>
      </c>
      <c r="R1792" s="48" t="s">
        <v>486</v>
      </c>
    </row>
    <row r="1793" spans="1:18" ht="30" customHeight="1" x14ac:dyDescent="0.25">
      <c r="A1793" s="51">
        <v>46280</v>
      </c>
      <c r="B1793" s="52" t="s">
        <v>18</v>
      </c>
      <c r="C1793" s="52" t="s">
        <v>135</v>
      </c>
      <c r="D1793" s="52" t="s">
        <v>29</v>
      </c>
      <c r="E1793" s="53"/>
      <c r="F1793" s="53"/>
      <c r="G1793" s="53"/>
      <c r="H1793" s="57" t="str">
        <f>IFERROR(Table1[Re-process (Kg)]/Table1[Actual Production (Kg)], "")</f>
        <v/>
      </c>
      <c r="I1793" s="53">
        <f>IFERROR(Table1[[#This Row],[Actual Production (Kg)]]-Table1[[#This Row],[Re-process (Kg)]], "")</f>
        <v>0</v>
      </c>
      <c r="J1793" s="53"/>
      <c r="K1793" s="52"/>
      <c r="L1793" s="53" t="str">
        <f>IF(Table1[[#This Row],[Target Time (Hours)]]="","",Table1[[#This Row],[Target Time (Hours)]]-Table1[[#This Row],[Downtime (Hours)]])</f>
        <v/>
      </c>
      <c r="M1793" s="53" t="str">
        <f>IFERROR(Table1[[#This Row],[Capacity (Kg)]]/Table1[[#This Row],[Target Time (Hours)]] * Table1[[#This Row],[Downtime (Hours)]], "")</f>
        <v/>
      </c>
      <c r="N1793" s="57" t="str">
        <f>IFERROR(Table1[[#This Row],[Running Time (hr)]]/Table1[Target Time (Hours)], "")</f>
        <v/>
      </c>
      <c r="O1793" s="57" t="str">
        <f>IFERROR(Table1[[#This Row],[Actual Production (Kg)]]/Table1[Capacity (Kg)], "")</f>
        <v/>
      </c>
      <c r="P1793" s="57" t="str">
        <f>IFERROR(Table1[[#This Row],[Quality Pass Production]]/Table1[[#This Row],[Actual Production (Kg)]], "")</f>
        <v/>
      </c>
      <c r="Q1793" s="57" t="str">
        <f>IFERROR(Table1[[#This Row],[Utilization %]]*Table1[[#This Row],[Efficiency %]]*Table1[[#This Row],[Quality %]], "")</f>
        <v/>
      </c>
      <c r="R1793" s="52"/>
    </row>
    <row r="1794" spans="1:18" ht="30" customHeight="1" x14ac:dyDescent="0.25">
      <c r="A1794" s="47">
        <v>46280</v>
      </c>
      <c r="B1794" s="48" t="s">
        <v>18</v>
      </c>
      <c r="C1794" s="48" t="s">
        <v>30</v>
      </c>
      <c r="D1794" s="48" t="s">
        <v>31</v>
      </c>
      <c r="E1794" s="49">
        <v>9000</v>
      </c>
      <c r="F1794" s="76">
        <v>8133</v>
      </c>
      <c r="G1794" s="49">
        <v>0</v>
      </c>
      <c r="H1794" s="50">
        <f>IFERROR(Table1[Re-process (Kg)]/Table1[Actual Production (Kg)], "")</f>
        <v>0</v>
      </c>
      <c r="I1794" s="49">
        <f>IFERROR(Table1[[#This Row],[Actual Production (Kg)]]-Table1[[#This Row],[Re-process (Kg)]], "")</f>
        <v>8133</v>
      </c>
      <c r="J1794" s="49">
        <v>22</v>
      </c>
      <c r="K1794" s="72"/>
      <c r="L1794" s="49">
        <f>IF(Table1[[#This Row],[Target Time (Hours)]]="","",Table1[[#This Row],[Target Time (Hours)]]-Table1[[#This Row],[Downtime (Hours)]])</f>
        <v>22</v>
      </c>
      <c r="M1794" s="49">
        <f>IFERROR(Table1[[#This Row],[Capacity (Kg)]]/Table1[[#This Row],[Target Time (Hours)]] * Table1[[#This Row],[Downtime (Hours)]], "")</f>
        <v>0</v>
      </c>
      <c r="N1794" s="50">
        <f>IFERROR(Table1[[#This Row],[Running Time (hr)]]/Table1[Target Time (Hours)], "")</f>
        <v>1</v>
      </c>
      <c r="O1794" s="50">
        <f>IFERROR(Table1[[#This Row],[Actual Production (Kg)]]/Table1[Capacity (Kg)], "")</f>
        <v>0.90366666666666662</v>
      </c>
      <c r="P1794" s="50">
        <f>IFERROR(Table1[[#This Row],[Quality Pass Production]]/Table1[[#This Row],[Actual Production (Kg)]], "")</f>
        <v>1</v>
      </c>
      <c r="Q1794" s="50">
        <f>IFERROR(Table1[[#This Row],[Utilization %]]*Table1[[#This Row],[Efficiency %]]*Table1[[#This Row],[Quality %]], "")</f>
        <v>0.90366666666666662</v>
      </c>
    </row>
    <row r="1795" spans="1:18" ht="30" customHeight="1" x14ac:dyDescent="0.25">
      <c r="A1795" s="51">
        <v>46280</v>
      </c>
      <c r="B1795" s="52" t="s">
        <v>18</v>
      </c>
      <c r="C1795" s="52" t="s">
        <v>32</v>
      </c>
      <c r="D1795" s="52" t="s">
        <v>31</v>
      </c>
      <c r="E1795" s="53"/>
      <c r="F1795" s="53"/>
      <c r="G1795" s="53"/>
      <c r="H1795" s="57" t="str">
        <f>IFERROR(Table1[Re-process (Kg)]/Table1[Actual Production (Kg)], "")</f>
        <v/>
      </c>
      <c r="I1795" s="53">
        <f>IFERROR(Table1[[#This Row],[Actual Production (Kg)]]-Table1[[#This Row],[Re-process (Kg)]], "")</f>
        <v>0</v>
      </c>
      <c r="J1795" s="53"/>
      <c r="K1795" s="52"/>
      <c r="L1795" s="53" t="str">
        <f>IF(Table1[[#This Row],[Target Time (Hours)]]="","",Table1[[#This Row],[Target Time (Hours)]]-Table1[[#This Row],[Downtime (Hours)]])</f>
        <v/>
      </c>
      <c r="M1795" s="53" t="str">
        <f>IFERROR(Table1[[#This Row],[Capacity (Kg)]]/Table1[[#This Row],[Target Time (Hours)]] * Table1[[#This Row],[Downtime (Hours)]], "")</f>
        <v/>
      </c>
      <c r="N1795" s="57" t="str">
        <f>IFERROR(Table1[[#This Row],[Running Time (hr)]]/Table1[Target Time (Hours)], "")</f>
        <v/>
      </c>
      <c r="O1795" s="57" t="str">
        <f>IFERROR(Table1[[#This Row],[Actual Production (Kg)]]/Table1[Capacity (Kg)], "")</f>
        <v/>
      </c>
      <c r="P1795" s="57" t="str">
        <f>IFERROR(Table1[[#This Row],[Quality Pass Production]]/Table1[[#This Row],[Actual Production (Kg)]], "")</f>
        <v/>
      </c>
      <c r="Q1795" s="57" t="str">
        <f>IFERROR(Table1[[#This Row],[Utilization %]]*Table1[[#This Row],[Efficiency %]]*Table1[[#This Row],[Quality %]], "")</f>
        <v/>
      </c>
      <c r="R1795" s="52"/>
    </row>
    <row r="1796" spans="1:18" ht="45" customHeight="1" x14ac:dyDescent="0.25">
      <c r="A1796" s="47">
        <v>46280</v>
      </c>
      <c r="B1796" s="48" t="s">
        <v>33</v>
      </c>
      <c r="C1796" s="48" t="s">
        <v>34</v>
      </c>
      <c r="D1796" s="48" t="s">
        <v>35</v>
      </c>
      <c r="E1796" s="49">
        <v>9000</v>
      </c>
      <c r="F1796" s="76">
        <v>2298</v>
      </c>
      <c r="G1796" s="49">
        <v>0</v>
      </c>
      <c r="H1796" s="50">
        <f>IFERROR(Table1[Re-process (Kg)]/Table1[Actual Production (Kg)], "")</f>
        <v>0</v>
      </c>
      <c r="I1796" s="49">
        <f>IFERROR(Table1[[#This Row],[Actual Production (Kg)]]-Table1[[#This Row],[Re-process (Kg)]], "")</f>
        <v>2298</v>
      </c>
      <c r="J1796" s="49">
        <v>22</v>
      </c>
      <c r="K1796" s="72">
        <v>4</v>
      </c>
      <c r="L1796" s="49">
        <f>IF(Table1[[#This Row],[Target Time (Hours)]]="","",Table1[[#This Row],[Target Time (Hours)]]-Table1[[#This Row],[Downtime (Hours)]])</f>
        <v>18</v>
      </c>
      <c r="M1796" s="49">
        <f>IFERROR(Table1[[#This Row],[Capacity (Kg)]]/Table1[[#This Row],[Target Time (Hours)]] * Table1[[#This Row],[Downtime (Hours)]], "")</f>
        <v>1636.3636363636363</v>
      </c>
      <c r="N1796" s="50">
        <f>IFERROR(Table1[[#This Row],[Running Time (hr)]]/Table1[Target Time (Hours)], "")</f>
        <v>0.81818181818181823</v>
      </c>
      <c r="O1796" s="50">
        <f>IFERROR(Table1[[#This Row],[Actual Production (Kg)]]/Table1[Capacity (Kg)], "")</f>
        <v>0.25533333333333336</v>
      </c>
      <c r="P1796" s="50">
        <f>IFERROR(Table1[[#This Row],[Quality Pass Production]]/Table1[[#This Row],[Actual Production (Kg)]], "")</f>
        <v>1</v>
      </c>
      <c r="Q1796" s="50">
        <f>IFERROR(Table1[[#This Row],[Utilization %]]*Table1[[#This Row],[Efficiency %]]*Table1[[#This Row],[Quality %]], "")</f>
        <v>0.20890909090909093</v>
      </c>
      <c r="R1796" s="48" t="s">
        <v>491</v>
      </c>
    </row>
    <row r="1797" spans="1:18" ht="45" customHeight="1" x14ac:dyDescent="0.25">
      <c r="A1797" s="47">
        <v>46280</v>
      </c>
      <c r="B1797" s="48" t="s">
        <v>33</v>
      </c>
      <c r="C1797" s="48" t="s">
        <v>36</v>
      </c>
      <c r="D1797" s="48" t="s">
        <v>37</v>
      </c>
      <c r="E1797" s="49">
        <v>8000</v>
      </c>
      <c r="F1797" s="76">
        <v>2300</v>
      </c>
      <c r="G1797" s="49">
        <v>0</v>
      </c>
      <c r="H1797" s="50">
        <f>IFERROR(Table1[Re-process (Kg)]/Table1[Actual Production (Kg)], "")</f>
        <v>0</v>
      </c>
      <c r="I1797" s="49">
        <f>IFERROR(Table1[[#This Row],[Actual Production (Kg)]]-Table1[[#This Row],[Re-process (Kg)]], "")</f>
        <v>2300</v>
      </c>
      <c r="J1797" s="49">
        <v>22</v>
      </c>
      <c r="K1797" s="72">
        <v>15.1</v>
      </c>
      <c r="L1797" s="49">
        <f>IF(Table1[[#This Row],[Target Time (Hours)]]="","",Table1[[#This Row],[Target Time (Hours)]]-Table1[[#This Row],[Downtime (Hours)]])</f>
        <v>6.9</v>
      </c>
      <c r="M1797" s="49">
        <f>IFERROR(Table1[[#This Row],[Capacity (Kg)]]/Table1[[#This Row],[Target Time (Hours)]] * Table1[[#This Row],[Downtime (Hours)]], "")</f>
        <v>5490.909090909091</v>
      </c>
      <c r="N1797" s="50">
        <f>IFERROR(Table1[[#This Row],[Running Time (hr)]]/Table1[Target Time (Hours)], "")</f>
        <v>0.31363636363636366</v>
      </c>
      <c r="O1797" s="50">
        <f>IFERROR(Table1[[#This Row],[Actual Production (Kg)]]/Table1[Capacity (Kg)], "")</f>
        <v>0.28749999999999998</v>
      </c>
      <c r="P1797" s="50">
        <f>IFERROR(Table1[[#This Row],[Quality Pass Production]]/Table1[[#This Row],[Actual Production (Kg)]], "")</f>
        <v>1</v>
      </c>
      <c r="Q1797" s="50">
        <f>IFERROR(Table1[[#This Row],[Utilization %]]*Table1[[#This Row],[Efficiency %]]*Table1[[#This Row],[Quality %]], "")</f>
        <v>9.017045454545454E-2</v>
      </c>
      <c r="R1797" s="48" t="s">
        <v>492</v>
      </c>
    </row>
    <row r="1798" spans="1:18" ht="45" customHeight="1" x14ac:dyDescent="0.25">
      <c r="A1798" s="47">
        <v>46280</v>
      </c>
      <c r="B1798" s="48" t="s">
        <v>33</v>
      </c>
      <c r="C1798" s="48" t="s">
        <v>39</v>
      </c>
      <c r="D1798" s="48" t="s">
        <v>31</v>
      </c>
      <c r="E1798" s="49">
        <v>6000</v>
      </c>
      <c r="F1798" s="76">
        <v>1747</v>
      </c>
      <c r="G1798" s="49">
        <v>0</v>
      </c>
      <c r="H1798" s="50">
        <f>IFERROR(Table1[Re-process (Kg)]/Table1[Actual Production (Kg)], "")</f>
        <v>0</v>
      </c>
      <c r="I1798" s="49">
        <f>IFERROR(Table1[[#This Row],[Actual Production (Kg)]]-Table1[[#This Row],[Re-process (Kg)]], "")</f>
        <v>1747</v>
      </c>
      <c r="J1798" s="49">
        <v>22</v>
      </c>
      <c r="K1798" s="72">
        <v>10</v>
      </c>
      <c r="L1798" s="49">
        <f>IF(Table1[[#This Row],[Target Time (Hours)]]="","",Table1[[#This Row],[Target Time (Hours)]]-Table1[[#This Row],[Downtime (Hours)]])</f>
        <v>12</v>
      </c>
      <c r="M1798" s="49">
        <f>IFERROR(Table1[[#This Row],[Capacity (Kg)]]/Table1[[#This Row],[Target Time (Hours)]] * Table1[[#This Row],[Downtime (Hours)]], "")</f>
        <v>2727.2727272727275</v>
      </c>
      <c r="N1798" s="50">
        <f>IFERROR(Table1[[#This Row],[Running Time (hr)]]/Table1[Target Time (Hours)], "")</f>
        <v>0.54545454545454541</v>
      </c>
      <c r="O1798" s="50">
        <f>IFERROR(Table1[[#This Row],[Actual Production (Kg)]]/Table1[Capacity (Kg)], "")</f>
        <v>0.29116666666666668</v>
      </c>
      <c r="P1798" s="50">
        <f>IFERROR(Table1[[#This Row],[Quality Pass Production]]/Table1[[#This Row],[Actual Production (Kg)]], "")</f>
        <v>1</v>
      </c>
      <c r="Q1798" s="50">
        <f>IFERROR(Table1[[#This Row],[Utilization %]]*Table1[[#This Row],[Efficiency %]]*Table1[[#This Row],[Quality %]], "")</f>
        <v>0.1588181818181818</v>
      </c>
      <c r="R1798" s="48" t="s">
        <v>493</v>
      </c>
    </row>
    <row r="1799" spans="1:18" ht="45" customHeight="1" x14ac:dyDescent="0.25">
      <c r="A1799" s="54">
        <v>46280</v>
      </c>
      <c r="B1799" s="55" t="s">
        <v>33</v>
      </c>
      <c r="C1799" s="55" t="s">
        <v>40</v>
      </c>
      <c r="D1799" s="55" t="s">
        <v>31</v>
      </c>
      <c r="E1799" s="56">
        <v>5000</v>
      </c>
      <c r="F1799" s="56">
        <v>1481</v>
      </c>
      <c r="G1799" s="56">
        <v>0</v>
      </c>
      <c r="H1799" s="58">
        <f>IFERROR(Table1[Re-process (Kg)]/Table1[Actual Production (Kg)], "")</f>
        <v>0</v>
      </c>
      <c r="I1799" s="56">
        <f>IFERROR(Table1[[#This Row],[Actual Production (Kg)]]-Table1[[#This Row],[Re-process (Kg)]], "")</f>
        <v>1481</v>
      </c>
      <c r="J1799" s="56">
        <v>22</v>
      </c>
      <c r="K1799" s="55">
        <v>4</v>
      </c>
      <c r="L1799" s="56">
        <f>IF(Table1[[#This Row],[Target Time (Hours)]]="","",Table1[[#This Row],[Target Time (Hours)]]-Table1[[#This Row],[Downtime (Hours)]])</f>
        <v>18</v>
      </c>
      <c r="M1799" s="56">
        <f>IFERROR(Table1[[#This Row],[Capacity (Kg)]]/Table1[[#This Row],[Target Time (Hours)]] * Table1[[#This Row],[Downtime (Hours)]], "")</f>
        <v>909.09090909090912</v>
      </c>
      <c r="N1799" s="58">
        <f>IFERROR(Table1[[#This Row],[Running Time (hr)]]/Table1[Target Time (Hours)], "")</f>
        <v>0.81818181818181823</v>
      </c>
      <c r="O1799" s="58">
        <f>IFERROR(Table1[[#This Row],[Actual Production (Kg)]]/Table1[Capacity (Kg)], "")</f>
        <v>0.29620000000000002</v>
      </c>
      <c r="P1799" s="58">
        <f>IFERROR(Table1[[#This Row],[Quality Pass Production]]/Table1[[#This Row],[Actual Production (Kg)]], "")</f>
        <v>1</v>
      </c>
      <c r="Q1799" s="58">
        <f>IFERROR(Table1[[#This Row],[Utilization %]]*Table1[[#This Row],[Efficiency %]]*Table1[[#This Row],[Quality %]], "")</f>
        <v>0.24234545454545459</v>
      </c>
      <c r="R1799" s="55" t="s">
        <v>494</v>
      </c>
    </row>
    <row r="1800" spans="1:18" ht="30" customHeight="1" x14ac:dyDescent="0.25">
      <c r="A1800" s="47">
        <v>46281</v>
      </c>
      <c r="B1800" s="48" t="s">
        <v>18</v>
      </c>
      <c r="C1800" s="48" t="s">
        <v>19</v>
      </c>
      <c r="D1800" s="48" t="s">
        <v>20</v>
      </c>
      <c r="E1800" s="49">
        <v>10000</v>
      </c>
      <c r="F1800" s="76">
        <v>8354</v>
      </c>
      <c r="G1800" s="49">
        <v>0</v>
      </c>
      <c r="H1800" s="50">
        <f>IFERROR(Table1[Re-process (Kg)]/Table1[Actual Production (Kg)], "")</f>
        <v>0</v>
      </c>
      <c r="I1800" s="49">
        <f>IFERROR(Table1[[#This Row],[Actual Production (Kg)]]-Table1[[#This Row],[Re-process (Kg)]], "")</f>
        <v>8354</v>
      </c>
      <c r="J1800" s="49">
        <v>22</v>
      </c>
      <c r="K1800" s="72"/>
      <c r="L1800" s="49">
        <f>IF(Table1[[#This Row],[Target Time (Hours)]]="","",Table1[[#This Row],[Target Time (Hours)]]-Table1[[#This Row],[Downtime (Hours)]])</f>
        <v>22</v>
      </c>
      <c r="M1800" s="49">
        <f>IFERROR(Table1[[#This Row],[Capacity (Kg)]]/Table1[[#This Row],[Target Time (Hours)]] * Table1[[#This Row],[Downtime (Hours)]], "")</f>
        <v>0</v>
      </c>
      <c r="N1800" s="50">
        <f>IFERROR(Table1[[#This Row],[Running Time (hr)]]/Table1[Target Time (Hours)], "")</f>
        <v>1</v>
      </c>
      <c r="O1800" s="50">
        <f>IFERROR(Table1[[#This Row],[Actual Production (Kg)]]/Table1[Capacity (Kg)], "")</f>
        <v>0.83540000000000003</v>
      </c>
      <c r="P1800" s="50">
        <f>IFERROR(Table1[[#This Row],[Quality Pass Production]]/Table1[[#This Row],[Actual Production (Kg)]], "")</f>
        <v>1</v>
      </c>
      <c r="Q1800" s="50">
        <f>IFERROR(Table1[[#This Row],[Utilization %]]*Table1[[#This Row],[Efficiency %]]*Table1[[#This Row],[Quality %]], "")</f>
        <v>0.83540000000000003</v>
      </c>
    </row>
    <row r="1801" spans="1:18" x14ac:dyDescent="0.25">
      <c r="A1801" s="51">
        <v>46281</v>
      </c>
      <c r="B1801" s="52" t="s">
        <v>18</v>
      </c>
      <c r="C1801" s="52" t="s">
        <v>238</v>
      </c>
      <c r="D1801" s="52" t="s">
        <v>20</v>
      </c>
      <c r="E1801" s="53">
        <v>10636</v>
      </c>
      <c r="F1801" s="53">
        <v>10636</v>
      </c>
      <c r="G1801" s="53">
        <v>0</v>
      </c>
      <c r="H1801" s="57">
        <f>IFERROR(Table1[Re-process (Kg)]/Table1[Actual Production (Kg)], "")</f>
        <v>0</v>
      </c>
      <c r="I1801" s="53">
        <f>IFERROR(Table1[[#This Row],[Actual Production (Kg)]]-Table1[[#This Row],[Re-process (Kg)]], "")</f>
        <v>10636</v>
      </c>
      <c r="J1801" s="53"/>
      <c r="K1801" s="52"/>
      <c r="L1801" s="53" t="str">
        <f>IF(Table1[[#This Row],[Target Time (Hours)]]="","",Table1[[#This Row],[Target Time (Hours)]]-Table1[[#This Row],[Downtime (Hours)]])</f>
        <v/>
      </c>
      <c r="M1801" s="53" t="str">
        <f>IFERROR(Table1[[#This Row],[Capacity (Kg)]]/Table1[[#This Row],[Target Time (Hours)]] * Table1[[#This Row],[Downtime (Hours)]], "")</f>
        <v/>
      </c>
      <c r="N1801" s="57" t="str">
        <f>IFERROR(Table1[[#This Row],[Running Time (hr)]]/Table1[Target Time (Hours)], "")</f>
        <v/>
      </c>
      <c r="O1801" s="57">
        <f>IFERROR(Table1[[#This Row],[Actual Production (Kg)]]/Table1[Capacity (Kg)], "")</f>
        <v>1</v>
      </c>
      <c r="P1801" s="57">
        <f>IFERROR(Table1[[#This Row],[Quality Pass Production]]/Table1[[#This Row],[Actual Production (Kg)]], "")</f>
        <v>1</v>
      </c>
      <c r="Q1801" s="57" t="str">
        <f>IFERROR(Table1[[#This Row],[Utilization %]]*Table1[[#This Row],[Efficiency %]]*Table1[[#This Row],[Quality %]], "")</f>
        <v/>
      </c>
      <c r="R1801" s="52"/>
    </row>
    <row r="1802" spans="1:18" x14ac:dyDescent="0.25">
      <c r="A1802" s="47">
        <v>46281</v>
      </c>
      <c r="B1802" s="48" t="s">
        <v>18</v>
      </c>
      <c r="C1802" s="48" t="s">
        <v>22</v>
      </c>
      <c r="D1802" s="48" t="s">
        <v>23</v>
      </c>
      <c r="E1802" s="49">
        <v>5000</v>
      </c>
      <c r="F1802" s="76">
        <v>4104</v>
      </c>
      <c r="G1802" s="49">
        <v>0</v>
      </c>
      <c r="H1802" s="50">
        <f>IFERROR(Table1[Re-process (Kg)]/Table1[Actual Production (Kg)], "")</f>
        <v>0</v>
      </c>
      <c r="I1802" s="49">
        <f>IFERROR(Table1[[#This Row],[Actual Production (Kg)]]-Table1[[#This Row],[Re-process (Kg)]], "")</f>
        <v>4104</v>
      </c>
      <c r="J1802" s="49">
        <v>22</v>
      </c>
      <c r="K1802" s="72"/>
      <c r="L1802" s="49">
        <f>IF(Table1[[#This Row],[Target Time (Hours)]]="","",Table1[[#This Row],[Target Time (Hours)]]-Table1[[#This Row],[Downtime (Hours)]])</f>
        <v>22</v>
      </c>
      <c r="M1802" s="49">
        <f>IFERROR(Table1[[#This Row],[Capacity (Kg)]]/Table1[[#This Row],[Target Time (Hours)]] * Table1[[#This Row],[Downtime (Hours)]], "")</f>
        <v>0</v>
      </c>
      <c r="N1802" s="50">
        <f>IFERROR(Table1[[#This Row],[Running Time (hr)]]/Table1[Target Time (Hours)], "")</f>
        <v>1</v>
      </c>
      <c r="O1802" s="50">
        <f>IFERROR(Table1[[#This Row],[Actual Production (Kg)]]/Table1[Capacity (Kg)], "")</f>
        <v>0.82079999999999997</v>
      </c>
      <c r="P1802" s="50">
        <f>IFERROR(Table1[[#This Row],[Quality Pass Production]]/Table1[[#This Row],[Actual Production (Kg)]], "")</f>
        <v>1</v>
      </c>
      <c r="Q1802" s="50">
        <f>IFERROR(Table1[[#This Row],[Utilization %]]*Table1[[#This Row],[Efficiency %]]*Table1[[#This Row],[Quality %]], "")</f>
        <v>0.82079999999999997</v>
      </c>
    </row>
    <row r="1803" spans="1:18" x14ac:dyDescent="0.25">
      <c r="A1803" s="47">
        <v>46281</v>
      </c>
      <c r="B1803" s="48" t="s">
        <v>18</v>
      </c>
      <c r="C1803" s="48" t="s">
        <v>22</v>
      </c>
      <c r="D1803" s="48" t="s">
        <v>25</v>
      </c>
      <c r="E1803" s="49">
        <v>4000</v>
      </c>
      <c r="F1803" s="76">
        <v>5435</v>
      </c>
      <c r="G1803" s="49">
        <v>0</v>
      </c>
      <c r="H1803" s="50">
        <f>IFERROR(Table1[Re-process (Kg)]/Table1[Actual Production (Kg)], "")</f>
        <v>0</v>
      </c>
      <c r="I1803" s="49">
        <f>IFERROR(Table1[[#This Row],[Actual Production (Kg)]]-Table1[[#This Row],[Re-process (Kg)]], "")</f>
        <v>5435</v>
      </c>
      <c r="J1803" s="49"/>
      <c r="K1803" s="72"/>
      <c r="L1803" s="49" t="str">
        <f>IF(Table1[[#This Row],[Target Time (Hours)]]="","",Table1[[#This Row],[Target Time (Hours)]]-Table1[[#This Row],[Downtime (Hours)]])</f>
        <v/>
      </c>
      <c r="M1803" s="49" t="str">
        <f>IFERROR(Table1[[#This Row],[Capacity (Kg)]]/Table1[[#This Row],[Target Time (Hours)]] * Table1[[#This Row],[Downtime (Hours)]], "")</f>
        <v/>
      </c>
      <c r="N1803" s="50" t="str">
        <f>IFERROR(Table1[[#This Row],[Running Time (hr)]]/Table1[Target Time (Hours)], "")</f>
        <v/>
      </c>
      <c r="O1803" s="50">
        <f>IFERROR(Table1[[#This Row],[Actual Production (Kg)]]/Table1[Capacity (Kg)], "")</f>
        <v>1.3587499999999999</v>
      </c>
      <c r="P1803" s="50">
        <f>IFERROR(Table1[[#This Row],[Quality Pass Production]]/Table1[[#This Row],[Actual Production (Kg)]], "")</f>
        <v>1</v>
      </c>
      <c r="Q1803" s="50" t="str">
        <f>IFERROR(Table1[[#This Row],[Utilization %]]*Table1[[#This Row],[Efficiency %]]*Table1[[#This Row],[Quality %]], "")</f>
        <v/>
      </c>
    </row>
    <row r="1804" spans="1:18" ht="30" customHeight="1" x14ac:dyDescent="0.25">
      <c r="A1804" s="47">
        <v>46281</v>
      </c>
      <c r="B1804" s="48" t="s">
        <v>18</v>
      </c>
      <c r="C1804" s="48" t="s">
        <v>26</v>
      </c>
      <c r="D1804" s="48" t="s">
        <v>25</v>
      </c>
      <c r="E1804" s="49">
        <v>7000</v>
      </c>
      <c r="F1804" s="76">
        <v>7493</v>
      </c>
      <c r="G1804" s="49">
        <v>0</v>
      </c>
      <c r="H1804" s="50">
        <f>IFERROR(Table1[Re-process (Kg)]/Table1[Actual Production (Kg)], "")</f>
        <v>0</v>
      </c>
      <c r="I1804" s="49">
        <f>IFERROR(Table1[[#This Row],[Actual Production (Kg)]]-Table1[[#This Row],[Re-process (Kg)]], "")</f>
        <v>7493</v>
      </c>
      <c r="J1804" s="49">
        <v>22</v>
      </c>
      <c r="K1804" s="72"/>
      <c r="L1804" s="49">
        <f>IF(Table1[[#This Row],[Target Time (Hours)]]="","",Table1[[#This Row],[Target Time (Hours)]]-Table1[[#This Row],[Downtime (Hours)]])</f>
        <v>22</v>
      </c>
      <c r="M1804" s="49">
        <f>IFERROR(Table1[[#This Row],[Capacity (Kg)]]/Table1[[#This Row],[Target Time (Hours)]] * Table1[[#This Row],[Downtime (Hours)]], "")</f>
        <v>0</v>
      </c>
      <c r="N1804" s="50">
        <f>IFERROR(Table1[[#This Row],[Running Time (hr)]]/Table1[Target Time (Hours)], "")</f>
        <v>1</v>
      </c>
      <c r="O1804" s="50">
        <f>IFERROR(Table1[[#This Row],[Actual Production (Kg)]]/Table1[Capacity (Kg)], "")</f>
        <v>1.0704285714285715</v>
      </c>
      <c r="P1804" s="50">
        <f>IFERROR(Table1[[#This Row],[Quality Pass Production]]/Table1[[#This Row],[Actual Production (Kg)]], "")</f>
        <v>1</v>
      </c>
      <c r="Q1804" s="50">
        <f>IFERROR(Table1[[#This Row],[Utilization %]]*Table1[[#This Row],[Efficiency %]]*Table1[[#This Row],[Quality %]], "")</f>
        <v>1.0704285714285715</v>
      </c>
      <c r="R1804" s="48" t="s">
        <v>495</v>
      </c>
    </row>
    <row r="1805" spans="1:18" ht="30" customHeight="1" x14ac:dyDescent="0.25">
      <c r="A1805" s="47">
        <v>46281</v>
      </c>
      <c r="B1805" s="48" t="s">
        <v>18</v>
      </c>
      <c r="C1805" s="48" t="s">
        <v>28</v>
      </c>
      <c r="D1805" s="48" t="s">
        <v>29</v>
      </c>
      <c r="E1805" s="49">
        <v>7800</v>
      </c>
      <c r="F1805" s="76">
        <v>6242</v>
      </c>
      <c r="G1805" s="49">
        <v>0</v>
      </c>
      <c r="H1805" s="50">
        <f>IFERROR(Table1[Re-process (Kg)]/Table1[Actual Production (Kg)], "")</f>
        <v>0</v>
      </c>
      <c r="I1805" s="49">
        <f>IFERROR(Table1[[#This Row],[Actual Production (Kg)]]-Table1[[#This Row],[Re-process (Kg)]], "")</f>
        <v>6242</v>
      </c>
      <c r="J1805" s="49">
        <v>22</v>
      </c>
      <c r="K1805" s="72"/>
      <c r="L1805" s="49">
        <f>IF(Table1[[#This Row],[Target Time (Hours)]]="","",Table1[[#This Row],[Target Time (Hours)]]-Table1[[#This Row],[Downtime (Hours)]])</f>
        <v>22</v>
      </c>
      <c r="M1805" s="49">
        <f>IFERROR(Table1[[#This Row],[Capacity (Kg)]]/Table1[[#This Row],[Target Time (Hours)]] * Table1[[#This Row],[Downtime (Hours)]], "")</f>
        <v>0</v>
      </c>
      <c r="N1805" s="50">
        <f>IFERROR(Table1[[#This Row],[Running Time (hr)]]/Table1[Target Time (Hours)], "")</f>
        <v>1</v>
      </c>
      <c r="O1805" s="50">
        <f>IFERROR(Table1[[#This Row],[Actual Production (Kg)]]/Table1[Capacity (Kg)], "")</f>
        <v>0.80025641025641026</v>
      </c>
      <c r="P1805" s="50">
        <f>IFERROR(Table1[[#This Row],[Quality Pass Production]]/Table1[[#This Row],[Actual Production (Kg)]], "")</f>
        <v>1</v>
      </c>
      <c r="Q1805" s="50">
        <f>IFERROR(Table1[[#This Row],[Utilization %]]*Table1[[#This Row],[Efficiency %]]*Table1[[#This Row],[Quality %]], "")</f>
        <v>0.80025641025641026</v>
      </c>
    </row>
    <row r="1806" spans="1:18" ht="30" customHeight="1" x14ac:dyDescent="0.25">
      <c r="A1806" s="51">
        <v>46281</v>
      </c>
      <c r="B1806" s="52" t="s">
        <v>18</v>
      </c>
      <c r="C1806" s="52" t="s">
        <v>135</v>
      </c>
      <c r="D1806" s="52" t="s">
        <v>29</v>
      </c>
      <c r="E1806" s="53"/>
      <c r="F1806" s="53"/>
      <c r="G1806" s="53"/>
      <c r="H1806" s="57" t="str">
        <f>IFERROR(Table1[Re-process (Kg)]/Table1[Actual Production (Kg)], "")</f>
        <v/>
      </c>
      <c r="I1806" s="53">
        <f>IFERROR(Table1[[#This Row],[Actual Production (Kg)]]-Table1[[#This Row],[Re-process (Kg)]], "")</f>
        <v>0</v>
      </c>
      <c r="J1806" s="53"/>
      <c r="K1806" s="52"/>
      <c r="L1806" s="53" t="str">
        <f>IF(Table1[[#This Row],[Target Time (Hours)]]="","",Table1[[#This Row],[Target Time (Hours)]]-Table1[[#This Row],[Downtime (Hours)]])</f>
        <v/>
      </c>
      <c r="M1806" s="53" t="str">
        <f>IFERROR(Table1[[#This Row],[Capacity (Kg)]]/Table1[[#This Row],[Target Time (Hours)]] * Table1[[#This Row],[Downtime (Hours)]], "")</f>
        <v/>
      </c>
      <c r="N1806" s="57" t="str">
        <f>IFERROR(Table1[[#This Row],[Running Time (hr)]]/Table1[Target Time (Hours)], "")</f>
        <v/>
      </c>
      <c r="O1806" s="57" t="str">
        <f>IFERROR(Table1[[#This Row],[Actual Production (Kg)]]/Table1[Capacity (Kg)], "")</f>
        <v/>
      </c>
      <c r="P1806" s="57" t="str">
        <f>IFERROR(Table1[[#This Row],[Quality Pass Production]]/Table1[[#This Row],[Actual Production (Kg)]], "")</f>
        <v/>
      </c>
      <c r="Q1806" s="57" t="str">
        <f>IFERROR(Table1[[#This Row],[Utilization %]]*Table1[[#This Row],[Efficiency %]]*Table1[[#This Row],[Quality %]], "")</f>
        <v/>
      </c>
      <c r="R1806" s="52"/>
    </row>
    <row r="1807" spans="1:18" ht="30" customHeight="1" x14ac:dyDescent="0.25">
      <c r="A1807" s="47">
        <v>46281</v>
      </c>
      <c r="B1807" s="48" t="s">
        <v>18</v>
      </c>
      <c r="C1807" s="48" t="s">
        <v>30</v>
      </c>
      <c r="D1807" s="48" t="s">
        <v>31</v>
      </c>
      <c r="E1807" s="49">
        <v>9000</v>
      </c>
      <c r="F1807" s="76">
        <v>8057</v>
      </c>
      <c r="G1807" s="49">
        <v>0</v>
      </c>
      <c r="H1807" s="50">
        <f>IFERROR(Table1[Re-process (Kg)]/Table1[Actual Production (Kg)], "")</f>
        <v>0</v>
      </c>
      <c r="I1807" s="49">
        <f>IFERROR(Table1[[#This Row],[Actual Production (Kg)]]-Table1[[#This Row],[Re-process (Kg)]], "")</f>
        <v>8057</v>
      </c>
      <c r="J1807" s="49">
        <v>22</v>
      </c>
      <c r="K1807" s="72"/>
      <c r="L1807" s="49">
        <f>IF(Table1[[#This Row],[Target Time (Hours)]]="","",Table1[[#This Row],[Target Time (Hours)]]-Table1[[#This Row],[Downtime (Hours)]])</f>
        <v>22</v>
      </c>
      <c r="M1807" s="49">
        <f>IFERROR(Table1[[#This Row],[Capacity (Kg)]]/Table1[[#This Row],[Target Time (Hours)]] * Table1[[#This Row],[Downtime (Hours)]], "")</f>
        <v>0</v>
      </c>
      <c r="N1807" s="50">
        <f>IFERROR(Table1[[#This Row],[Running Time (hr)]]/Table1[Target Time (Hours)], "")</f>
        <v>1</v>
      </c>
      <c r="O1807" s="50">
        <f>IFERROR(Table1[[#This Row],[Actual Production (Kg)]]/Table1[Capacity (Kg)], "")</f>
        <v>0.89522222222222225</v>
      </c>
      <c r="P1807" s="50">
        <f>IFERROR(Table1[[#This Row],[Quality Pass Production]]/Table1[[#This Row],[Actual Production (Kg)]], "")</f>
        <v>1</v>
      </c>
      <c r="Q1807" s="50">
        <f>IFERROR(Table1[[#This Row],[Utilization %]]*Table1[[#This Row],[Efficiency %]]*Table1[[#This Row],[Quality %]], "")</f>
        <v>0.89522222222222225</v>
      </c>
    </row>
    <row r="1808" spans="1:18" ht="30" customHeight="1" x14ac:dyDescent="0.25">
      <c r="A1808" s="51">
        <v>46281</v>
      </c>
      <c r="B1808" s="52" t="s">
        <v>18</v>
      </c>
      <c r="C1808" s="52" t="s">
        <v>32</v>
      </c>
      <c r="D1808" s="52" t="s">
        <v>31</v>
      </c>
      <c r="E1808" s="53"/>
      <c r="F1808" s="53"/>
      <c r="G1808" s="53"/>
      <c r="H1808" s="57" t="str">
        <f>IFERROR(Table1[Re-process (Kg)]/Table1[Actual Production (Kg)], "")</f>
        <v/>
      </c>
      <c r="I1808" s="53">
        <f>IFERROR(Table1[[#This Row],[Actual Production (Kg)]]-Table1[[#This Row],[Re-process (Kg)]], "")</f>
        <v>0</v>
      </c>
      <c r="J1808" s="53"/>
      <c r="K1808" s="52"/>
      <c r="L1808" s="53" t="str">
        <f>IF(Table1[[#This Row],[Target Time (Hours)]]="","",Table1[[#This Row],[Target Time (Hours)]]-Table1[[#This Row],[Downtime (Hours)]])</f>
        <v/>
      </c>
      <c r="M1808" s="53" t="str">
        <f>IFERROR(Table1[[#This Row],[Capacity (Kg)]]/Table1[[#This Row],[Target Time (Hours)]] * Table1[[#This Row],[Downtime (Hours)]], "")</f>
        <v/>
      </c>
      <c r="N1808" s="57" t="str">
        <f>IFERROR(Table1[[#This Row],[Running Time (hr)]]/Table1[Target Time (Hours)], "")</f>
        <v/>
      </c>
      <c r="O1808" s="57" t="str">
        <f>IFERROR(Table1[[#This Row],[Actual Production (Kg)]]/Table1[Capacity (Kg)], "")</f>
        <v/>
      </c>
      <c r="P1808" s="57" t="str">
        <f>IFERROR(Table1[[#This Row],[Quality Pass Production]]/Table1[[#This Row],[Actual Production (Kg)]], "")</f>
        <v/>
      </c>
      <c r="Q1808" s="57" t="str">
        <f>IFERROR(Table1[[#This Row],[Utilization %]]*Table1[[#This Row],[Efficiency %]]*Table1[[#This Row],[Quality %]], "")</f>
        <v/>
      </c>
      <c r="R1808" s="52"/>
    </row>
    <row r="1809" spans="1:18" ht="30" customHeight="1" x14ac:dyDescent="0.25">
      <c r="A1809" s="47">
        <v>46281</v>
      </c>
      <c r="B1809" s="48" t="s">
        <v>33</v>
      </c>
      <c r="C1809" s="48" t="s">
        <v>34</v>
      </c>
      <c r="D1809" s="48" t="s">
        <v>35</v>
      </c>
      <c r="E1809" s="49">
        <v>9000</v>
      </c>
      <c r="F1809" s="76">
        <v>6313</v>
      </c>
      <c r="G1809" s="49">
        <v>0</v>
      </c>
      <c r="H1809" s="50">
        <f>IFERROR(Table1[Re-process (Kg)]/Table1[Actual Production (Kg)], "")</f>
        <v>0</v>
      </c>
      <c r="I1809" s="49">
        <f>IFERROR(Table1[[#This Row],[Actual Production (Kg)]]-Table1[[#This Row],[Re-process (Kg)]], "")</f>
        <v>6313</v>
      </c>
      <c r="J1809" s="49">
        <v>22</v>
      </c>
      <c r="K1809" s="72"/>
      <c r="L1809" s="49">
        <f>IF(Table1[[#This Row],[Target Time (Hours)]]="","",Table1[[#This Row],[Target Time (Hours)]]-Table1[[#This Row],[Downtime (Hours)]])</f>
        <v>22</v>
      </c>
      <c r="M1809" s="49">
        <f>IFERROR(Table1[[#This Row],[Capacity (Kg)]]/Table1[[#This Row],[Target Time (Hours)]] * Table1[[#This Row],[Downtime (Hours)]], "")</f>
        <v>0</v>
      </c>
      <c r="N1809" s="50">
        <f>IFERROR(Table1[[#This Row],[Running Time (hr)]]/Table1[Target Time (Hours)], "")</f>
        <v>1</v>
      </c>
      <c r="O1809" s="50">
        <f>IFERROR(Table1[[#This Row],[Actual Production (Kg)]]/Table1[Capacity (Kg)], "")</f>
        <v>0.70144444444444443</v>
      </c>
      <c r="P1809" s="50">
        <f>IFERROR(Table1[[#This Row],[Quality Pass Production]]/Table1[[#This Row],[Actual Production (Kg)]], "")</f>
        <v>1</v>
      </c>
      <c r="Q1809" s="50">
        <f>IFERROR(Table1[[#This Row],[Utilization %]]*Table1[[#This Row],[Efficiency %]]*Table1[[#This Row],[Quality %]], "")</f>
        <v>0.70144444444444443</v>
      </c>
    </row>
    <row r="1810" spans="1:18" ht="30" customHeight="1" x14ac:dyDescent="0.25">
      <c r="A1810" s="47">
        <v>46281</v>
      </c>
      <c r="B1810" s="48" t="s">
        <v>33</v>
      </c>
      <c r="C1810" s="48" t="s">
        <v>36</v>
      </c>
      <c r="D1810" s="48" t="s">
        <v>37</v>
      </c>
      <c r="E1810" s="49">
        <v>8000</v>
      </c>
      <c r="F1810" s="76">
        <v>6507</v>
      </c>
      <c r="G1810" s="49">
        <v>0</v>
      </c>
      <c r="H1810" s="50">
        <f>IFERROR(Table1[Re-process (Kg)]/Table1[Actual Production (Kg)], "")</f>
        <v>0</v>
      </c>
      <c r="I1810" s="49">
        <f>IFERROR(Table1[[#This Row],[Actual Production (Kg)]]-Table1[[#This Row],[Re-process (Kg)]], "")</f>
        <v>6507</v>
      </c>
      <c r="J1810" s="49">
        <v>22</v>
      </c>
      <c r="K1810" s="72">
        <v>5.83</v>
      </c>
      <c r="L1810" s="49">
        <f>IF(Table1[[#This Row],[Target Time (Hours)]]="","",Table1[[#This Row],[Target Time (Hours)]]-Table1[[#This Row],[Downtime (Hours)]])</f>
        <v>16.170000000000002</v>
      </c>
      <c r="M1810" s="49">
        <f>IFERROR(Table1[[#This Row],[Capacity (Kg)]]/Table1[[#This Row],[Target Time (Hours)]] * Table1[[#This Row],[Downtime (Hours)]], "")</f>
        <v>2120</v>
      </c>
      <c r="N1810" s="50">
        <f>IFERROR(Table1[[#This Row],[Running Time (hr)]]/Table1[Target Time (Hours)], "")</f>
        <v>0.7350000000000001</v>
      </c>
      <c r="O1810" s="50">
        <f>IFERROR(Table1[[#This Row],[Actual Production (Kg)]]/Table1[Capacity (Kg)], "")</f>
        <v>0.81337499999999996</v>
      </c>
      <c r="P1810" s="50">
        <f>IFERROR(Table1[[#This Row],[Quality Pass Production]]/Table1[[#This Row],[Actual Production (Kg)]], "")</f>
        <v>1</v>
      </c>
      <c r="Q1810" s="50">
        <f>IFERROR(Table1[[#This Row],[Utilization %]]*Table1[[#This Row],[Efficiency %]]*Table1[[#This Row],[Quality %]], "")</f>
        <v>0.59783062500000006</v>
      </c>
      <c r="R1810" s="48" t="s">
        <v>496</v>
      </c>
    </row>
    <row r="1811" spans="1:18" ht="30" customHeight="1" x14ac:dyDescent="0.25">
      <c r="A1811" s="47">
        <v>46281</v>
      </c>
      <c r="B1811" s="48" t="s">
        <v>33</v>
      </c>
      <c r="C1811" s="48" t="s">
        <v>39</v>
      </c>
      <c r="D1811" s="48" t="s">
        <v>31</v>
      </c>
      <c r="E1811" s="49">
        <v>6000</v>
      </c>
      <c r="F1811" s="76">
        <v>3561</v>
      </c>
      <c r="G1811" s="49">
        <v>0</v>
      </c>
      <c r="H1811" s="50">
        <f>IFERROR(Table1[Re-process (Kg)]/Table1[Actual Production (Kg)], "")</f>
        <v>0</v>
      </c>
      <c r="I1811" s="49">
        <f>IFERROR(Table1[[#This Row],[Actual Production (Kg)]]-Table1[[#This Row],[Re-process (Kg)]], "")</f>
        <v>3561</v>
      </c>
      <c r="J1811" s="49">
        <v>22</v>
      </c>
      <c r="K1811" s="72">
        <v>4.5</v>
      </c>
      <c r="L1811" s="49">
        <f>IF(Table1[[#This Row],[Target Time (Hours)]]="","",Table1[[#This Row],[Target Time (Hours)]]-Table1[[#This Row],[Downtime (Hours)]])</f>
        <v>17.5</v>
      </c>
      <c r="M1811" s="49">
        <f>IFERROR(Table1[[#This Row],[Capacity (Kg)]]/Table1[[#This Row],[Target Time (Hours)]] * Table1[[#This Row],[Downtime (Hours)]], "")</f>
        <v>1227.2727272727275</v>
      </c>
      <c r="N1811" s="50">
        <f>IFERROR(Table1[[#This Row],[Running Time (hr)]]/Table1[Target Time (Hours)], "")</f>
        <v>0.79545454545454541</v>
      </c>
      <c r="O1811" s="50">
        <f>IFERROR(Table1[[#This Row],[Actual Production (Kg)]]/Table1[Capacity (Kg)], "")</f>
        <v>0.59350000000000003</v>
      </c>
      <c r="P1811" s="50">
        <f>IFERROR(Table1[[#This Row],[Quality Pass Production]]/Table1[[#This Row],[Actual Production (Kg)]], "")</f>
        <v>1</v>
      </c>
      <c r="Q1811" s="50">
        <f>IFERROR(Table1[[#This Row],[Utilization %]]*Table1[[#This Row],[Efficiency %]]*Table1[[#This Row],[Quality %]], "")</f>
        <v>0.47210227272727273</v>
      </c>
      <c r="R1811" s="48" t="s">
        <v>497</v>
      </c>
    </row>
    <row r="1812" spans="1:18" ht="45" customHeight="1" x14ac:dyDescent="0.25">
      <c r="A1812" s="54">
        <v>46281</v>
      </c>
      <c r="B1812" s="55" t="s">
        <v>33</v>
      </c>
      <c r="C1812" s="55" t="s">
        <v>40</v>
      </c>
      <c r="D1812" s="55" t="s">
        <v>31</v>
      </c>
      <c r="E1812" s="56">
        <v>5000</v>
      </c>
      <c r="F1812" s="56">
        <v>581</v>
      </c>
      <c r="G1812" s="56">
        <v>0</v>
      </c>
      <c r="H1812" s="58">
        <f>IFERROR(Table1[Re-process (Kg)]/Table1[Actual Production (Kg)], "")</f>
        <v>0</v>
      </c>
      <c r="I1812" s="56">
        <f>IFERROR(Table1[[#This Row],[Actual Production (Kg)]]-Table1[[#This Row],[Re-process (Kg)]], "")</f>
        <v>581</v>
      </c>
      <c r="J1812" s="56">
        <v>22</v>
      </c>
      <c r="K1812" s="55">
        <v>16</v>
      </c>
      <c r="L1812" s="56">
        <f>IF(Table1[[#This Row],[Target Time (Hours)]]="","",Table1[[#This Row],[Target Time (Hours)]]-Table1[[#This Row],[Downtime (Hours)]])</f>
        <v>6</v>
      </c>
      <c r="M1812" s="56">
        <f>IFERROR(Table1[[#This Row],[Capacity (Kg)]]/Table1[[#This Row],[Target Time (Hours)]] * Table1[[#This Row],[Downtime (Hours)]], "")</f>
        <v>3636.3636363636365</v>
      </c>
      <c r="N1812" s="58">
        <f>IFERROR(Table1[[#This Row],[Running Time (hr)]]/Table1[Target Time (Hours)], "")</f>
        <v>0.27272727272727271</v>
      </c>
      <c r="O1812" s="58">
        <f>IFERROR(Table1[[#This Row],[Actual Production (Kg)]]/Table1[Capacity (Kg)], "")</f>
        <v>0.1162</v>
      </c>
      <c r="P1812" s="58">
        <f>IFERROR(Table1[[#This Row],[Quality Pass Production]]/Table1[[#This Row],[Actual Production (Kg)]], "")</f>
        <v>1</v>
      </c>
      <c r="Q1812" s="58">
        <f>IFERROR(Table1[[#This Row],[Utilization %]]*Table1[[#This Row],[Efficiency %]]*Table1[[#This Row],[Quality %]], "")</f>
        <v>3.1690909090909089E-2</v>
      </c>
      <c r="R1812" s="55" t="s">
        <v>498</v>
      </c>
    </row>
    <row r="1813" spans="1:18" ht="30" customHeight="1" x14ac:dyDescent="0.25">
      <c r="A1813" s="47">
        <v>46282</v>
      </c>
      <c r="B1813" s="48" t="s">
        <v>18</v>
      </c>
      <c r="C1813" s="48" t="s">
        <v>19</v>
      </c>
      <c r="D1813" s="48" t="s">
        <v>20</v>
      </c>
      <c r="E1813" s="49">
        <v>10000</v>
      </c>
      <c r="F1813" s="76">
        <v>11404</v>
      </c>
      <c r="G1813" s="49">
        <v>0</v>
      </c>
      <c r="H1813" s="50">
        <f>IFERROR(Table1[Re-process (Kg)]/Table1[Actual Production (Kg)], "")</f>
        <v>0</v>
      </c>
      <c r="I1813" s="49">
        <f>IFERROR(Table1[[#This Row],[Actual Production (Kg)]]-Table1[[#This Row],[Re-process (Kg)]], "")</f>
        <v>11404</v>
      </c>
      <c r="J1813" s="49">
        <v>22</v>
      </c>
      <c r="K1813" s="72"/>
      <c r="L1813" s="49">
        <f>IF(Table1[[#This Row],[Target Time (Hours)]]="","",Table1[[#This Row],[Target Time (Hours)]]-Table1[[#This Row],[Downtime (Hours)]])</f>
        <v>22</v>
      </c>
      <c r="M1813" s="49">
        <f>IFERROR(Table1[[#This Row],[Capacity (Kg)]]/Table1[[#This Row],[Target Time (Hours)]] * Table1[[#This Row],[Downtime (Hours)]], "")</f>
        <v>0</v>
      </c>
      <c r="N1813" s="50">
        <f>IFERROR(Table1[[#This Row],[Running Time (hr)]]/Table1[Target Time (Hours)], "")</f>
        <v>1</v>
      </c>
      <c r="O1813" s="50">
        <f>IFERROR(Table1[[#This Row],[Actual Production (Kg)]]/Table1[Capacity (Kg)], "")</f>
        <v>1.1404000000000001</v>
      </c>
      <c r="P1813" s="50">
        <f>IFERROR(Table1[[#This Row],[Quality Pass Production]]/Table1[[#This Row],[Actual Production (Kg)]], "")</f>
        <v>1</v>
      </c>
      <c r="Q1813" s="50">
        <f>IFERROR(Table1[[#This Row],[Utilization %]]*Table1[[#This Row],[Efficiency %]]*Table1[[#This Row],[Quality %]], "")</f>
        <v>1.1404000000000001</v>
      </c>
    </row>
    <row r="1814" spans="1:18" x14ac:dyDescent="0.25">
      <c r="A1814" s="51">
        <v>46282</v>
      </c>
      <c r="B1814" s="52" t="s">
        <v>18</v>
      </c>
      <c r="C1814" s="52" t="s">
        <v>238</v>
      </c>
      <c r="D1814" s="52" t="s">
        <v>20</v>
      </c>
      <c r="E1814" s="53">
        <v>14153</v>
      </c>
      <c r="F1814" s="53">
        <v>14153</v>
      </c>
      <c r="G1814" s="53">
        <v>0</v>
      </c>
      <c r="H1814" s="57">
        <f>IFERROR(Table1[Re-process (Kg)]/Table1[Actual Production (Kg)], "")</f>
        <v>0</v>
      </c>
      <c r="I1814" s="53">
        <f>IFERROR(Table1[[#This Row],[Actual Production (Kg)]]-Table1[[#This Row],[Re-process (Kg)]], "")</f>
        <v>14153</v>
      </c>
      <c r="J1814" s="53"/>
      <c r="K1814" s="52"/>
      <c r="L1814" s="53" t="str">
        <f>IF(Table1[[#This Row],[Target Time (Hours)]]="","",Table1[[#This Row],[Target Time (Hours)]]-Table1[[#This Row],[Downtime (Hours)]])</f>
        <v/>
      </c>
      <c r="M1814" s="53" t="str">
        <f>IFERROR(Table1[[#This Row],[Capacity (Kg)]]/Table1[[#This Row],[Target Time (Hours)]] * Table1[[#This Row],[Downtime (Hours)]], "")</f>
        <v/>
      </c>
      <c r="N1814" s="57" t="str">
        <f>IFERROR(Table1[[#This Row],[Running Time (hr)]]/Table1[Target Time (Hours)], "")</f>
        <v/>
      </c>
      <c r="O1814" s="57">
        <f>IFERROR(Table1[[#This Row],[Actual Production (Kg)]]/Table1[Capacity (Kg)], "")</f>
        <v>1</v>
      </c>
      <c r="P1814" s="57">
        <f>IFERROR(Table1[[#This Row],[Quality Pass Production]]/Table1[[#This Row],[Actual Production (Kg)]], "")</f>
        <v>1</v>
      </c>
      <c r="Q1814" s="57" t="str">
        <f>IFERROR(Table1[[#This Row],[Utilization %]]*Table1[[#This Row],[Efficiency %]]*Table1[[#This Row],[Quality %]], "")</f>
        <v/>
      </c>
      <c r="R1814" s="52"/>
    </row>
    <row r="1815" spans="1:18" x14ac:dyDescent="0.25">
      <c r="A1815" s="47">
        <v>46282</v>
      </c>
      <c r="B1815" s="48" t="s">
        <v>18</v>
      </c>
      <c r="C1815" s="48" t="s">
        <v>22</v>
      </c>
      <c r="D1815" s="48" t="s">
        <v>23</v>
      </c>
      <c r="E1815" s="49">
        <v>10000</v>
      </c>
      <c r="F1815" s="76">
        <v>9951</v>
      </c>
      <c r="G1815" s="49">
        <v>0</v>
      </c>
      <c r="H1815" s="50">
        <f>IFERROR(Table1[Re-process (Kg)]/Table1[Actual Production (Kg)], "")</f>
        <v>0</v>
      </c>
      <c r="I1815" s="49">
        <f>IFERROR(Table1[[#This Row],[Actual Production (Kg)]]-Table1[[#This Row],[Re-process (Kg)]], "")</f>
        <v>9951</v>
      </c>
      <c r="J1815" s="49"/>
      <c r="K1815" s="72"/>
      <c r="L1815" s="49" t="str">
        <f>IF(Table1[[#This Row],[Target Time (Hours)]]="","",Table1[[#This Row],[Target Time (Hours)]]-Table1[[#This Row],[Downtime (Hours)]])</f>
        <v/>
      </c>
      <c r="M1815" s="49" t="str">
        <f>IFERROR(Table1[[#This Row],[Capacity (Kg)]]/Table1[[#This Row],[Target Time (Hours)]] * Table1[[#This Row],[Downtime (Hours)]], "")</f>
        <v/>
      </c>
      <c r="N1815" s="50" t="str">
        <f>IFERROR(Table1[[#This Row],[Running Time (hr)]]/Table1[Target Time (Hours)], "")</f>
        <v/>
      </c>
      <c r="O1815" s="50">
        <f>IFERROR(Table1[[#This Row],[Actual Production (Kg)]]/Table1[Capacity (Kg)], "")</f>
        <v>0.99509999999999998</v>
      </c>
      <c r="P1815" s="50">
        <f>IFERROR(Table1[[#This Row],[Quality Pass Production]]/Table1[[#This Row],[Actual Production (Kg)]], "")</f>
        <v>1</v>
      </c>
      <c r="Q1815" s="50" t="str">
        <f>IFERROR(Table1[[#This Row],[Utilization %]]*Table1[[#This Row],[Efficiency %]]*Table1[[#This Row],[Quality %]], "")</f>
        <v/>
      </c>
    </row>
    <row r="1816" spans="1:18" x14ac:dyDescent="0.25">
      <c r="A1816" s="47">
        <v>46282</v>
      </c>
      <c r="B1816" s="48" t="s">
        <v>18</v>
      </c>
      <c r="C1816" s="48" t="s">
        <v>22</v>
      </c>
      <c r="D1816" s="48" t="s">
        <v>25</v>
      </c>
      <c r="E1816" s="49">
        <v>4000</v>
      </c>
      <c r="F1816" s="76">
        <v>2823</v>
      </c>
      <c r="G1816" s="49">
        <v>0</v>
      </c>
      <c r="H1816" s="50">
        <f>IFERROR(Table1[Re-process (Kg)]/Table1[Actual Production (Kg)], "")</f>
        <v>0</v>
      </c>
      <c r="I1816" s="49">
        <f>IFERROR(Table1[[#This Row],[Actual Production (Kg)]]-Table1[[#This Row],[Re-process (Kg)]], "")</f>
        <v>2823</v>
      </c>
      <c r="J1816" s="49">
        <v>22</v>
      </c>
      <c r="K1816" s="72"/>
      <c r="L1816" s="49">
        <f>IF(Table1[[#This Row],[Target Time (Hours)]]="","",Table1[[#This Row],[Target Time (Hours)]]-Table1[[#This Row],[Downtime (Hours)]])</f>
        <v>22</v>
      </c>
      <c r="M1816" s="49">
        <f>IFERROR(Table1[[#This Row],[Capacity (Kg)]]/Table1[[#This Row],[Target Time (Hours)]] * Table1[[#This Row],[Downtime (Hours)]], "")</f>
        <v>0</v>
      </c>
      <c r="N1816" s="50">
        <f>IFERROR(Table1[[#This Row],[Running Time (hr)]]/Table1[Target Time (Hours)], "")</f>
        <v>1</v>
      </c>
      <c r="O1816" s="50">
        <f>IFERROR(Table1[[#This Row],[Actual Production (Kg)]]/Table1[Capacity (Kg)], "")</f>
        <v>0.70574999999999999</v>
      </c>
      <c r="P1816" s="50">
        <f>IFERROR(Table1[[#This Row],[Quality Pass Production]]/Table1[[#This Row],[Actual Production (Kg)]], "")</f>
        <v>1</v>
      </c>
      <c r="Q1816" s="50">
        <f>IFERROR(Table1[[#This Row],[Utilization %]]*Table1[[#This Row],[Efficiency %]]*Table1[[#This Row],[Quality %]], "")</f>
        <v>0.70574999999999999</v>
      </c>
    </row>
    <row r="1817" spans="1:18" x14ac:dyDescent="0.25">
      <c r="A1817" s="47">
        <v>46282</v>
      </c>
      <c r="B1817" s="48" t="s">
        <v>18</v>
      </c>
      <c r="C1817" s="48" t="s">
        <v>26</v>
      </c>
      <c r="D1817" s="48" t="s">
        <v>25</v>
      </c>
      <c r="E1817" s="49">
        <v>12000</v>
      </c>
      <c r="F1817" s="76">
        <v>11234</v>
      </c>
      <c r="G1817" s="49">
        <v>0</v>
      </c>
      <c r="H1817" s="50">
        <f>IFERROR(Table1[Re-process (Kg)]/Table1[Actual Production (Kg)], "")</f>
        <v>0</v>
      </c>
      <c r="I1817" s="49">
        <f>IFERROR(Table1[[#This Row],[Actual Production (Kg)]]-Table1[[#This Row],[Re-process (Kg)]], "")</f>
        <v>11234</v>
      </c>
      <c r="J1817" s="49">
        <v>22</v>
      </c>
      <c r="K1817" s="72"/>
      <c r="L1817" s="49">
        <f>IF(Table1[[#This Row],[Target Time (Hours)]]="","",Table1[[#This Row],[Target Time (Hours)]]-Table1[[#This Row],[Downtime (Hours)]])</f>
        <v>22</v>
      </c>
      <c r="M1817" s="49">
        <f>IFERROR(Table1[[#This Row],[Capacity (Kg)]]/Table1[[#This Row],[Target Time (Hours)]] * Table1[[#This Row],[Downtime (Hours)]], "")</f>
        <v>0</v>
      </c>
      <c r="N1817" s="50">
        <f>IFERROR(Table1[[#This Row],[Running Time (hr)]]/Table1[Target Time (Hours)], "")</f>
        <v>1</v>
      </c>
      <c r="O1817" s="50">
        <f>IFERROR(Table1[[#This Row],[Actual Production (Kg)]]/Table1[Capacity (Kg)], "")</f>
        <v>0.9361666666666667</v>
      </c>
      <c r="P1817" s="50">
        <f>IFERROR(Table1[[#This Row],[Quality Pass Production]]/Table1[[#This Row],[Actual Production (Kg)]], "")</f>
        <v>1</v>
      </c>
      <c r="Q1817" s="50">
        <f>IFERROR(Table1[[#This Row],[Utilization %]]*Table1[[#This Row],[Efficiency %]]*Table1[[#This Row],[Quality %]], "")</f>
        <v>0.9361666666666667</v>
      </c>
    </row>
    <row r="1818" spans="1:18" ht="30" customHeight="1" x14ac:dyDescent="0.25">
      <c r="A1818" s="47">
        <v>46282</v>
      </c>
      <c r="B1818" s="48" t="s">
        <v>18</v>
      </c>
      <c r="C1818" s="48" t="s">
        <v>28</v>
      </c>
      <c r="D1818" s="48" t="s">
        <v>29</v>
      </c>
      <c r="E1818" s="49">
        <v>10000</v>
      </c>
      <c r="F1818" s="76">
        <v>9085</v>
      </c>
      <c r="G1818" s="49">
        <v>0</v>
      </c>
      <c r="H1818" s="50">
        <f>IFERROR(Table1[Re-process (Kg)]/Table1[Actual Production (Kg)], "")</f>
        <v>0</v>
      </c>
      <c r="I1818" s="49">
        <f>IFERROR(Table1[[#This Row],[Actual Production (Kg)]]-Table1[[#This Row],[Re-process (Kg)]], "")</f>
        <v>9085</v>
      </c>
      <c r="J1818" s="49">
        <v>22</v>
      </c>
      <c r="K1818" s="72"/>
      <c r="L1818" s="49">
        <f>IF(Table1[[#This Row],[Target Time (Hours)]]="","",Table1[[#This Row],[Target Time (Hours)]]-Table1[[#This Row],[Downtime (Hours)]])</f>
        <v>22</v>
      </c>
      <c r="M1818" s="49">
        <f>IFERROR(Table1[[#This Row],[Capacity (Kg)]]/Table1[[#This Row],[Target Time (Hours)]] * Table1[[#This Row],[Downtime (Hours)]], "")</f>
        <v>0</v>
      </c>
      <c r="N1818" s="50">
        <f>IFERROR(Table1[[#This Row],[Running Time (hr)]]/Table1[Target Time (Hours)], "")</f>
        <v>1</v>
      </c>
      <c r="O1818" s="50">
        <f>IFERROR(Table1[[#This Row],[Actual Production (Kg)]]/Table1[Capacity (Kg)], "")</f>
        <v>0.90849999999999997</v>
      </c>
      <c r="P1818" s="50">
        <f>IFERROR(Table1[[#This Row],[Quality Pass Production]]/Table1[[#This Row],[Actual Production (Kg)]], "")</f>
        <v>1</v>
      </c>
      <c r="Q1818" s="50">
        <f>IFERROR(Table1[[#This Row],[Utilization %]]*Table1[[#This Row],[Efficiency %]]*Table1[[#This Row],[Quality %]], "")</f>
        <v>0.90849999999999997</v>
      </c>
    </row>
    <row r="1819" spans="1:18" ht="30" customHeight="1" x14ac:dyDescent="0.25">
      <c r="A1819" s="51">
        <v>46282</v>
      </c>
      <c r="B1819" s="52" t="s">
        <v>18</v>
      </c>
      <c r="C1819" s="52" t="s">
        <v>135</v>
      </c>
      <c r="D1819" s="52" t="s">
        <v>29</v>
      </c>
      <c r="E1819" s="53"/>
      <c r="F1819" s="53"/>
      <c r="G1819" s="53"/>
      <c r="H1819" s="57" t="str">
        <f>IFERROR(Table1[Re-process (Kg)]/Table1[Actual Production (Kg)], "")</f>
        <v/>
      </c>
      <c r="I1819" s="53">
        <f>IFERROR(Table1[[#This Row],[Actual Production (Kg)]]-Table1[[#This Row],[Re-process (Kg)]], "")</f>
        <v>0</v>
      </c>
      <c r="J1819" s="53"/>
      <c r="K1819" s="52"/>
      <c r="L1819" s="53" t="str">
        <f>IF(Table1[[#This Row],[Target Time (Hours)]]="","",Table1[[#This Row],[Target Time (Hours)]]-Table1[[#This Row],[Downtime (Hours)]])</f>
        <v/>
      </c>
      <c r="M1819" s="53" t="str">
        <f>IFERROR(Table1[[#This Row],[Capacity (Kg)]]/Table1[[#This Row],[Target Time (Hours)]] * Table1[[#This Row],[Downtime (Hours)]], "")</f>
        <v/>
      </c>
      <c r="N1819" s="57" t="str">
        <f>IFERROR(Table1[[#This Row],[Running Time (hr)]]/Table1[Target Time (Hours)], "")</f>
        <v/>
      </c>
      <c r="O1819" s="57" t="str">
        <f>IFERROR(Table1[[#This Row],[Actual Production (Kg)]]/Table1[Capacity (Kg)], "")</f>
        <v/>
      </c>
      <c r="P1819" s="57" t="str">
        <f>IFERROR(Table1[[#This Row],[Quality Pass Production]]/Table1[[#This Row],[Actual Production (Kg)]], "")</f>
        <v/>
      </c>
      <c r="Q1819" s="57" t="str">
        <f>IFERROR(Table1[[#This Row],[Utilization %]]*Table1[[#This Row],[Efficiency %]]*Table1[[#This Row],[Quality %]], "")</f>
        <v/>
      </c>
      <c r="R1819" s="52"/>
    </row>
    <row r="1820" spans="1:18" ht="30" customHeight="1" x14ac:dyDescent="0.25">
      <c r="A1820" s="47">
        <v>46282</v>
      </c>
      <c r="B1820" s="48" t="s">
        <v>18</v>
      </c>
      <c r="C1820" s="48" t="s">
        <v>30</v>
      </c>
      <c r="D1820" s="48" t="s">
        <v>31</v>
      </c>
      <c r="E1820" s="49">
        <v>9000</v>
      </c>
      <c r="F1820" s="76">
        <v>7478</v>
      </c>
      <c r="G1820" s="49">
        <v>0</v>
      </c>
      <c r="H1820" s="50">
        <f>IFERROR(Table1[Re-process (Kg)]/Table1[Actual Production (Kg)], "")</f>
        <v>0</v>
      </c>
      <c r="I1820" s="49">
        <f>IFERROR(Table1[[#This Row],[Actual Production (Kg)]]-Table1[[#This Row],[Re-process (Kg)]], "")</f>
        <v>7478</v>
      </c>
      <c r="J1820" s="49">
        <v>22</v>
      </c>
      <c r="K1820" s="72"/>
      <c r="L1820" s="49">
        <f>IF(Table1[[#This Row],[Target Time (Hours)]]="","",Table1[[#This Row],[Target Time (Hours)]]-Table1[[#This Row],[Downtime (Hours)]])</f>
        <v>22</v>
      </c>
      <c r="M1820" s="49">
        <f>IFERROR(Table1[[#This Row],[Capacity (Kg)]]/Table1[[#This Row],[Target Time (Hours)]] * Table1[[#This Row],[Downtime (Hours)]], "")</f>
        <v>0</v>
      </c>
      <c r="N1820" s="50">
        <f>IFERROR(Table1[[#This Row],[Running Time (hr)]]/Table1[Target Time (Hours)], "")</f>
        <v>1</v>
      </c>
      <c r="O1820" s="50">
        <f>IFERROR(Table1[[#This Row],[Actual Production (Kg)]]/Table1[Capacity (Kg)], "")</f>
        <v>0.8308888888888889</v>
      </c>
      <c r="P1820" s="50">
        <f>IFERROR(Table1[[#This Row],[Quality Pass Production]]/Table1[[#This Row],[Actual Production (Kg)]], "")</f>
        <v>1</v>
      </c>
      <c r="Q1820" s="50">
        <f>IFERROR(Table1[[#This Row],[Utilization %]]*Table1[[#This Row],[Efficiency %]]*Table1[[#This Row],[Quality %]], "")</f>
        <v>0.8308888888888889</v>
      </c>
    </row>
    <row r="1821" spans="1:18" ht="30" customHeight="1" x14ac:dyDescent="0.25">
      <c r="A1821" s="51">
        <v>46282</v>
      </c>
      <c r="B1821" s="52" t="s">
        <v>18</v>
      </c>
      <c r="C1821" s="52" t="s">
        <v>32</v>
      </c>
      <c r="D1821" s="52" t="s">
        <v>31</v>
      </c>
      <c r="E1821" s="53"/>
      <c r="F1821" s="53"/>
      <c r="G1821" s="53"/>
      <c r="H1821" s="57" t="str">
        <f>IFERROR(Table1[Re-process (Kg)]/Table1[Actual Production (Kg)], "")</f>
        <v/>
      </c>
      <c r="I1821" s="53">
        <f>IFERROR(Table1[[#This Row],[Actual Production (Kg)]]-Table1[[#This Row],[Re-process (Kg)]], "")</f>
        <v>0</v>
      </c>
      <c r="J1821" s="53"/>
      <c r="K1821" s="52"/>
      <c r="L1821" s="53" t="str">
        <f>IF(Table1[[#This Row],[Target Time (Hours)]]="","",Table1[[#This Row],[Target Time (Hours)]]-Table1[[#This Row],[Downtime (Hours)]])</f>
        <v/>
      </c>
      <c r="M1821" s="53" t="str">
        <f>IFERROR(Table1[[#This Row],[Capacity (Kg)]]/Table1[[#This Row],[Target Time (Hours)]] * Table1[[#This Row],[Downtime (Hours)]], "")</f>
        <v/>
      </c>
      <c r="N1821" s="57" t="str">
        <f>IFERROR(Table1[[#This Row],[Running Time (hr)]]/Table1[Target Time (Hours)], "")</f>
        <v/>
      </c>
      <c r="O1821" s="57" t="str">
        <f>IFERROR(Table1[[#This Row],[Actual Production (Kg)]]/Table1[Capacity (Kg)], "")</f>
        <v/>
      </c>
      <c r="P1821" s="57" t="str">
        <f>IFERROR(Table1[[#This Row],[Quality Pass Production]]/Table1[[#This Row],[Actual Production (Kg)]], "")</f>
        <v/>
      </c>
      <c r="Q1821" s="57" t="str">
        <f>IFERROR(Table1[[#This Row],[Utilization %]]*Table1[[#This Row],[Efficiency %]]*Table1[[#This Row],[Quality %]], "")</f>
        <v/>
      </c>
      <c r="R1821" s="52"/>
    </row>
    <row r="1822" spans="1:18" ht="30" customHeight="1" x14ac:dyDescent="0.25">
      <c r="A1822" s="47">
        <v>46282</v>
      </c>
      <c r="B1822" s="48" t="s">
        <v>33</v>
      </c>
      <c r="C1822" s="48" t="s">
        <v>34</v>
      </c>
      <c r="D1822" s="48" t="s">
        <v>35</v>
      </c>
      <c r="E1822" s="49">
        <v>9000</v>
      </c>
      <c r="F1822" s="76">
        <v>4733</v>
      </c>
      <c r="G1822" s="49">
        <v>0</v>
      </c>
      <c r="H1822" s="50">
        <f>IFERROR(Table1[Re-process (Kg)]/Table1[Actual Production (Kg)], "")</f>
        <v>0</v>
      </c>
      <c r="I1822" s="49">
        <f>IFERROR(Table1[[#This Row],[Actual Production (Kg)]]-Table1[[#This Row],[Re-process (Kg)]], "")</f>
        <v>4733</v>
      </c>
      <c r="J1822" s="49">
        <v>22</v>
      </c>
      <c r="K1822" s="72"/>
      <c r="L1822" s="49">
        <f>IF(Table1[[#This Row],[Target Time (Hours)]]="","",Table1[[#This Row],[Target Time (Hours)]]-Table1[[#This Row],[Downtime (Hours)]])</f>
        <v>22</v>
      </c>
      <c r="M1822" s="49">
        <f>IFERROR(Table1[[#This Row],[Capacity (Kg)]]/Table1[[#This Row],[Target Time (Hours)]] * Table1[[#This Row],[Downtime (Hours)]], "")</f>
        <v>0</v>
      </c>
      <c r="N1822" s="50">
        <f>IFERROR(Table1[[#This Row],[Running Time (hr)]]/Table1[Target Time (Hours)], "")</f>
        <v>1</v>
      </c>
      <c r="O1822" s="50">
        <f>IFERROR(Table1[[#This Row],[Actual Production (Kg)]]/Table1[Capacity (Kg)], "")</f>
        <v>0.52588888888888885</v>
      </c>
      <c r="P1822" s="50">
        <f>IFERROR(Table1[[#This Row],[Quality Pass Production]]/Table1[[#This Row],[Actual Production (Kg)]], "")</f>
        <v>1</v>
      </c>
      <c r="Q1822" s="50">
        <f>IFERROR(Table1[[#This Row],[Utilization %]]*Table1[[#This Row],[Efficiency %]]*Table1[[#This Row],[Quality %]], "")</f>
        <v>0.52588888888888885</v>
      </c>
    </row>
    <row r="1823" spans="1:18" x14ac:dyDescent="0.25">
      <c r="A1823" s="47">
        <v>46282</v>
      </c>
      <c r="B1823" s="48" t="s">
        <v>33</v>
      </c>
      <c r="C1823" s="48" t="s">
        <v>36</v>
      </c>
      <c r="D1823" s="48" t="s">
        <v>37</v>
      </c>
      <c r="E1823" s="49">
        <v>8000</v>
      </c>
      <c r="F1823" s="76">
        <v>5433</v>
      </c>
      <c r="G1823" s="49">
        <v>0</v>
      </c>
      <c r="H1823" s="50">
        <f>IFERROR(Table1[Re-process (Kg)]/Table1[Actual Production (Kg)], "")</f>
        <v>0</v>
      </c>
      <c r="I1823" s="49">
        <f>IFERROR(Table1[[#This Row],[Actual Production (Kg)]]-Table1[[#This Row],[Re-process (Kg)]], "")</f>
        <v>5433</v>
      </c>
      <c r="J1823" s="49">
        <v>22</v>
      </c>
      <c r="K1823" s="72">
        <v>1.5</v>
      </c>
      <c r="L1823" s="49">
        <f>IF(Table1[[#This Row],[Target Time (Hours)]]="","",Table1[[#This Row],[Target Time (Hours)]]-Table1[[#This Row],[Downtime (Hours)]])</f>
        <v>20.5</v>
      </c>
      <c r="M1823" s="49">
        <f>IFERROR(Table1[[#This Row],[Capacity (Kg)]]/Table1[[#This Row],[Target Time (Hours)]] * Table1[[#This Row],[Downtime (Hours)]], "")</f>
        <v>545.4545454545455</v>
      </c>
      <c r="N1823" s="50">
        <f>IFERROR(Table1[[#This Row],[Running Time (hr)]]/Table1[Target Time (Hours)], "")</f>
        <v>0.93181818181818177</v>
      </c>
      <c r="O1823" s="50">
        <f>IFERROR(Table1[[#This Row],[Actual Production (Kg)]]/Table1[Capacity (Kg)], "")</f>
        <v>0.67912499999999998</v>
      </c>
      <c r="P1823" s="50">
        <f>IFERROR(Table1[[#This Row],[Quality Pass Production]]/Table1[[#This Row],[Actual Production (Kg)]], "")</f>
        <v>1</v>
      </c>
      <c r="Q1823" s="50">
        <f>IFERROR(Table1[[#This Row],[Utilization %]]*Table1[[#This Row],[Efficiency %]]*Table1[[#This Row],[Quality %]], "")</f>
        <v>0.6328210227272727</v>
      </c>
      <c r="R1823" s="48" t="s">
        <v>499</v>
      </c>
    </row>
    <row r="1824" spans="1:18" ht="30" customHeight="1" x14ac:dyDescent="0.25">
      <c r="A1824" s="47">
        <v>46282</v>
      </c>
      <c r="B1824" s="48" t="s">
        <v>33</v>
      </c>
      <c r="C1824" s="48" t="s">
        <v>39</v>
      </c>
      <c r="D1824" s="48" t="s">
        <v>31</v>
      </c>
      <c r="E1824" s="49">
        <v>6000</v>
      </c>
      <c r="F1824" s="76">
        <v>3173</v>
      </c>
      <c r="G1824" s="49">
        <v>0</v>
      </c>
      <c r="H1824" s="50">
        <f>IFERROR(Table1[Re-process (Kg)]/Table1[Actual Production (Kg)], "")</f>
        <v>0</v>
      </c>
      <c r="I1824" s="49">
        <f>IFERROR(Table1[[#This Row],[Actual Production (Kg)]]-Table1[[#This Row],[Re-process (Kg)]], "")</f>
        <v>3173</v>
      </c>
      <c r="J1824" s="49">
        <v>22</v>
      </c>
      <c r="K1824" s="72">
        <v>5</v>
      </c>
      <c r="L1824" s="49">
        <f>IF(Table1[[#This Row],[Target Time (Hours)]]="","",Table1[[#This Row],[Target Time (Hours)]]-Table1[[#This Row],[Downtime (Hours)]])</f>
        <v>17</v>
      </c>
      <c r="M1824" s="49">
        <f>IFERROR(Table1[[#This Row],[Capacity (Kg)]]/Table1[[#This Row],[Target Time (Hours)]] * Table1[[#This Row],[Downtime (Hours)]], "")</f>
        <v>1363.6363636363637</v>
      </c>
      <c r="N1824" s="50">
        <f>IFERROR(Table1[[#This Row],[Running Time (hr)]]/Table1[Target Time (Hours)], "")</f>
        <v>0.77272727272727271</v>
      </c>
      <c r="O1824" s="50">
        <f>IFERROR(Table1[[#This Row],[Actual Production (Kg)]]/Table1[Capacity (Kg)], "")</f>
        <v>0.52883333333333338</v>
      </c>
      <c r="P1824" s="50">
        <f>IFERROR(Table1[[#This Row],[Quality Pass Production]]/Table1[[#This Row],[Actual Production (Kg)]], "")</f>
        <v>1</v>
      </c>
      <c r="Q1824" s="50">
        <f>IFERROR(Table1[[#This Row],[Utilization %]]*Table1[[#This Row],[Efficiency %]]*Table1[[#This Row],[Quality %]], "")</f>
        <v>0.40864393939393939</v>
      </c>
      <c r="R1824" s="48" t="s">
        <v>500</v>
      </c>
    </row>
    <row r="1825" spans="1:18" ht="45" customHeight="1" x14ac:dyDescent="0.25">
      <c r="A1825" s="54">
        <v>46282</v>
      </c>
      <c r="B1825" s="55" t="s">
        <v>33</v>
      </c>
      <c r="C1825" s="55" t="s">
        <v>40</v>
      </c>
      <c r="D1825" s="55" t="s">
        <v>31</v>
      </c>
      <c r="E1825" s="56">
        <v>5000</v>
      </c>
      <c r="F1825" s="56">
        <v>1556</v>
      </c>
      <c r="G1825" s="56">
        <v>0</v>
      </c>
      <c r="H1825" s="58">
        <f>IFERROR(Table1[Re-process (Kg)]/Table1[Actual Production (Kg)], "")</f>
        <v>0</v>
      </c>
      <c r="I1825" s="56">
        <f>IFERROR(Table1[[#This Row],[Actual Production (Kg)]]-Table1[[#This Row],[Re-process (Kg)]], "")</f>
        <v>1556</v>
      </c>
      <c r="J1825" s="56">
        <v>22</v>
      </c>
      <c r="K1825" s="55">
        <v>12</v>
      </c>
      <c r="L1825" s="56">
        <f>IF(Table1[[#This Row],[Target Time (Hours)]]="","",Table1[[#This Row],[Target Time (Hours)]]-Table1[[#This Row],[Downtime (Hours)]])</f>
        <v>10</v>
      </c>
      <c r="M1825" s="56">
        <f>IFERROR(Table1[[#This Row],[Capacity (Kg)]]/Table1[[#This Row],[Target Time (Hours)]] * Table1[[#This Row],[Downtime (Hours)]], "")</f>
        <v>2727.2727272727275</v>
      </c>
      <c r="N1825" s="58">
        <f>IFERROR(Table1[[#This Row],[Running Time (hr)]]/Table1[Target Time (Hours)], "")</f>
        <v>0.45454545454545453</v>
      </c>
      <c r="O1825" s="58">
        <f>IFERROR(Table1[[#This Row],[Actual Production (Kg)]]/Table1[Capacity (Kg)], "")</f>
        <v>0.31119999999999998</v>
      </c>
      <c r="P1825" s="58">
        <f>IFERROR(Table1[[#This Row],[Quality Pass Production]]/Table1[[#This Row],[Actual Production (Kg)]], "")</f>
        <v>1</v>
      </c>
      <c r="Q1825" s="58">
        <f>IFERROR(Table1[[#This Row],[Utilization %]]*Table1[[#This Row],[Efficiency %]]*Table1[[#This Row],[Quality %]], "")</f>
        <v>0.14145454545454544</v>
      </c>
      <c r="R1825" s="55" t="s">
        <v>501</v>
      </c>
    </row>
    <row r="1826" spans="1:18" ht="30" customHeight="1" x14ac:dyDescent="0.25">
      <c r="A1826" s="47">
        <v>46284</v>
      </c>
      <c r="B1826" s="48" t="s">
        <v>18</v>
      </c>
      <c r="C1826" s="48" t="s">
        <v>19</v>
      </c>
      <c r="D1826" s="48" t="s">
        <v>20</v>
      </c>
      <c r="E1826" s="49">
        <v>10000</v>
      </c>
      <c r="F1826" s="76">
        <v>6441</v>
      </c>
      <c r="G1826" s="49">
        <v>0</v>
      </c>
      <c r="H1826" s="50">
        <f>IFERROR(Table1[Re-process (Kg)]/Table1[Actual Production (Kg)], "")</f>
        <v>0</v>
      </c>
      <c r="I1826" s="49">
        <f>IFERROR(Table1[[#This Row],[Actual Production (Kg)]]-Table1[[#This Row],[Re-process (Kg)]], "")</f>
        <v>6441</v>
      </c>
      <c r="J1826" s="49">
        <v>22</v>
      </c>
      <c r="K1826" s="72">
        <v>2</v>
      </c>
      <c r="L1826" s="49">
        <f>IF(Table1[[#This Row],[Target Time (Hours)]]="","",Table1[[#This Row],[Target Time (Hours)]]-Table1[[#This Row],[Downtime (Hours)]])</f>
        <v>20</v>
      </c>
      <c r="M1826" s="49">
        <f>IFERROR(Table1[[#This Row],[Capacity (Kg)]]/Table1[[#This Row],[Target Time (Hours)]] * Table1[[#This Row],[Downtime (Hours)]], "")</f>
        <v>909.09090909090912</v>
      </c>
      <c r="N1826" s="50">
        <f>IFERROR(Table1[[#This Row],[Running Time (hr)]]/Table1[Target Time (Hours)], "")</f>
        <v>0.90909090909090906</v>
      </c>
      <c r="O1826" s="50">
        <f>IFERROR(Table1[[#This Row],[Actual Production (Kg)]]/Table1[Capacity (Kg)], "")</f>
        <v>0.64410000000000001</v>
      </c>
      <c r="P1826" s="50">
        <f>IFERROR(Table1[[#This Row],[Quality Pass Production]]/Table1[[#This Row],[Actual Production (Kg)]], "")</f>
        <v>1</v>
      </c>
      <c r="Q1826" s="50">
        <f>IFERROR(Table1[[#This Row],[Utilization %]]*Table1[[#This Row],[Efficiency %]]*Table1[[#This Row],[Quality %]], "")</f>
        <v>0.58554545454545448</v>
      </c>
      <c r="R1826" s="48" t="s">
        <v>502</v>
      </c>
    </row>
    <row r="1827" spans="1:18" x14ac:dyDescent="0.25">
      <c r="A1827" s="51">
        <v>46284</v>
      </c>
      <c r="B1827" s="52" t="s">
        <v>18</v>
      </c>
      <c r="C1827" s="52" t="s">
        <v>238</v>
      </c>
      <c r="D1827" s="52" t="s">
        <v>20</v>
      </c>
      <c r="E1827" s="53">
        <v>8403</v>
      </c>
      <c r="F1827" s="53">
        <v>8403</v>
      </c>
      <c r="G1827" s="53">
        <v>0</v>
      </c>
      <c r="H1827" s="57">
        <f>IFERROR(Table1[Re-process (Kg)]/Table1[Actual Production (Kg)], "")</f>
        <v>0</v>
      </c>
      <c r="I1827" s="53">
        <f>IFERROR(Table1[[#This Row],[Actual Production (Kg)]]-Table1[[#This Row],[Re-process (Kg)]], "")</f>
        <v>8403</v>
      </c>
      <c r="J1827" s="53"/>
      <c r="K1827" s="52"/>
      <c r="L1827" s="53" t="str">
        <f>IF(Table1[[#This Row],[Target Time (Hours)]]="","",Table1[[#This Row],[Target Time (Hours)]]-Table1[[#This Row],[Downtime (Hours)]])</f>
        <v/>
      </c>
      <c r="M1827" s="53" t="str">
        <f>IFERROR(Table1[[#This Row],[Capacity (Kg)]]/Table1[[#This Row],[Target Time (Hours)]] * Table1[[#This Row],[Downtime (Hours)]], "")</f>
        <v/>
      </c>
      <c r="N1827" s="57" t="str">
        <f>IFERROR(Table1[[#This Row],[Running Time (hr)]]/Table1[Target Time (Hours)], "")</f>
        <v/>
      </c>
      <c r="O1827" s="57">
        <f>IFERROR(Table1[[#This Row],[Actual Production (Kg)]]/Table1[Capacity (Kg)], "")</f>
        <v>1</v>
      </c>
      <c r="P1827" s="57">
        <f>IFERROR(Table1[[#This Row],[Quality Pass Production]]/Table1[[#This Row],[Actual Production (Kg)]], "")</f>
        <v>1</v>
      </c>
      <c r="Q1827" s="57" t="str">
        <f>IFERROR(Table1[[#This Row],[Utilization %]]*Table1[[#This Row],[Efficiency %]]*Table1[[#This Row],[Quality %]], "")</f>
        <v/>
      </c>
      <c r="R1827" s="52"/>
    </row>
    <row r="1828" spans="1:18" x14ac:dyDescent="0.25">
      <c r="A1828" s="47">
        <v>46284</v>
      </c>
      <c r="B1828" s="48" t="s">
        <v>18</v>
      </c>
      <c r="C1828" s="48" t="s">
        <v>22</v>
      </c>
      <c r="D1828" s="48" t="s">
        <v>23</v>
      </c>
      <c r="E1828" s="49">
        <v>5000</v>
      </c>
      <c r="F1828" s="76">
        <v>8535</v>
      </c>
      <c r="G1828" s="49">
        <v>0</v>
      </c>
      <c r="H1828" s="50">
        <f>IFERROR(Table1[Re-process (Kg)]/Table1[Actual Production (Kg)], "")</f>
        <v>0</v>
      </c>
      <c r="I1828" s="49">
        <f>IFERROR(Table1[[#This Row],[Actual Production (Kg)]]-Table1[[#This Row],[Re-process (Kg)]], "")</f>
        <v>8535</v>
      </c>
      <c r="J1828" s="49">
        <v>22</v>
      </c>
      <c r="K1828" s="72"/>
      <c r="L1828" s="49">
        <f>IF(Table1[[#This Row],[Target Time (Hours)]]="","",Table1[[#This Row],[Target Time (Hours)]]-Table1[[#This Row],[Downtime (Hours)]])</f>
        <v>22</v>
      </c>
      <c r="M1828" s="49">
        <f>IFERROR(Table1[[#This Row],[Capacity (Kg)]]/Table1[[#This Row],[Target Time (Hours)]] * Table1[[#This Row],[Downtime (Hours)]], "")</f>
        <v>0</v>
      </c>
      <c r="N1828" s="50">
        <f>IFERROR(Table1[[#This Row],[Running Time (hr)]]/Table1[Target Time (Hours)], "")</f>
        <v>1</v>
      </c>
      <c r="O1828" s="50">
        <f>IFERROR(Table1[[#This Row],[Actual Production (Kg)]]/Table1[Capacity (Kg)], "")</f>
        <v>1.7070000000000001</v>
      </c>
      <c r="P1828" s="50">
        <f>IFERROR(Table1[[#This Row],[Quality Pass Production]]/Table1[[#This Row],[Actual Production (Kg)]], "")</f>
        <v>1</v>
      </c>
      <c r="Q1828" s="50">
        <f>IFERROR(Table1[[#This Row],[Utilization %]]*Table1[[#This Row],[Efficiency %]]*Table1[[#This Row],[Quality %]], "")</f>
        <v>1.7070000000000001</v>
      </c>
    </row>
    <row r="1829" spans="1:18" x14ac:dyDescent="0.25">
      <c r="A1829" s="47">
        <v>46284</v>
      </c>
      <c r="B1829" s="48" t="s">
        <v>18</v>
      </c>
      <c r="C1829" s="48" t="s">
        <v>22</v>
      </c>
      <c r="D1829" s="48" t="s">
        <v>25</v>
      </c>
      <c r="E1829" s="49">
        <v>4000</v>
      </c>
      <c r="F1829" s="76">
        <v>0</v>
      </c>
      <c r="G1829" s="49">
        <v>0</v>
      </c>
      <c r="H1829" s="50" t="str">
        <f>IFERROR(Table1[Re-process (Kg)]/Table1[Actual Production (Kg)], "")</f>
        <v/>
      </c>
      <c r="I1829" s="49">
        <f>IFERROR(Table1[[#This Row],[Actual Production (Kg)]]-Table1[[#This Row],[Re-process (Kg)]], "")</f>
        <v>0</v>
      </c>
      <c r="J1829" s="49"/>
      <c r="K1829" s="72"/>
      <c r="L1829" s="49" t="str">
        <f>IF(Table1[[#This Row],[Target Time (Hours)]]="","",Table1[[#This Row],[Target Time (Hours)]]-Table1[[#This Row],[Downtime (Hours)]])</f>
        <v/>
      </c>
      <c r="M1829" s="49" t="str">
        <f>IFERROR(Table1[[#This Row],[Capacity (Kg)]]/Table1[[#This Row],[Target Time (Hours)]] * Table1[[#This Row],[Downtime (Hours)]], "")</f>
        <v/>
      </c>
      <c r="N1829" s="50" t="str">
        <f>IFERROR(Table1[[#This Row],[Running Time (hr)]]/Table1[Target Time (Hours)], "")</f>
        <v/>
      </c>
      <c r="O1829" s="50">
        <f>IFERROR(Table1[[#This Row],[Actual Production (Kg)]]/Table1[Capacity (Kg)], "")</f>
        <v>0</v>
      </c>
      <c r="P1829" s="50" t="str">
        <f>IFERROR(Table1[[#This Row],[Quality Pass Production]]/Table1[[#This Row],[Actual Production (Kg)]], "")</f>
        <v/>
      </c>
      <c r="Q1829" s="50" t="str">
        <f>IFERROR(Table1[[#This Row],[Utilization %]]*Table1[[#This Row],[Efficiency %]]*Table1[[#This Row],[Quality %]], "")</f>
        <v/>
      </c>
    </row>
    <row r="1830" spans="1:18" x14ac:dyDescent="0.25">
      <c r="A1830" s="47">
        <v>46284</v>
      </c>
      <c r="B1830" s="48" t="s">
        <v>18</v>
      </c>
      <c r="C1830" s="48" t="s">
        <v>26</v>
      </c>
      <c r="D1830" s="48" t="s">
        <v>25</v>
      </c>
      <c r="E1830" s="49">
        <v>7000</v>
      </c>
      <c r="F1830" s="76">
        <v>7318</v>
      </c>
      <c r="G1830" s="49">
        <v>0</v>
      </c>
      <c r="H1830" s="50">
        <f>IFERROR(Table1[Re-process (Kg)]/Table1[Actual Production (Kg)], "")</f>
        <v>0</v>
      </c>
      <c r="I1830" s="49">
        <f>IFERROR(Table1[[#This Row],[Actual Production (Kg)]]-Table1[[#This Row],[Re-process (Kg)]], "")</f>
        <v>7318</v>
      </c>
      <c r="J1830" s="49">
        <v>22</v>
      </c>
      <c r="K1830" s="72"/>
      <c r="L1830" s="49">
        <f>IF(Table1[[#This Row],[Target Time (Hours)]]="","",Table1[[#This Row],[Target Time (Hours)]]-Table1[[#This Row],[Downtime (Hours)]])</f>
        <v>22</v>
      </c>
      <c r="M1830" s="49">
        <f>IFERROR(Table1[[#This Row],[Capacity (Kg)]]/Table1[[#This Row],[Target Time (Hours)]] * Table1[[#This Row],[Downtime (Hours)]], "")</f>
        <v>0</v>
      </c>
      <c r="N1830" s="50">
        <f>IFERROR(Table1[[#This Row],[Running Time (hr)]]/Table1[Target Time (Hours)], "")</f>
        <v>1</v>
      </c>
      <c r="O1830" s="50">
        <f>IFERROR(Table1[[#This Row],[Actual Production (Kg)]]/Table1[Capacity (Kg)], "")</f>
        <v>1.0454285714285714</v>
      </c>
      <c r="P1830" s="50">
        <f>IFERROR(Table1[[#This Row],[Quality Pass Production]]/Table1[[#This Row],[Actual Production (Kg)]], "")</f>
        <v>1</v>
      </c>
      <c r="Q1830" s="50">
        <f>IFERROR(Table1[[#This Row],[Utilization %]]*Table1[[#This Row],[Efficiency %]]*Table1[[#This Row],[Quality %]], "")</f>
        <v>1.0454285714285714</v>
      </c>
    </row>
    <row r="1831" spans="1:18" ht="30" customHeight="1" x14ac:dyDescent="0.25">
      <c r="A1831" s="47">
        <v>46284</v>
      </c>
      <c r="B1831" s="48" t="s">
        <v>18</v>
      </c>
      <c r="C1831" s="48" t="s">
        <v>28</v>
      </c>
      <c r="D1831" s="48" t="s">
        <v>29</v>
      </c>
      <c r="E1831" s="49">
        <v>7800</v>
      </c>
      <c r="F1831" s="76">
        <v>6743</v>
      </c>
      <c r="G1831" s="49">
        <v>0</v>
      </c>
      <c r="H1831" s="50">
        <f>IFERROR(Table1[Re-process (Kg)]/Table1[Actual Production (Kg)], "")</f>
        <v>0</v>
      </c>
      <c r="I1831" s="49">
        <f>IFERROR(Table1[[#This Row],[Actual Production (Kg)]]-Table1[[#This Row],[Re-process (Kg)]], "")</f>
        <v>6743</v>
      </c>
      <c r="J1831" s="49">
        <v>22</v>
      </c>
      <c r="K1831" s="72"/>
      <c r="L1831" s="49">
        <f>IF(Table1[[#This Row],[Target Time (Hours)]]="","",Table1[[#This Row],[Target Time (Hours)]]-Table1[[#This Row],[Downtime (Hours)]])</f>
        <v>22</v>
      </c>
      <c r="M1831" s="49">
        <f>IFERROR(Table1[[#This Row],[Capacity (Kg)]]/Table1[[#This Row],[Target Time (Hours)]] * Table1[[#This Row],[Downtime (Hours)]], "")</f>
        <v>0</v>
      </c>
      <c r="N1831" s="50">
        <f>IFERROR(Table1[[#This Row],[Running Time (hr)]]/Table1[Target Time (Hours)], "")</f>
        <v>1</v>
      </c>
      <c r="O1831" s="50">
        <f>IFERROR(Table1[[#This Row],[Actual Production (Kg)]]/Table1[Capacity (Kg)], "")</f>
        <v>0.86448717948717946</v>
      </c>
      <c r="P1831" s="50">
        <f>IFERROR(Table1[[#This Row],[Quality Pass Production]]/Table1[[#This Row],[Actual Production (Kg)]], "")</f>
        <v>1</v>
      </c>
      <c r="Q1831" s="50">
        <f>IFERROR(Table1[[#This Row],[Utilization %]]*Table1[[#This Row],[Efficiency %]]*Table1[[#This Row],[Quality %]], "")</f>
        <v>0.86448717948717946</v>
      </c>
    </row>
    <row r="1832" spans="1:18" ht="30" customHeight="1" x14ac:dyDescent="0.25">
      <c r="A1832" s="51">
        <v>46284</v>
      </c>
      <c r="B1832" s="52" t="s">
        <v>18</v>
      </c>
      <c r="C1832" s="52" t="s">
        <v>135</v>
      </c>
      <c r="D1832" s="52" t="s">
        <v>29</v>
      </c>
      <c r="E1832" s="53"/>
      <c r="F1832" s="53"/>
      <c r="G1832" s="53"/>
      <c r="H1832" s="57" t="str">
        <f>IFERROR(Table1[Re-process (Kg)]/Table1[Actual Production (Kg)], "")</f>
        <v/>
      </c>
      <c r="I1832" s="53">
        <f>IFERROR(Table1[[#This Row],[Actual Production (Kg)]]-Table1[[#This Row],[Re-process (Kg)]], "")</f>
        <v>0</v>
      </c>
      <c r="J1832" s="53"/>
      <c r="K1832" s="52"/>
      <c r="L1832" s="53" t="str">
        <f>IF(Table1[[#This Row],[Target Time (Hours)]]="","",Table1[[#This Row],[Target Time (Hours)]]-Table1[[#This Row],[Downtime (Hours)]])</f>
        <v/>
      </c>
      <c r="M1832" s="53" t="str">
        <f>IFERROR(Table1[[#This Row],[Capacity (Kg)]]/Table1[[#This Row],[Target Time (Hours)]] * Table1[[#This Row],[Downtime (Hours)]], "")</f>
        <v/>
      </c>
      <c r="N1832" s="57" t="str">
        <f>IFERROR(Table1[[#This Row],[Running Time (hr)]]/Table1[Target Time (Hours)], "")</f>
        <v/>
      </c>
      <c r="O1832" s="57" t="str">
        <f>IFERROR(Table1[[#This Row],[Actual Production (Kg)]]/Table1[Capacity (Kg)], "")</f>
        <v/>
      </c>
      <c r="P1832" s="57" t="str">
        <f>IFERROR(Table1[[#This Row],[Quality Pass Production]]/Table1[[#This Row],[Actual Production (Kg)]], "")</f>
        <v/>
      </c>
      <c r="Q1832" s="57" t="str">
        <f>IFERROR(Table1[[#This Row],[Utilization %]]*Table1[[#This Row],[Efficiency %]]*Table1[[#This Row],[Quality %]], "")</f>
        <v/>
      </c>
      <c r="R1832" s="52"/>
    </row>
    <row r="1833" spans="1:18" ht="30" customHeight="1" x14ac:dyDescent="0.25">
      <c r="A1833" s="47">
        <v>46284</v>
      </c>
      <c r="B1833" s="48" t="s">
        <v>18</v>
      </c>
      <c r="C1833" s="48" t="s">
        <v>30</v>
      </c>
      <c r="D1833" s="48" t="s">
        <v>31</v>
      </c>
      <c r="E1833" s="49">
        <v>9000</v>
      </c>
      <c r="F1833" s="76">
        <v>7535</v>
      </c>
      <c r="G1833" s="49">
        <v>0</v>
      </c>
      <c r="H1833" s="50">
        <f>IFERROR(Table1[Re-process (Kg)]/Table1[Actual Production (Kg)], "")</f>
        <v>0</v>
      </c>
      <c r="I1833" s="49">
        <f>IFERROR(Table1[[#This Row],[Actual Production (Kg)]]-Table1[[#This Row],[Re-process (Kg)]], "")</f>
        <v>7535</v>
      </c>
      <c r="J1833" s="49">
        <v>22</v>
      </c>
      <c r="K1833" s="72">
        <v>1</v>
      </c>
      <c r="L1833" s="49">
        <f>IF(Table1[[#This Row],[Target Time (Hours)]]="","",Table1[[#This Row],[Target Time (Hours)]]-Table1[[#This Row],[Downtime (Hours)]])</f>
        <v>21</v>
      </c>
      <c r="M1833" s="49">
        <f>IFERROR(Table1[[#This Row],[Capacity (Kg)]]/Table1[[#This Row],[Target Time (Hours)]] * Table1[[#This Row],[Downtime (Hours)]], "")</f>
        <v>409.09090909090907</v>
      </c>
      <c r="N1833" s="50">
        <f>IFERROR(Table1[[#This Row],[Running Time (hr)]]/Table1[Target Time (Hours)], "")</f>
        <v>0.95454545454545459</v>
      </c>
      <c r="O1833" s="50">
        <f>IFERROR(Table1[[#This Row],[Actual Production (Kg)]]/Table1[Capacity (Kg)], "")</f>
        <v>0.8372222222222222</v>
      </c>
      <c r="P1833" s="50">
        <f>IFERROR(Table1[[#This Row],[Quality Pass Production]]/Table1[[#This Row],[Actual Production (Kg)]], "")</f>
        <v>1</v>
      </c>
      <c r="Q1833" s="50">
        <f>IFERROR(Table1[[#This Row],[Utilization %]]*Table1[[#This Row],[Efficiency %]]*Table1[[#This Row],[Quality %]], "")</f>
        <v>0.79916666666666669</v>
      </c>
      <c r="R1833" s="48" t="s">
        <v>503</v>
      </c>
    </row>
    <row r="1834" spans="1:18" ht="30" customHeight="1" x14ac:dyDescent="0.25">
      <c r="A1834" s="51">
        <v>46284</v>
      </c>
      <c r="B1834" s="52" t="s">
        <v>18</v>
      </c>
      <c r="C1834" s="52" t="s">
        <v>32</v>
      </c>
      <c r="D1834" s="52" t="s">
        <v>31</v>
      </c>
      <c r="E1834" s="53">
        <v>2500</v>
      </c>
      <c r="F1834" s="53">
        <v>2103</v>
      </c>
      <c r="G1834" s="53">
        <v>0</v>
      </c>
      <c r="H1834" s="57">
        <f>IFERROR(Table1[Re-process (Kg)]/Table1[Actual Production (Kg)], "")</f>
        <v>0</v>
      </c>
      <c r="I1834" s="53">
        <f>IFERROR(Table1[[#This Row],[Actual Production (Kg)]]-Table1[[#This Row],[Re-process (Kg)]], "")</f>
        <v>2103</v>
      </c>
      <c r="J1834" s="53"/>
      <c r="K1834" s="52"/>
      <c r="L1834" s="53" t="str">
        <f>IF(Table1[[#This Row],[Target Time (Hours)]]="","",Table1[[#This Row],[Target Time (Hours)]]-Table1[[#This Row],[Downtime (Hours)]])</f>
        <v/>
      </c>
      <c r="M1834" s="53" t="str">
        <f>IFERROR(Table1[[#This Row],[Capacity (Kg)]]/Table1[[#This Row],[Target Time (Hours)]] * Table1[[#This Row],[Downtime (Hours)]], "")</f>
        <v/>
      </c>
      <c r="N1834" s="57" t="str">
        <f>IFERROR(Table1[[#This Row],[Running Time (hr)]]/Table1[Target Time (Hours)], "")</f>
        <v/>
      </c>
      <c r="O1834" s="57">
        <f>IFERROR(Table1[[#This Row],[Actual Production (Kg)]]/Table1[Capacity (Kg)], "")</f>
        <v>0.84119999999999995</v>
      </c>
      <c r="P1834" s="57">
        <f>IFERROR(Table1[[#This Row],[Quality Pass Production]]/Table1[[#This Row],[Actual Production (Kg)]], "")</f>
        <v>1</v>
      </c>
      <c r="Q1834" s="57" t="str">
        <f>IFERROR(Table1[[#This Row],[Utilization %]]*Table1[[#This Row],[Efficiency %]]*Table1[[#This Row],[Quality %]], "")</f>
        <v/>
      </c>
      <c r="R1834" s="52"/>
    </row>
    <row r="1835" spans="1:18" ht="45" customHeight="1" x14ac:dyDescent="0.25">
      <c r="A1835" s="47">
        <v>46284</v>
      </c>
      <c r="B1835" s="48" t="s">
        <v>33</v>
      </c>
      <c r="C1835" s="48" t="s">
        <v>34</v>
      </c>
      <c r="D1835" s="48" t="s">
        <v>35</v>
      </c>
      <c r="E1835" s="49">
        <v>9000</v>
      </c>
      <c r="F1835" s="76">
        <v>3963</v>
      </c>
      <c r="G1835" s="49">
        <v>0</v>
      </c>
      <c r="H1835" s="50">
        <f>IFERROR(Table1[Re-process (Kg)]/Table1[Actual Production (Kg)], "")</f>
        <v>0</v>
      </c>
      <c r="I1835" s="49">
        <f>IFERROR(Table1[[#This Row],[Actual Production (Kg)]]-Table1[[#This Row],[Re-process (Kg)]], "")</f>
        <v>3963</v>
      </c>
      <c r="J1835" s="49">
        <v>22</v>
      </c>
      <c r="K1835" s="72">
        <v>4</v>
      </c>
      <c r="L1835" s="49">
        <f>IF(Table1[[#This Row],[Target Time (Hours)]]="","",Table1[[#This Row],[Target Time (Hours)]]-Table1[[#This Row],[Downtime (Hours)]])</f>
        <v>18</v>
      </c>
      <c r="M1835" s="49">
        <f>IFERROR(Table1[[#This Row],[Capacity (Kg)]]/Table1[[#This Row],[Target Time (Hours)]] * Table1[[#This Row],[Downtime (Hours)]], "")</f>
        <v>1636.3636363636363</v>
      </c>
      <c r="N1835" s="50">
        <f>IFERROR(Table1[[#This Row],[Running Time (hr)]]/Table1[Target Time (Hours)], "")</f>
        <v>0.81818181818181823</v>
      </c>
      <c r="O1835" s="50">
        <f>IFERROR(Table1[[#This Row],[Actual Production (Kg)]]/Table1[Capacity (Kg)], "")</f>
        <v>0.44033333333333335</v>
      </c>
      <c r="P1835" s="50">
        <f>IFERROR(Table1[[#This Row],[Quality Pass Production]]/Table1[[#This Row],[Actual Production (Kg)]], "")</f>
        <v>1</v>
      </c>
      <c r="Q1835" s="50">
        <f>IFERROR(Table1[[#This Row],[Utilization %]]*Table1[[#This Row],[Efficiency %]]*Table1[[#This Row],[Quality %]], "")</f>
        <v>0.3602727272727273</v>
      </c>
      <c r="R1835" s="48" t="s">
        <v>504</v>
      </c>
    </row>
    <row r="1836" spans="1:18" ht="60" customHeight="1" x14ac:dyDescent="0.25">
      <c r="A1836" s="47">
        <v>46284</v>
      </c>
      <c r="B1836" s="48" t="s">
        <v>33</v>
      </c>
      <c r="C1836" s="48" t="s">
        <v>36</v>
      </c>
      <c r="D1836" s="48" t="s">
        <v>37</v>
      </c>
      <c r="E1836" s="49">
        <v>8000</v>
      </c>
      <c r="F1836" s="76">
        <v>3963</v>
      </c>
      <c r="G1836" s="49">
        <v>0</v>
      </c>
      <c r="H1836" s="50">
        <f>IFERROR(Table1[Re-process (Kg)]/Table1[Actual Production (Kg)], "")</f>
        <v>0</v>
      </c>
      <c r="I1836" s="49">
        <f>IFERROR(Table1[[#This Row],[Actual Production (Kg)]]-Table1[[#This Row],[Re-process (Kg)]], "")</f>
        <v>3963</v>
      </c>
      <c r="J1836" s="49">
        <v>22</v>
      </c>
      <c r="K1836" s="72">
        <v>5.5</v>
      </c>
      <c r="L1836" s="49">
        <f>IF(Table1[[#This Row],[Target Time (Hours)]]="","",Table1[[#This Row],[Target Time (Hours)]]-Table1[[#This Row],[Downtime (Hours)]])</f>
        <v>16.5</v>
      </c>
      <c r="M1836" s="49">
        <f>IFERROR(Table1[[#This Row],[Capacity (Kg)]]/Table1[[#This Row],[Target Time (Hours)]] * Table1[[#This Row],[Downtime (Hours)]], "")</f>
        <v>2000</v>
      </c>
      <c r="N1836" s="50">
        <f>IFERROR(Table1[[#This Row],[Running Time (hr)]]/Table1[Target Time (Hours)], "")</f>
        <v>0.75</v>
      </c>
      <c r="O1836" s="50">
        <f>IFERROR(Table1[[#This Row],[Actual Production (Kg)]]/Table1[Capacity (Kg)], "")</f>
        <v>0.49537500000000001</v>
      </c>
      <c r="P1836" s="50">
        <f>IFERROR(Table1[[#This Row],[Quality Pass Production]]/Table1[[#This Row],[Actual Production (Kg)]], "")</f>
        <v>1</v>
      </c>
      <c r="Q1836" s="50">
        <f>IFERROR(Table1[[#This Row],[Utilization %]]*Table1[[#This Row],[Efficiency %]]*Table1[[#This Row],[Quality %]], "")</f>
        <v>0.37153124999999998</v>
      </c>
      <c r="R1836" s="48" t="s">
        <v>505</v>
      </c>
    </row>
    <row r="1837" spans="1:18" ht="45" customHeight="1" x14ac:dyDescent="0.25">
      <c r="A1837" s="47">
        <v>46284</v>
      </c>
      <c r="B1837" s="48" t="s">
        <v>33</v>
      </c>
      <c r="C1837" s="48" t="s">
        <v>39</v>
      </c>
      <c r="D1837" s="48" t="s">
        <v>31</v>
      </c>
      <c r="E1837" s="49">
        <v>6000</v>
      </c>
      <c r="F1837" s="76">
        <v>1971</v>
      </c>
      <c r="G1837" s="49">
        <v>0</v>
      </c>
      <c r="H1837" s="50">
        <f>IFERROR(Table1[Re-process (Kg)]/Table1[Actual Production (Kg)], "")</f>
        <v>0</v>
      </c>
      <c r="I1837" s="49">
        <f>IFERROR(Table1[[#This Row],[Actual Production (Kg)]]-Table1[[#This Row],[Re-process (Kg)]], "")</f>
        <v>1971</v>
      </c>
      <c r="J1837" s="49">
        <v>22</v>
      </c>
      <c r="K1837" s="72">
        <v>8</v>
      </c>
      <c r="L1837" s="49">
        <f>IF(Table1[[#This Row],[Target Time (Hours)]]="","",Table1[[#This Row],[Target Time (Hours)]]-Table1[[#This Row],[Downtime (Hours)]])</f>
        <v>14</v>
      </c>
      <c r="M1837" s="49">
        <f>IFERROR(Table1[[#This Row],[Capacity (Kg)]]/Table1[[#This Row],[Target Time (Hours)]] * Table1[[#This Row],[Downtime (Hours)]], "")</f>
        <v>2181.818181818182</v>
      </c>
      <c r="N1837" s="50">
        <f>IFERROR(Table1[[#This Row],[Running Time (hr)]]/Table1[Target Time (Hours)], "")</f>
        <v>0.63636363636363635</v>
      </c>
      <c r="O1837" s="50">
        <f>IFERROR(Table1[[#This Row],[Actual Production (Kg)]]/Table1[Capacity (Kg)], "")</f>
        <v>0.32850000000000001</v>
      </c>
      <c r="P1837" s="50">
        <f>IFERROR(Table1[[#This Row],[Quality Pass Production]]/Table1[[#This Row],[Actual Production (Kg)]], "")</f>
        <v>1</v>
      </c>
      <c r="Q1837" s="50">
        <f>IFERROR(Table1[[#This Row],[Utilization %]]*Table1[[#This Row],[Efficiency %]]*Table1[[#This Row],[Quality %]], "")</f>
        <v>0.20904545454545456</v>
      </c>
      <c r="R1837" s="48" t="s">
        <v>506</v>
      </c>
    </row>
    <row r="1838" spans="1:18" ht="45" customHeight="1" x14ac:dyDescent="0.25">
      <c r="A1838" s="54">
        <v>46284</v>
      </c>
      <c r="B1838" s="55" t="s">
        <v>33</v>
      </c>
      <c r="C1838" s="55" t="s">
        <v>40</v>
      </c>
      <c r="D1838" s="55" t="s">
        <v>31</v>
      </c>
      <c r="E1838" s="56">
        <v>5000</v>
      </c>
      <c r="F1838" s="56">
        <v>1073</v>
      </c>
      <c r="G1838" s="56">
        <v>0</v>
      </c>
      <c r="H1838" s="58">
        <f>IFERROR(Table1[Re-process (Kg)]/Table1[Actual Production (Kg)], "")</f>
        <v>0</v>
      </c>
      <c r="I1838" s="56">
        <f>IFERROR(Table1[[#This Row],[Actual Production (Kg)]]-Table1[[#This Row],[Re-process (Kg)]], "")</f>
        <v>1073</v>
      </c>
      <c r="J1838" s="56">
        <v>22</v>
      </c>
      <c r="K1838" s="55">
        <v>14</v>
      </c>
      <c r="L1838" s="56">
        <f>IF(Table1[[#This Row],[Target Time (Hours)]]="","",Table1[[#This Row],[Target Time (Hours)]]-Table1[[#This Row],[Downtime (Hours)]])</f>
        <v>8</v>
      </c>
      <c r="M1838" s="56">
        <f>IFERROR(Table1[[#This Row],[Capacity (Kg)]]/Table1[[#This Row],[Target Time (Hours)]] * Table1[[#This Row],[Downtime (Hours)]], "")</f>
        <v>3181.818181818182</v>
      </c>
      <c r="N1838" s="58">
        <f>IFERROR(Table1[[#This Row],[Running Time (hr)]]/Table1[Target Time (Hours)], "")</f>
        <v>0.36363636363636365</v>
      </c>
      <c r="O1838" s="58">
        <f>IFERROR(Table1[[#This Row],[Actual Production (Kg)]]/Table1[Capacity (Kg)], "")</f>
        <v>0.21460000000000001</v>
      </c>
      <c r="P1838" s="58">
        <f>IFERROR(Table1[[#This Row],[Quality Pass Production]]/Table1[[#This Row],[Actual Production (Kg)]], "")</f>
        <v>1</v>
      </c>
      <c r="Q1838" s="58">
        <f>IFERROR(Table1[[#This Row],[Utilization %]]*Table1[[#This Row],[Efficiency %]]*Table1[[#This Row],[Quality %]], "")</f>
        <v>7.803636363636364E-2</v>
      </c>
      <c r="R1838" s="55" t="s">
        <v>507</v>
      </c>
    </row>
    <row r="1839" spans="1:18" ht="30" customHeight="1" x14ac:dyDescent="0.25">
      <c r="A1839" s="47">
        <v>46285</v>
      </c>
      <c r="B1839" s="48" t="s">
        <v>18</v>
      </c>
      <c r="C1839" s="48" t="s">
        <v>19</v>
      </c>
      <c r="D1839" s="48" t="s">
        <v>20</v>
      </c>
      <c r="E1839" s="49">
        <v>10000</v>
      </c>
      <c r="F1839" s="76">
        <v>8443</v>
      </c>
      <c r="G1839" s="49">
        <v>0</v>
      </c>
      <c r="H1839" s="50">
        <f>IFERROR(Table1[Re-process (Kg)]/Table1[Actual Production (Kg)], "")</f>
        <v>0</v>
      </c>
      <c r="I1839" s="49">
        <f>IFERROR(Table1[[#This Row],[Actual Production (Kg)]]-Table1[[#This Row],[Re-process (Kg)]], "")</f>
        <v>8443</v>
      </c>
      <c r="J1839" s="49">
        <v>22</v>
      </c>
      <c r="K1839" s="72"/>
      <c r="L1839" s="49">
        <f>IF(Table1[[#This Row],[Target Time (Hours)]]="","",Table1[[#This Row],[Target Time (Hours)]]-Table1[[#This Row],[Downtime (Hours)]])</f>
        <v>22</v>
      </c>
      <c r="M1839" s="49">
        <f>IFERROR(Table1[[#This Row],[Capacity (Kg)]]/Table1[[#This Row],[Target Time (Hours)]] * Table1[[#This Row],[Downtime (Hours)]], "")</f>
        <v>0</v>
      </c>
      <c r="N1839" s="50">
        <f>IFERROR(Table1[[#This Row],[Running Time (hr)]]/Table1[Target Time (Hours)], "")</f>
        <v>1</v>
      </c>
      <c r="O1839" s="50">
        <f>IFERROR(Table1[[#This Row],[Actual Production (Kg)]]/Table1[Capacity (Kg)], "")</f>
        <v>0.84430000000000005</v>
      </c>
      <c r="P1839" s="50">
        <f>IFERROR(Table1[[#This Row],[Quality Pass Production]]/Table1[[#This Row],[Actual Production (Kg)]], "")</f>
        <v>1</v>
      </c>
      <c r="Q1839" s="50">
        <f>IFERROR(Table1[[#This Row],[Utilization %]]*Table1[[#This Row],[Efficiency %]]*Table1[[#This Row],[Quality %]], "")</f>
        <v>0.84430000000000005</v>
      </c>
    </row>
    <row r="1840" spans="1:18" x14ac:dyDescent="0.25">
      <c r="A1840" s="51">
        <v>46285</v>
      </c>
      <c r="B1840" s="52" t="s">
        <v>18</v>
      </c>
      <c r="C1840" s="52" t="s">
        <v>238</v>
      </c>
      <c r="D1840" s="52" t="s">
        <v>20</v>
      </c>
      <c r="E1840" s="53">
        <v>11365</v>
      </c>
      <c r="F1840" s="53">
        <v>11365</v>
      </c>
      <c r="G1840" s="53">
        <v>0</v>
      </c>
      <c r="H1840" s="57">
        <f>IFERROR(Table1[Re-process (Kg)]/Table1[Actual Production (Kg)], "")</f>
        <v>0</v>
      </c>
      <c r="I1840" s="53">
        <f>IFERROR(Table1[[#This Row],[Actual Production (Kg)]]-Table1[[#This Row],[Re-process (Kg)]], "")</f>
        <v>11365</v>
      </c>
      <c r="J1840" s="53"/>
      <c r="K1840" s="52"/>
      <c r="L1840" s="53" t="str">
        <f>IF(Table1[[#This Row],[Target Time (Hours)]]="","",Table1[[#This Row],[Target Time (Hours)]]-Table1[[#This Row],[Downtime (Hours)]])</f>
        <v/>
      </c>
      <c r="M1840" s="53" t="str">
        <f>IFERROR(Table1[[#This Row],[Capacity (Kg)]]/Table1[[#This Row],[Target Time (Hours)]] * Table1[[#This Row],[Downtime (Hours)]], "")</f>
        <v/>
      </c>
      <c r="N1840" s="57" t="str">
        <f>IFERROR(Table1[[#This Row],[Running Time (hr)]]/Table1[Target Time (Hours)], "")</f>
        <v/>
      </c>
      <c r="O1840" s="57">
        <f>IFERROR(Table1[[#This Row],[Actual Production (Kg)]]/Table1[Capacity (Kg)], "")</f>
        <v>1</v>
      </c>
      <c r="P1840" s="57">
        <f>IFERROR(Table1[[#This Row],[Quality Pass Production]]/Table1[[#This Row],[Actual Production (Kg)]], "")</f>
        <v>1</v>
      </c>
      <c r="Q1840" s="57" t="str">
        <f>IFERROR(Table1[[#This Row],[Utilization %]]*Table1[[#This Row],[Efficiency %]]*Table1[[#This Row],[Quality %]], "")</f>
        <v/>
      </c>
      <c r="R1840" s="52"/>
    </row>
    <row r="1841" spans="1:18" x14ac:dyDescent="0.25">
      <c r="A1841" s="47">
        <v>46285</v>
      </c>
      <c r="B1841" s="48" t="s">
        <v>18</v>
      </c>
      <c r="C1841" s="48" t="s">
        <v>22</v>
      </c>
      <c r="D1841" s="48" t="s">
        <v>23</v>
      </c>
      <c r="E1841" s="49">
        <v>5000</v>
      </c>
      <c r="F1841" s="76">
        <v>5042</v>
      </c>
      <c r="G1841" s="49">
        <v>0</v>
      </c>
      <c r="H1841" s="50">
        <f>IFERROR(Table1[Re-process (Kg)]/Table1[Actual Production (Kg)], "")</f>
        <v>0</v>
      </c>
      <c r="I1841" s="49">
        <f>IFERROR(Table1[[#This Row],[Actual Production (Kg)]]-Table1[[#This Row],[Re-process (Kg)]], "")</f>
        <v>5042</v>
      </c>
      <c r="J1841" s="49">
        <v>22</v>
      </c>
      <c r="K1841" s="72"/>
      <c r="L1841" s="49">
        <f>IF(Table1[[#This Row],[Target Time (Hours)]]="","",Table1[[#This Row],[Target Time (Hours)]]-Table1[[#This Row],[Downtime (Hours)]])</f>
        <v>22</v>
      </c>
      <c r="M1841" s="49">
        <f>IFERROR(Table1[[#This Row],[Capacity (Kg)]]/Table1[[#This Row],[Target Time (Hours)]] * Table1[[#This Row],[Downtime (Hours)]], "")</f>
        <v>0</v>
      </c>
      <c r="N1841" s="50">
        <f>IFERROR(Table1[[#This Row],[Running Time (hr)]]/Table1[Target Time (Hours)], "")</f>
        <v>1</v>
      </c>
      <c r="O1841" s="50">
        <f>IFERROR(Table1[[#This Row],[Actual Production (Kg)]]/Table1[Capacity (Kg)], "")</f>
        <v>1.0084</v>
      </c>
      <c r="P1841" s="50">
        <f>IFERROR(Table1[[#This Row],[Quality Pass Production]]/Table1[[#This Row],[Actual Production (Kg)]], "")</f>
        <v>1</v>
      </c>
      <c r="Q1841" s="50">
        <f>IFERROR(Table1[[#This Row],[Utilization %]]*Table1[[#This Row],[Efficiency %]]*Table1[[#This Row],[Quality %]], "")</f>
        <v>1.0084</v>
      </c>
    </row>
    <row r="1842" spans="1:18" x14ac:dyDescent="0.25">
      <c r="A1842" s="47">
        <v>46285</v>
      </c>
      <c r="B1842" s="48" t="s">
        <v>18</v>
      </c>
      <c r="C1842" s="48" t="s">
        <v>22</v>
      </c>
      <c r="D1842" s="48" t="s">
        <v>25</v>
      </c>
      <c r="E1842" s="49">
        <v>4000</v>
      </c>
      <c r="F1842" s="76">
        <v>3924</v>
      </c>
      <c r="G1842" s="49">
        <v>0</v>
      </c>
      <c r="H1842" s="50">
        <f>IFERROR(Table1[Re-process (Kg)]/Table1[Actual Production (Kg)], "")</f>
        <v>0</v>
      </c>
      <c r="I1842" s="49">
        <f>IFERROR(Table1[[#This Row],[Actual Production (Kg)]]-Table1[[#This Row],[Re-process (Kg)]], "")</f>
        <v>3924</v>
      </c>
      <c r="J1842" s="49"/>
      <c r="K1842" s="72"/>
      <c r="L1842" s="49" t="str">
        <f>IF(Table1[[#This Row],[Target Time (Hours)]]="","",Table1[[#This Row],[Target Time (Hours)]]-Table1[[#This Row],[Downtime (Hours)]])</f>
        <v/>
      </c>
      <c r="M1842" s="49" t="str">
        <f>IFERROR(Table1[[#This Row],[Capacity (Kg)]]/Table1[[#This Row],[Target Time (Hours)]] * Table1[[#This Row],[Downtime (Hours)]], "")</f>
        <v/>
      </c>
      <c r="N1842" s="50" t="str">
        <f>IFERROR(Table1[[#This Row],[Running Time (hr)]]/Table1[Target Time (Hours)], "")</f>
        <v/>
      </c>
      <c r="O1842" s="50">
        <f>IFERROR(Table1[[#This Row],[Actual Production (Kg)]]/Table1[Capacity (Kg)], "")</f>
        <v>0.98099999999999998</v>
      </c>
      <c r="P1842" s="50">
        <f>IFERROR(Table1[[#This Row],[Quality Pass Production]]/Table1[[#This Row],[Actual Production (Kg)]], "")</f>
        <v>1</v>
      </c>
      <c r="Q1842" s="50" t="str">
        <f>IFERROR(Table1[[#This Row],[Utilization %]]*Table1[[#This Row],[Efficiency %]]*Table1[[#This Row],[Quality %]], "")</f>
        <v/>
      </c>
    </row>
    <row r="1843" spans="1:18" x14ac:dyDescent="0.25">
      <c r="A1843" s="47">
        <v>46285</v>
      </c>
      <c r="B1843" s="48" t="s">
        <v>18</v>
      </c>
      <c r="C1843" s="48" t="s">
        <v>26</v>
      </c>
      <c r="D1843" s="48" t="s">
        <v>25</v>
      </c>
      <c r="E1843" s="49">
        <v>7000</v>
      </c>
      <c r="F1843" s="76">
        <v>7656</v>
      </c>
      <c r="G1843" s="49">
        <v>0</v>
      </c>
      <c r="H1843" s="50">
        <f>IFERROR(Table1[Re-process (Kg)]/Table1[Actual Production (Kg)], "")</f>
        <v>0</v>
      </c>
      <c r="I1843" s="49">
        <f>IFERROR(Table1[[#This Row],[Actual Production (Kg)]]-Table1[[#This Row],[Re-process (Kg)]], "")</f>
        <v>7656</v>
      </c>
      <c r="J1843" s="49">
        <v>22</v>
      </c>
      <c r="K1843" s="72"/>
      <c r="L1843" s="49">
        <f>IF(Table1[[#This Row],[Target Time (Hours)]]="","",Table1[[#This Row],[Target Time (Hours)]]-Table1[[#This Row],[Downtime (Hours)]])</f>
        <v>22</v>
      </c>
      <c r="M1843" s="49">
        <f>IFERROR(Table1[[#This Row],[Capacity (Kg)]]/Table1[[#This Row],[Target Time (Hours)]] * Table1[[#This Row],[Downtime (Hours)]], "")</f>
        <v>0</v>
      </c>
      <c r="N1843" s="50">
        <f>IFERROR(Table1[[#This Row],[Running Time (hr)]]/Table1[Target Time (Hours)], "")</f>
        <v>1</v>
      </c>
      <c r="O1843" s="50">
        <f>IFERROR(Table1[[#This Row],[Actual Production (Kg)]]/Table1[Capacity (Kg)], "")</f>
        <v>1.0937142857142856</v>
      </c>
      <c r="P1843" s="50">
        <f>IFERROR(Table1[[#This Row],[Quality Pass Production]]/Table1[[#This Row],[Actual Production (Kg)]], "")</f>
        <v>1</v>
      </c>
      <c r="Q1843" s="50">
        <f>IFERROR(Table1[[#This Row],[Utilization %]]*Table1[[#This Row],[Efficiency %]]*Table1[[#This Row],[Quality %]], "")</f>
        <v>1.0937142857142856</v>
      </c>
    </row>
    <row r="1844" spans="1:18" ht="30" customHeight="1" x14ac:dyDescent="0.25">
      <c r="A1844" s="47">
        <v>46285</v>
      </c>
      <c r="B1844" s="48" t="s">
        <v>18</v>
      </c>
      <c r="C1844" s="48" t="s">
        <v>28</v>
      </c>
      <c r="D1844" s="48" t="s">
        <v>29</v>
      </c>
      <c r="E1844" s="49">
        <v>7800</v>
      </c>
      <c r="F1844" s="76">
        <v>5838</v>
      </c>
      <c r="G1844" s="49">
        <v>0</v>
      </c>
      <c r="H1844" s="50">
        <f>IFERROR(Table1[Re-process (Kg)]/Table1[Actual Production (Kg)], "")</f>
        <v>0</v>
      </c>
      <c r="I1844" s="49">
        <f>IFERROR(Table1[[#This Row],[Actual Production (Kg)]]-Table1[[#This Row],[Re-process (Kg)]], "")</f>
        <v>5838</v>
      </c>
      <c r="J1844" s="49">
        <v>22</v>
      </c>
      <c r="K1844" s="72"/>
      <c r="L1844" s="49">
        <f>IF(Table1[[#This Row],[Target Time (Hours)]]="","",Table1[[#This Row],[Target Time (Hours)]]-Table1[[#This Row],[Downtime (Hours)]])</f>
        <v>22</v>
      </c>
      <c r="M1844" s="49">
        <f>IFERROR(Table1[[#This Row],[Capacity (Kg)]]/Table1[[#This Row],[Target Time (Hours)]] * Table1[[#This Row],[Downtime (Hours)]], "")</f>
        <v>0</v>
      </c>
      <c r="N1844" s="50">
        <f>IFERROR(Table1[[#This Row],[Running Time (hr)]]/Table1[Target Time (Hours)], "")</f>
        <v>1</v>
      </c>
      <c r="O1844" s="50">
        <f>IFERROR(Table1[[#This Row],[Actual Production (Kg)]]/Table1[Capacity (Kg)], "")</f>
        <v>0.74846153846153851</v>
      </c>
      <c r="P1844" s="50">
        <f>IFERROR(Table1[[#This Row],[Quality Pass Production]]/Table1[[#This Row],[Actual Production (Kg)]], "")</f>
        <v>1</v>
      </c>
      <c r="Q1844" s="50">
        <f>IFERROR(Table1[[#This Row],[Utilization %]]*Table1[[#This Row],[Efficiency %]]*Table1[[#This Row],[Quality %]], "")</f>
        <v>0.74846153846153851</v>
      </c>
    </row>
    <row r="1845" spans="1:18" ht="30" customHeight="1" x14ac:dyDescent="0.25">
      <c r="A1845" s="51">
        <v>46285</v>
      </c>
      <c r="B1845" s="52" t="s">
        <v>18</v>
      </c>
      <c r="C1845" s="52" t="s">
        <v>135</v>
      </c>
      <c r="D1845" s="52" t="s">
        <v>29</v>
      </c>
      <c r="E1845" s="53"/>
      <c r="F1845" s="53"/>
      <c r="G1845" s="53"/>
      <c r="H1845" s="57" t="str">
        <f>IFERROR(Table1[Re-process (Kg)]/Table1[Actual Production (Kg)], "")</f>
        <v/>
      </c>
      <c r="I1845" s="53">
        <f>IFERROR(Table1[[#This Row],[Actual Production (Kg)]]-Table1[[#This Row],[Re-process (Kg)]], "")</f>
        <v>0</v>
      </c>
      <c r="J1845" s="53"/>
      <c r="K1845" s="52"/>
      <c r="L1845" s="53" t="str">
        <f>IF(Table1[[#This Row],[Target Time (Hours)]]="","",Table1[[#This Row],[Target Time (Hours)]]-Table1[[#This Row],[Downtime (Hours)]])</f>
        <v/>
      </c>
      <c r="M1845" s="53" t="str">
        <f>IFERROR(Table1[[#This Row],[Capacity (Kg)]]/Table1[[#This Row],[Target Time (Hours)]] * Table1[[#This Row],[Downtime (Hours)]], "")</f>
        <v/>
      </c>
      <c r="N1845" s="57" t="str">
        <f>IFERROR(Table1[[#This Row],[Running Time (hr)]]/Table1[Target Time (Hours)], "")</f>
        <v/>
      </c>
      <c r="O1845" s="57" t="str">
        <f>IFERROR(Table1[[#This Row],[Actual Production (Kg)]]/Table1[Capacity (Kg)], "")</f>
        <v/>
      </c>
      <c r="P1845" s="57" t="str">
        <f>IFERROR(Table1[[#This Row],[Quality Pass Production]]/Table1[[#This Row],[Actual Production (Kg)]], "")</f>
        <v/>
      </c>
      <c r="Q1845" s="57" t="str">
        <f>IFERROR(Table1[[#This Row],[Utilization %]]*Table1[[#This Row],[Efficiency %]]*Table1[[#This Row],[Quality %]], "")</f>
        <v/>
      </c>
      <c r="R1845" s="52"/>
    </row>
    <row r="1846" spans="1:18" ht="30" customHeight="1" x14ac:dyDescent="0.25">
      <c r="A1846" s="47">
        <v>46285</v>
      </c>
      <c r="B1846" s="48" t="s">
        <v>18</v>
      </c>
      <c r="C1846" s="48" t="s">
        <v>30</v>
      </c>
      <c r="D1846" s="48" t="s">
        <v>31</v>
      </c>
      <c r="E1846" s="49">
        <v>9000</v>
      </c>
      <c r="F1846" s="76">
        <v>6766</v>
      </c>
      <c r="G1846" s="49">
        <v>0</v>
      </c>
      <c r="H1846" s="50">
        <f>IFERROR(Table1[Re-process (Kg)]/Table1[Actual Production (Kg)], "")</f>
        <v>0</v>
      </c>
      <c r="I1846" s="49">
        <f>IFERROR(Table1[[#This Row],[Actual Production (Kg)]]-Table1[[#This Row],[Re-process (Kg)]], "")</f>
        <v>6766</v>
      </c>
      <c r="J1846" s="49">
        <v>22</v>
      </c>
      <c r="K1846" s="72">
        <v>2.4</v>
      </c>
      <c r="L1846" s="49">
        <f>IF(Table1[[#This Row],[Target Time (Hours)]]="","",Table1[[#This Row],[Target Time (Hours)]]-Table1[[#This Row],[Downtime (Hours)]])</f>
        <v>19.600000000000001</v>
      </c>
      <c r="M1846" s="49">
        <f>IFERROR(Table1[[#This Row],[Capacity (Kg)]]/Table1[[#This Row],[Target Time (Hours)]] * Table1[[#This Row],[Downtime (Hours)]], "")</f>
        <v>981.81818181818176</v>
      </c>
      <c r="N1846" s="50">
        <f>IFERROR(Table1[[#This Row],[Running Time (hr)]]/Table1[Target Time (Hours)], "")</f>
        <v>0.89090909090909098</v>
      </c>
      <c r="O1846" s="50">
        <f>IFERROR(Table1[[#This Row],[Actual Production (Kg)]]/Table1[Capacity (Kg)], "")</f>
        <v>0.75177777777777777</v>
      </c>
      <c r="P1846" s="50">
        <f>IFERROR(Table1[[#This Row],[Quality Pass Production]]/Table1[[#This Row],[Actual Production (Kg)]], "")</f>
        <v>1</v>
      </c>
      <c r="Q1846" s="50">
        <f>IFERROR(Table1[[#This Row],[Utilization %]]*Table1[[#This Row],[Efficiency %]]*Table1[[#This Row],[Quality %]], "")</f>
        <v>0.66976565656565656</v>
      </c>
      <c r="R1846" s="48" t="s">
        <v>508</v>
      </c>
    </row>
    <row r="1847" spans="1:18" ht="30" customHeight="1" x14ac:dyDescent="0.25">
      <c r="A1847" s="51">
        <v>46285</v>
      </c>
      <c r="B1847" s="52" t="s">
        <v>18</v>
      </c>
      <c r="C1847" s="52" t="s">
        <v>32</v>
      </c>
      <c r="D1847" s="52" t="s">
        <v>31</v>
      </c>
      <c r="E1847" s="53">
        <v>2500</v>
      </c>
      <c r="F1847" s="53">
        <v>978</v>
      </c>
      <c r="G1847" s="53">
        <v>0</v>
      </c>
      <c r="H1847" s="57">
        <f>IFERROR(Table1[Re-process (Kg)]/Table1[Actual Production (Kg)], "")</f>
        <v>0</v>
      </c>
      <c r="I1847" s="53">
        <f>IFERROR(Table1[[#This Row],[Actual Production (Kg)]]-Table1[[#This Row],[Re-process (Kg)]], "")</f>
        <v>978</v>
      </c>
      <c r="J1847" s="53"/>
      <c r="K1847" s="52"/>
      <c r="L1847" s="53" t="str">
        <f>IF(Table1[[#This Row],[Target Time (Hours)]]="","",Table1[[#This Row],[Target Time (Hours)]]-Table1[[#This Row],[Downtime (Hours)]])</f>
        <v/>
      </c>
      <c r="M1847" s="53" t="str">
        <f>IFERROR(Table1[[#This Row],[Capacity (Kg)]]/Table1[[#This Row],[Target Time (Hours)]] * Table1[[#This Row],[Downtime (Hours)]], "")</f>
        <v/>
      </c>
      <c r="N1847" s="57" t="str">
        <f>IFERROR(Table1[[#This Row],[Running Time (hr)]]/Table1[Target Time (Hours)], "")</f>
        <v/>
      </c>
      <c r="O1847" s="57">
        <f>IFERROR(Table1[[#This Row],[Actual Production (Kg)]]/Table1[Capacity (Kg)], "")</f>
        <v>0.39119999999999999</v>
      </c>
      <c r="P1847" s="57">
        <f>IFERROR(Table1[[#This Row],[Quality Pass Production]]/Table1[[#This Row],[Actual Production (Kg)]], "")</f>
        <v>1</v>
      </c>
      <c r="Q1847" s="57" t="str">
        <f>IFERROR(Table1[[#This Row],[Utilization %]]*Table1[[#This Row],[Efficiency %]]*Table1[[#This Row],[Quality %]], "")</f>
        <v/>
      </c>
      <c r="R1847" s="52"/>
    </row>
    <row r="1848" spans="1:18" ht="45" customHeight="1" x14ac:dyDescent="0.25">
      <c r="A1848" s="47">
        <v>46285</v>
      </c>
      <c r="B1848" s="48" t="s">
        <v>33</v>
      </c>
      <c r="C1848" s="48" t="s">
        <v>34</v>
      </c>
      <c r="D1848" s="48" t="s">
        <v>35</v>
      </c>
      <c r="E1848" s="49">
        <v>9000</v>
      </c>
      <c r="F1848" s="76">
        <v>4601</v>
      </c>
      <c r="G1848" s="49">
        <v>0</v>
      </c>
      <c r="H1848" s="50">
        <f>IFERROR(Table1[Re-process (Kg)]/Table1[Actual Production (Kg)], "")</f>
        <v>0</v>
      </c>
      <c r="I1848" s="49">
        <f>IFERROR(Table1[[#This Row],[Actual Production (Kg)]]-Table1[[#This Row],[Re-process (Kg)]], "")</f>
        <v>4601</v>
      </c>
      <c r="J1848" s="49">
        <v>22</v>
      </c>
      <c r="K1848" s="72">
        <v>4</v>
      </c>
      <c r="L1848" s="49">
        <f>IF(Table1[[#This Row],[Target Time (Hours)]]="","",Table1[[#This Row],[Target Time (Hours)]]-Table1[[#This Row],[Downtime (Hours)]])</f>
        <v>18</v>
      </c>
      <c r="M1848" s="49">
        <f>IFERROR(Table1[[#This Row],[Capacity (Kg)]]/Table1[[#This Row],[Target Time (Hours)]] * Table1[[#This Row],[Downtime (Hours)]], "")</f>
        <v>1636.3636363636363</v>
      </c>
      <c r="N1848" s="50">
        <f>IFERROR(Table1[[#This Row],[Running Time (hr)]]/Table1[Target Time (Hours)], "")</f>
        <v>0.81818181818181823</v>
      </c>
      <c r="O1848" s="50">
        <f>IFERROR(Table1[[#This Row],[Actual Production (Kg)]]/Table1[Capacity (Kg)], "")</f>
        <v>0.51122222222222224</v>
      </c>
      <c r="P1848" s="50">
        <f>IFERROR(Table1[[#This Row],[Quality Pass Production]]/Table1[[#This Row],[Actual Production (Kg)]], "")</f>
        <v>1</v>
      </c>
      <c r="Q1848" s="50">
        <f>IFERROR(Table1[[#This Row],[Utilization %]]*Table1[[#This Row],[Efficiency %]]*Table1[[#This Row],[Quality %]], "")</f>
        <v>0.4182727272727273</v>
      </c>
      <c r="R1848" s="48" t="s">
        <v>504</v>
      </c>
    </row>
    <row r="1849" spans="1:18" ht="30" customHeight="1" x14ac:dyDescent="0.25">
      <c r="A1849" s="47">
        <v>46285</v>
      </c>
      <c r="B1849" s="48" t="s">
        <v>33</v>
      </c>
      <c r="C1849" s="48" t="s">
        <v>36</v>
      </c>
      <c r="D1849" s="48" t="s">
        <v>37</v>
      </c>
      <c r="E1849" s="49">
        <v>8000</v>
      </c>
      <c r="F1849" s="76">
        <v>4621</v>
      </c>
      <c r="G1849" s="49">
        <v>0</v>
      </c>
      <c r="H1849" s="50">
        <f>IFERROR(Table1[Re-process (Kg)]/Table1[Actual Production (Kg)], "")</f>
        <v>0</v>
      </c>
      <c r="I1849" s="49">
        <f>IFERROR(Table1[[#This Row],[Actual Production (Kg)]]-Table1[[#This Row],[Re-process (Kg)]], "")</f>
        <v>4621</v>
      </c>
      <c r="J1849" s="49">
        <v>22</v>
      </c>
      <c r="K1849" s="72">
        <v>5.5</v>
      </c>
      <c r="L1849" s="49">
        <f>IF(Table1[[#This Row],[Target Time (Hours)]]="","",Table1[[#This Row],[Target Time (Hours)]]-Table1[[#This Row],[Downtime (Hours)]])</f>
        <v>16.5</v>
      </c>
      <c r="M1849" s="49">
        <f>IFERROR(Table1[[#This Row],[Capacity (Kg)]]/Table1[[#This Row],[Target Time (Hours)]] * Table1[[#This Row],[Downtime (Hours)]], "")</f>
        <v>2000</v>
      </c>
      <c r="N1849" s="50">
        <f>IFERROR(Table1[[#This Row],[Running Time (hr)]]/Table1[Target Time (Hours)], "")</f>
        <v>0.75</v>
      </c>
      <c r="O1849" s="50">
        <f>IFERROR(Table1[[#This Row],[Actual Production (Kg)]]/Table1[Capacity (Kg)], "")</f>
        <v>0.57762500000000006</v>
      </c>
      <c r="P1849" s="50">
        <f>IFERROR(Table1[[#This Row],[Quality Pass Production]]/Table1[[#This Row],[Actual Production (Kg)]], "")</f>
        <v>1</v>
      </c>
      <c r="Q1849" s="50">
        <f>IFERROR(Table1[[#This Row],[Utilization %]]*Table1[[#This Row],[Efficiency %]]*Table1[[#This Row],[Quality %]], "")</f>
        <v>0.43321875000000004</v>
      </c>
      <c r="R1849" s="48" t="s">
        <v>509</v>
      </c>
    </row>
    <row r="1850" spans="1:18" ht="30" customHeight="1" x14ac:dyDescent="0.25">
      <c r="A1850" s="47">
        <v>46285</v>
      </c>
      <c r="B1850" s="48" t="s">
        <v>33</v>
      </c>
      <c r="C1850" s="48" t="s">
        <v>39</v>
      </c>
      <c r="D1850" s="48" t="s">
        <v>31</v>
      </c>
      <c r="E1850" s="49">
        <v>6000</v>
      </c>
      <c r="F1850" s="76">
        <v>2371</v>
      </c>
      <c r="G1850" s="49">
        <v>0</v>
      </c>
      <c r="H1850" s="50">
        <f>IFERROR(Table1[Re-process (Kg)]/Table1[Actual Production (Kg)], "")</f>
        <v>0</v>
      </c>
      <c r="I1850" s="49">
        <f>IFERROR(Table1[[#This Row],[Actual Production (Kg)]]-Table1[[#This Row],[Re-process (Kg)]], "")</f>
        <v>2371</v>
      </c>
      <c r="J1850" s="49">
        <v>22</v>
      </c>
      <c r="K1850" s="72">
        <v>5</v>
      </c>
      <c r="L1850" s="49">
        <f>IF(Table1[[#This Row],[Target Time (Hours)]]="","",Table1[[#This Row],[Target Time (Hours)]]-Table1[[#This Row],[Downtime (Hours)]])</f>
        <v>17</v>
      </c>
      <c r="M1850" s="49">
        <f>IFERROR(Table1[[#This Row],[Capacity (Kg)]]/Table1[[#This Row],[Target Time (Hours)]] * Table1[[#This Row],[Downtime (Hours)]], "")</f>
        <v>1363.6363636363637</v>
      </c>
      <c r="N1850" s="50">
        <f>IFERROR(Table1[[#This Row],[Running Time (hr)]]/Table1[Target Time (Hours)], "")</f>
        <v>0.77272727272727271</v>
      </c>
      <c r="O1850" s="50">
        <f>IFERROR(Table1[[#This Row],[Actual Production (Kg)]]/Table1[Capacity (Kg)], "")</f>
        <v>0.39516666666666667</v>
      </c>
      <c r="P1850" s="50">
        <f>IFERROR(Table1[[#This Row],[Quality Pass Production]]/Table1[[#This Row],[Actual Production (Kg)]], "")</f>
        <v>1</v>
      </c>
      <c r="Q1850" s="50">
        <f>IFERROR(Table1[[#This Row],[Utilization %]]*Table1[[#This Row],[Efficiency %]]*Table1[[#This Row],[Quality %]], "")</f>
        <v>0.30535606060606058</v>
      </c>
      <c r="R1850" s="48" t="s">
        <v>500</v>
      </c>
    </row>
    <row r="1851" spans="1:18" ht="45" customHeight="1" x14ac:dyDescent="0.25">
      <c r="A1851" s="54">
        <v>46285</v>
      </c>
      <c r="B1851" s="55" t="s">
        <v>33</v>
      </c>
      <c r="C1851" s="55" t="s">
        <v>40</v>
      </c>
      <c r="D1851" s="55" t="s">
        <v>31</v>
      </c>
      <c r="E1851" s="56">
        <v>5000</v>
      </c>
      <c r="F1851" s="56">
        <v>1650</v>
      </c>
      <c r="G1851" s="56">
        <v>0</v>
      </c>
      <c r="H1851" s="58">
        <f>IFERROR(Table1[Re-process (Kg)]/Table1[Actual Production (Kg)], "")</f>
        <v>0</v>
      </c>
      <c r="I1851" s="56">
        <f>IFERROR(Table1[[#This Row],[Actual Production (Kg)]]-Table1[[#This Row],[Re-process (Kg)]], "")</f>
        <v>1650</v>
      </c>
      <c r="J1851" s="56">
        <v>22</v>
      </c>
      <c r="K1851" s="55">
        <v>11</v>
      </c>
      <c r="L1851" s="56">
        <f>IF(Table1[[#This Row],[Target Time (Hours)]]="","",Table1[[#This Row],[Target Time (Hours)]]-Table1[[#This Row],[Downtime (Hours)]])</f>
        <v>11</v>
      </c>
      <c r="M1851" s="56">
        <f>IFERROR(Table1[[#This Row],[Capacity (Kg)]]/Table1[[#This Row],[Target Time (Hours)]] * Table1[[#This Row],[Downtime (Hours)]], "")</f>
        <v>2500</v>
      </c>
      <c r="N1851" s="58">
        <f>IFERROR(Table1[[#This Row],[Running Time (hr)]]/Table1[Target Time (Hours)], "")</f>
        <v>0.5</v>
      </c>
      <c r="O1851" s="58">
        <f>IFERROR(Table1[[#This Row],[Actual Production (Kg)]]/Table1[Capacity (Kg)], "")</f>
        <v>0.33</v>
      </c>
      <c r="P1851" s="58">
        <f>IFERROR(Table1[[#This Row],[Quality Pass Production]]/Table1[[#This Row],[Actual Production (Kg)]], "")</f>
        <v>1</v>
      </c>
      <c r="Q1851" s="58">
        <f>IFERROR(Table1[[#This Row],[Utilization %]]*Table1[[#This Row],[Efficiency %]]*Table1[[#This Row],[Quality %]], "")</f>
        <v>0.16500000000000001</v>
      </c>
      <c r="R1851" s="55" t="s">
        <v>510</v>
      </c>
    </row>
    <row r="1852" spans="1:18" ht="30" customHeight="1" x14ac:dyDescent="0.25">
      <c r="A1852" s="47">
        <v>46286</v>
      </c>
      <c r="B1852" s="48" t="s">
        <v>18</v>
      </c>
      <c r="C1852" s="48" t="s">
        <v>19</v>
      </c>
      <c r="D1852" s="48" t="s">
        <v>20</v>
      </c>
      <c r="E1852" s="49">
        <v>10000</v>
      </c>
      <c r="F1852" s="76">
        <v>9059</v>
      </c>
      <c r="G1852" s="49">
        <v>0</v>
      </c>
      <c r="H1852" s="50">
        <f>IFERROR(Table1[Re-process (Kg)]/Table1[Actual Production (Kg)], "")</f>
        <v>0</v>
      </c>
      <c r="I1852" s="49">
        <f>IFERROR(Table1[[#This Row],[Actual Production (Kg)]]-Table1[[#This Row],[Re-process (Kg)]], "")</f>
        <v>9059</v>
      </c>
      <c r="J1852" s="49">
        <v>22</v>
      </c>
      <c r="K1852" s="72">
        <v>2</v>
      </c>
      <c r="L1852" s="49">
        <f>IF(Table1[[#This Row],[Target Time (Hours)]]="","",Table1[[#This Row],[Target Time (Hours)]]-Table1[[#This Row],[Downtime (Hours)]])</f>
        <v>20</v>
      </c>
      <c r="M1852" s="49">
        <f>IFERROR(Table1[[#This Row],[Capacity (Kg)]]/Table1[[#This Row],[Target Time (Hours)]] * Table1[[#This Row],[Downtime (Hours)]], "")</f>
        <v>909.09090909090912</v>
      </c>
      <c r="N1852" s="50">
        <f>IFERROR(Table1[[#This Row],[Running Time (hr)]]/Table1[Target Time (Hours)], "")</f>
        <v>0.90909090909090906</v>
      </c>
      <c r="O1852" s="50">
        <f>IFERROR(Table1[[#This Row],[Actual Production (Kg)]]/Table1[Capacity (Kg)], "")</f>
        <v>0.90590000000000004</v>
      </c>
      <c r="P1852" s="50">
        <f>IFERROR(Table1[[#This Row],[Quality Pass Production]]/Table1[[#This Row],[Actual Production (Kg)]], "")</f>
        <v>1</v>
      </c>
      <c r="Q1852" s="50">
        <f>IFERROR(Table1[[#This Row],[Utilization %]]*Table1[[#This Row],[Efficiency %]]*Table1[[#This Row],[Quality %]], "")</f>
        <v>0.82354545454545458</v>
      </c>
      <c r="R1852" s="48" t="s">
        <v>502</v>
      </c>
    </row>
    <row r="1853" spans="1:18" x14ac:dyDescent="0.25">
      <c r="A1853" s="51">
        <v>46286</v>
      </c>
      <c r="B1853" s="52" t="s">
        <v>18</v>
      </c>
      <c r="C1853" s="52" t="s">
        <v>238</v>
      </c>
      <c r="D1853" s="52" t="s">
        <v>20</v>
      </c>
      <c r="E1853" s="53">
        <v>10457</v>
      </c>
      <c r="F1853" s="53">
        <v>10457</v>
      </c>
      <c r="G1853" s="53">
        <v>0</v>
      </c>
      <c r="H1853" s="57">
        <f>IFERROR(Table1[Re-process (Kg)]/Table1[Actual Production (Kg)], "")</f>
        <v>0</v>
      </c>
      <c r="I1853" s="53">
        <f>IFERROR(Table1[[#This Row],[Actual Production (Kg)]]-Table1[[#This Row],[Re-process (Kg)]], "")</f>
        <v>10457</v>
      </c>
      <c r="J1853" s="53"/>
      <c r="K1853" s="52"/>
      <c r="L1853" s="53" t="str">
        <f>IF(Table1[[#This Row],[Target Time (Hours)]]="","",Table1[[#This Row],[Target Time (Hours)]]-Table1[[#This Row],[Downtime (Hours)]])</f>
        <v/>
      </c>
      <c r="M1853" s="53" t="str">
        <f>IFERROR(Table1[[#This Row],[Capacity (Kg)]]/Table1[[#This Row],[Target Time (Hours)]] * Table1[[#This Row],[Downtime (Hours)]], "")</f>
        <v/>
      </c>
      <c r="N1853" s="57" t="str">
        <f>IFERROR(Table1[[#This Row],[Running Time (hr)]]/Table1[Target Time (Hours)], "")</f>
        <v/>
      </c>
      <c r="O1853" s="57">
        <f>IFERROR(Table1[[#This Row],[Actual Production (Kg)]]/Table1[Capacity (Kg)], "")</f>
        <v>1</v>
      </c>
      <c r="P1853" s="57">
        <f>IFERROR(Table1[[#This Row],[Quality Pass Production]]/Table1[[#This Row],[Actual Production (Kg)]], "")</f>
        <v>1</v>
      </c>
      <c r="Q1853" s="57" t="str">
        <f>IFERROR(Table1[[#This Row],[Utilization %]]*Table1[[#This Row],[Efficiency %]]*Table1[[#This Row],[Quality %]], "")</f>
        <v/>
      </c>
      <c r="R1853" s="52"/>
    </row>
    <row r="1854" spans="1:18" x14ac:dyDescent="0.25">
      <c r="A1854" s="47">
        <v>46286</v>
      </c>
      <c r="B1854" s="48" t="s">
        <v>18</v>
      </c>
      <c r="C1854" s="48" t="s">
        <v>22</v>
      </c>
      <c r="D1854" s="48" t="s">
        <v>23</v>
      </c>
      <c r="E1854" s="49">
        <v>5000</v>
      </c>
      <c r="F1854" s="76">
        <v>3324</v>
      </c>
      <c r="G1854" s="49">
        <v>0</v>
      </c>
      <c r="H1854" s="50">
        <f>IFERROR(Table1[Re-process (Kg)]/Table1[Actual Production (Kg)], "")</f>
        <v>0</v>
      </c>
      <c r="I1854" s="49">
        <f>IFERROR(Table1[[#This Row],[Actual Production (Kg)]]-Table1[[#This Row],[Re-process (Kg)]], "")</f>
        <v>3324</v>
      </c>
      <c r="J1854" s="49">
        <v>22</v>
      </c>
      <c r="K1854" s="72"/>
      <c r="L1854" s="49">
        <f>IF(Table1[[#This Row],[Target Time (Hours)]]="","",Table1[[#This Row],[Target Time (Hours)]]-Table1[[#This Row],[Downtime (Hours)]])</f>
        <v>22</v>
      </c>
      <c r="M1854" s="49">
        <f>IFERROR(Table1[[#This Row],[Capacity (Kg)]]/Table1[[#This Row],[Target Time (Hours)]] * Table1[[#This Row],[Downtime (Hours)]], "")</f>
        <v>0</v>
      </c>
      <c r="N1854" s="50">
        <f>IFERROR(Table1[[#This Row],[Running Time (hr)]]/Table1[Target Time (Hours)], "")</f>
        <v>1</v>
      </c>
      <c r="O1854" s="50">
        <f>IFERROR(Table1[[#This Row],[Actual Production (Kg)]]/Table1[Capacity (Kg)], "")</f>
        <v>0.66479999999999995</v>
      </c>
      <c r="P1854" s="50">
        <f>IFERROR(Table1[[#This Row],[Quality Pass Production]]/Table1[[#This Row],[Actual Production (Kg)]], "")</f>
        <v>1</v>
      </c>
      <c r="Q1854" s="50">
        <f>IFERROR(Table1[[#This Row],[Utilization %]]*Table1[[#This Row],[Efficiency %]]*Table1[[#This Row],[Quality %]], "")</f>
        <v>0.66479999999999995</v>
      </c>
    </row>
    <row r="1855" spans="1:18" x14ac:dyDescent="0.25">
      <c r="A1855" s="47">
        <v>46286</v>
      </c>
      <c r="B1855" s="48" t="s">
        <v>18</v>
      </c>
      <c r="C1855" s="48" t="s">
        <v>22</v>
      </c>
      <c r="D1855" s="48" t="s">
        <v>25</v>
      </c>
      <c r="E1855" s="49">
        <v>4000</v>
      </c>
      <c r="F1855" s="76">
        <v>6418</v>
      </c>
      <c r="G1855" s="49">
        <v>0</v>
      </c>
      <c r="H1855" s="50">
        <f>IFERROR(Table1[Re-process (Kg)]/Table1[Actual Production (Kg)], "")</f>
        <v>0</v>
      </c>
      <c r="I1855" s="49">
        <f>IFERROR(Table1[[#This Row],[Actual Production (Kg)]]-Table1[[#This Row],[Re-process (Kg)]], "")</f>
        <v>6418</v>
      </c>
      <c r="J1855" s="49"/>
      <c r="K1855" s="72"/>
      <c r="L1855" s="49" t="str">
        <f>IF(Table1[[#This Row],[Target Time (Hours)]]="","",Table1[[#This Row],[Target Time (Hours)]]-Table1[[#This Row],[Downtime (Hours)]])</f>
        <v/>
      </c>
      <c r="M1855" s="49" t="str">
        <f>IFERROR(Table1[[#This Row],[Capacity (Kg)]]/Table1[[#This Row],[Target Time (Hours)]] * Table1[[#This Row],[Downtime (Hours)]], "")</f>
        <v/>
      </c>
      <c r="N1855" s="50" t="str">
        <f>IFERROR(Table1[[#This Row],[Running Time (hr)]]/Table1[Target Time (Hours)], "")</f>
        <v/>
      </c>
      <c r="O1855" s="50">
        <f>IFERROR(Table1[[#This Row],[Actual Production (Kg)]]/Table1[Capacity (Kg)], "")</f>
        <v>1.6045</v>
      </c>
      <c r="P1855" s="50">
        <f>IFERROR(Table1[[#This Row],[Quality Pass Production]]/Table1[[#This Row],[Actual Production (Kg)]], "")</f>
        <v>1</v>
      </c>
      <c r="Q1855" s="50" t="str">
        <f>IFERROR(Table1[[#This Row],[Utilization %]]*Table1[[#This Row],[Efficiency %]]*Table1[[#This Row],[Quality %]], "")</f>
        <v/>
      </c>
    </row>
    <row r="1856" spans="1:18" x14ac:dyDescent="0.25">
      <c r="A1856" s="47">
        <v>46286</v>
      </c>
      <c r="B1856" s="48" t="s">
        <v>18</v>
      </c>
      <c r="C1856" s="48" t="s">
        <v>26</v>
      </c>
      <c r="D1856" s="48" t="s">
        <v>25</v>
      </c>
      <c r="E1856" s="49">
        <v>7000</v>
      </c>
      <c r="F1856" s="76">
        <v>7352</v>
      </c>
      <c r="G1856" s="49">
        <v>0</v>
      </c>
      <c r="H1856" s="50">
        <f>IFERROR(Table1[Re-process (Kg)]/Table1[Actual Production (Kg)], "")</f>
        <v>0</v>
      </c>
      <c r="I1856" s="49">
        <f>IFERROR(Table1[[#This Row],[Actual Production (Kg)]]-Table1[[#This Row],[Re-process (Kg)]], "")</f>
        <v>7352</v>
      </c>
      <c r="J1856" s="49">
        <v>22</v>
      </c>
      <c r="K1856" s="72"/>
      <c r="L1856" s="49">
        <f>IF(Table1[[#This Row],[Target Time (Hours)]]="","",Table1[[#This Row],[Target Time (Hours)]]-Table1[[#This Row],[Downtime (Hours)]])</f>
        <v>22</v>
      </c>
      <c r="M1856" s="49">
        <f>IFERROR(Table1[[#This Row],[Capacity (Kg)]]/Table1[[#This Row],[Target Time (Hours)]] * Table1[[#This Row],[Downtime (Hours)]], "")</f>
        <v>0</v>
      </c>
      <c r="N1856" s="50">
        <f>IFERROR(Table1[[#This Row],[Running Time (hr)]]/Table1[Target Time (Hours)], "")</f>
        <v>1</v>
      </c>
      <c r="O1856" s="50">
        <f>IFERROR(Table1[[#This Row],[Actual Production (Kg)]]/Table1[Capacity (Kg)], "")</f>
        <v>1.0502857142857143</v>
      </c>
      <c r="P1856" s="50">
        <f>IFERROR(Table1[[#This Row],[Quality Pass Production]]/Table1[[#This Row],[Actual Production (Kg)]], "")</f>
        <v>1</v>
      </c>
      <c r="Q1856" s="50">
        <f>IFERROR(Table1[[#This Row],[Utilization %]]*Table1[[#This Row],[Efficiency %]]*Table1[[#This Row],[Quality %]], "")</f>
        <v>1.0502857142857143</v>
      </c>
    </row>
    <row r="1857" spans="1:18" ht="30" customHeight="1" x14ac:dyDescent="0.25">
      <c r="A1857" s="47">
        <v>46286</v>
      </c>
      <c r="B1857" s="48" t="s">
        <v>18</v>
      </c>
      <c r="C1857" s="48" t="s">
        <v>28</v>
      </c>
      <c r="D1857" s="48" t="s">
        <v>29</v>
      </c>
      <c r="E1857" s="49">
        <v>7800</v>
      </c>
      <c r="F1857" s="76">
        <v>5591</v>
      </c>
      <c r="G1857" s="49">
        <v>0</v>
      </c>
      <c r="H1857" s="50">
        <f>IFERROR(Table1[Re-process (Kg)]/Table1[Actual Production (Kg)], "")</f>
        <v>0</v>
      </c>
      <c r="I1857" s="49">
        <f>IFERROR(Table1[[#This Row],[Actual Production (Kg)]]-Table1[[#This Row],[Re-process (Kg)]], "")</f>
        <v>5591</v>
      </c>
      <c r="J1857" s="49">
        <v>22</v>
      </c>
      <c r="K1857" s="72">
        <v>6.5</v>
      </c>
      <c r="L1857" s="49">
        <f>IF(Table1[[#This Row],[Target Time (Hours)]]="","",Table1[[#This Row],[Target Time (Hours)]]-Table1[[#This Row],[Downtime (Hours)]])</f>
        <v>15.5</v>
      </c>
      <c r="M1857" s="49">
        <f>IFERROR(Table1[[#This Row],[Capacity (Kg)]]/Table1[[#This Row],[Target Time (Hours)]] * Table1[[#This Row],[Downtime (Hours)]], "")</f>
        <v>2304.5454545454545</v>
      </c>
      <c r="N1857" s="50">
        <f>IFERROR(Table1[[#This Row],[Running Time (hr)]]/Table1[Target Time (Hours)], "")</f>
        <v>0.70454545454545459</v>
      </c>
      <c r="O1857" s="50">
        <f>IFERROR(Table1[[#This Row],[Actual Production (Kg)]]/Table1[Capacity (Kg)], "")</f>
        <v>0.71679487179487178</v>
      </c>
      <c r="P1857" s="50">
        <f>IFERROR(Table1[[#This Row],[Quality Pass Production]]/Table1[[#This Row],[Actual Production (Kg)]], "")</f>
        <v>1</v>
      </c>
      <c r="Q1857" s="50">
        <f>IFERROR(Table1[[#This Row],[Utilization %]]*Table1[[#This Row],[Efficiency %]]*Table1[[#This Row],[Quality %]], "")</f>
        <v>0.50501456876456874</v>
      </c>
      <c r="R1857" s="48" t="s">
        <v>511</v>
      </c>
    </row>
    <row r="1858" spans="1:18" ht="30" customHeight="1" x14ac:dyDescent="0.25">
      <c r="A1858" s="51">
        <v>46286</v>
      </c>
      <c r="B1858" s="52" t="s">
        <v>18</v>
      </c>
      <c r="C1858" s="52" t="s">
        <v>135</v>
      </c>
      <c r="D1858" s="52" t="s">
        <v>29</v>
      </c>
      <c r="E1858" s="53"/>
      <c r="F1858" s="53"/>
      <c r="G1858" s="53"/>
      <c r="H1858" s="57" t="str">
        <f>IFERROR(Table1[Re-process (Kg)]/Table1[Actual Production (Kg)], "")</f>
        <v/>
      </c>
      <c r="I1858" s="53">
        <f>IFERROR(Table1[[#This Row],[Actual Production (Kg)]]-Table1[[#This Row],[Re-process (Kg)]], "")</f>
        <v>0</v>
      </c>
      <c r="J1858" s="53"/>
      <c r="K1858" s="52"/>
      <c r="L1858" s="53" t="str">
        <f>IF(Table1[[#This Row],[Target Time (Hours)]]="","",Table1[[#This Row],[Target Time (Hours)]]-Table1[[#This Row],[Downtime (Hours)]])</f>
        <v/>
      </c>
      <c r="M1858" s="53" t="str">
        <f>IFERROR(Table1[[#This Row],[Capacity (Kg)]]/Table1[[#This Row],[Target Time (Hours)]] * Table1[[#This Row],[Downtime (Hours)]], "")</f>
        <v/>
      </c>
      <c r="N1858" s="57" t="str">
        <f>IFERROR(Table1[[#This Row],[Running Time (hr)]]/Table1[Target Time (Hours)], "")</f>
        <v/>
      </c>
      <c r="O1858" s="57" t="str">
        <f>IFERROR(Table1[[#This Row],[Actual Production (Kg)]]/Table1[Capacity (Kg)], "")</f>
        <v/>
      </c>
      <c r="P1858" s="57" t="str">
        <f>IFERROR(Table1[[#This Row],[Quality Pass Production]]/Table1[[#This Row],[Actual Production (Kg)]], "")</f>
        <v/>
      </c>
      <c r="Q1858" s="57" t="str">
        <f>IFERROR(Table1[[#This Row],[Utilization %]]*Table1[[#This Row],[Efficiency %]]*Table1[[#This Row],[Quality %]], "")</f>
        <v/>
      </c>
      <c r="R1858" s="52"/>
    </row>
    <row r="1859" spans="1:18" ht="30" customHeight="1" x14ac:dyDescent="0.25">
      <c r="A1859" s="47">
        <v>46286</v>
      </c>
      <c r="B1859" s="48" t="s">
        <v>18</v>
      </c>
      <c r="C1859" s="48" t="s">
        <v>30</v>
      </c>
      <c r="D1859" s="48" t="s">
        <v>31</v>
      </c>
      <c r="E1859" s="49">
        <v>9000</v>
      </c>
      <c r="F1859" s="76">
        <v>8923</v>
      </c>
      <c r="G1859" s="49">
        <v>0</v>
      </c>
      <c r="H1859" s="50">
        <f>IFERROR(Table1[Re-process (Kg)]/Table1[Actual Production (Kg)], "")</f>
        <v>0</v>
      </c>
      <c r="I1859" s="49">
        <f>IFERROR(Table1[[#This Row],[Actual Production (Kg)]]-Table1[[#This Row],[Re-process (Kg)]], "")</f>
        <v>8923</v>
      </c>
      <c r="J1859" s="49">
        <v>22</v>
      </c>
      <c r="K1859" s="72"/>
      <c r="L1859" s="49">
        <f>IF(Table1[[#This Row],[Target Time (Hours)]]="","",Table1[[#This Row],[Target Time (Hours)]]-Table1[[#This Row],[Downtime (Hours)]])</f>
        <v>22</v>
      </c>
      <c r="M1859" s="49">
        <f>IFERROR(Table1[[#This Row],[Capacity (Kg)]]/Table1[[#This Row],[Target Time (Hours)]] * Table1[[#This Row],[Downtime (Hours)]], "")</f>
        <v>0</v>
      </c>
      <c r="N1859" s="50">
        <f>IFERROR(Table1[[#This Row],[Running Time (hr)]]/Table1[Target Time (Hours)], "")</f>
        <v>1</v>
      </c>
      <c r="O1859" s="50">
        <f>IFERROR(Table1[[#This Row],[Actual Production (Kg)]]/Table1[Capacity (Kg)], "")</f>
        <v>0.99144444444444446</v>
      </c>
      <c r="P1859" s="50">
        <f>IFERROR(Table1[[#This Row],[Quality Pass Production]]/Table1[[#This Row],[Actual Production (Kg)]], "")</f>
        <v>1</v>
      </c>
      <c r="Q1859" s="50">
        <f>IFERROR(Table1[[#This Row],[Utilization %]]*Table1[[#This Row],[Efficiency %]]*Table1[[#This Row],[Quality %]], "")</f>
        <v>0.99144444444444446</v>
      </c>
    </row>
    <row r="1860" spans="1:18" ht="30" customHeight="1" x14ac:dyDescent="0.25">
      <c r="A1860" s="51">
        <v>46286</v>
      </c>
      <c r="B1860" s="52" t="s">
        <v>18</v>
      </c>
      <c r="C1860" s="52" t="s">
        <v>32</v>
      </c>
      <c r="D1860" s="52" t="s">
        <v>31</v>
      </c>
      <c r="E1860" s="53"/>
      <c r="F1860" s="53"/>
      <c r="G1860" s="53"/>
      <c r="H1860" s="57" t="str">
        <f>IFERROR(Table1[Re-process (Kg)]/Table1[Actual Production (Kg)], "")</f>
        <v/>
      </c>
      <c r="I1860" s="53">
        <f>IFERROR(Table1[[#This Row],[Actual Production (Kg)]]-Table1[[#This Row],[Re-process (Kg)]], "")</f>
        <v>0</v>
      </c>
      <c r="J1860" s="53"/>
      <c r="K1860" s="52"/>
      <c r="L1860" s="53" t="str">
        <f>IF(Table1[[#This Row],[Target Time (Hours)]]="","",Table1[[#This Row],[Target Time (Hours)]]-Table1[[#This Row],[Downtime (Hours)]])</f>
        <v/>
      </c>
      <c r="M1860" s="53" t="str">
        <f>IFERROR(Table1[[#This Row],[Capacity (Kg)]]/Table1[[#This Row],[Target Time (Hours)]] * Table1[[#This Row],[Downtime (Hours)]], "")</f>
        <v/>
      </c>
      <c r="N1860" s="57" t="str">
        <f>IFERROR(Table1[[#This Row],[Running Time (hr)]]/Table1[Target Time (Hours)], "")</f>
        <v/>
      </c>
      <c r="O1860" s="57" t="str">
        <f>IFERROR(Table1[[#This Row],[Actual Production (Kg)]]/Table1[Capacity (Kg)], "")</f>
        <v/>
      </c>
      <c r="P1860" s="57" t="str">
        <f>IFERROR(Table1[[#This Row],[Quality Pass Production]]/Table1[[#This Row],[Actual Production (Kg)]], "")</f>
        <v/>
      </c>
      <c r="Q1860" s="57" t="str">
        <f>IFERROR(Table1[[#This Row],[Utilization %]]*Table1[[#This Row],[Efficiency %]]*Table1[[#This Row],[Quality %]], "")</f>
        <v/>
      </c>
      <c r="R1860" s="52"/>
    </row>
    <row r="1861" spans="1:18" ht="45" customHeight="1" x14ac:dyDescent="0.25">
      <c r="A1861" s="47">
        <v>46286</v>
      </c>
      <c r="B1861" s="48" t="s">
        <v>33</v>
      </c>
      <c r="C1861" s="48" t="s">
        <v>34</v>
      </c>
      <c r="D1861" s="48" t="s">
        <v>35</v>
      </c>
      <c r="E1861" s="49">
        <v>9000</v>
      </c>
      <c r="F1861" s="76">
        <v>6279</v>
      </c>
      <c r="G1861" s="49">
        <v>0</v>
      </c>
      <c r="H1861" s="50">
        <f>IFERROR(Table1[Re-process (Kg)]/Table1[Actual Production (Kg)], "")</f>
        <v>0</v>
      </c>
      <c r="I1861" s="49">
        <f>IFERROR(Table1[[#This Row],[Actual Production (Kg)]]-Table1[[#This Row],[Re-process (Kg)]], "")</f>
        <v>6279</v>
      </c>
      <c r="J1861" s="49">
        <v>22</v>
      </c>
      <c r="K1861" s="72">
        <v>3</v>
      </c>
      <c r="L1861" s="49">
        <f>IF(Table1[[#This Row],[Target Time (Hours)]]="","",Table1[[#This Row],[Target Time (Hours)]]-Table1[[#This Row],[Downtime (Hours)]])</f>
        <v>19</v>
      </c>
      <c r="M1861" s="49">
        <f>IFERROR(Table1[[#This Row],[Capacity (Kg)]]/Table1[[#This Row],[Target Time (Hours)]] * Table1[[#This Row],[Downtime (Hours)]], "")</f>
        <v>1227.2727272727273</v>
      </c>
      <c r="N1861" s="50">
        <f>IFERROR(Table1[[#This Row],[Running Time (hr)]]/Table1[Target Time (Hours)], "")</f>
        <v>0.86363636363636365</v>
      </c>
      <c r="O1861" s="50">
        <f>IFERROR(Table1[[#This Row],[Actual Production (Kg)]]/Table1[Capacity (Kg)], "")</f>
        <v>0.69766666666666666</v>
      </c>
      <c r="P1861" s="50">
        <f>IFERROR(Table1[[#This Row],[Quality Pass Production]]/Table1[[#This Row],[Actual Production (Kg)]], "")</f>
        <v>1</v>
      </c>
      <c r="Q1861" s="50">
        <f>IFERROR(Table1[[#This Row],[Utilization %]]*Table1[[#This Row],[Efficiency %]]*Table1[[#This Row],[Quality %]], "")</f>
        <v>0.60253030303030308</v>
      </c>
      <c r="R1861" s="48" t="s">
        <v>512</v>
      </c>
    </row>
    <row r="1862" spans="1:18" ht="45" customHeight="1" x14ac:dyDescent="0.25">
      <c r="A1862" s="47">
        <v>46286</v>
      </c>
      <c r="B1862" s="48" t="s">
        <v>33</v>
      </c>
      <c r="C1862" s="48" t="s">
        <v>36</v>
      </c>
      <c r="D1862" s="48" t="s">
        <v>37</v>
      </c>
      <c r="E1862" s="49">
        <v>8000</v>
      </c>
      <c r="F1862" s="76">
        <v>5320</v>
      </c>
      <c r="G1862" s="49">
        <v>0</v>
      </c>
      <c r="H1862" s="50">
        <f>IFERROR(Table1[Re-process (Kg)]/Table1[Actual Production (Kg)], "")</f>
        <v>0</v>
      </c>
      <c r="I1862" s="49">
        <f>IFERROR(Table1[[#This Row],[Actual Production (Kg)]]-Table1[[#This Row],[Re-process (Kg)]], "")</f>
        <v>5320</v>
      </c>
      <c r="J1862" s="49">
        <v>22</v>
      </c>
      <c r="K1862" s="72">
        <v>2.5</v>
      </c>
      <c r="L1862" s="49">
        <f>IF(Table1[[#This Row],[Target Time (Hours)]]="","",Table1[[#This Row],[Target Time (Hours)]]-Table1[[#This Row],[Downtime (Hours)]])</f>
        <v>19.5</v>
      </c>
      <c r="M1862" s="49">
        <f>IFERROR(Table1[[#This Row],[Capacity (Kg)]]/Table1[[#This Row],[Target Time (Hours)]] * Table1[[#This Row],[Downtime (Hours)]], "")</f>
        <v>909.09090909090901</v>
      </c>
      <c r="N1862" s="50">
        <f>IFERROR(Table1[[#This Row],[Running Time (hr)]]/Table1[Target Time (Hours)], "")</f>
        <v>0.88636363636363635</v>
      </c>
      <c r="O1862" s="50">
        <f>IFERROR(Table1[[#This Row],[Actual Production (Kg)]]/Table1[Capacity (Kg)], "")</f>
        <v>0.66500000000000004</v>
      </c>
      <c r="P1862" s="50">
        <f>IFERROR(Table1[[#This Row],[Quality Pass Production]]/Table1[[#This Row],[Actual Production (Kg)]], "")</f>
        <v>1</v>
      </c>
      <c r="Q1862" s="50">
        <f>IFERROR(Table1[[#This Row],[Utilization %]]*Table1[[#This Row],[Efficiency %]]*Table1[[#This Row],[Quality %]], "")</f>
        <v>0.58943181818181822</v>
      </c>
      <c r="R1862" s="48" t="s">
        <v>513</v>
      </c>
    </row>
    <row r="1863" spans="1:18" ht="45" customHeight="1" x14ac:dyDescent="0.25">
      <c r="A1863" s="47">
        <v>46286</v>
      </c>
      <c r="B1863" s="48" t="s">
        <v>33</v>
      </c>
      <c r="C1863" s="48" t="s">
        <v>39</v>
      </c>
      <c r="D1863" s="48" t="s">
        <v>31</v>
      </c>
      <c r="E1863" s="49">
        <v>6000</v>
      </c>
      <c r="F1863" s="76">
        <v>2117</v>
      </c>
      <c r="G1863" s="49">
        <v>0</v>
      </c>
      <c r="H1863" s="50">
        <f>IFERROR(Table1[Re-process (Kg)]/Table1[Actual Production (Kg)], "")</f>
        <v>0</v>
      </c>
      <c r="I1863" s="49">
        <f>IFERROR(Table1[[#This Row],[Actual Production (Kg)]]-Table1[[#This Row],[Re-process (Kg)]], "")</f>
        <v>2117</v>
      </c>
      <c r="J1863" s="49">
        <v>22</v>
      </c>
      <c r="K1863" s="72">
        <v>7</v>
      </c>
      <c r="L1863" s="49">
        <f>IF(Table1[[#This Row],[Target Time (Hours)]]="","",Table1[[#This Row],[Target Time (Hours)]]-Table1[[#This Row],[Downtime (Hours)]])</f>
        <v>15</v>
      </c>
      <c r="M1863" s="49">
        <f>IFERROR(Table1[[#This Row],[Capacity (Kg)]]/Table1[[#This Row],[Target Time (Hours)]] * Table1[[#This Row],[Downtime (Hours)]], "")</f>
        <v>1909.0909090909092</v>
      </c>
      <c r="N1863" s="50">
        <f>IFERROR(Table1[[#This Row],[Running Time (hr)]]/Table1[Target Time (Hours)], "")</f>
        <v>0.68181818181818177</v>
      </c>
      <c r="O1863" s="50">
        <f>IFERROR(Table1[[#This Row],[Actual Production (Kg)]]/Table1[Capacity (Kg)], "")</f>
        <v>0.35283333333333333</v>
      </c>
      <c r="P1863" s="50">
        <f>IFERROR(Table1[[#This Row],[Quality Pass Production]]/Table1[[#This Row],[Actual Production (Kg)]], "")</f>
        <v>1</v>
      </c>
      <c r="Q1863" s="50">
        <f>IFERROR(Table1[[#This Row],[Utilization %]]*Table1[[#This Row],[Efficiency %]]*Table1[[#This Row],[Quality %]], "")</f>
        <v>0.24056818181818179</v>
      </c>
      <c r="R1863" s="48" t="s">
        <v>514</v>
      </c>
    </row>
    <row r="1864" spans="1:18" ht="45" customHeight="1" x14ac:dyDescent="0.25">
      <c r="A1864" s="54">
        <v>46286</v>
      </c>
      <c r="B1864" s="55" t="s">
        <v>33</v>
      </c>
      <c r="C1864" s="55" t="s">
        <v>40</v>
      </c>
      <c r="D1864" s="55" t="s">
        <v>31</v>
      </c>
      <c r="E1864" s="56">
        <v>5000</v>
      </c>
      <c r="F1864" s="56">
        <v>2571</v>
      </c>
      <c r="G1864" s="56">
        <v>0</v>
      </c>
      <c r="H1864" s="58">
        <f>IFERROR(Table1[Re-process (Kg)]/Table1[Actual Production (Kg)], "")</f>
        <v>0</v>
      </c>
      <c r="I1864" s="56">
        <f>IFERROR(Table1[[#This Row],[Actual Production (Kg)]]-Table1[[#This Row],[Re-process (Kg)]], "")</f>
        <v>2571</v>
      </c>
      <c r="J1864" s="56">
        <v>22</v>
      </c>
      <c r="K1864" s="55">
        <v>3</v>
      </c>
      <c r="L1864" s="56">
        <f>IF(Table1[[#This Row],[Target Time (Hours)]]="","",Table1[[#This Row],[Target Time (Hours)]]-Table1[[#This Row],[Downtime (Hours)]])</f>
        <v>19</v>
      </c>
      <c r="M1864" s="56">
        <f>IFERROR(Table1[[#This Row],[Capacity (Kg)]]/Table1[[#This Row],[Target Time (Hours)]] * Table1[[#This Row],[Downtime (Hours)]], "")</f>
        <v>681.81818181818187</v>
      </c>
      <c r="N1864" s="58">
        <f>IFERROR(Table1[[#This Row],[Running Time (hr)]]/Table1[Target Time (Hours)], "")</f>
        <v>0.86363636363636365</v>
      </c>
      <c r="O1864" s="58">
        <f>IFERROR(Table1[[#This Row],[Actual Production (Kg)]]/Table1[Capacity (Kg)], "")</f>
        <v>0.51419999999999999</v>
      </c>
      <c r="P1864" s="58">
        <f>IFERROR(Table1[[#This Row],[Quality Pass Production]]/Table1[[#This Row],[Actual Production (Kg)]], "")</f>
        <v>1</v>
      </c>
      <c r="Q1864" s="58">
        <f>IFERROR(Table1[[#This Row],[Utilization %]]*Table1[[#This Row],[Efficiency %]]*Table1[[#This Row],[Quality %]], "")</f>
        <v>0.44408181818181819</v>
      </c>
      <c r="R1864" s="55" t="s">
        <v>515</v>
      </c>
    </row>
    <row r="1865" spans="1:18" ht="30" customHeight="1" x14ac:dyDescent="0.25">
      <c r="A1865" s="47">
        <v>46287</v>
      </c>
      <c r="B1865" s="48" t="s">
        <v>18</v>
      </c>
      <c r="C1865" s="48" t="s">
        <v>19</v>
      </c>
      <c r="D1865" s="48" t="s">
        <v>20</v>
      </c>
      <c r="E1865" s="49">
        <v>10000</v>
      </c>
      <c r="F1865" s="76">
        <v>9229</v>
      </c>
      <c r="G1865" s="49">
        <v>0</v>
      </c>
      <c r="H1865" s="50">
        <f>IFERROR(Table1[Re-process (Kg)]/Table1[Actual Production (Kg)], "")</f>
        <v>0</v>
      </c>
      <c r="I1865" s="49">
        <f>IFERROR(Table1[[#This Row],[Actual Production (Kg)]]-Table1[[#This Row],[Re-process (Kg)]], "")</f>
        <v>9229</v>
      </c>
      <c r="J1865" s="49">
        <v>22</v>
      </c>
      <c r="K1865" s="72"/>
      <c r="L1865" s="49">
        <f>IF(Table1[[#This Row],[Target Time (Hours)]]="","",Table1[[#This Row],[Target Time (Hours)]]-Table1[[#This Row],[Downtime (Hours)]])</f>
        <v>22</v>
      </c>
      <c r="M1865" s="49">
        <f>IFERROR(Table1[[#This Row],[Capacity (Kg)]]/Table1[[#This Row],[Target Time (Hours)]] * Table1[[#This Row],[Downtime (Hours)]], "")</f>
        <v>0</v>
      </c>
      <c r="N1865" s="50">
        <f>IFERROR(Table1[[#This Row],[Running Time (hr)]]/Table1[Target Time (Hours)], "")</f>
        <v>1</v>
      </c>
      <c r="O1865" s="50">
        <f>IFERROR(Table1[[#This Row],[Actual Production (Kg)]]/Table1[Capacity (Kg)], "")</f>
        <v>0.92290000000000005</v>
      </c>
      <c r="P1865" s="50">
        <f>IFERROR(Table1[[#This Row],[Quality Pass Production]]/Table1[[#This Row],[Actual Production (Kg)]], "")</f>
        <v>1</v>
      </c>
      <c r="Q1865" s="50">
        <f>IFERROR(Table1[[#This Row],[Utilization %]]*Table1[[#This Row],[Efficiency %]]*Table1[[#This Row],[Quality %]], "")</f>
        <v>0.92290000000000005</v>
      </c>
    </row>
    <row r="1866" spans="1:18" x14ac:dyDescent="0.25">
      <c r="A1866" s="51">
        <v>46287</v>
      </c>
      <c r="B1866" s="52" t="s">
        <v>18</v>
      </c>
      <c r="C1866" s="52" t="s">
        <v>238</v>
      </c>
      <c r="D1866" s="52" t="s">
        <v>20</v>
      </c>
      <c r="E1866" s="53">
        <v>11896</v>
      </c>
      <c r="F1866" s="53">
        <v>11896</v>
      </c>
      <c r="G1866" s="53">
        <v>0</v>
      </c>
      <c r="H1866" s="57">
        <f>IFERROR(Table1[Re-process (Kg)]/Table1[Actual Production (Kg)], "")</f>
        <v>0</v>
      </c>
      <c r="I1866" s="53">
        <f>IFERROR(Table1[[#This Row],[Actual Production (Kg)]]-Table1[[#This Row],[Re-process (Kg)]], "")</f>
        <v>11896</v>
      </c>
      <c r="J1866" s="53"/>
      <c r="K1866" s="52"/>
      <c r="L1866" s="53" t="str">
        <f>IF(Table1[[#This Row],[Target Time (Hours)]]="","",Table1[[#This Row],[Target Time (Hours)]]-Table1[[#This Row],[Downtime (Hours)]])</f>
        <v/>
      </c>
      <c r="M1866" s="53" t="str">
        <f>IFERROR(Table1[[#This Row],[Capacity (Kg)]]/Table1[[#This Row],[Target Time (Hours)]] * Table1[[#This Row],[Downtime (Hours)]], "")</f>
        <v/>
      </c>
      <c r="N1866" s="57" t="str">
        <f>IFERROR(Table1[[#This Row],[Running Time (hr)]]/Table1[Target Time (Hours)], "")</f>
        <v/>
      </c>
      <c r="O1866" s="57">
        <f>IFERROR(Table1[[#This Row],[Actual Production (Kg)]]/Table1[Capacity (Kg)], "")</f>
        <v>1</v>
      </c>
      <c r="P1866" s="57">
        <f>IFERROR(Table1[[#This Row],[Quality Pass Production]]/Table1[[#This Row],[Actual Production (Kg)]], "")</f>
        <v>1</v>
      </c>
      <c r="Q1866" s="57" t="str">
        <f>IFERROR(Table1[[#This Row],[Utilization %]]*Table1[[#This Row],[Efficiency %]]*Table1[[#This Row],[Quality %]], "")</f>
        <v/>
      </c>
      <c r="R1866" s="52"/>
    </row>
    <row r="1867" spans="1:18" x14ac:dyDescent="0.25">
      <c r="A1867" s="47">
        <v>46287</v>
      </c>
      <c r="B1867" s="48" t="s">
        <v>18</v>
      </c>
      <c r="C1867" s="48" t="s">
        <v>22</v>
      </c>
      <c r="D1867" s="48" t="s">
        <v>23</v>
      </c>
      <c r="E1867" s="49">
        <v>5000</v>
      </c>
      <c r="F1867" s="76">
        <v>2951</v>
      </c>
      <c r="G1867" s="49">
        <v>0</v>
      </c>
      <c r="H1867" s="50">
        <f>IFERROR(Table1[Re-process (Kg)]/Table1[Actual Production (Kg)], "")</f>
        <v>0</v>
      </c>
      <c r="I1867" s="49">
        <f>IFERROR(Table1[[#This Row],[Actual Production (Kg)]]-Table1[[#This Row],[Re-process (Kg)]], "")</f>
        <v>2951</v>
      </c>
      <c r="J1867" s="49">
        <v>22</v>
      </c>
      <c r="K1867" s="72"/>
      <c r="L1867" s="49">
        <f>IF(Table1[[#This Row],[Target Time (Hours)]]="","",Table1[[#This Row],[Target Time (Hours)]]-Table1[[#This Row],[Downtime (Hours)]])</f>
        <v>22</v>
      </c>
      <c r="M1867" s="49">
        <f>IFERROR(Table1[[#This Row],[Capacity (Kg)]]/Table1[[#This Row],[Target Time (Hours)]] * Table1[[#This Row],[Downtime (Hours)]], "")</f>
        <v>0</v>
      </c>
      <c r="N1867" s="50">
        <f>IFERROR(Table1[[#This Row],[Running Time (hr)]]/Table1[Target Time (Hours)], "")</f>
        <v>1</v>
      </c>
      <c r="O1867" s="50">
        <f>IFERROR(Table1[[#This Row],[Actual Production (Kg)]]/Table1[Capacity (Kg)], "")</f>
        <v>0.59019999999999995</v>
      </c>
      <c r="P1867" s="50">
        <f>IFERROR(Table1[[#This Row],[Quality Pass Production]]/Table1[[#This Row],[Actual Production (Kg)]], "")</f>
        <v>1</v>
      </c>
      <c r="Q1867" s="50">
        <f>IFERROR(Table1[[#This Row],[Utilization %]]*Table1[[#This Row],[Efficiency %]]*Table1[[#This Row],[Quality %]], "")</f>
        <v>0.59019999999999995</v>
      </c>
    </row>
    <row r="1868" spans="1:18" x14ac:dyDescent="0.25">
      <c r="A1868" s="47">
        <v>46287</v>
      </c>
      <c r="B1868" s="48" t="s">
        <v>18</v>
      </c>
      <c r="C1868" s="48" t="s">
        <v>22</v>
      </c>
      <c r="D1868" s="48" t="s">
        <v>25</v>
      </c>
      <c r="E1868" s="49">
        <v>4000</v>
      </c>
      <c r="F1868" s="76">
        <v>6049</v>
      </c>
      <c r="G1868" s="49">
        <v>0</v>
      </c>
      <c r="H1868" s="50">
        <f>IFERROR(Table1[Re-process (Kg)]/Table1[Actual Production (Kg)], "")</f>
        <v>0</v>
      </c>
      <c r="I1868" s="49">
        <f>IFERROR(Table1[[#This Row],[Actual Production (Kg)]]-Table1[[#This Row],[Re-process (Kg)]], "")</f>
        <v>6049</v>
      </c>
      <c r="J1868" s="49"/>
      <c r="K1868" s="72"/>
      <c r="L1868" s="49" t="str">
        <f>IF(Table1[[#This Row],[Target Time (Hours)]]="","",Table1[[#This Row],[Target Time (Hours)]]-Table1[[#This Row],[Downtime (Hours)]])</f>
        <v/>
      </c>
      <c r="M1868" s="49" t="str">
        <f>IFERROR(Table1[[#This Row],[Capacity (Kg)]]/Table1[[#This Row],[Target Time (Hours)]] * Table1[[#This Row],[Downtime (Hours)]], "")</f>
        <v/>
      </c>
      <c r="N1868" s="50" t="str">
        <f>IFERROR(Table1[[#This Row],[Running Time (hr)]]/Table1[Target Time (Hours)], "")</f>
        <v/>
      </c>
      <c r="O1868" s="50">
        <f>IFERROR(Table1[[#This Row],[Actual Production (Kg)]]/Table1[Capacity (Kg)], "")</f>
        <v>1.5122500000000001</v>
      </c>
      <c r="P1868" s="50">
        <f>IFERROR(Table1[[#This Row],[Quality Pass Production]]/Table1[[#This Row],[Actual Production (Kg)]], "")</f>
        <v>1</v>
      </c>
      <c r="Q1868" s="50" t="str">
        <f>IFERROR(Table1[[#This Row],[Utilization %]]*Table1[[#This Row],[Efficiency %]]*Table1[[#This Row],[Quality %]], "")</f>
        <v/>
      </c>
    </row>
    <row r="1869" spans="1:18" ht="30" customHeight="1" x14ac:dyDescent="0.25">
      <c r="A1869" s="47">
        <v>46287</v>
      </c>
      <c r="B1869" s="48" t="s">
        <v>18</v>
      </c>
      <c r="C1869" s="48" t="s">
        <v>26</v>
      </c>
      <c r="D1869" s="48" t="s">
        <v>25</v>
      </c>
      <c r="E1869" s="49">
        <v>7000</v>
      </c>
      <c r="F1869" s="76">
        <v>7511</v>
      </c>
      <c r="G1869" s="49">
        <v>0</v>
      </c>
      <c r="H1869" s="50">
        <f>IFERROR(Table1[Re-process (Kg)]/Table1[Actual Production (Kg)], "")</f>
        <v>0</v>
      </c>
      <c r="I1869" s="49">
        <f>IFERROR(Table1[[#This Row],[Actual Production (Kg)]]-Table1[[#This Row],[Re-process (Kg)]], "")</f>
        <v>7511</v>
      </c>
      <c r="J1869" s="49">
        <v>22</v>
      </c>
      <c r="K1869" s="72"/>
      <c r="L1869" s="49">
        <f>IF(Table1[[#This Row],[Target Time (Hours)]]="","",Table1[[#This Row],[Target Time (Hours)]]-Table1[[#This Row],[Downtime (Hours)]])</f>
        <v>22</v>
      </c>
      <c r="M1869" s="49">
        <f>IFERROR(Table1[[#This Row],[Capacity (Kg)]]/Table1[[#This Row],[Target Time (Hours)]] * Table1[[#This Row],[Downtime (Hours)]], "")</f>
        <v>0</v>
      </c>
      <c r="N1869" s="50">
        <f>IFERROR(Table1[[#This Row],[Running Time (hr)]]/Table1[Target Time (Hours)], "")</f>
        <v>1</v>
      </c>
      <c r="O1869" s="50">
        <f>IFERROR(Table1[[#This Row],[Actual Production (Kg)]]/Table1[Capacity (Kg)], "")</f>
        <v>1.073</v>
      </c>
      <c r="P1869" s="50">
        <f>IFERROR(Table1[[#This Row],[Quality Pass Production]]/Table1[[#This Row],[Actual Production (Kg)]], "")</f>
        <v>1</v>
      </c>
      <c r="Q1869" s="50">
        <f>IFERROR(Table1[[#This Row],[Utilization %]]*Table1[[#This Row],[Efficiency %]]*Table1[[#This Row],[Quality %]], "")</f>
        <v>1.073</v>
      </c>
      <c r="R1869" s="48" t="s">
        <v>209</v>
      </c>
    </row>
    <row r="1870" spans="1:18" ht="30" customHeight="1" x14ac:dyDescent="0.25">
      <c r="A1870" s="47">
        <v>46287</v>
      </c>
      <c r="B1870" s="48" t="s">
        <v>18</v>
      </c>
      <c r="C1870" s="48" t="s">
        <v>28</v>
      </c>
      <c r="D1870" s="48" t="s">
        <v>29</v>
      </c>
      <c r="E1870" s="49">
        <v>7800</v>
      </c>
      <c r="F1870" s="76">
        <v>5700</v>
      </c>
      <c r="G1870" s="49">
        <v>0</v>
      </c>
      <c r="H1870" s="50">
        <f>IFERROR(Table1[Re-process (Kg)]/Table1[Actual Production (Kg)], "")</f>
        <v>0</v>
      </c>
      <c r="I1870" s="49">
        <f>IFERROR(Table1[[#This Row],[Actual Production (Kg)]]-Table1[[#This Row],[Re-process (Kg)]], "")</f>
        <v>5700</v>
      </c>
      <c r="J1870" s="49">
        <v>22</v>
      </c>
      <c r="K1870" s="72">
        <v>6</v>
      </c>
      <c r="L1870" s="49">
        <f>IF(Table1[[#This Row],[Target Time (Hours)]]="","",Table1[[#This Row],[Target Time (Hours)]]-Table1[[#This Row],[Downtime (Hours)]])</f>
        <v>16</v>
      </c>
      <c r="M1870" s="49">
        <f>IFERROR(Table1[[#This Row],[Capacity (Kg)]]/Table1[[#This Row],[Target Time (Hours)]] * Table1[[#This Row],[Downtime (Hours)]], "")</f>
        <v>2127.2727272727275</v>
      </c>
      <c r="N1870" s="50">
        <f>IFERROR(Table1[[#This Row],[Running Time (hr)]]/Table1[Target Time (Hours)], "")</f>
        <v>0.72727272727272729</v>
      </c>
      <c r="O1870" s="50">
        <f>IFERROR(Table1[[#This Row],[Actual Production (Kg)]]/Table1[Capacity (Kg)], "")</f>
        <v>0.73076923076923073</v>
      </c>
      <c r="P1870" s="50">
        <f>IFERROR(Table1[[#This Row],[Quality Pass Production]]/Table1[[#This Row],[Actual Production (Kg)]], "")</f>
        <v>1</v>
      </c>
      <c r="Q1870" s="50">
        <f>IFERROR(Table1[[#This Row],[Utilization %]]*Table1[[#This Row],[Efficiency %]]*Table1[[#This Row],[Quality %]], "")</f>
        <v>0.53146853146853146</v>
      </c>
      <c r="R1870" s="48" t="s">
        <v>446</v>
      </c>
    </row>
    <row r="1871" spans="1:18" ht="30" customHeight="1" x14ac:dyDescent="0.25">
      <c r="A1871" s="51">
        <v>46287</v>
      </c>
      <c r="B1871" s="52" t="s">
        <v>18</v>
      </c>
      <c r="C1871" s="52" t="s">
        <v>135</v>
      </c>
      <c r="D1871" s="52" t="s">
        <v>29</v>
      </c>
      <c r="E1871" s="53"/>
      <c r="F1871" s="53"/>
      <c r="G1871" s="53"/>
      <c r="H1871" s="57" t="str">
        <f>IFERROR(Table1[Re-process (Kg)]/Table1[Actual Production (Kg)], "")</f>
        <v/>
      </c>
      <c r="I1871" s="53">
        <f>IFERROR(Table1[[#This Row],[Actual Production (Kg)]]-Table1[[#This Row],[Re-process (Kg)]], "")</f>
        <v>0</v>
      </c>
      <c r="J1871" s="53"/>
      <c r="K1871" s="52"/>
      <c r="L1871" s="53" t="str">
        <f>IF(Table1[[#This Row],[Target Time (Hours)]]="","",Table1[[#This Row],[Target Time (Hours)]]-Table1[[#This Row],[Downtime (Hours)]])</f>
        <v/>
      </c>
      <c r="M1871" s="53" t="str">
        <f>IFERROR(Table1[[#This Row],[Capacity (Kg)]]/Table1[[#This Row],[Target Time (Hours)]] * Table1[[#This Row],[Downtime (Hours)]], "")</f>
        <v/>
      </c>
      <c r="N1871" s="57" t="str">
        <f>IFERROR(Table1[[#This Row],[Running Time (hr)]]/Table1[Target Time (Hours)], "")</f>
        <v/>
      </c>
      <c r="O1871" s="57" t="str">
        <f>IFERROR(Table1[[#This Row],[Actual Production (Kg)]]/Table1[Capacity (Kg)], "")</f>
        <v/>
      </c>
      <c r="P1871" s="57" t="str">
        <f>IFERROR(Table1[[#This Row],[Quality Pass Production]]/Table1[[#This Row],[Actual Production (Kg)]], "")</f>
        <v/>
      </c>
      <c r="Q1871" s="57" t="str">
        <f>IFERROR(Table1[[#This Row],[Utilization %]]*Table1[[#This Row],[Efficiency %]]*Table1[[#This Row],[Quality %]], "")</f>
        <v/>
      </c>
      <c r="R1871" s="52"/>
    </row>
    <row r="1872" spans="1:18" ht="30" customHeight="1" x14ac:dyDescent="0.25">
      <c r="A1872" s="47">
        <v>46287</v>
      </c>
      <c r="B1872" s="48" t="s">
        <v>18</v>
      </c>
      <c r="C1872" s="48" t="s">
        <v>30</v>
      </c>
      <c r="D1872" s="48" t="s">
        <v>31</v>
      </c>
      <c r="E1872" s="49">
        <v>9000</v>
      </c>
      <c r="F1872" s="76">
        <v>8040</v>
      </c>
      <c r="G1872" s="49">
        <v>0</v>
      </c>
      <c r="H1872" s="50">
        <f>IFERROR(Table1[Re-process (Kg)]/Table1[Actual Production (Kg)], "")</f>
        <v>0</v>
      </c>
      <c r="I1872" s="49">
        <f>IFERROR(Table1[[#This Row],[Actual Production (Kg)]]-Table1[[#This Row],[Re-process (Kg)]], "")</f>
        <v>8040</v>
      </c>
      <c r="J1872" s="49">
        <v>22</v>
      </c>
      <c r="K1872" s="72"/>
      <c r="L1872" s="49">
        <f>IF(Table1[[#This Row],[Target Time (Hours)]]="","",Table1[[#This Row],[Target Time (Hours)]]-Table1[[#This Row],[Downtime (Hours)]])</f>
        <v>22</v>
      </c>
      <c r="M1872" s="49">
        <f>IFERROR(Table1[[#This Row],[Capacity (Kg)]]/Table1[[#This Row],[Target Time (Hours)]] * Table1[[#This Row],[Downtime (Hours)]], "")</f>
        <v>0</v>
      </c>
      <c r="N1872" s="50">
        <f>IFERROR(Table1[[#This Row],[Running Time (hr)]]/Table1[Target Time (Hours)], "")</f>
        <v>1</v>
      </c>
      <c r="O1872" s="50">
        <f>IFERROR(Table1[[#This Row],[Actual Production (Kg)]]/Table1[Capacity (Kg)], "")</f>
        <v>0.89333333333333331</v>
      </c>
      <c r="P1872" s="50">
        <f>IFERROR(Table1[[#This Row],[Quality Pass Production]]/Table1[[#This Row],[Actual Production (Kg)]], "")</f>
        <v>1</v>
      </c>
      <c r="Q1872" s="50">
        <f>IFERROR(Table1[[#This Row],[Utilization %]]*Table1[[#This Row],[Efficiency %]]*Table1[[#This Row],[Quality %]], "")</f>
        <v>0.89333333333333331</v>
      </c>
    </row>
    <row r="1873" spans="1:18" ht="45" customHeight="1" x14ac:dyDescent="0.25">
      <c r="A1873" s="51">
        <v>46287</v>
      </c>
      <c r="B1873" s="52" t="s">
        <v>18</v>
      </c>
      <c r="C1873" s="52" t="s">
        <v>32</v>
      </c>
      <c r="D1873" s="52" t="s">
        <v>31</v>
      </c>
      <c r="E1873" s="53">
        <v>2500</v>
      </c>
      <c r="F1873" s="53">
        <v>2302</v>
      </c>
      <c r="G1873" s="53">
        <v>0</v>
      </c>
      <c r="H1873" s="57">
        <f>IFERROR(Table1[Re-process (Kg)]/Table1[Actual Production (Kg)], "")</f>
        <v>0</v>
      </c>
      <c r="I1873" s="53">
        <f>IFERROR(Table1[[#This Row],[Actual Production (Kg)]]-Table1[[#This Row],[Re-process (Kg)]], "")</f>
        <v>2302</v>
      </c>
      <c r="J1873" s="53"/>
      <c r="K1873" s="52"/>
      <c r="L1873" s="53" t="str">
        <f>IF(Table1[[#This Row],[Target Time (Hours)]]="","",Table1[[#This Row],[Target Time (Hours)]]-Table1[[#This Row],[Downtime (Hours)]])</f>
        <v/>
      </c>
      <c r="M1873" s="53" t="str">
        <f>IFERROR(Table1[[#This Row],[Capacity (Kg)]]/Table1[[#This Row],[Target Time (Hours)]] * Table1[[#This Row],[Downtime (Hours)]], "")</f>
        <v/>
      </c>
      <c r="N1873" s="57" t="str">
        <f>IFERROR(Table1[[#This Row],[Running Time (hr)]]/Table1[Target Time (Hours)], "")</f>
        <v/>
      </c>
      <c r="O1873" s="57">
        <f>IFERROR(Table1[[#This Row],[Actual Production (Kg)]]/Table1[Capacity (Kg)], "")</f>
        <v>0.92079999999999995</v>
      </c>
      <c r="P1873" s="57">
        <f>IFERROR(Table1[[#This Row],[Quality Pass Production]]/Table1[[#This Row],[Actual Production (Kg)]], "")</f>
        <v>1</v>
      </c>
      <c r="Q1873" s="57" t="str">
        <f>IFERROR(Table1[[#This Row],[Utilization %]]*Table1[[#This Row],[Efficiency %]]*Table1[[#This Row],[Quality %]], "")</f>
        <v/>
      </c>
      <c r="R1873" s="52" t="s">
        <v>516</v>
      </c>
    </row>
    <row r="1874" spans="1:18" ht="30" customHeight="1" x14ac:dyDescent="0.25">
      <c r="A1874" s="47">
        <v>46287</v>
      </c>
      <c r="B1874" s="48" t="s">
        <v>33</v>
      </c>
      <c r="C1874" s="48" t="s">
        <v>34</v>
      </c>
      <c r="D1874" s="48" t="s">
        <v>35</v>
      </c>
      <c r="E1874" s="49">
        <v>9000</v>
      </c>
      <c r="F1874" s="76">
        <v>6901</v>
      </c>
      <c r="G1874" s="49">
        <v>0</v>
      </c>
      <c r="H1874" s="50">
        <f>IFERROR(Table1[Re-process (Kg)]/Table1[Actual Production (Kg)], "")</f>
        <v>0</v>
      </c>
      <c r="I1874" s="49">
        <f>IFERROR(Table1[[#This Row],[Actual Production (Kg)]]-Table1[[#This Row],[Re-process (Kg)]], "")</f>
        <v>6901</v>
      </c>
      <c r="J1874" s="49">
        <v>22</v>
      </c>
      <c r="K1874" s="72"/>
      <c r="L1874" s="49">
        <f>IF(Table1[[#This Row],[Target Time (Hours)]]="","",Table1[[#This Row],[Target Time (Hours)]]-Table1[[#This Row],[Downtime (Hours)]])</f>
        <v>22</v>
      </c>
      <c r="M1874" s="49">
        <f>IFERROR(Table1[[#This Row],[Capacity (Kg)]]/Table1[[#This Row],[Target Time (Hours)]] * Table1[[#This Row],[Downtime (Hours)]], "")</f>
        <v>0</v>
      </c>
      <c r="N1874" s="50">
        <f>IFERROR(Table1[[#This Row],[Running Time (hr)]]/Table1[Target Time (Hours)], "")</f>
        <v>1</v>
      </c>
      <c r="O1874" s="50">
        <f>IFERROR(Table1[[#This Row],[Actual Production (Kg)]]/Table1[Capacity (Kg)], "")</f>
        <v>0.76677777777777778</v>
      </c>
      <c r="P1874" s="50">
        <f>IFERROR(Table1[[#This Row],[Quality Pass Production]]/Table1[[#This Row],[Actual Production (Kg)]], "")</f>
        <v>1</v>
      </c>
      <c r="Q1874" s="50">
        <f>IFERROR(Table1[[#This Row],[Utilization %]]*Table1[[#This Row],[Efficiency %]]*Table1[[#This Row],[Quality %]], "")</f>
        <v>0.76677777777777778</v>
      </c>
    </row>
    <row r="1875" spans="1:18" ht="45" customHeight="1" x14ac:dyDescent="0.25">
      <c r="A1875" s="47">
        <v>46287</v>
      </c>
      <c r="B1875" s="48" t="s">
        <v>33</v>
      </c>
      <c r="C1875" s="48" t="s">
        <v>36</v>
      </c>
      <c r="D1875" s="48" t="s">
        <v>37</v>
      </c>
      <c r="E1875" s="49">
        <v>8000</v>
      </c>
      <c r="F1875" s="76">
        <v>6948</v>
      </c>
      <c r="G1875" s="49">
        <v>0</v>
      </c>
      <c r="H1875" s="50">
        <f>IFERROR(Table1[Re-process (Kg)]/Table1[Actual Production (Kg)], "")</f>
        <v>0</v>
      </c>
      <c r="I1875" s="49">
        <f>IFERROR(Table1[[#This Row],[Actual Production (Kg)]]-Table1[[#This Row],[Re-process (Kg)]], "")</f>
        <v>6948</v>
      </c>
      <c r="J1875" s="49">
        <v>22</v>
      </c>
      <c r="K1875" s="72">
        <v>1.5</v>
      </c>
      <c r="L1875" s="49">
        <f>IF(Table1[[#This Row],[Target Time (Hours)]]="","",Table1[[#This Row],[Target Time (Hours)]]-Table1[[#This Row],[Downtime (Hours)]])</f>
        <v>20.5</v>
      </c>
      <c r="M1875" s="49">
        <f>IFERROR(Table1[[#This Row],[Capacity (Kg)]]/Table1[[#This Row],[Target Time (Hours)]] * Table1[[#This Row],[Downtime (Hours)]], "")</f>
        <v>545.4545454545455</v>
      </c>
      <c r="N1875" s="50">
        <f>IFERROR(Table1[[#This Row],[Running Time (hr)]]/Table1[Target Time (Hours)], "")</f>
        <v>0.93181818181818177</v>
      </c>
      <c r="O1875" s="50">
        <f>IFERROR(Table1[[#This Row],[Actual Production (Kg)]]/Table1[Capacity (Kg)], "")</f>
        <v>0.86850000000000005</v>
      </c>
      <c r="P1875" s="50">
        <f>IFERROR(Table1[[#This Row],[Quality Pass Production]]/Table1[[#This Row],[Actual Production (Kg)]], "")</f>
        <v>1</v>
      </c>
      <c r="Q1875" s="50">
        <f>IFERROR(Table1[[#This Row],[Utilization %]]*Table1[[#This Row],[Efficiency %]]*Table1[[#This Row],[Quality %]], "")</f>
        <v>0.80928409090909093</v>
      </c>
      <c r="R1875" s="48" t="s">
        <v>517</v>
      </c>
    </row>
    <row r="1876" spans="1:18" ht="30" customHeight="1" x14ac:dyDescent="0.25">
      <c r="A1876" s="47">
        <v>46287</v>
      </c>
      <c r="B1876" s="48" t="s">
        <v>33</v>
      </c>
      <c r="C1876" s="48" t="s">
        <v>39</v>
      </c>
      <c r="D1876" s="48" t="s">
        <v>31</v>
      </c>
      <c r="E1876" s="49">
        <v>6000</v>
      </c>
      <c r="F1876" s="76">
        <v>3911</v>
      </c>
      <c r="G1876" s="49">
        <v>0</v>
      </c>
      <c r="H1876" s="50">
        <f>IFERROR(Table1[Re-process (Kg)]/Table1[Actual Production (Kg)], "")</f>
        <v>0</v>
      </c>
      <c r="I1876" s="49">
        <f>IFERROR(Table1[[#This Row],[Actual Production (Kg)]]-Table1[[#This Row],[Re-process (Kg)]], "")</f>
        <v>3911</v>
      </c>
      <c r="J1876" s="49">
        <v>22</v>
      </c>
      <c r="K1876" s="72"/>
      <c r="L1876" s="49">
        <f>IF(Table1[[#This Row],[Target Time (Hours)]]="","",Table1[[#This Row],[Target Time (Hours)]]-Table1[[#This Row],[Downtime (Hours)]])</f>
        <v>22</v>
      </c>
      <c r="M1876" s="49">
        <f>IFERROR(Table1[[#This Row],[Capacity (Kg)]]/Table1[[#This Row],[Target Time (Hours)]] * Table1[[#This Row],[Downtime (Hours)]], "")</f>
        <v>0</v>
      </c>
      <c r="N1876" s="50">
        <f>IFERROR(Table1[[#This Row],[Running Time (hr)]]/Table1[Target Time (Hours)], "")</f>
        <v>1</v>
      </c>
      <c r="O1876" s="50">
        <f>IFERROR(Table1[[#This Row],[Actual Production (Kg)]]/Table1[Capacity (Kg)], "")</f>
        <v>0.65183333333333338</v>
      </c>
      <c r="P1876" s="50">
        <f>IFERROR(Table1[[#This Row],[Quality Pass Production]]/Table1[[#This Row],[Actual Production (Kg)]], "")</f>
        <v>1</v>
      </c>
      <c r="Q1876" s="50">
        <f>IFERROR(Table1[[#This Row],[Utilization %]]*Table1[[#This Row],[Efficiency %]]*Table1[[#This Row],[Quality %]], "")</f>
        <v>0.65183333333333338</v>
      </c>
      <c r="R1876" s="48" t="s">
        <v>518</v>
      </c>
    </row>
    <row r="1877" spans="1:18" ht="45" customHeight="1" x14ac:dyDescent="0.25">
      <c r="A1877" s="54">
        <v>46287</v>
      </c>
      <c r="B1877" s="55" t="s">
        <v>33</v>
      </c>
      <c r="C1877" s="55" t="s">
        <v>40</v>
      </c>
      <c r="D1877" s="55" t="s">
        <v>31</v>
      </c>
      <c r="E1877" s="56">
        <v>5000</v>
      </c>
      <c r="F1877" s="56">
        <v>2459</v>
      </c>
      <c r="G1877" s="56">
        <v>0</v>
      </c>
      <c r="H1877" s="58">
        <f>IFERROR(Table1[Re-process (Kg)]/Table1[Actual Production (Kg)], "")</f>
        <v>0</v>
      </c>
      <c r="I1877" s="56">
        <f>IFERROR(Table1[[#This Row],[Actual Production (Kg)]]-Table1[[#This Row],[Re-process (Kg)]], "")</f>
        <v>2459</v>
      </c>
      <c r="J1877" s="56">
        <v>22</v>
      </c>
      <c r="K1877" s="55"/>
      <c r="L1877" s="56">
        <f>IF(Table1[[#This Row],[Target Time (Hours)]]="","",Table1[[#This Row],[Target Time (Hours)]]-Table1[[#This Row],[Downtime (Hours)]])</f>
        <v>22</v>
      </c>
      <c r="M1877" s="56">
        <f>IFERROR(Table1[[#This Row],[Capacity (Kg)]]/Table1[[#This Row],[Target Time (Hours)]] * Table1[[#This Row],[Downtime (Hours)]], "")</f>
        <v>0</v>
      </c>
      <c r="N1877" s="58">
        <f>IFERROR(Table1[[#This Row],[Running Time (hr)]]/Table1[Target Time (Hours)], "")</f>
        <v>1</v>
      </c>
      <c r="O1877" s="58">
        <f>IFERROR(Table1[[#This Row],[Actual Production (Kg)]]/Table1[Capacity (Kg)], "")</f>
        <v>0.49180000000000001</v>
      </c>
      <c r="P1877" s="58">
        <f>IFERROR(Table1[[#This Row],[Quality Pass Production]]/Table1[[#This Row],[Actual Production (Kg)]], "")</f>
        <v>1</v>
      </c>
      <c r="Q1877" s="58">
        <f>IFERROR(Table1[[#This Row],[Utilization %]]*Table1[[#This Row],[Efficiency %]]*Table1[[#This Row],[Quality %]], "")</f>
        <v>0.49180000000000001</v>
      </c>
      <c r="R1877" s="55" t="s">
        <v>518</v>
      </c>
    </row>
    <row r="1878" spans="1:18" ht="30" customHeight="1" x14ac:dyDescent="0.25">
      <c r="A1878" s="47">
        <v>46288</v>
      </c>
      <c r="B1878" s="48" t="s">
        <v>18</v>
      </c>
      <c r="C1878" s="48" t="s">
        <v>19</v>
      </c>
      <c r="D1878" s="48" t="s">
        <v>20</v>
      </c>
      <c r="E1878" s="49">
        <v>10000</v>
      </c>
      <c r="F1878" s="76">
        <v>9584</v>
      </c>
      <c r="G1878" s="49">
        <v>0</v>
      </c>
      <c r="H1878" s="50">
        <f>IFERROR(Table1[Re-process (Kg)]/Table1[Actual Production (Kg)], "")</f>
        <v>0</v>
      </c>
      <c r="I1878" s="49">
        <f>IFERROR(Table1[[#This Row],[Actual Production (Kg)]]-Table1[[#This Row],[Re-process (Kg)]], "")</f>
        <v>9584</v>
      </c>
      <c r="J1878" s="49">
        <v>22</v>
      </c>
      <c r="K1878" s="72"/>
      <c r="L1878" s="49">
        <f>IF(Table1[[#This Row],[Target Time (Hours)]]="","",Table1[[#This Row],[Target Time (Hours)]]-Table1[[#This Row],[Downtime (Hours)]])</f>
        <v>22</v>
      </c>
      <c r="M1878" s="49">
        <f>IFERROR(Table1[[#This Row],[Capacity (Kg)]]/Table1[[#This Row],[Target Time (Hours)]] * Table1[[#This Row],[Downtime (Hours)]], "")</f>
        <v>0</v>
      </c>
      <c r="N1878" s="50">
        <f>IFERROR(Table1[[#This Row],[Running Time (hr)]]/Table1[Target Time (Hours)], "")</f>
        <v>1</v>
      </c>
      <c r="O1878" s="50">
        <f>IFERROR(Table1[[#This Row],[Actual Production (Kg)]]/Table1[Capacity (Kg)], "")</f>
        <v>0.95840000000000003</v>
      </c>
      <c r="P1878" s="50">
        <f>IFERROR(Table1[[#This Row],[Quality Pass Production]]/Table1[[#This Row],[Actual Production (Kg)]], "")</f>
        <v>1</v>
      </c>
      <c r="Q1878" s="50">
        <f>IFERROR(Table1[[#This Row],[Utilization %]]*Table1[[#This Row],[Efficiency %]]*Table1[[#This Row],[Quality %]], "")</f>
        <v>0.95840000000000003</v>
      </c>
    </row>
    <row r="1879" spans="1:18" x14ac:dyDescent="0.25">
      <c r="A1879" s="51">
        <v>46288</v>
      </c>
      <c r="B1879" s="52" t="s">
        <v>18</v>
      </c>
      <c r="C1879" s="52" t="s">
        <v>238</v>
      </c>
      <c r="D1879" s="52" t="s">
        <v>20</v>
      </c>
      <c r="E1879" s="53">
        <v>10525</v>
      </c>
      <c r="F1879" s="53">
        <v>10525</v>
      </c>
      <c r="G1879" s="53">
        <v>0</v>
      </c>
      <c r="H1879" s="57">
        <f>IFERROR(Table1[Re-process (Kg)]/Table1[Actual Production (Kg)], "")</f>
        <v>0</v>
      </c>
      <c r="I1879" s="53">
        <f>IFERROR(Table1[[#This Row],[Actual Production (Kg)]]-Table1[[#This Row],[Re-process (Kg)]], "")</f>
        <v>10525</v>
      </c>
      <c r="J1879" s="53"/>
      <c r="K1879" s="52"/>
      <c r="L1879" s="53" t="str">
        <f>IF(Table1[[#This Row],[Target Time (Hours)]]="","",Table1[[#This Row],[Target Time (Hours)]]-Table1[[#This Row],[Downtime (Hours)]])</f>
        <v/>
      </c>
      <c r="M1879" s="53" t="str">
        <f>IFERROR(Table1[[#This Row],[Capacity (Kg)]]/Table1[[#This Row],[Target Time (Hours)]] * Table1[[#This Row],[Downtime (Hours)]], "")</f>
        <v/>
      </c>
      <c r="N1879" s="57" t="str">
        <f>IFERROR(Table1[[#This Row],[Running Time (hr)]]/Table1[Target Time (Hours)], "")</f>
        <v/>
      </c>
      <c r="O1879" s="57">
        <f>IFERROR(Table1[[#This Row],[Actual Production (Kg)]]/Table1[Capacity (Kg)], "")</f>
        <v>1</v>
      </c>
      <c r="P1879" s="57">
        <f>IFERROR(Table1[[#This Row],[Quality Pass Production]]/Table1[[#This Row],[Actual Production (Kg)]], "")</f>
        <v>1</v>
      </c>
      <c r="Q1879" s="57" t="str">
        <f>IFERROR(Table1[[#This Row],[Utilization %]]*Table1[[#This Row],[Efficiency %]]*Table1[[#This Row],[Quality %]], "")</f>
        <v/>
      </c>
      <c r="R1879" s="52"/>
    </row>
    <row r="1880" spans="1:18" x14ac:dyDescent="0.25">
      <c r="A1880" s="47">
        <v>46288</v>
      </c>
      <c r="B1880" s="48" t="s">
        <v>18</v>
      </c>
      <c r="C1880" s="48" t="s">
        <v>22</v>
      </c>
      <c r="D1880" s="48" t="s">
        <v>23</v>
      </c>
      <c r="E1880" s="49">
        <v>5000</v>
      </c>
      <c r="F1880" s="76">
        <v>4579</v>
      </c>
      <c r="G1880" s="49">
        <v>0</v>
      </c>
      <c r="H1880" s="50">
        <f>IFERROR(Table1[Re-process (Kg)]/Table1[Actual Production (Kg)], "")</f>
        <v>0</v>
      </c>
      <c r="I1880" s="49">
        <f>IFERROR(Table1[[#This Row],[Actual Production (Kg)]]-Table1[[#This Row],[Re-process (Kg)]], "")</f>
        <v>4579</v>
      </c>
      <c r="J1880" s="49">
        <v>22</v>
      </c>
      <c r="K1880" s="72"/>
      <c r="L1880" s="49">
        <f>IF(Table1[[#This Row],[Target Time (Hours)]]="","",Table1[[#This Row],[Target Time (Hours)]]-Table1[[#This Row],[Downtime (Hours)]])</f>
        <v>22</v>
      </c>
      <c r="M1880" s="49">
        <f>IFERROR(Table1[[#This Row],[Capacity (Kg)]]/Table1[[#This Row],[Target Time (Hours)]] * Table1[[#This Row],[Downtime (Hours)]], "")</f>
        <v>0</v>
      </c>
      <c r="N1880" s="50">
        <f>IFERROR(Table1[[#This Row],[Running Time (hr)]]/Table1[Target Time (Hours)], "")</f>
        <v>1</v>
      </c>
      <c r="O1880" s="50">
        <f>IFERROR(Table1[[#This Row],[Actual Production (Kg)]]/Table1[Capacity (Kg)], "")</f>
        <v>0.91579999999999995</v>
      </c>
      <c r="P1880" s="50">
        <f>IFERROR(Table1[[#This Row],[Quality Pass Production]]/Table1[[#This Row],[Actual Production (Kg)]], "")</f>
        <v>1</v>
      </c>
      <c r="Q1880" s="50">
        <f>IFERROR(Table1[[#This Row],[Utilization %]]*Table1[[#This Row],[Efficiency %]]*Table1[[#This Row],[Quality %]], "")</f>
        <v>0.91579999999999995</v>
      </c>
    </row>
    <row r="1881" spans="1:18" x14ac:dyDescent="0.25">
      <c r="A1881" s="47">
        <v>46288</v>
      </c>
      <c r="B1881" s="48" t="s">
        <v>18</v>
      </c>
      <c r="C1881" s="48" t="s">
        <v>22</v>
      </c>
      <c r="D1881" s="48" t="s">
        <v>25</v>
      </c>
      <c r="E1881" s="49">
        <v>4000</v>
      </c>
      <c r="F1881" s="76">
        <v>4010</v>
      </c>
      <c r="G1881" s="49">
        <v>0</v>
      </c>
      <c r="H1881" s="50">
        <f>IFERROR(Table1[Re-process (Kg)]/Table1[Actual Production (Kg)], "")</f>
        <v>0</v>
      </c>
      <c r="I1881" s="49">
        <f>IFERROR(Table1[[#This Row],[Actual Production (Kg)]]-Table1[[#This Row],[Re-process (Kg)]], "")</f>
        <v>4010</v>
      </c>
      <c r="J1881" s="49"/>
      <c r="K1881" s="72"/>
      <c r="L1881" s="49" t="str">
        <f>IF(Table1[[#This Row],[Target Time (Hours)]]="","",Table1[[#This Row],[Target Time (Hours)]]-Table1[[#This Row],[Downtime (Hours)]])</f>
        <v/>
      </c>
      <c r="M1881" s="49" t="str">
        <f>IFERROR(Table1[[#This Row],[Capacity (Kg)]]/Table1[[#This Row],[Target Time (Hours)]] * Table1[[#This Row],[Downtime (Hours)]], "")</f>
        <v/>
      </c>
      <c r="N1881" s="50" t="str">
        <f>IFERROR(Table1[[#This Row],[Running Time (hr)]]/Table1[Target Time (Hours)], "")</f>
        <v/>
      </c>
      <c r="O1881" s="50">
        <f>IFERROR(Table1[[#This Row],[Actual Production (Kg)]]/Table1[Capacity (Kg)], "")</f>
        <v>1.0024999999999999</v>
      </c>
      <c r="P1881" s="50">
        <f>IFERROR(Table1[[#This Row],[Quality Pass Production]]/Table1[[#This Row],[Actual Production (Kg)]], "")</f>
        <v>1</v>
      </c>
      <c r="Q1881" s="50" t="str">
        <f>IFERROR(Table1[[#This Row],[Utilization %]]*Table1[[#This Row],[Efficiency %]]*Table1[[#This Row],[Quality %]], "")</f>
        <v/>
      </c>
    </row>
    <row r="1882" spans="1:18" ht="30" customHeight="1" x14ac:dyDescent="0.25">
      <c r="A1882" s="47">
        <v>46288</v>
      </c>
      <c r="B1882" s="48" t="s">
        <v>18</v>
      </c>
      <c r="C1882" s="48" t="s">
        <v>26</v>
      </c>
      <c r="D1882" s="48" t="s">
        <v>25</v>
      </c>
      <c r="E1882" s="49">
        <v>7000</v>
      </c>
      <c r="F1882" s="76">
        <v>7876</v>
      </c>
      <c r="G1882" s="49">
        <v>0</v>
      </c>
      <c r="H1882" s="50">
        <f>IFERROR(Table1[Re-process (Kg)]/Table1[Actual Production (Kg)], "")</f>
        <v>0</v>
      </c>
      <c r="I1882" s="49">
        <f>IFERROR(Table1[[#This Row],[Actual Production (Kg)]]-Table1[[#This Row],[Re-process (Kg)]], "")</f>
        <v>7876</v>
      </c>
      <c r="J1882" s="49">
        <v>22</v>
      </c>
      <c r="K1882" s="72"/>
      <c r="L1882" s="49">
        <f>IF(Table1[[#This Row],[Target Time (Hours)]]="","",Table1[[#This Row],[Target Time (Hours)]]-Table1[[#This Row],[Downtime (Hours)]])</f>
        <v>22</v>
      </c>
      <c r="M1882" s="49">
        <f>IFERROR(Table1[[#This Row],[Capacity (Kg)]]/Table1[[#This Row],[Target Time (Hours)]] * Table1[[#This Row],[Downtime (Hours)]], "")</f>
        <v>0</v>
      </c>
      <c r="N1882" s="50">
        <f>IFERROR(Table1[[#This Row],[Running Time (hr)]]/Table1[Target Time (Hours)], "")</f>
        <v>1</v>
      </c>
      <c r="O1882" s="50">
        <f>IFERROR(Table1[[#This Row],[Actual Production (Kg)]]/Table1[Capacity (Kg)], "")</f>
        <v>1.1251428571428572</v>
      </c>
      <c r="P1882" s="50">
        <f>IFERROR(Table1[[#This Row],[Quality Pass Production]]/Table1[[#This Row],[Actual Production (Kg)]], "")</f>
        <v>1</v>
      </c>
      <c r="Q1882" s="50">
        <f>IFERROR(Table1[[#This Row],[Utilization %]]*Table1[[#This Row],[Efficiency %]]*Table1[[#This Row],[Quality %]], "")</f>
        <v>1.1251428571428572</v>
      </c>
      <c r="R1882" s="48" t="s">
        <v>209</v>
      </c>
    </row>
    <row r="1883" spans="1:18" ht="30" customHeight="1" x14ac:dyDescent="0.25">
      <c r="A1883" s="47">
        <v>46288</v>
      </c>
      <c r="B1883" s="48" t="s">
        <v>18</v>
      </c>
      <c r="C1883" s="48" t="s">
        <v>28</v>
      </c>
      <c r="D1883" s="48" t="s">
        <v>29</v>
      </c>
      <c r="E1883" s="49">
        <v>7800</v>
      </c>
      <c r="F1883" s="76">
        <v>5412</v>
      </c>
      <c r="G1883" s="49">
        <v>0</v>
      </c>
      <c r="H1883" s="50">
        <f>IFERROR(Table1[Re-process (Kg)]/Table1[Actual Production (Kg)], "")</f>
        <v>0</v>
      </c>
      <c r="I1883" s="49">
        <f>IFERROR(Table1[[#This Row],[Actual Production (Kg)]]-Table1[[#This Row],[Re-process (Kg)]], "")</f>
        <v>5412</v>
      </c>
      <c r="J1883" s="49">
        <v>22</v>
      </c>
      <c r="K1883" s="72">
        <v>5</v>
      </c>
      <c r="L1883" s="49">
        <f>IF(Table1[[#This Row],[Target Time (Hours)]]="","",Table1[[#This Row],[Target Time (Hours)]]-Table1[[#This Row],[Downtime (Hours)]])</f>
        <v>17</v>
      </c>
      <c r="M1883" s="49">
        <f>IFERROR(Table1[[#This Row],[Capacity (Kg)]]/Table1[[#This Row],[Target Time (Hours)]] * Table1[[#This Row],[Downtime (Hours)]], "")</f>
        <v>1772.7272727272727</v>
      </c>
      <c r="N1883" s="50">
        <f>IFERROR(Table1[[#This Row],[Running Time (hr)]]/Table1[Target Time (Hours)], "")</f>
        <v>0.77272727272727271</v>
      </c>
      <c r="O1883" s="50">
        <f>IFERROR(Table1[[#This Row],[Actual Production (Kg)]]/Table1[Capacity (Kg)], "")</f>
        <v>0.69384615384615389</v>
      </c>
      <c r="P1883" s="50">
        <f>IFERROR(Table1[[#This Row],[Quality Pass Production]]/Table1[[#This Row],[Actual Production (Kg)]], "")</f>
        <v>1</v>
      </c>
      <c r="Q1883" s="50">
        <f>IFERROR(Table1[[#This Row],[Utilization %]]*Table1[[#This Row],[Efficiency %]]*Table1[[#This Row],[Quality %]], "")</f>
        <v>0.5361538461538462</v>
      </c>
      <c r="R1883" s="48" t="s">
        <v>519</v>
      </c>
    </row>
    <row r="1884" spans="1:18" ht="30" customHeight="1" x14ac:dyDescent="0.25">
      <c r="A1884" s="51">
        <v>46288</v>
      </c>
      <c r="B1884" s="52" t="s">
        <v>18</v>
      </c>
      <c r="C1884" s="52" t="s">
        <v>135</v>
      </c>
      <c r="D1884" s="52" t="s">
        <v>29</v>
      </c>
      <c r="E1884" s="53"/>
      <c r="F1884" s="53"/>
      <c r="G1884" s="53"/>
      <c r="H1884" s="57" t="str">
        <f>IFERROR(Table1[Re-process (Kg)]/Table1[Actual Production (Kg)], "")</f>
        <v/>
      </c>
      <c r="I1884" s="53">
        <f>IFERROR(Table1[[#This Row],[Actual Production (Kg)]]-Table1[[#This Row],[Re-process (Kg)]], "")</f>
        <v>0</v>
      </c>
      <c r="J1884" s="53"/>
      <c r="K1884" s="52"/>
      <c r="L1884" s="53" t="str">
        <f>IF(Table1[[#This Row],[Target Time (Hours)]]="","",Table1[[#This Row],[Target Time (Hours)]]-Table1[[#This Row],[Downtime (Hours)]])</f>
        <v/>
      </c>
      <c r="M1884" s="53" t="str">
        <f>IFERROR(Table1[[#This Row],[Capacity (Kg)]]/Table1[[#This Row],[Target Time (Hours)]] * Table1[[#This Row],[Downtime (Hours)]], "")</f>
        <v/>
      </c>
      <c r="N1884" s="57" t="str">
        <f>IFERROR(Table1[[#This Row],[Running Time (hr)]]/Table1[Target Time (Hours)], "")</f>
        <v/>
      </c>
      <c r="O1884" s="57" t="str">
        <f>IFERROR(Table1[[#This Row],[Actual Production (Kg)]]/Table1[Capacity (Kg)], "")</f>
        <v/>
      </c>
      <c r="P1884" s="57" t="str">
        <f>IFERROR(Table1[[#This Row],[Quality Pass Production]]/Table1[[#This Row],[Actual Production (Kg)]], "")</f>
        <v/>
      </c>
      <c r="Q1884" s="57" t="str">
        <f>IFERROR(Table1[[#This Row],[Utilization %]]*Table1[[#This Row],[Efficiency %]]*Table1[[#This Row],[Quality %]], "")</f>
        <v/>
      </c>
      <c r="R1884" s="52"/>
    </row>
    <row r="1885" spans="1:18" ht="30" customHeight="1" x14ac:dyDescent="0.25">
      <c r="A1885" s="47">
        <v>46288</v>
      </c>
      <c r="B1885" s="48" t="s">
        <v>18</v>
      </c>
      <c r="C1885" s="48" t="s">
        <v>30</v>
      </c>
      <c r="D1885" s="48" t="s">
        <v>31</v>
      </c>
      <c r="E1885" s="49">
        <v>9000</v>
      </c>
      <c r="F1885" s="76">
        <v>7455</v>
      </c>
      <c r="G1885" s="49">
        <v>0</v>
      </c>
      <c r="H1885" s="50">
        <f>IFERROR(Table1[Re-process (Kg)]/Table1[Actual Production (Kg)], "")</f>
        <v>0</v>
      </c>
      <c r="I1885" s="49">
        <f>IFERROR(Table1[[#This Row],[Actual Production (Kg)]]-Table1[[#This Row],[Re-process (Kg)]], "")</f>
        <v>7455</v>
      </c>
      <c r="J1885" s="49">
        <v>22</v>
      </c>
      <c r="K1885" s="72"/>
      <c r="L1885" s="49">
        <f>IF(Table1[[#This Row],[Target Time (Hours)]]="","",Table1[[#This Row],[Target Time (Hours)]]-Table1[[#This Row],[Downtime (Hours)]])</f>
        <v>22</v>
      </c>
      <c r="M1885" s="49">
        <f>IFERROR(Table1[[#This Row],[Capacity (Kg)]]/Table1[[#This Row],[Target Time (Hours)]] * Table1[[#This Row],[Downtime (Hours)]], "")</f>
        <v>0</v>
      </c>
      <c r="N1885" s="50">
        <f>IFERROR(Table1[[#This Row],[Running Time (hr)]]/Table1[Target Time (Hours)], "")</f>
        <v>1</v>
      </c>
      <c r="O1885" s="50">
        <f>IFERROR(Table1[[#This Row],[Actual Production (Kg)]]/Table1[Capacity (Kg)], "")</f>
        <v>0.82833333333333337</v>
      </c>
      <c r="P1885" s="50">
        <f>IFERROR(Table1[[#This Row],[Quality Pass Production]]/Table1[[#This Row],[Actual Production (Kg)]], "")</f>
        <v>1</v>
      </c>
      <c r="Q1885" s="50">
        <f>IFERROR(Table1[[#This Row],[Utilization %]]*Table1[[#This Row],[Efficiency %]]*Table1[[#This Row],[Quality %]], "")</f>
        <v>0.82833333333333337</v>
      </c>
    </row>
    <row r="1886" spans="1:18" ht="30" customHeight="1" x14ac:dyDescent="0.25">
      <c r="A1886" s="51">
        <v>46288</v>
      </c>
      <c r="B1886" s="52" t="s">
        <v>18</v>
      </c>
      <c r="C1886" s="52" t="s">
        <v>32</v>
      </c>
      <c r="D1886" s="52" t="s">
        <v>31</v>
      </c>
      <c r="E1886" s="53"/>
      <c r="F1886" s="53"/>
      <c r="G1886" s="53"/>
      <c r="H1886" s="57" t="str">
        <f>IFERROR(Table1[Re-process (Kg)]/Table1[Actual Production (Kg)], "")</f>
        <v/>
      </c>
      <c r="I1886" s="53">
        <f>IFERROR(Table1[[#This Row],[Actual Production (Kg)]]-Table1[[#This Row],[Re-process (Kg)]], "")</f>
        <v>0</v>
      </c>
      <c r="J1886" s="53"/>
      <c r="K1886" s="52"/>
      <c r="L1886" s="53" t="str">
        <f>IF(Table1[[#This Row],[Target Time (Hours)]]="","",Table1[[#This Row],[Target Time (Hours)]]-Table1[[#This Row],[Downtime (Hours)]])</f>
        <v/>
      </c>
      <c r="M1886" s="53" t="str">
        <f>IFERROR(Table1[[#This Row],[Capacity (Kg)]]/Table1[[#This Row],[Target Time (Hours)]] * Table1[[#This Row],[Downtime (Hours)]], "")</f>
        <v/>
      </c>
      <c r="N1886" s="57" t="str">
        <f>IFERROR(Table1[[#This Row],[Running Time (hr)]]/Table1[Target Time (Hours)], "")</f>
        <v/>
      </c>
      <c r="O1886" s="57" t="str">
        <f>IFERROR(Table1[[#This Row],[Actual Production (Kg)]]/Table1[Capacity (Kg)], "")</f>
        <v/>
      </c>
      <c r="P1886" s="57" t="str">
        <f>IFERROR(Table1[[#This Row],[Quality Pass Production]]/Table1[[#This Row],[Actual Production (Kg)]], "")</f>
        <v/>
      </c>
      <c r="Q1886" s="57" t="str">
        <f>IFERROR(Table1[[#This Row],[Utilization %]]*Table1[[#This Row],[Efficiency %]]*Table1[[#This Row],[Quality %]], "")</f>
        <v/>
      </c>
      <c r="R1886" s="52"/>
    </row>
    <row r="1887" spans="1:18" ht="30" customHeight="1" x14ac:dyDescent="0.25">
      <c r="A1887" s="47">
        <v>46288</v>
      </c>
      <c r="B1887" s="48" t="s">
        <v>33</v>
      </c>
      <c r="C1887" s="48" t="s">
        <v>34</v>
      </c>
      <c r="D1887" s="48" t="s">
        <v>35</v>
      </c>
      <c r="E1887" s="49">
        <v>9000</v>
      </c>
      <c r="F1887" s="76">
        <v>6937</v>
      </c>
      <c r="G1887" s="49">
        <v>0</v>
      </c>
      <c r="H1887" s="50">
        <f>IFERROR(Table1[Re-process (Kg)]/Table1[Actual Production (Kg)], "")</f>
        <v>0</v>
      </c>
      <c r="I1887" s="49">
        <f>IFERROR(Table1[[#This Row],[Actual Production (Kg)]]-Table1[[#This Row],[Re-process (Kg)]], "")</f>
        <v>6937</v>
      </c>
      <c r="J1887" s="49">
        <v>22</v>
      </c>
      <c r="K1887" s="72"/>
      <c r="L1887" s="49">
        <f>IF(Table1[[#This Row],[Target Time (Hours)]]="","",Table1[[#This Row],[Target Time (Hours)]]-Table1[[#This Row],[Downtime (Hours)]])</f>
        <v>22</v>
      </c>
      <c r="M1887" s="49">
        <f>IFERROR(Table1[[#This Row],[Capacity (Kg)]]/Table1[[#This Row],[Target Time (Hours)]] * Table1[[#This Row],[Downtime (Hours)]], "")</f>
        <v>0</v>
      </c>
      <c r="N1887" s="50">
        <f>IFERROR(Table1[[#This Row],[Running Time (hr)]]/Table1[Target Time (Hours)], "")</f>
        <v>1</v>
      </c>
      <c r="O1887" s="50">
        <f>IFERROR(Table1[[#This Row],[Actual Production (Kg)]]/Table1[Capacity (Kg)], "")</f>
        <v>0.77077777777777778</v>
      </c>
      <c r="P1887" s="50">
        <f>IFERROR(Table1[[#This Row],[Quality Pass Production]]/Table1[[#This Row],[Actual Production (Kg)]], "")</f>
        <v>1</v>
      </c>
      <c r="Q1887" s="50">
        <f>IFERROR(Table1[[#This Row],[Utilization %]]*Table1[[#This Row],[Efficiency %]]*Table1[[#This Row],[Quality %]], "")</f>
        <v>0.77077777777777778</v>
      </c>
    </row>
    <row r="1888" spans="1:18" ht="45" customHeight="1" x14ac:dyDescent="0.25">
      <c r="A1888" s="47">
        <v>46288</v>
      </c>
      <c r="B1888" s="48" t="s">
        <v>33</v>
      </c>
      <c r="C1888" s="48" t="s">
        <v>36</v>
      </c>
      <c r="D1888" s="48" t="s">
        <v>37</v>
      </c>
      <c r="E1888" s="49">
        <v>8000</v>
      </c>
      <c r="F1888" s="76">
        <v>7398</v>
      </c>
      <c r="G1888" s="49">
        <v>0</v>
      </c>
      <c r="H1888" s="50">
        <f>IFERROR(Table1[Re-process (Kg)]/Table1[Actual Production (Kg)], "")</f>
        <v>0</v>
      </c>
      <c r="I1888" s="49">
        <f>IFERROR(Table1[[#This Row],[Actual Production (Kg)]]-Table1[[#This Row],[Re-process (Kg)]], "")</f>
        <v>7398</v>
      </c>
      <c r="J1888" s="49">
        <v>22</v>
      </c>
      <c r="K1888" s="72">
        <v>1.5</v>
      </c>
      <c r="L1888" s="49">
        <f>IF(Table1[[#This Row],[Target Time (Hours)]]="","",Table1[[#This Row],[Target Time (Hours)]]-Table1[[#This Row],[Downtime (Hours)]])</f>
        <v>20.5</v>
      </c>
      <c r="M1888" s="49">
        <f>IFERROR(Table1[[#This Row],[Capacity (Kg)]]/Table1[[#This Row],[Target Time (Hours)]] * Table1[[#This Row],[Downtime (Hours)]], "")</f>
        <v>545.4545454545455</v>
      </c>
      <c r="N1888" s="50">
        <f>IFERROR(Table1[[#This Row],[Running Time (hr)]]/Table1[Target Time (Hours)], "")</f>
        <v>0.93181818181818177</v>
      </c>
      <c r="O1888" s="50">
        <f>IFERROR(Table1[[#This Row],[Actual Production (Kg)]]/Table1[Capacity (Kg)], "")</f>
        <v>0.92474999999999996</v>
      </c>
      <c r="P1888" s="50">
        <f>IFERROR(Table1[[#This Row],[Quality Pass Production]]/Table1[[#This Row],[Actual Production (Kg)]], "")</f>
        <v>1</v>
      </c>
      <c r="Q1888" s="50">
        <f>IFERROR(Table1[[#This Row],[Utilization %]]*Table1[[#This Row],[Efficiency %]]*Table1[[#This Row],[Quality %]], "")</f>
        <v>0.8616988636363635</v>
      </c>
      <c r="R1888" s="48" t="s">
        <v>517</v>
      </c>
    </row>
    <row r="1889" spans="1:18" ht="30" customHeight="1" x14ac:dyDescent="0.25">
      <c r="A1889" s="47">
        <v>46288</v>
      </c>
      <c r="B1889" s="48" t="s">
        <v>33</v>
      </c>
      <c r="C1889" s="48" t="s">
        <v>39</v>
      </c>
      <c r="D1889" s="48" t="s">
        <v>31</v>
      </c>
      <c r="E1889" s="49">
        <v>6000</v>
      </c>
      <c r="F1889" s="76">
        <v>4247</v>
      </c>
      <c r="G1889" s="49">
        <v>0</v>
      </c>
      <c r="H1889" s="50">
        <f>IFERROR(Table1[Re-process (Kg)]/Table1[Actual Production (Kg)], "")</f>
        <v>0</v>
      </c>
      <c r="I1889" s="49">
        <f>IFERROR(Table1[[#This Row],[Actual Production (Kg)]]-Table1[[#This Row],[Re-process (Kg)]], "")</f>
        <v>4247</v>
      </c>
      <c r="J1889" s="49">
        <v>22</v>
      </c>
      <c r="K1889" s="72"/>
      <c r="L1889" s="49">
        <f>IF(Table1[[#This Row],[Target Time (Hours)]]="","",Table1[[#This Row],[Target Time (Hours)]]-Table1[[#This Row],[Downtime (Hours)]])</f>
        <v>22</v>
      </c>
      <c r="M1889" s="49">
        <f>IFERROR(Table1[[#This Row],[Capacity (Kg)]]/Table1[[#This Row],[Target Time (Hours)]] * Table1[[#This Row],[Downtime (Hours)]], "")</f>
        <v>0</v>
      </c>
      <c r="N1889" s="50">
        <f>IFERROR(Table1[[#This Row],[Running Time (hr)]]/Table1[Target Time (Hours)], "")</f>
        <v>1</v>
      </c>
      <c r="O1889" s="50">
        <f>IFERROR(Table1[[#This Row],[Actual Production (Kg)]]/Table1[Capacity (Kg)], "")</f>
        <v>0.70783333333333331</v>
      </c>
      <c r="P1889" s="50">
        <f>IFERROR(Table1[[#This Row],[Quality Pass Production]]/Table1[[#This Row],[Actual Production (Kg)]], "")</f>
        <v>1</v>
      </c>
      <c r="Q1889" s="50">
        <f>IFERROR(Table1[[#This Row],[Utilization %]]*Table1[[#This Row],[Efficiency %]]*Table1[[#This Row],[Quality %]], "")</f>
        <v>0.70783333333333331</v>
      </c>
      <c r="R1889" s="48" t="s">
        <v>518</v>
      </c>
    </row>
    <row r="1890" spans="1:18" ht="45" customHeight="1" x14ac:dyDescent="0.25">
      <c r="A1890" s="54">
        <v>46288</v>
      </c>
      <c r="B1890" s="55" t="s">
        <v>33</v>
      </c>
      <c r="C1890" s="55" t="s">
        <v>40</v>
      </c>
      <c r="D1890" s="55" t="s">
        <v>31</v>
      </c>
      <c r="E1890" s="56">
        <v>5000</v>
      </c>
      <c r="F1890" s="56">
        <v>3267</v>
      </c>
      <c r="G1890" s="56">
        <v>0</v>
      </c>
      <c r="H1890" s="58">
        <f>IFERROR(Table1[Re-process (Kg)]/Table1[Actual Production (Kg)], "")</f>
        <v>0</v>
      </c>
      <c r="I1890" s="56">
        <f>IFERROR(Table1[[#This Row],[Actual Production (Kg)]]-Table1[[#This Row],[Re-process (Kg)]], "")</f>
        <v>3267</v>
      </c>
      <c r="J1890" s="56">
        <v>22</v>
      </c>
      <c r="K1890" s="55"/>
      <c r="L1890" s="56">
        <f>IF(Table1[[#This Row],[Target Time (Hours)]]="","",Table1[[#This Row],[Target Time (Hours)]]-Table1[[#This Row],[Downtime (Hours)]])</f>
        <v>22</v>
      </c>
      <c r="M1890" s="56">
        <f>IFERROR(Table1[[#This Row],[Capacity (Kg)]]/Table1[[#This Row],[Target Time (Hours)]] * Table1[[#This Row],[Downtime (Hours)]], "")</f>
        <v>0</v>
      </c>
      <c r="N1890" s="58">
        <f>IFERROR(Table1[[#This Row],[Running Time (hr)]]/Table1[Target Time (Hours)], "")</f>
        <v>1</v>
      </c>
      <c r="O1890" s="58">
        <f>IFERROR(Table1[[#This Row],[Actual Production (Kg)]]/Table1[Capacity (Kg)], "")</f>
        <v>0.65339999999999998</v>
      </c>
      <c r="P1890" s="58">
        <f>IFERROR(Table1[[#This Row],[Quality Pass Production]]/Table1[[#This Row],[Actual Production (Kg)]], "")</f>
        <v>1</v>
      </c>
      <c r="Q1890" s="58">
        <f>IFERROR(Table1[[#This Row],[Utilization %]]*Table1[[#This Row],[Efficiency %]]*Table1[[#This Row],[Quality %]], "")</f>
        <v>0.65339999999999998</v>
      </c>
      <c r="R1890" s="55" t="s">
        <v>518</v>
      </c>
    </row>
    <row r="1891" spans="1:18" ht="30" customHeight="1" x14ac:dyDescent="0.25">
      <c r="A1891" s="47">
        <v>46289</v>
      </c>
      <c r="B1891" s="48" t="s">
        <v>18</v>
      </c>
      <c r="C1891" s="48" t="s">
        <v>19</v>
      </c>
      <c r="D1891" s="48" t="s">
        <v>20</v>
      </c>
      <c r="E1891" s="49">
        <v>10000</v>
      </c>
      <c r="F1891" s="76">
        <v>9405</v>
      </c>
      <c r="G1891" s="49">
        <v>0</v>
      </c>
      <c r="H1891" s="50">
        <f>IFERROR(Table1[Re-process (Kg)]/Table1[Actual Production (Kg)], "")</f>
        <v>0</v>
      </c>
      <c r="I1891" s="49">
        <f>IFERROR(Table1[[#This Row],[Actual Production (Kg)]]-Table1[[#This Row],[Re-process (Kg)]], "")</f>
        <v>9405</v>
      </c>
      <c r="J1891" s="49">
        <v>22</v>
      </c>
      <c r="K1891" s="72"/>
      <c r="L1891" s="49">
        <f>IF(Table1[[#This Row],[Target Time (Hours)]]="","",Table1[[#This Row],[Target Time (Hours)]]-Table1[[#This Row],[Downtime (Hours)]])</f>
        <v>22</v>
      </c>
      <c r="M1891" s="49">
        <f>IFERROR(Table1[[#This Row],[Capacity (Kg)]]/Table1[[#This Row],[Target Time (Hours)]] * Table1[[#This Row],[Downtime (Hours)]], "")</f>
        <v>0</v>
      </c>
      <c r="N1891" s="50">
        <f>IFERROR(Table1[[#This Row],[Running Time (hr)]]/Table1[Target Time (Hours)], "")</f>
        <v>1</v>
      </c>
      <c r="O1891" s="50">
        <f>IFERROR(Table1[[#This Row],[Actual Production (Kg)]]/Table1[Capacity (Kg)], "")</f>
        <v>0.9405</v>
      </c>
      <c r="P1891" s="50">
        <f>IFERROR(Table1[[#This Row],[Quality Pass Production]]/Table1[[#This Row],[Actual Production (Kg)]], "")</f>
        <v>1</v>
      </c>
      <c r="Q1891" s="50">
        <f>IFERROR(Table1[[#This Row],[Utilization %]]*Table1[[#This Row],[Efficiency %]]*Table1[[#This Row],[Quality %]], "")</f>
        <v>0.9405</v>
      </c>
    </row>
    <row r="1892" spans="1:18" x14ac:dyDescent="0.25">
      <c r="A1892" s="51">
        <v>46289</v>
      </c>
      <c r="B1892" s="52" t="s">
        <v>18</v>
      </c>
      <c r="C1892" s="52" t="s">
        <v>238</v>
      </c>
      <c r="D1892" s="52" t="s">
        <v>20</v>
      </c>
      <c r="E1892" s="53">
        <v>12286</v>
      </c>
      <c r="F1892" s="53">
        <v>12286</v>
      </c>
      <c r="G1892" s="53">
        <v>0</v>
      </c>
      <c r="H1892" s="57">
        <f>IFERROR(Table1[Re-process (Kg)]/Table1[Actual Production (Kg)], "")</f>
        <v>0</v>
      </c>
      <c r="I1892" s="53">
        <f>IFERROR(Table1[[#This Row],[Actual Production (Kg)]]-Table1[[#This Row],[Re-process (Kg)]], "")</f>
        <v>12286</v>
      </c>
      <c r="J1892" s="53"/>
      <c r="K1892" s="52"/>
      <c r="L1892" s="53" t="str">
        <f>IF(Table1[[#This Row],[Target Time (Hours)]]="","",Table1[[#This Row],[Target Time (Hours)]]-Table1[[#This Row],[Downtime (Hours)]])</f>
        <v/>
      </c>
      <c r="M1892" s="53" t="str">
        <f>IFERROR(Table1[[#This Row],[Capacity (Kg)]]/Table1[[#This Row],[Target Time (Hours)]] * Table1[[#This Row],[Downtime (Hours)]], "")</f>
        <v/>
      </c>
      <c r="N1892" s="57" t="str">
        <f>IFERROR(Table1[[#This Row],[Running Time (hr)]]/Table1[Target Time (Hours)], "")</f>
        <v/>
      </c>
      <c r="O1892" s="57">
        <f>IFERROR(Table1[[#This Row],[Actual Production (Kg)]]/Table1[Capacity (Kg)], "")</f>
        <v>1</v>
      </c>
      <c r="P1892" s="57">
        <f>IFERROR(Table1[[#This Row],[Quality Pass Production]]/Table1[[#This Row],[Actual Production (Kg)]], "")</f>
        <v>1</v>
      </c>
      <c r="Q1892" s="57" t="str">
        <f>IFERROR(Table1[[#This Row],[Utilization %]]*Table1[[#This Row],[Efficiency %]]*Table1[[#This Row],[Quality %]], "")</f>
        <v/>
      </c>
      <c r="R1892" s="52"/>
    </row>
    <row r="1893" spans="1:18" ht="30" customHeight="1" x14ac:dyDescent="0.25">
      <c r="A1893" s="47">
        <v>46289</v>
      </c>
      <c r="B1893" s="48" t="s">
        <v>18</v>
      </c>
      <c r="C1893" s="48" t="s">
        <v>22</v>
      </c>
      <c r="D1893" s="48" t="s">
        <v>23</v>
      </c>
      <c r="E1893" s="49">
        <v>5000</v>
      </c>
      <c r="F1893" s="76">
        <v>3754</v>
      </c>
      <c r="G1893" s="49">
        <v>0</v>
      </c>
      <c r="H1893" s="50">
        <f>IFERROR(Table1[Re-process (Kg)]/Table1[Actual Production (Kg)], "")</f>
        <v>0</v>
      </c>
      <c r="I1893" s="49">
        <f>IFERROR(Table1[[#This Row],[Actual Production (Kg)]]-Table1[[#This Row],[Re-process (Kg)]], "")</f>
        <v>3754</v>
      </c>
      <c r="J1893" s="49">
        <v>22</v>
      </c>
      <c r="K1893" s="72"/>
      <c r="L1893" s="49">
        <f>IF(Table1[[#This Row],[Target Time (Hours)]]="","",Table1[[#This Row],[Target Time (Hours)]]-Table1[[#This Row],[Downtime (Hours)]])</f>
        <v>22</v>
      </c>
      <c r="M1893" s="49">
        <f>IFERROR(Table1[[#This Row],[Capacity (Kg)]]/Table1[[#This Row],[Target Time (Hours)]] * Table1[[#This Row],[Downtime (Hours)]], "")</f>
        <v>0</v>
      </c>
      <c r="N1893" s="50">
        <f>IFERROR(Table1[[#This Row],[Running Time (hr)]]/Table1[Target Time (Hours)], "")</f>
        <v>1</v>
      </c>
      <c r="O1893" s="50">
        <f>IFERROR(Table1[[#This Row],[Actual Production (Kg)]]/Table1[Capacity (Kg)], "")</f>
        <v>0.75080000000000002</v>
      </c>
      <c r="P1893" s="50">
        <f>IFERROR(Table1[[#This Row],[Quality Pass Production]]/Table1[[#This Row],[Actual Production (Kg)]], "")</f>
        <v>1</v>
      </c>
      <c r="Q1893" s="50">
        <f>IFERROR(Table1[[#This Row],[Utilization %]]*Table1[[#This Row],[Efficiency %]]*Table1[[#This Row],[Quality %]], "")</f>
        <v>0.75080000000000002</v>
      </c>
      <c r="R1893" s="48" t="s">
        <v>209</v>
      </c>
    </row>
    <row r="1894" spans="1:18" x14ac:dyDescent="0.25">
      <c r="A1894" s="47">
        <v>46289</v>
      </c>
      <c r="B1894" s="48" t="s">
        <v>18</v>
      </c>
      <c r="C1894" s="48" t="s">
        <v>22</v>
      </c>
      <c r="D1894" s="48" t="s">
        <v>25</v>
      </c>
      <c r="E1894" s="49">
        <v>4000</v>
      </c>
      <c r="F1894" s="76">
        <v>7707</v>
      </c>
      <c r="G1894" s="49">
        <v>0</v>
      </c>
      <c r="H1894" s="50">
        <f>IFERROR(Table1[Re-process (Kg)]/Table1[Actual Production (Kg)], "")</f>
        <v>0</v>
      </c>
      <c r="I1894" s="49">
        <f>IFERROR(Table1[[#This Row],[Actual Production (Kg)]]-Table1[[#This Row],[Re-process (Kg)]], "")</f>
        <v>7707</v>
      </c>
      <c r="J1894" s="49"/>
      <c r="K1894" s="72"/>
      <c r="L1894" s="49" t="str">
        <f>IF(Table1[[#This Row],[Target Time (Hours)]]="","",Table1[[#This Row],[Target Time (Hours)]]-Table1[[#This Row],[Downtime (Hours)]])</f>
        <v/>
      </c>
      <c r="M1894" s="49" t="str">
        <f>IFERROR(Table1[[#This Row],[Capacity (Kg)]]/Table1[[#This Row],[Target Time (Hours)]] * Table1[[#This Row],[Downtime (Hours)]], "")</f>
        <v/>
      </c>
      <c r="N1894" s="50" t="str">
        <f>IFERROR(Table1[[#This Row],[Running Time (hr)]]/Table1[Target Time (Hours)], "")</f>
        <v/>
      </c>
      <c r="O1894" s="50">
        <f>IFERROR(Table1[[#This Row],[Actual Production (Kg)]]/Table1[Capacity (Kg)], "")</f>
        <v>1.92675</v>
      </c>
      <c r="P1894" s="50">
        <f>IFERROR(Table1[[#This Row],[Quality Pass Production]]/Table1[[#This Row],[Actual Production (Kg)]], "")</f>
        <v>1</v>
      </c>
      <c r="Q1894" s="50" t="str">
        <f>IFERROR(Table1[[#This Row],[Utilization %]]*Table1[[#This Row],[Efficiency %]]*Table1[[#This Row],[Quality %]], "")</f>
        <v/>
      </c>
    </row>
    <row r="1895" spans="1:18" ht="30" customHeight="1" x14ac:dyDescent="0.25">
      <c r="A1895" s="47">
        <v>46289</v>
      </c>
      <c r="B1895" s="48" t="s">
        <v>18</v>
      </c>
      <c r="C1895" s="48" t="s">
        <v>26</v>
      </c>
      <c r="D1895" s="48" t="s">
        <v>25</v>
      </c>
      <c r="E1895" s="49">
        <v>7000</v>
      </c>
      <c r="F1895" s="76">
        <v>8281</v>
      </c>
      <c r="G1895" s="49">
        <v>0</v>
      </c>
      <c r="H1895" s="50">
        <f>IFERROR(Table1[Re-process (Kg)]/Table1[Actual Production (Kg)], "")</f>
        <v>0</v>
      </c>
      <c r="I1895" s="49">
        <f>IFERROR(Table1[[#This Row],[Actual Production (Kg)]]-Table1[[#This Row],[Re-process (Kg)]], "")</f>
        <v>8281</v>
      </c>
      <c r="J1895" s="49">
        <v>22</v>
      </c>
      <c r="K1895" s="72"/>
      <c r="L1895" s="49">
        <f>IF(Table1[[#This Row],[Target Time (Hours)]]="","",Table1[[#This Row],[Target Time (Hours)]]-Table1[[#This Row],[Downtime (Hours)]])</f>
        <v>22</v>
      </c>
      <c r="M1895" s="49">
        <f>IFERROR(Table1[[#This Row],[Capacity (Kg)]]/Table1[[#This Row],[Target Time (Hours)]] * Table1[[#This Row],[Downtime (Hours)]], "")</f>
        <v>0</v>
      </c>
      <c r="N1895" s="50">
        <f>IFERROR(Table1[[#This Row],[Running Time (hr)]]/Table1[Target Time (Hours)], "")</f>
        <v>1</v>
      </c>
      <c r="O1895" s="50">
        <f>IFERROR(Table1[[#This Row],[Actual Production (Kg)]]/Table1[Capacity (Kg)], "")</f>
        <v>1.1830000000000001</v>
      </c>
      <c r="P1895" s="50">
        <f>IFERROR(Table1[[#This Row],[Quality Pass Production]]/Table1[[#This Row],[Actual Production (Kg)]], "")</f>
        <v>1</v>
      </c>
      <c r="Q1895" s="50">
        <f>IFERROR(Table1[[#This Row],[Utilization %]]*Table1[[#This Row],[Efficiency %]]*Table1[[#This Row],[Quality %]], "")</f>
        <v>1.1830000000000001</v>
      </c>
      <c r="R1895" s="48" t="s">
        <v>209</v>
      </c>
    </row>
    <row r="1896" spans="1:18" ht="30" customHeight="1" x14ac:dyDescent="0.25">
      <c r="A1896" s="47">
        <v>46289</v>
      </c>
      <c r="B1896" s="48" t="s">
        <v>18</v>
      </c>
      <c r="C1896" s="48" t="s">
        <v>28</v>
      </c>
      <c r="D1896" s="48" t="s">
        <v>29</v>
      </c>
      <c r="E1896" s="49">
        <v>7800</v>
      </c>
      <c r="F1896" s="76">
        <v>5008</v>
      </c>
      <c r="G1896" s="49">
        <v>0</v>
      </c>
      <c r="H1896" s="50">
        <f>IFERROR(Table1[Re-process (Kg)]/Table1[Actual Production (Kg)], "")</f>
        <v>0</v>
      </c>
      <c r="I1896" s="49">
        <f>IFERROR(Table1[[#This Row],[Actual Production (Kg)]]-Table1[[#This Row],[Re-process (Kg)]], "")</f>
        <v>5008</v>
      </c>
      <c r="J1896" s="49">
        <v>22</v>
      </c>
      <c r="K1896" s="72">
        <v>7.17</v>
      </c>
      <c r="L1896" s="49">
        <f>IF(Table1[[#This Row],[Target Time (Hours)]]="","",Table1[[#This Row],[Target Time (Hours)]]-Table1[[#This Row],[Downtime (Hours)]])</f>
        <v>14.83</v>
      </c>
      <c r="M1896" s="49">
        <f>IFERROR(Table1[[#This Row],[Capacity (Kg)]]/Table1[[#This Row],[Target Time (Hours)]] * Table1[[#This Row],[Downtime (Hours)]], "")</f>
        <v>2542.090909090909</v>
      </c>
      <c r="N1896" s="50">
        <f>IFERROR(Table1[[#This Row],[Running Time (hr)]]/Table1[Target Time (Hours)], "")</f>
        <v>0.67409090909090907</v>
      </c>
      <c r="O1896" s="50">
        <f>IFERROR(Table1[[#This Row],[Actual Production (Kg)]]/Table1[Capacity (Kg)], "")</f>
        <v>0.64205128205128204</v>
      </c>
      <c r="P1896" s="50">
        <f>IFERROR(Table1[[#This Row],[Quality Pass Production]]/Table1[[#This Row],[Actual Production (Kg)]], "")</f>
        <v>1</v>
      </c>
      <c r="Q1896" s="50">
        <f>IFERROR(Table1[[#This Row],[Utilization %]]*Table1[[#This Row],[Efficiency %]]*Table1[[#This Row],[Quality %]], "")</f>
        <v>0.43280093240093237</v>
      </c>
      <c r="R1896" s="48" t="s">
        <v>520</v>
      </c>
    </row>
    <row r="1897" spans="1:18" ht="30" customHeight="1" x14ac:dyDescent="0.25">
      <c r="A1897" s="51">
        <v>46289</v>
      </c>
      <c r="B1897" s="52" t="s">
        <v>18</v>
      </c>
      <c r="C1897" s="52" t="s">
        <v>135</v>
      </c>
      <c r="D1897" s="52" t="s">
        <v>29</v>
      </c>
      <c r="E1897" s="53"/>
      <c r="F1897" s="53"/>
      <c r="G1897" s="53"/>
      <c r="H1897" s="57" t="str">
        <f>IFERROR(Table1[Re-process (Kg)]/Table1[Actual Production (Kg)], "")</f>
        <v/>
      </c>
      <c r="I1897" s="53">
        <f>IFERROR(Table1[[#This Row],[Actual Production (Kg)]]-Table1[[#This Row],[Re-process (Kg)]], "")</f>
        <v>0</v>
      </c>
      <c r="J1897" s="53"/>
      <c r="K1897" s="52"/>
      <c r="L1897" s="53" t="str">
        <f>IF(Table1[[#This Row],[Target Time (Hours)]]="","",Table1[[#This Row],[Target Time (Hours)]]-Table1[[#This Row],[Downtime (Hours)]])</f>
        <v/>
      </c>
      <c r="M1897" s="53" t="str">
        <f>IFERROR(Table1[[#This Row],[Capacity (Kg)]]/Table1[[#This Row],[Target Time (Hours)]] * Table1[[#This Row],[Downtime (Hours)]], "")</f>
        <v/>
      </c>
      <c r="N1897" s="57" t="str">
        <f>IFERROR(Table1[[#This Row],[Running Time (hr)]]/Table1[Target Time (Hours)], "")</f>
        <v/>
      </c>
      <c r="O1897" s="57" t="str">
        <f>IFERROR(Table1[[#This Row],[Actual Production (Kg)]]/Table1[Capacity (Kg)], "")</f>
        <v/>
      </c>
      <c r="P1897" s="57" t="str">
        <f>IFERROR(Table1[[#This Row],[Quality Pass Production]]/Table1[[#This Row],[Actual Production (Kg)]], "")</f>
        <v/>
      </c>
      <c r="Q1897" s="57" t="str">
        <f>IFERROR(Table1[[#This Row],[Utilization %]]*Table1[[#This Row],[Efficiency %]]*Table1[[#This Row],[Quality %]], "")</f>
        <v/>
      </c>
      <c r="R1897" s="52"/>
    </row>
    <row r="1898" spans="1:18" ht="30" customHeight="1" x14ac:dyDescent="0.25">
      <c r="A1898" s="47">
        <v>46289</v>
      </c>
      <c r="B1898" s="48" t="s">
        <v>18</v>
      </c>
      <c r="C1898" s="48" t="s">
        <v>30</v>
      </c>
      <c r="D1898" s="48" t="s">
        <v>31</v>
      </c>
      <c r="E1898" s="49">
        <v>9000</v>
      </c>
      <c r="F1898" s="76">
        <v>7786</v>
      </c>
      <c r="G1898" s="49">
        <v>0</v>
      </c>
      <c r="H1898" s="50">
        <f>IFERROR(Table1[Re-process (Kg)]/Table1[Actual Production (Kg)], "")</f>
        <v>0</v>
      </c>
      <c r="I1898" s="49">
        <f>IFERROR(Table1[[#This Row],[Actual Production (Kg)]]-Table1[[#This Row],[Re-process (Kg)]], "")</f>
        <v>7786</v>
      </c>
      <c r="J1898" s="49">
        <v>22</v>
      </c>
      <c r="K1898" s="72"/>
      <c r="L1898" s="49">
        <f>IF(Table1[[#This Row],[Target Time (Hours)]]="","",Table1[[#This Row],[Target Time (Hours)]]-Table1[[#This Row],[Downtime (Hours)]])</f>
        <v>22</v>
      </c>
      <c r="M1898" s="49">
        <f>IFERROR(Table1[[#This Row],[Capacity (Kg)]]/Table1[[#This Row],[Target Time (Hours)]] * Table1[[#This Row],[Downtime (Hours)]], "")</f>
        <v>0</v>
      </c>
      <c r="N1898" s="50">
        <f>IFERROR(Table1[[#This Row],[Running Time (hr)]]/Table1[Target Time (Hours)], "")</f>
        <v>1</v>
      </c>
      <c r="O1898" s="50">
        <f>IFERROR(Table1[[#This Row],[Actual Production (Kg)]]/Table1[Capacity (Kg)], "")</f>
        <v>0.86511111111111116</v>
      </c>
      <c r="P1898" s="50">
        <f>IFERROR(Table1[[#This Row],[Quality Pass Production]]/Table1[[#This Row],[Actual Production (Kg)]], "")</f>
        <v>1</v>
      </c>
      <c r="Q1898" s="50">
        <f>IFERROR(Table1[[#This Row],[Utilization %]]*Table1[[#This Row],[Efficiency %]]*Table1[[#This Row],[Quality %]], "")</f>
        <v>0.86511111111111116</v>
      </c>
    </row>
    <row r="1899" spans="1:18" ht="30" customHeight="1" x14ac:dyDescent="0.25">
      <c r="A1899" s="51">
        <v>46289</v>
      </c>
      <c r="B1899" s="52" t="s">
        <v>18</v>
      </c>
      <c r="C1899" s="52" t="s">
        <v>32</v>
      </c>
      <c r="D1899" s="52" t="s">
        <v>31</v>
      </c>
      <c r="E1899" s="53"/>
      <c r="F1899" s="53"/>
      <c r="G1899" s="53"/>
      <c r="H1899" s="57" t="str">
        <f>IFERROR(Table1[Re-process (Kg)]/Table1[Actual Production (Kg)], "")</f>
        <v/>
      </c>
      <c r="I1899" s="53">
        <f>IFERROR(Table1[[#This Row],[Actual Production (Kg)]]-Table1[[#This Row],[Re-process (Kg)]], "")</f>
        <v>0</v>
      </c>
      <c r="J1899" s="53"/>
      <c r="K1899" s="52"/>
      <c r="L1899" s="53" t="str">
        <f>IF(Table1[[#This Row],[Target Time (Hours)]]="","",Table1[[#This Row],[Target Time (Hours)]]-Table1[[#This Row],[Downtime (Hours)]])</f>
        <v/>
      </c>
      <c r="M1899" s="53" t="str">
        <f>IFERROR(Table1[[#This Row],[Capacity (Kg)]]/Table1[[#This Row],[Target Time (Hours)]] * Table1[[#This Row],[Downtime (Hours)]], "")</f>
        <v/>
      </c>
      <c r="N1899" s="57" t="str">
        <f>IFERROR(Table1[[#This Row],[Running Time (hr)]]/Table1[Target Time (Hours)], "")</f>
        <v/>
      </c>
      <c r="O1899" s="57" t="str">
        <f>IFERROR(Table1[[#This Row],[Actual Production (Kg)]]/Table1[Capacity (Kg)], "")</f>
        <v/>
      </c>
      <c r="P1899" s="57" t="str">
        <f>IFERROR(Table1[[#This Row],[Quality Pass Production]]/Table1[[#This Row],[Actual Production (Kg)]], "")</f>
        <v/>
      </c>
      <c r="Q1899" s="57" t="str">
        <f>IFERROR(Table1[[#This Row],[Utilization %]]*Table1[[#This Row],[Efficiency %]]*Table1[[#This Row],[Quality %]], "")</f>
        <v/>
      </c>
      <c r="R1899" s="52"/>
    </row>
    <row r="1900" spans="1:18" ht="45" customHeight="1" x14ac:dyDescent="0.25">
      <c r="A1900" s="47">
        <v>46289</v>
      </c>
      <c r="B1900" s="48" t="s">
        <v>33</v>
      </c>
      <c r="C1900" s="48" t="s">
        <v>34</v>
      </c>
      <c r="D1900" s="48" t="s">
        <v>35</v>
      </c>
      <c r="E1900" s="49">
        <v>9000</v>
      </c>
      <c r="F1900" s="76">
        <v>3494</v>
      </c>
      <c r="G1900" s="49">
        <v>0</v>
      </c>
      <c r="H1900" s="50">
        <f>IFERROR(Table1[Re-process (Kg)]/Table1[Actual Production (Kg)], "")</f>
        <v>0</v>
      </c>
      <c r="I1900" s="49">
        <f>IFERROR(Table1[[#This Row],[Actual Production (Kg)]]-Table1[[#This Row],[Re-process (Kg)]], "")</f>
        <v>3494</v>
      </c>
      <c r="J1900" s="49">
        <v>22</v>
      </c>
      <c r="K1900" s="72">
        <v>2</v>
      </c>
      <c r="L1900" s="49">
        <f>IF(Table1[[#This Row],[Target Time (Hours)]]="","",Table1[[#This Row],[Target Time (Hours)]]-Table1[[#This Row],[Downtime (Hours)]])</f>
        <v>20</v>
      </c>
      <c r="M1900" s="49">
        <f>IFERROR(Table1[[#This Row],[Capacity (Kg)]]/Table1[[#This Row],[Target Time (Hours)]] * Table1[[#This Row],[Downtime (Hours)]], "")</f>
        <v>818.18181818181813</v>
      </c>
      <c r="N1900" s="50">
        <f>IFERROR(Table1[[#This Row],[Running Time (hr)]]/Table1[Target Time (Hours)], "")</f>
        <v>0.90909090909090906</v>
      </c>
      <c r="O1900" s="50">
        <f>IFERROR(Table1[[#This Row],[Actual Production (Kg)]]/Table1[Capacity (Kg)], "")</f>
        <v>0.38822222222222225</v>
      </c>
      <c r="P1900" s="50">
        <f>IFERROR(Table1[[#This Row],[Quality Pass Production]]/Table1[[#This Row],[Actual Production (Kg)]], "")</f>
        <v>1</v>
      </c>
      <c r="Q1900" s="50">
        <f>IFERROR(Table1[[#This Row],[Utilization %]]*Table1[[#This Row],[Efficiency %]]*Table1[[#This Row],[Quality %]], "")</f>
        <v>0.35292929292929293</v>
      </c>
      <c r="R1900" s="48" t="s">
        <v>521</v>
      </c>
    </row>
    <row r="1901" spans="1:18" ht="60" customHeight="1" x14ac:dyDescent="0.25">
      <c r="A1901" s="47">
        <v>46289</v>
      </c>
      <c r="B1901" s="48" t="s">
        <v>33</v>
      </c>
      <c r="C1901" s="48" t="s">
        <v>36</v>
      </c>
      <c r="D1901" s="48" t="s">
        <v>37</v>
      </c>
      <c r="E1901" s="49">
        <v>8000</v>
      </c>
      <c r="F1901" s="76">
        <v>4194</v>
      </c>
      <c r="G1901" s="49">
        <v>0</v>
      </c>
      <c r="H1901" s="50">
        <f>IFERROR(Table1[Re-process (Kg)]/Table1[Actual Production (Kg)], "")</f>
        <v>0</v>
      </c>
      <c r="I1901" s="49">
        <f>IFERROR(Table1[[#This Row],[Actual Production (Kg)]]-Table1[[#This Row],[Re-process (Kg)]], "")</f>
        <v>4194</v>
      </c>
      <c r="J1901" s="49">
        <v>22</v>
      </c>
      <c r="K1901" s="72">
        <v>8.42</v>
      </c>
      <c r="L1901" s="49">
        <f>IF(Table1[[#This Row],[Target Time (Hours)]]="","",Table1[[#This Row],[Target Time (Hours)]]-Table1[[#This Row],[Downtime (Hours)]])</f>
        <v>13.58</v>
      </c>
      <c r="M1901" s="49">
        <f>IFERROR(Table1[[#This Row],[Capacity (Kg)]]/Table1[[#This Row],[Target Time (Hours)]] * Table1[[#This Row],[Downtime (Hours)]], "")</f>
        <v>3061.8181818181815</v>
      </c>
      <c r="N1901" s="50">
        <f>IFERROR(Table1[[#This Row],[Running Time (hr)]]/Table1[Target Time (Hours)], "")</f>
        <v>0.61727272727272731</v>
      </c>
      <c r="O1901" s="50">
        <f>IFERROR(Table1[[#This Row],[Actual Production (Kg)]]/Table1[Capacity (Kg)], "")</f>
        <v>0.52424999999999999</v>
      </c>
      <c r="P1901" s="50">
        <f>IFERROR(Table1[[#This Row],[Quality Pass Production]]/Table1[[#This Row],[Actual Production (Kg)]], "")</f>
        <v>1</v>
      </c>
      <c r="Q1901" s="50">
        <f>IFERROR(Table1[[#This Row],[Utilization %]]*Table1[[#This Row],[Efficiency %]]*Table1[[#This Row],[Quality %]], "")</f>
        <v>0.32360522727272728</v>
      </c>
      <c r="R1901" s="48" t="s">
        <v>522</v>
      </c>
    </row>
    <row r="1902" spans="1:18" ht="30" customHeight="1" x14ac:dyDescent="0.25">
      <c r="A1902" s="47">
        <v>46289</v>
      </c>
      <c r="B1902" s="48" t="s">
        <v>33</v>
      </c>
      <c r="C1902" s="48" t="s">
        <v>39</v>
      </c>
      <c r="D1902" s="48" t="s">
        <v>31</v>
      </c>
      <c r="E1902" s="49">
        <v>6000</v>
      </c>
      <c r="F1902" s="76">
        <v>1452</v>
      </c>
      <c r="G1902" s="49">
        <v>0</v>
      </c>
      <c r="H1902" s="50">
        <f>IFERROR(Table1[Re-process (Kg)]/Table1[Actual Production (Kg)], "")</f>
        <v>0</v>
      </c>
      <c r="I1902" s="49">
        <f>IFERROR(Table1[[#This Row],[Actual Production (Kg)]]-Table1[[#This Row],[Re-process (Kg)]], "")</f>
        <v>1452</v>
      </c>
      <c r="J1902" s="49">
        <v>22</v>
      </c>
      <c r="K1902" s="72">
        <v>12</v>
      </c>
      <c r="L1902" s="49">
        <f>IF(Table1[[#This Row],[Target Time (Hours)]]="","",Table1[[#This Row],[Target Time (Hours)]]-Table1[[#This Row],[Downtime (Hours)]])</f>
        <v>10</v>
      </c>
      <c r="M1902" s="49">
        <f>IFERROR(Table1[[#This Row],[Capacity (Kg)]]/Table1[[#This Row],[Target Time (Hours)]] * Table1[[#This Row],[Downtime (Hours)]], "")</f>
        <v>3272.727272727273</v>
      </c>
      <c r="N1902" s="50">
        <f>IFERROR(Table1[[#This Row],[Running Time (hr)]]/Table1[Target Time (Hours)], "")</f>
        <v>0.45454545454545453</v>
      </c>
      <c r="O1902" s="50">
        <f>IFERROR(Table1[[#This Row],[Actual Production (Kg)]]/Table1[Capacity (Kg)], "")</f>
        <v>0.24199999999999999</v>
      </c>
      <c r="P1902" s="50">
        <f>IFERROR(Table1[[#This Row],[Quality Pass Production]]/Table1[[#This Row],[Actual Production (Kg)]], "")</f>
        <v>1</v>
      </c>
      <c r="Q1902" s="50">
        <f>IFERROR(Table1[[#This Row],[Utilization %]]*Table1[[#This Row],[Efficiency %]]*Table1[[#This Row],[Quality %]], "")</f>
        <v>0.10999999999999999</v>
      </c>
      <c r="R1902" s="48" t="s">
        <v>501</v>
      </c>
    </row>
    <row r="1903" spans="1:18" ht="45" customHeight="1" x14ac:dyDescent="0.25">
      <c r="A1903" s="54">
        <v>46289</v>
      </c>
      <c r="B1903" s="55" t="s">
        <v>33</v>
      </c>
      <c r="C1903" s="55" t="s">
        <v>40</v>
      </c>
      <c r="D1903" s="55" t="s">
        <v>31</v>
      </c>
      <c r="E1903" s="56">
        <v>5000</v>
      </c>
      <c r="F1903" s="56">
        <v>2200</v>
      </c>
      <c r="G1903" s="56">
        <v>0</v>
      </c>
      <c r="H1903" s="58">
        <f>IFERROR(Table1[Re-process (Kg)]/Table1[Actual Production (Kg)], "")</f>
        <v>0</v>
      </c>
      <c r="I1903" s="56">
        <f>IFERROR(Table1[[#This Row],[Actual Production (Kg)]]-Table1[[#This Row],[Re-process (Kg)]], "")</f>
        <v>2200</v>
      </c>
      <c r="J1903" s="56">
        <v>22</v>
      </c>
      <c r="K1903" s="55">
        <v>4</v>
      </c>
      <c r="L1903" s="56">
        <f>IF(Table1[[#This Row],[Target Time (Hours)]]="","",Table1[[#This Row],[Target Time (Hours)]]-Table1[[#This Row],[Downtime (Hours)]])</f>
        <v>18</v>
      </c>
      <c r="M1903" s="56">
        <f>IFERROR(Table1[[#This Row],[Capacity (Kg)]]/Table1[[#This Row],[Target Time (Hours)]] * Table1[[#This Row],[Downtime (Hours)]], "")</f>
        <v>909.09090909090912</v>
      </c>
      <c r="N1903" s="58">
        <f>IFERROR(Table1[[#This Row],[Running Time (hr)]]/Table1[Target Time (Hours)], "")</f>
        <v>0.81818181818181823</v>
      </c>
      <c r="O1903" s="58">
        <f>IFERROR(Table1[[#This Row],[Actual Production (Kg)]]/Table1[Capacity (Kg)], "")</f>
        <v>0.44</v>
      </c>
      <c r="P1903" s="58">
        <f>IFERROR(Table1[[#This Row],[Quality Pass Production]]/Table1[[#This Row],[Actual Production (Kg)]], "")</f>
        <v>1</v>
      </c>
      <c r="Q1903" s="58">
        <f>IFERROR(Table1[[#This Row],[Utilization %]]*Table1[[#This Row],[Efficiency %]]*Table1[[#This Row],[Quality %]], "")</f>
        <v>0.36000000000000004</v>
      </c>
      <c r="R1903" s="55" t="s">
        <v>504</v>
      </c>
    </row>
    <row r="1904" spans="1:18" ht="30" customHeight="1" x14ac:dyDescent="0.25">
      <c r="A1904" s="47">
        <v>46291</v>
      </c>
      <c r="B1904" s="48" t="s">
        <v>18</v>
      </c>
      <c r="C1904" s="48" t="s">
        <v>19</v>
      </c>
      <c r="D1904" s="48" t="s">
        <v>20</v>
      </c>
      <c r="E1904" s="49">
        <v>10000</v>
      </c>
      <c r="F1904" s="76">
        <v>8399</v>
      </c>
      <c r="G1904" s="49">
        <v>0</v>
      </c>
      <c r="H1904" s="50">
        <f>IFERROR(Table1[Re-process (Kg)]/Table1[Actual Production (Kg)], "")</f>
        <v>0</v>
      </c>
      <c r="I1904" s="49">
        <f>IFERROR(Table1[[#This Row],[Actual Production (Kg)]]-Table1[[#This Row],[Re-process (Kg)]], "")</f>
        <v>8399</v>
      </c>
      <c r="J1904" s="49">
        <v>22</v>
      </c>
      <c r="K1904" s="72">
        <v>1.5</v>
      </c>
      <c r="L1904" s="49">
        <f>IF(Table1[[#This Row],[Target Time (Hours)]]="","",Table1[[#This Row],[Target Time (Hours)]]-Table1[[#This Row],[Downtime (Hours)]])</f>
        <v>20.5</v>
      </c>
      <c r="M1904" s="49">
        <f>IFERROR(Table1[[#This Row],[Capacity (Kg)]]/Table1[[#This Row],[Target Time (Hours)]] * Table1[[#This Row],[Downtime (Hours)]], "")</f>
        <v>681.81818181818187</v>
      </c>
      <c r="N1904" s="50">
        <f>IFERROR(Table1[[#This Row],[Running Time (hr)]]/Table1[Target Time (Hours)], "")</f>
        <v>0.93181818181818177</v>
      </c>
      <c r="O1904" s="50">
        <f>IFERROR(Table1[[#This Row],[Actual Production (Kg)]]/Table1[Capacity (Kg)], "")</f>
        <v>0.83989999999999998</v>
      </c>
      <c r="P1904" s="50">
        <f>IFERROR(Table1[[#This Row],[Quality Pass Production]]/Table1[[#This Row],[Actual Production (Kg)]], "")</f>
        <v>1</v>
      </c>
      <c r="Q1904" s="50">
        <f>IFERROR(Table1[[#This Row],[Utilization %]]*Table1[[#This Row],[Efficiency %]]*Table1[[#This Row],[Quality %]], "")</f>
        <v>0.78263409090909086</v>
      </c>
      <c r="R1904" s="48" t="s">
        <v>523</v>
      </c>
    </row>
    <row r="1905" spans="1:18" x14ac:dyDescent="0.25">
      <c r="A1905" s="51">
        <v>46291</v>
      </c>
      <c r="B1905" s="52" t="s">
        <v>18</v>
      </c>
      <c r="C1905" s="52" t="s">
        <v>238</v>
      </c>
      <c r="D1905" s="52" t="s">
        <v>20</v>
      </c>
      <c r="E1905" s="53">
        <v>10880</v>
      </c>
      <c r="F1905" s="53">
        <v>10880</v>
      </c>
      <c r="G1905" s="53">
        <v>0</v>
      </c>
      <c r="H1905" s="57">
        <f>IFERROR(Table1[Re-process (Kg)]/Table1[Actual Production (Kg)], "")</f>
        <v>0</v>
      </c>
      <c r="I1905" s="53">
        <f>IFERROR(Table1[[#This Row],[Actual Production (Kg)]]-Table1[[#This Row],[Re-process (Kg)]], "")</f>
        <v>10880</v>
      </c>
      <c r="J1905" s="53"/>
      <c r="K1905" s="52"/>
      <c r="L1905" s="53" t="str">
        <f>IF(Table1[[#This Row],[Target Time (Hours)]]="","",Table1[[#This Row],[Target Time (Hours)]]-Table1[[#This Row],[Downtime (Hours)]])</f>
        <v/>
      </c>
      <c r="M1905" s="53" t="str">
        <f>IFERROR(Table1[[#This Row],[Capacity (Kg)]]/Table1[[#This Row],[Target Time (Hours)]] * Table1[[#This Row],[Downtime (Hours)]], "")</f>
        <v/>
      </c>
      <c r="N1905" s="57" t="str">
        <f>IFERROR(Table1[[#This Row],[Running Time (hr)]]/Table1[Target Time (Hours)], "")</f>
        <v/>
      </c>
      <c r="O1905" s="57">
        <f>IFERROR(Table1[[#This Row],[Actual Production (Kg)]]/Table1[Capacity (Kg)], "")</f>
        <v>1</v>
      </c>
      <c r="P1905" s="57">
        <f>IFERROR(Table1[[#This Row],[Quality Pass Production]]/Table1[[#This Row],[Actual Production (Kg)]], "")</f>
        <v>1</v>
      </c>
      <c r="Q1905" s="57" t="str">
        <f>IFERROR(Table1[[#This Row],[Utilization %]]*Table1[[#This Row],[Efficiency %]]*Table1[[#This Row],[Quality %]], "")</f>
        <v/>
      </c>
      <c r="R1905" s="52"/>
    </row>
    <row r="1906" spans="1:18" x14ac:dyDescent="0.25">
      <c r="A1906" s="47">
        <v>46291</v>
      </c>
      <c r="B1906" s="48" t="s">
        <v>18</v>
      </c>
      <c r="C1906" s="48" t="s">
        <v>22</v>
      </c>
      <c r="D1906" s="48" t="s">
        <v>23</v>
      </c>
      <c r="E1906" s="49">
        <v>5000</v>
      </c>
      <c r="F1906" s="76">
        <v>6511</v>
      </c>
      <c r="G1906" s="49">
        <v>0</v>
      </c>
      <c r="H1906" s="50">
        <f>IFERROR(Table1[Re-process (Kg)]/Table1[Actual Production (Kg)], "")</f>
        <v>0</v>
      </c>
      <c r="I1906" s="49">
        <f>IFERROR(Table1[[#This Row],[Actual Production (Kg)]]-Table1[[#This Row],[Re-process (Kg)]], "")</f>
        <v>6511</v>
      </c>
      <c r="J1906" s="49">
        <v>22</v>
      </c>
      <c r="K1906" s="72"/>
      <c r="L1906" s="49">
        <f>IF(Table1[[#This Row],[Target Time (Hours)]]="","",Table1[[#This Row],[Target Time (Hours)]]-Table1[[#This Row],[Downtime (Hours)]])</f>
        <v>22</v>
      </c>
      <c r="M1906" s="49">
        <f>IFERROR(Table1[[#This Row],[Capacity (Kg)]]/Table1[[#This Row],[Target Time (Hours)]] * Table1[[#This Row],[Downtime (Hours)]], "")</f>
        <v>0</v>
      </c>
      <c r="N1906" s="50">
        <f>IFERROR(Table1[[#This Row],[Running Time (hr)]]/Table1[Target Time (Hours)], "")</f>
        <v>1</v>
      </c>
      <c r="O1906" s="50">
        <f>IFERROR(Table1[[#This Row],[Actual Production (Kg)]]/Table1[Capacity (Kg)], "")</f>
        <v>1.3022</v>
      </c>
      <c r="P1906" s="50">
        <f>IFERROR(Table1[[#This Row],[Quality Pass Production]]/Table1[[#This Row],[Actual Production (Kg)]], "")</f>
        <v>1</v>
      </c>
      <c r="Q1906" s="50">
        <f>IFERROR(Table1[[#This Row],[Utilization %]]*Table1[[#This Row],[Efficiency %]]*Table1[[#This Row],[Quality %]], "")</f>
        <v>1.3022</v>
      </c>
    </row>
    <row r="1907" spans="1:18" x14ac:dyDescent="0.25">
      <c r="A1907" s="47">
        <v>46291</v>
      </c>
      <c r="B1907" s="48" t="s">
        <v>18</v>
      </c>
      <c r="C1907" s="48" t="s">
        <v>22</v>
      </c>
      <c r="D1907" s="48" t="s">
        <v>25</v>
      </c>
      <c r="E1907" s="49">
        <v>4000</v>
      </c>
      <c r="F1907" s="76">
        <v>1993</v>
      </c>
      <c r="G1907" s="49">
        <v>0</v>
      </c>
      <c r="H1907" s="50">
        <f>IFERROR(Table1[Re-process (Kg)]/Table1[Actual Production (Kg)], "")</f>
        <v>0</v>
      </c>
      <c r="I1907" s="49">
        <f>IFERROR(Table1[[#This Row],[Actual Production (Kg)]]-Table1[[#This Row],[Re-process (Kg)]], "")</f>
        <v>1993</v>
      </c>
      <c r="J1907" s="49"/>
      <c r="K1907" s="72"/>
      <c r="L1907" s="49" t="str">
        <f>IF(Table1[[#This Row],[Target Time (Hours)]]="","",Table1[[#This Row],[Target Time (Hours)]]-Table1[[#This Row],[Downtime (Hours)]])</f>
        <v/>
      </c>
      <c r="M1907" s="49" t="str">
        <f>IFERROR(Table1[[#This Row],[Capacity (Kg)]]/Table1[[#This Row],[Target Time (Hours)]] * Table1[[#This Row],[Downtime (Hours)]], "")</f>
        <v/>
      </c>
      <c r="N1907" s="50" t="str">
        <f>IFERROR(Table1[[#This Row],[Running Time (hr)]]/Table1[Target Time (Hours)], "")</f>
        <v/>
      </c>
      <c r="O1907" s="50">
        <f>IFERROR(Table1[[#This Row],[Actual Production (Kg)]]/Table1[Capacity (Kg)], "")</f>
        <v>0.49825000000000003</v>
      </c>
      <c r="P1907" s="50">
        <f>IFERROR(Table1[[#This Row],[Quality Pass Production]]/Table1[[#This Row],[Actual Production (Kg)]], "")</f>
        <v>1</v>
      </c>
      <c r="Q1907" s="50" t="str">
        <f>IFERROR(Table1[[#This Row],[Utilization %]]*Table1[[#This Row],[Efficiency %]]*Table1[[#This Row],[Quality %]], "")</f>
        <v/>
      </c>
    </row>
    <row r="1908" spans="1:18" ht="30" customHeight="1" x14ac:dyDescent="0.25">
      <c r="A1908" s="47">
        <v>46291</v>
      </c>
      <c r="B1908" s="48" t="s">
        <v>18</v>
      </c>
      <c r="C1908" s="48" t="s">
        <v>26</v>
      </c>
      <c r="D1908" s="48" t="s">
        <v>25</v>
      </c>
      <c r="E1908" s="49">
        <v>7000</v>
      </c>
      <c r="F1908" s="76">
        <v>6046</v>
      </c>
      <c r="G1908" s="49">
        <v>0</v>
      </c>
      <c r="H1908" s="50">
        <f>IFERROR(Table1[Re-process (Kg)]/Table1[Actual Production (Kg)], "")</f>
        <v>0</v>
      </c>
      <c r="I1908" s="49">
        <f>IFERROR(Table1[[#This Row],[Actual Production (Kg)]]-Table1[[#This Row],[Re-process (Kg)]], "")</f>
        <v>6046</v>
      </c>
      <c r="J1908" s="49">
        <v>22</v>
      </c>
      <c r="K1908" s="72">
        <v>2.5</v>
      </c>
      <c r="L1908" s="49">
        <f>IF(Table1[[#This Row],[Target Time (Hours)]]="","",Table1[[#This Row],[Target Time (Hours)]]-Table1[[#This Row],[Downtime (Hours)]])</f>
        <v>19.5</v>
      </c>
      <c r="M1908" s="49">
        <f>IFERROR(Table1[[#This Row],[Capacity (Kg)]]/Table1[[#This Row],[Target Time (Hours)]] * Table1[[#This Row],[Downtime (Hours)]], "")</f>
        <v>795.4545454545455</v>
      </c>
      <c r="N1908" s="50">
        <f>IFERROR(Table1[[#This Row],[Running Time (hr)]]/Table1[Target Time (Hours)], "")</f>
        <v>0.88636363636363635</v>
      </c>
      <c r="O1908" s="50">
        <f>IFERROR(Table1[[#This Row],[Actual Production (Kg)]]/Table1[Capacity (Kg)], "")</f>
        <v>0.86371428571428577</v>
      </c>
      <c r="P1908" s="50">
        <f>IFERROR(Table1[[#This Row],[Quality Pass Production]]/Table1[[#This Row],[Actual Production (Kg)]], "")</f>
        <v>1</v>
      </c>
      <c r="Q1908" s="50">
        <f>IFERROR(Table1[[#This Row],[Utilization %]]*Table1[[#This Row],[Efficiency %]]*Table1[[#This Row],[Quality %]], "")</f>
        <v>0.76556493506493506</v>
      </c>
      <c r="R1908" s="48" t="s">
        <v>444</v>
      </c>
    </row>
    <row r="1909" spans="1:18" ht="30" customHeight="1" x14ac:dyDescent="0.25">
      <c r="A1909" s="47">
        <v>46291</v>
      </c>
      <c r="B1909" s="48" t="s">
        <v>18</v>
      </c>
      <c r="C1909" s="48" t="s">
        <v>28</v>
      </c>
      <c r="D1909" s="48" t="s">
        <v>29</v>
      </c>
      <c r="E1909" s="49">
        <v>7800</v>
      </c>
      <c r="F1909" s="76">
        <v>8394</v>
      </c>
      <c r="G1909" s="49">
        <v>0</v>
      </c>
      <c r="H1909" s="50">
        <f>IFERROR(Table1[Re-process (Kg)]/Table1[Actual Production (Kg)], "")</f>
        <v>0</v>
      </c>
      <c r="I1909" s="49">
        <f>IFERROR(Table1[[#This Row],[Actual Production (Kg)]]-Table1[[#This Row],[Re-process (Kg)]], "")</f>
        <v>8394</v>
      </c>
      <c r="J1909" s="49">
        <v>22</v>
      </c>
      <c r="K1909" s="72"/>
      <c r="L1909" s="49">
        <f>IF(Table1[[#This Row],[Target Time (Hours)]]="","",Table1[[#This Row],[Target Time (Hours)]]-Table1[[#This Row],[Downtime (Hours)]])</f>
        <v>22</v>
      </c>
      <c r="M1909" s="49">
        <f>IFERROR(Table1[[#This Row],[Capacity (Kg)]]/Table1[[#This Row],[Target Time (Hours)]] * Table1[[#This Row],[Downtime (Hours)]], "")</f>
        <v>0</v>
      </c>
      <c r="N1909" s="50">
        <f>IFERROR(Table1[[#This Row],[Running Time (hr)]]/Table1[Target Time (Hours)], "")</f>
        <v>1</v>
      </c>
      <c r="O1909" s="50">
        <f>IFERROR(Table1[[#This Row],[Actual Production (Kg)]]/Table1[Capacity (Kg)], "")</f>
        <v>1.0761538461538462</v>
      </c>
      <c r="P1909" s="50">
        <f>IFERROR(Table1[[#This Row],[Quality Pass Production]]/Table1[[#This Row],[Actual Production (Kg)]], "")</f>
        <v>1</v>
      </c>
      <c r="Q1909" s="50">
        <f>IFERROR(Table1[[#This Row],[Utilization %]]*Table1[[#This Row],[Efficiency %]]*Table1[[#This Row],[Quality %]], "")</f>
        <v>1.0761538461538462</v>
      </c>
    </row>
    <row r="1910" spans="1:18" ht="30" customHeight="1" x14ac:dyDescent="0.25">
      <c r="A1910" s="51">
        <v>46291</v>
      </c>
      <c r="B1910" s="52" t="s">
        <v>18</v>
      </c>
      <c r="C1910" s="52" t="s">
        <v>135</v>
      </c>
      <c r="D1910" s="52" t="s">
        <v>29</v>
      </c>
      <c r="E1910" s="53"/>
      <c r="F1910" s="53"/>
      <c r="G1910" s="53"/>
      <c r="H1910" s="57" t="str">
        <f>IFERROR(Table1[Re-process (Kg)]/Table1[Actual Production (Kg)], "")</f>
        <v/>
      </c>
      <c r="I1910" s="53">
        <f>IFERROR(Table1[[#This Row],[Actual Production (Kg)]]-Table1[[#This Row],[Re-process (Kg)]], "")</f>
        <v>0</v>
      </c>
      <c r="J1910" s="53"/>
      <c r="K1910" s="52"/>
      <c r="L1910" s="53" t="str">
        <f>IF(Table1[[#This Row],[Target Time (Hours)]]="","",Table1[[#This Row],[Target Time (Hours)]]-Table1[[#This Row],[Downtime (Hours)]])</f>
        <v/>
      </c>
      <c r="M1910" s="53" t="str">
        <f>IFERROR(Table1[[#This Row],[Capacity (Kg)]]/Table1[[#This Row],[Target Time (Hours)]] * Table1[[#This Row],[Downtime (Hours)]], "")</f>
        <v/>
      </c>
      <c r="N1910" s="57" t="str">
        <f>IFERROR(Table1[[#This Row],[Running Time (hr)]]/Table1[Target Time (Hours)], "")</f>
        <v/>
      </c>
      <c r="O1910" s="57" t="str">
        <f>IFERROR(Table1[[#This Row],[Actual Production (Kg)]]/Table1[Capacity (Kg)], "")</f>
        <v/>
      </c>
      <c r="P1910" s="57" t="str">
        <f>IFERROR(Table1[[#This Row],[Quality Pass Production]]/Table1[[#This Row],[Actual Production (Kg)]], "")</f>
        <v/>
      </c>
      <c r="Q1910" s="57" t="str">
        <f>IFERROR(Table1[[#This Row],[Utilization %]]*Table1[[#This Row],[Efficiency %]]*Table1[[#This Row],[Quality %]], "")</f>
        <v/>
      </c>
      <c r="R1910" s="52"/>
    </row>
    <row r="1911" spans="1:18" ht="30" customHeight="1" x14ac:dyDescent="0.25">
      <c r="A1911" s="47">
        <v>46291</v>
      </c>
      <c r="B1911" s="48" t="s">
        <v>18</v>
      </c>
      <c r="C1911" s="48" t="s">
        <v>30</v>
      </c>
      <c r="D1911" s="48" t="s">
        <v>31</v>
      </c>
      <c r="E1911" s="49">
        <v>9000</v>
      </c>
      <c r="F1911" s="76">
        <v>8001</v>
      </c>
      <c r="G1911" s="49">
        <v>0</v>
      </c>
      <c r="H1911" s="50">
        <f>IFERROR(Table1[Re-process (Kg)]/Table1[Actual Production (Kg)], "")</f>
        <v>0</v>
      </c>
      <c r="I1911" s="49">
        <f>IFERROR(Table1[[#This Row],[Actual Production (Kg)]]-Table1[[#This Row],[Re-process (Kg)]], "")</f>
        <v>8001</v>
      </c>
      <c r="J1911" s="49">
        <v>22</v>
      </c>
      <c r="K1911" s="72"/>
      <c r="L1911" s="49">
        <f>IF(Table1[[#This Row],[Target Time (Hours)]]="","",Table1[[#This Row],[Target Time (Hours)]]-Table1[[#This Row],[Downtime (Hours)]])</f>
        <v>22</v>
      </c>
      <c r="M1911" s="49">
        <f>IFERROR(Table1[[#This Row],[Capacity (Kg)]]/Table1[[#This Row],[Target Time (Hours)]] * Table1[[#This Row],[Downtime (Hours)]], "")</f>
        <v>0</v>
      </c>
      <c r="N1911" s="50">
        <f>IFERROR(Table1[[#This Row],[Running Time (hr)]]/Table1[Target Time (Hours)], "")</f>
        <v>1</v>
      </c>
      <c r="O1911" s="50">
        <f>IFERROR(Table1[[#This Row],[Actual Production (Kg)]]/Table1[Capacity (Kg)], "")</f>
        <v>0.88900000000000001</v>
      </c>
      <c r="P1911" s="50">
        <f>IFERROR(Table1[[#This Row],[Quality Pass Production]]/Table1[[#This Row],[Actual Production (Kg)]], "")</f>
        <v>1</v>
      </c>
      <c r="Q1911" s="50">
        <f>IFERROR(Table1[[#This Row],[Utilization %]]*Table1[[#This Row],[Efficiency %]]*Table1[[#This Row],[Quality %]], "")</f>
        <v>0.88900000000000001</v>
      </c>
    </row>
    <row r="1912" spans="1:18" ht="30" customHeight="1" x14ac:dyDescent="0.25">
      <c r="A1912" s="51">
        <v>46291</v>
      </c>
      <c r="B1912" s="52" t="s">
        <v>18</v>
      </c>
      <c r="C1912" s="52" t="s">
        <v>32</v>
      </c>
      <c r="D1912" s="52" t="s">
        <v>31</v>
      </c>
      <c r="E1912" s="53">
        <v>2500</v>
      </c>
      <c r="F1912" s="53">
        <v>767</v>
      </c>
      <c r="G1912" s="53">
        <v>0</v>
      </c>
      <c r="H1912" s="57">
        <f>IFERROR(Table1[Re-process (Kg)]/Table1[Actual Production (Kg)], "")</f>
        <v>0</v>
      </c>
      <c r="I1912" s="53">
        <f>IFERROR(Table1[[#This Row],[Actual Production (Kg)]]-Table1[[#This Row],[Re-process (Kg)]], "")</f>
        <v>767</v>
      </c>
      <c r="J1912" s="53"/>
      <c r="K1912" s="52"/>
      <c r="L1912" s="53" t="str">
        <f>IF(Table1[[#This Row],[Target Time (Hours)]]="","",Table1[[#This Row],[Target Time (Hours)]]-Table1[[#This Row],[Downtime (Hours)]])</f>
        <v/>
      </c>
      <c r="M1912" s="53" t="str">
        <f>IFERROR(Table1[[#This Row],[Capacity (Kg)]]/Table1[[#This Row],[Target Time (Hours)]] * Table1[[#This Row],[Downtime (Hours)]], "")</f>
        <v/>
      </c>
      <c r="N1912" s="57" t="str">
        <f>IFERROR(Table1[[#This Row],[Running Time (hr)]]/Table1[Target Time (Hours)], "")</f>
        <v/>
      </c>
      <c r="O1912" s="57">
        <f>IFERROR(Table1[[#This Row],[Actual Production (Kg)]]/Table1[Capacity (Kg)], "")</f>
        <v>0.30680000000000002</v>
      </c>
      <c r="P1912" s="57">
        <f>IFERROR(Table1[[#This Row],[Quality Pass Production]]/Table1[[#This Row],[Actual Production (Kg)]], "")</f>
        <v>1</v>
      </c>
      <c r="Q1912" s="57" t="str">
        <f>IFERROR(Table1[[#This Row],[Utilization %]]*Table1[[#This Row],[Efficiency %]]*Table1[[#This Row],[Quality %]], "")</f>
        <v/>
      </c>
      <c r="R1912" s="52"/>
    </row>
    <row r="1913" spans="1:18" ht="30" customHeight="1" x14ac:dyDescent="0.25">
      <c r="A1913" s="47">
        <v>46291</v>
      </c>
      <c r="B1913" s="48" t="s">
        <v>33</v>
      </c>
      <c r="C1913" s="48" t="s">
        <v>34</v>
      </c>
      <c r="D1913" s="48" t="s">
        <v>35</v>
      </c>
      <c r="E1913" s="49">
        <v>9000</v>
      </c>
      <c r="F1913" s="76">
        <v>4637</v>
      </c>
      <c r="G1913" s="49">
        <v>0</v>
      </c>
      <c r="H1913" s="50">
        <f>IFERROR(Table1[Re-process (Kg)]/Table1[Actual Production (Kg)], "")</f>
        <v>0</v>
      </c>
      <c r="I1913" s="49">
        <f>IFERROR(Table1[[#This Row],[Actual Production (Kg)]]-Table1[[#This Row],[Re-process (Kg)]], "")</f>
        <v>4637</v>
      </c>
      <c r="J1913" s="49">
        <v>22</v>
      </c>
      <c r="K1913" s="72">
        <v>12</v>
      </c>
      <c r="L1913" s="49">
        <f>IF(Table1[[#This Row],[Target Time (Hours)]]="","",Table1[[#This Row],[Target Time (Hours)]]-Table1[[#This Row],[Downtime (Hours)]])</f>
        <v>10</v>
      </c>
      <c r="M1913" s="49">
        <f>IFERROR(Table1[[#This Row],[Capacity (Kg)]]/Table1[[#This Row],[Target Time (Hours)]] * Table1[[#This Row],[Downtime (Hours)]], "")</f>
        <v>4909.090909090909</v>
      </c>
      <c r="N1913" s="50">
        <f>IFERROR(Table1[[#This Row],[Running Time (hr)]]/Table1[Target Time (Hours)], "")</f>
        <v>0.45454545454545453</v>
      </c>
      <c r="O1913" s="50">
        <f>IFERROR(Table1[[#This Row],[Actual Production (Kg)]]/Table1[Capacity (Kg)], "")</f>
        <v>0.51522222222222225</v>
      </c>
      <c r="P1913" s="50">
        <f>IFERROR(Table1[[#This Row],[Quality Pass Production]]/Table1[[#This Row],[Actual Production (Kg)]], "")</f>
        <v>1</v>
      </c>
      <c r="Q1913" s="50">
        <f>IFERROR(Table1[[#This Row],[Utilization %]]*Table1[[#This Row],[Efficiency %]]*Table1[[#This Row],[Quality %]], "")</f>
        <v>0.2341919191919192</v>
      </c>
      <c r="R1913" s="48" t="s">
        <v>524</v>
      </c>
    </row>
    <row r="1914" spans="1:18" ht="30" customHeight="1" x14ac:dyDescent="0.25">
      <c r="A1914" s="47">
        <v>46291</v>
      </c>
      <c r="B1914" s="48" t="s">
        <v>33</v>
      </c>
      <c r="C1914" s="48" t="s">
        <v>36</v>
      </c>
      <c r="D1914" s="48" t="s">
        <v>37</v>
      </c>
      <c r="E1914" s="49">
        <v>8000</v>
      </c>
      <c r="F1914" s="76">
        <v>3347</v>
      </c>
      <c r="G1914" s="49">
        <v>0</v>
      </c>
      <c r="H1914" s="50">
        <f>IFERROR(Table1[Re-process (Kg)]/Table1[Actual Production (Kg)], "")</f>
        <v>0</v>
      </c>
      <c r="I1914" s="49">
        <f>IFERROR(Table1[[#This Row],[Actual Production (Kg)]]-Table1[[#This Row],[Re-process (Kg)]], "")</f>
        <v>3347</v>
      </c>
      <c r="J1914" s="49">
        <v>22</v>
      </c>
      <c r="K1914" s="72">
        <v>12.5</v>
      </c>
      <c r="L1914" s="49">
        <f>IF(Table1[[#This Row],[Target Time (Hours)]]="","",Table1[[#This Row],[Target Time (Hours)]]-Table1[[#This Row],[Downtime (Hours)]])</f>
        <v>9.5</v>
      </c>
      <c r="M1914" s="49">
        <f>IFERROR(Table1[[#This Row],[Capacity (Kg)]]/Table1[[#This Row],[Target Time (Hours)]] * Table1[[#This Row],[Downtime (Hours)]], "")</f>
        <v>4545.454545454545</v>
      </c>
      <c r="N1914" s="50">
        <f>IFERROR(Table1[[#This Row],[Running Time (hr)]]/Table1[Target Time (Hours)], "")</f>
        <v>0.43181818181818182</v>
      </c>
      <c r="O1914" s="50">
        <f>IFERROR(Table1[[#This Row],[Actual Production (Kg)]]/Table1[Capacity (Kg)], "")</f>
        <v>0.418375</v>
      </c>
      <c r="P1914" s="50">
        <f>IFERROR(Table1[[#This Row],[Quality Pass Production]]/Table1[[#This Row],[Actual Production (Kg)]], "")</f>
        <v>1</v>
      </c>
      <c r="Q1914" s="50">
        <f>IFERROR(Table1[[#This Row],[Utilization %]]*Table1[[#This Row],[Efficiency %]]*Table1[[#This Row],[Quality %]], "")</f>
        <v>0.18066193181818183</v>
      </c>
      <c r="R1914" s="48" t="s">
        <v>525</v>
      </c>
    </row>
    <row r="1915" spans="1:18" ht="30" customHeight="1" x14ac:dyDescent="0.25">
      <c r="A1915" s="47">
        <v>46291</v>
      </c>
      <c r="B1915" s="48" t="s">
        <v>33</v>
      </c>
      <c r="C1915" s="48" t="s">
        <v>39</v>
      </c>
      <c r="D1915" s="48" t="s">
        <v>31</v>
      </c>
      <c r="E1915" s="49">
        <v>6000</v>
      </c>
      <c r="F1915" s="76">
        <v>633</v>
      </c>
      <c r="G1915" s="49">
        <v>0</v>
      </c>
      <c r="H1915" s="50">
        <f>IFERROR(Table1[Re-process (Kg)]/Table1[Actual Production (Kg)], "")</f>
        <v>0</v>
      </c>
      <c r="I1915" s="49">
        <f>IFERROR(Table1[[#This Row],[Actual Production (Kg)]]-Table1[[#This Row],[Re-process (Kg)]], "")</f>
        <v>633</v>
      </c>
      <c r="J1915" s="49">
        <v>22</v>
      </c>
      <c r="K1915" s="72"/>
      <c r="L1915" s="49">
        <f>IF(Table1[[#This Row],[Target Time (Hours)]]="","",Table1[[#This Row],[Target Time (Hours)]]-Table1[[#This Row],[Downtime (Hours)]])</f>
        <v>22</v>
      </c>
      <c r="M1915" s="49">
        <f>IFERROR(Table1[[#This Row],[Capacity (Kg)]]/Table1[[#This Row],[Target Time (Hours)]] * Table1[[#This Row],[Downtime (Hours)]], "")</f>
        <v>0</v>
      </c>
      <c r="N1915" s="50">
        <f>IFERROR(Table1[[#This Row],[Running Time (hr)]]/Table1[Target Time (Hours)], "")</f>
        <v>1</v>
      </c>
      <c r="O1915" s="50">
        <f>IFERROR(Table1[[#This Row],[Actual Production (Kg)]]/Table1[Capacity (Kg)], "")</f>
        <v>0.1055</v>
      </c>
      <c r="P1915" s="50">
        <f>IFERROR(Table1[[#This Row],[Quality Pass Production]]/Table1[[#This Row],[Actual Production (Kg)]], "")</f>
        <v>1</v>
      </c>
      <c r="Q1915" s="50">
        <f>IFERROR(Table1[[#This Row],[Utilization %]]*Table1[[#This Row],[Efficiency %]]*Table1[[#This Row],[Quality %]], "")</f>
        <v>0.1055</v>
      </c>
      <c r="R1915" s="48" t="s">
        <v>526</v>
      </c>
    </row>
    <row r="1916" spans="1:18" ht="45" customHeight="1" x14ac:dyDescent="0.25">
      <c r="A1916" s="54">
        <v>46291</v>
      </c>
      <c r="B1916" s="55" t="s">
        <v>33</v>
      </c>
      <c r="C1916" s="55" t="s">
        <v>40</v>
      </c>
      <c r="D1916" s="55" t="s">
        <v>31</v>
      </c>
      <c r="E1916" s="56">
        <v>5000</v>
      </c>
      <c r="F1916" s="56">
        <v>1280</v>
      </c>
      <c r="G1916" s="56">
        <v>0</v>
      </c>
      <c r="H1916" s="58">
        <f>IFERROR(Table1[Re-process (Kg)]/Table1[Actual Production (Kg)], "")</f>
        <v>0</v>
      </c>
      <c r="I1916" s="56">
        <f>IFERROR(Table1[[#This Row],[Actual Production (Kg)]]-Table1[[#This Row],[Re-process (Kg)]], "")</f>
        <v>1280</v>
      </c>
      <c r="J1916" s="56">
        <v>22</v>
      </c>
      <c r="K1916" s="55"/>
      <c r="L1916" s="56">
        <f>IF(Table1[[#This Row],[Target Time (Hours)]]="","",Table1[[#This Row],[Target Time (Hours)]]-Table1[[#This Row],[Downtime (Hours)]])</f>
        <v>22</v>
      </c>
      <c r="M1916" s="56">
        <f>IFERROR(Table1[[#This Row],[Capacity (Kg)]]/Table1[[#This Row],[Target Time (Hours)]] * Table1[[#This Row],[Downtime (Hours)]], "")</f>
        <v>0</v>
      </c>
      <c r="N1916" s="58">
        <f>IFERROR(Table1[[#This Row],[Running Time (hr)]]/Table1[Target Time (Hours)], "")</f>
        <v>1</v>
      </c>
      <c r="O1916" s="58">
        <f>IFERROR(Table1[[#This Row],[Actual Production (Kg)]]/Table1[Capacity (Kg)], "")</f>
        <v>0.25600000000000001</v>
      </c>
      <c r="P1916" s="58">
        <f>IFERROR(Table1[[#This Row],[Quality Pass Production]]/Table1[[#This Row],[Actual Production (Kg)]], "")</f>
        <v>1</v>
      </c>
      <c r="Q1916" s="58">
        <f>IFERROR(Table1[[#This Row],[Utilization %]]*Table1[[#This Row],[Efficiency %]]*Table1[[#This Row],[Quality %]], "")</f>
        <v>0.25600000000000001</v>
      </c>
      <c r="R1916" s="55" t="s">
        <v>527</v>
      </c>
    </row>
    <row r="1917" spans="1:18" ht="30" customHeight="1" x14ac:dyDescent="0.25">
      <c r="A1917" s="47">
        <v>46292</v>
      </c>
      <c r="B1917" s="48" t="s">
        <v>18</v>
      </c>
      <c r="C1917" s="48" t="s">
        <v>19</v>
      </c>
      <c r="D1917" s="48" t="s">
        <v>20</v>
      </c>
      <c r="E1917" s="49">
        <v>10000</v>
      </c>
      <c r="F1917" s="76">
        <v>9953</v>
      </c>
      <c r="G1917" s="49">
        <v>0</v>
      </c>
      <c r="H1917" s="50">
        <f>IFERROR(Table1[Re-process (Kg)]/Table1[Actual Production (Kg)], "")</f>
        <v>0</v>
      </c>
      <c r="I1917" s="49">
        <f>IFERROR(Table1[[#This Row],[Actual Production (Kg)]]-Table1[[#This Row],[Re-process (Kg)]], "")</f>
        <v>9953</v>
      </c>
      <c r="J1917" s="49">
        <v>22</v>
      </c>
      <c r="K1917" s="72"/>
      <c r="L1917" s="49">
        <f>IF(Table1[[#This Row],[Target Time (Hours)]]="","",Table1[[#This Row],[Target Time (Hours)]]-Table1[[#This Row],[Downtime (Hours)]])</f>
        <v>22</v>
      </c>
      <c r="M1917" s="49">
        <f>IFERROR(Table1[[#This Row],[Capacity (Kg)]]/Table1[[#This Row],[Target Time (Hours)]] * Table1[[#This Row],[Downtime (Hours)]], "")</f>
        <v>0</v>
      </c>
      <c r="N1917" s="50">
        <f>IFERROR(Table1[[#This Row],[Running Time (hr)]]/Table1[Target Time (Hours)], "")</f>
        <v>1</v>
      </c>
      <c r="O1917" s="50">
        <f>IFERROR(Table1[[#This Row],[Actual Production (Kg)]]/Table1[Capacity (Kg)], "")</f>
        <v>0.99529999999999996</v>
      </c>
      <c r="P1917" s="50">
        <f>IFERROR(Table1[[#This Row],[Quality Pass Production]]/Table1[[#This Row],[Actual Production (Kg)]], "")</f>
        <v>1</v>
      </c>
      <c r="Q1917" s="50">
        <f>IFERROR(Table1[[#This Row],[Utilization %]]*Table1[[#This Row],[Efficiency %]]*Table1[[#This Row],[Quality %]], "")</f>
        <v>0.99529999999999996</v>
      </c>
    </row>
    <row r="1918" spans="1:18" x14ac:dyDescent="0.25">
      <c r="A1918" s="51">
        <v>46292</v>
      </c>
      <c r="B1918" s="52" t="s">
        <v>18</v>
      </c>
      <c r="C1918" s="52" t="s">
        <v>238</v>
      </c>
      <c r="D1918" s="52" t="s">
        <v>20</v>
      </c>
      <c r="E1918" s="53">
        <v>8933</v>
      </c>
      <c r="F1918" s="53">
        <v>8933</v>
      </c>
      <c r="G1918" s="53">
        <v>0</v>
      </c>
      <c r="H1918" s="57">
        <f>IFERROR(Table1[Re-process (Kg)]/Table1[Actual Production (Kg)], "")</f>
        <v>0</v>
      </c>
      <c r="I1918" s="53">
        <f>IFERROR(Table1[[#This Row],[Actual Production (Kg)]]-Table1[[#This Row],[Re-process (Kg)]], "")</f>
        <v>8933</v>
      </c>
      <c r="J1918" s="53"/>
      <c r="K1918" s="52"/>
      <c r="L1918" s="53" t="str">
        <f>IF(Table1[[#This Row],[Target Time (Hours)]]="","",Table1[[#This Row],[Target Time (Hours)]]-Table1[[#This Row],[Downtime (Hours)]])</f>
        <v/>
      </c>
      <c r="M1918" s="53" t="str">
        <f>IFERROR(Table1[[#This Row],[Capacity (Kg)]]/Table1[[#This Row],[Target Time (Hours)]] * Table1[[#This Row],[Downtime (Hours)]], "")</f>
        <v/>
      </c>
      <c r="N1918" s="57" t="str">
        <f>IFERROR(Table1[[#This Row],[Running Time (hr)]]/Table1[Target Time (Hours)], "")</f>
        <v/>
      </c>
      <c r="O1918" s="57">
        <f>IFERROR(Table1[[#This Row],[Actual Production (Kg)]]/Table1[Capacity (Kg)], "")</f>
        <v>1</v>
      </c>
      <c r="P1918" s="57">
        <f>IFERROR(Table1[[#This Row],[Quality Pass Production]]/Table1[[#This Row],[Actual Production (Kg)]], "")</f>
        <v>1</v>
      </c>
      <c r="Q1918" s="57" t="str">
        <f>IFERROR(Table1[[#This Row],[Utilization %]]*Table1[[#This Row],[Efficiency %]]*Table1[[#This Row],[Quality %]], "")</f>
        <v/>
      </c>
      <c r="R1918" s="52"/>
    </row>
    <row r="1919" spans="1:18" x14ac:dyDescent="0.25">
      <c r="A1919" s="47">
        <v>46292</v>
      </c>
      <c r="B1919" s="48" t="s">
        <v>18</v>
      </c>
      <c r="C1919" s="48" t="s">
        <v>22</v>
      </c>
      <c r="D1919" s="48" t="s">
        <v>23</v>
      </c>
      <c r="E1919" s="49">
        <v>5000</v>
      </c>
      <c r="F1919" s="76">
        <v>4895</v>
      </c>
      <c r="G1919" s="49">
        <v>0</v>
      </c>
      <c r="H1919" s="50">
        <f>IFERROR(Table1[Re-process (Kg)]/Table1[Actual Production (Kg)], "")</f>
        <v>0</v>
      </c>
      <c r="I1919" s="49">
        <f>IFERROR(Table1[[#This Row],[Actual Production (Kg)]]-Table1[[#This Row],[Re-process (Kg)]], "")</f>
        <v>4895</v>
      </c>
      <c r="J1919" s="49">
        <v>22</v>
      </c>
      <c r="K1919" s="72"/>
      <c r="L1919" s="49">
        <f>IF(Table1[[#This Row],[Target Time (Hours)]]="","",Table1[[#This Row],[Target Time (Hours)]]-Table1[[#This Row],[Downtime (Hours)]])</f>
        <v>22</v>
      </c>
      <c r="M1919" s="49">
        <f>IFERROR(Table1[[#This Row],[Capacity (Kg)]]/Table1[[#This Row],[Target Time (Hours)]] * Table1[[#This Row],[Downtime (Hours)]], "")</f>
        <v>0</v>
      </c>
      <c r="N1919" s="50">
        <f>IFERROR(Table1[[#This Row],[Running Time (hr)]]/Table1[Target Time (Hours)], "")</f>
        <v>1</v>
      </c>
      <c r="O1919" s="50">
        <f>IFERROR(Table1[[#This Row],[Actual Production (Kg)]]/Table1[Capacity (Kg)], "")</f>
        <v>0.97899999999999998</v>
      </c>
      <c r="P1919" s="50">
        <f>IFERROR(Table1[[#This Row],[Quality Pass Production]]/Table1[[#This Row],[Actual Production (Kg)]], "")</f>
        <v>1</v>
      </c>
      <c r="Q1919" s="50">
        <f>IFERROR(Table1[[#This Row],[Utilization %]]*Table1[[#This Row],[Efficiency %]]*Table1[[#This Row],[Quality %]], "")</f>
        <v>0.97899999999999998</v>
      </c>
    </row>
    <row r="1920" spans="1:18" x14ac:dyDescent="0.25">
      <c r="A1920" s="47">
        <v>46292</v>
      </c>
      <c r="B1920" s="48" t="s">
        <v>18</v>
      </c>
      <c r="C1920" s="48" t="s">
        <v>22</v>
      </c>
      <c r="D1920" s="48" t="s">
        <v>25</v>
      </c>
      <c r="E1920" s="49">
        <v>4000</v>
      </c>
      <c r="F1920" s="76">
        <v>4993</v>
      </c>
      <c r="G1920" s="49">
        <v>0</v>
      </c>
      <c r="H1920" s="50">
        <f>IFERROR(Table1[Re-process (Kg)]/Table1[Actual Production (Kg)], "")</f>
        <v>0</v>
      </c>
      <c r="I1920" s="49">
        <f>IFERROR(Table1[[#This Row],[Actual Production (Kg)]]-Table1[[#This Row],[Re-process (Kg)]], "")</f>
        <v>4993</v>
      </c>
      <c r="J1920" s="49"/>
      <c r="K1920" s="72"/>
      <c r="L1920" s="49" t="str">
        <f>IF(Table1[[#This Row],[Target Time (Hours)]]="","",Table1[[#This Row],[Target Time (Hours)]]-Table1[[#This Row],[Downtime (Hours)]])</f>
        <v/>
      </c>
      <c r="M1920" s="49" t="str">
        <f>IFERROR(Table1[[#This Row],[Capacity (Kg)]]/Table1[[#This Row],[Target Time (Hours)]] * Table1[[#This Row],[Downtime (Hours)]], "")</f>
        <v/>
      </c>
      <c r="N1920" s="50" t="str">
        <f>IFERROR(Table1[[#This Row],[Running Time (hr)]]/Table1[Target Time (Hours)], "")</f>
        <v/>
      </c>
      <c r="O1920" s="50">
        <f>IFERROR(Table1[[#This Row],[Actual Production (Kg)]]/Table1[Capacity (Kg)], "")</f>
        <v>1.2482500000000001</v>
      </c>
      <c r="P1920" s="50">
        <f>IFERROR(Table1[[#This Row],[Quality Pass Production]]/Table1[[#This Row],[Actual Production (Kg)]], "")</f>
        <v>1</v>
      </c>
      <c r="Q1920" s="50" t="str">
        <f>IFERROR(Table1[[#This Row],[Utilization %]]*Table1[[#This Row],[Efficiency %]]*Table1[[#This Row],[Quality %]], "")</f>
        <v/>
      </c>
    </row>
    <row r="1921" spans="1:18" x14ac:dyDescent="0.25">
      <c r="A1921" s="47">
        <v>46292</v>
      </c>
      <c r="B1921" s="48" t="s">
        <v>18</v>
      </c>
      <c r="C1921" s="48" t="s">
        <v>26</v>
      </c>
      <c r="D1921" s="48" t="s">
        <v>25</v>
      </c>
      <c r="E1921" s="49">
        <v>7000</v>
      </c>
      <c r="F1921" s="76">
        <v>7123</v>
      </c>
      <c r="G1921" s="49">
        <v>0</v>
      </c>
      <c r="H1921" s="50">
        <f>IFERROR(Table1[Re-process (Kg)]/Table1[Actual Production (Kg)], "")</f>
        <v>0</v>
      </c>
      <c r="I1921" s="49">
        <f>IFERROR(Table1[[#This Row],[Actual Production (Kg)]]-Table1[[#This Row],[Re-process (Kg)]], "")</f>
        <v>7123</v>
      </c>
      <c r="J1921" s="49">
        <v>22</v>
      </c>
      <c r="K1921" s="72"/>
      <c r="L1921" s="49">
        <f>IF(Table1[[#This Row],[Target Time (Hours)]]="","",Table1[[#This Row],[Target Time (Hours)]]-Table1[[#This Row],[Downtime (Hours)]])</f>
        <v>22</v>
      </c>
      <c r="M1921" s="49">
        <f>IFERROR(Table1[[#This Row],[Capacity (Kg)]]/Table1[[#This Row],[Target Time (Hours)]] * Table1[[#This Row],[Downtime (Hours)]], "")</f>
        <v>0</v>
      </c>
      <c r="N1921" s="50">
        <f>IFERROR(Table1[[#This Row],[Running Time (hr)]]/Table1[Target Time (Hours)], "")</f>
        <v>1</v>
      </c>
      <c r="O1921" s="50">
        <f>IFERROR(Table1[[#This Row],[Actual Production (Kg)]]/Table1[Capacity (Kg)], "")</f>
        <v>1.0175714285714286</v>
      </c>
      <c r="P1921" s="50">
        <f>IFERROR(Table1[[#This Row],[Quality Pass Production]]/Table1[[#This Row],[Actual Production (Kg)]], "")</f>
        <v>1</v>
      </c>
      <c r="Q1921" s="50">
        <f>IFERROR(Table1[[#This Row],[Utilization %]]*Table1[[#This Row],[Efficiency %]]*Table1[[#This Row],[Quality %]], "")</f>
        <v>1.0175714285714286</v>
      </c>
    </row>
    <row r="1922" spans="1:18" ht="30" customHeight="1" x14ac:dyDescent="0.25">
      <c r="A1922" s="47">
        <v>46292</v>
      </c>
      <c r="B1922" s="48" t="s">
        <v>18</v>
      </c>
      <c r="C1922" s="48" t="s">
        <v>28</v>
      </c>
      <c r="D1922" s="48" t="s">
        <v>29</v>
      </c>
      <c r="E1922" s="49">
        <v>7800</v>
      </c>
      <c r="F1922" s="76">
        <v>7194</v>
      </c>
      <c r="G1922" s="49">
        <v>0</v>
      </c>
      <c r="H1922" s="50">
        <f>IFERROR(Table1[Re-process (Kg)]/Table1[Actual Production (Kg)], "")</f>
        <v>0</v>
      </c>
      <c r="I1922" s="49">
        <f>IFERROR(Table1[[#This Row],[Actual Production (Kg)]]-Table1[[#This Row],[Re-process (Kg)]], "")</f>
        <v>7194</v>
      </c>
      <c r="J1922" s="49">
        <v>22</v>
      </c>
      <c r="K1922" s="72">
        <v>2</v>
      </c>
      <c r="L1922" s="49">
        <f>IF(Table1[[#This Row],[Target Time (Hours)]]="","",Table1[[#This Row],[Target Time (Hours)]]-Table1[[#This Row],[Downtime (Hours)]])</f>
        <v>20</v>
      </c>
      <c r="M1922" s="49">
        <f>IFERROR(Table1[[#This Row],[Capacity (Kg)]]/Table1[[#This Row],[Target Time (Hours)]] * Table1[[#This Row],[Downtime (Hours)]], "")</f>
        <v>709.09090909090912</v>
      </c>
      <c r="N1922" s="50">
        <f>IFERROR(Table1[[#This Row],[Running Time (hr)]]/Table1[Target Time (Hours)], "")</f>
        <v>0.90909090909090906</v>
      </c>
      <c r="O1922" s="50">
        <f>IFERROR(Table1[[#This Row],[Actual Production (Kg)]]/Table1[Capacity (Kg)], "")</f>
        <v>0.92230769230769227</v>
      </c>
      <c r="P1922" s="50">
        <f>IFERROR(Table1[[#This Row],[Quality Pass Production]]/Table1[[#This Row],[Actual Production (Kg)]], "")</f>
        <v>1</v>
      </c>
      <c r="Q1922" s="50">
        <f>IFERROR(Table1[[#This Row],[Utilization %]]*Table1[[#This Row],[Efficiency %]]*Table1[[#This Row],[Quality %]], "")</f>
        <v>0.83846153846153837</v>
      </c>
      <c r="R1922" s="48" t="s">
        <v>528</v>
      </c>
    </row>
    <row r="1923" spans="1:18" ht="30" customHeight="1" x14ac:dyDescent="0.25">
      <c r="A1923" s="51">
        <v>46292</v>
      </c>
      <c r="B1923" s="52" t="s">
        <v>18</v>
      </c>
      <c r="C1923" s="52" t="s">
        <v>135</v>
      </c>
      <c r="D1923" s="52" t="s">
        <v>29</v>
      </c>
      <c r="E1923" s="53"/>
      <c r="F1923" s="53"/>
      <c r="G1923" s="53"/>
      <c r="H1923" s="57" t="str">
        <f>IFERROR(Table1[Re-process (Kg)]/Table1[Actual Production (Kg)], "")</f>
        <v/>
      </c>
      <c r="I1923" s="53">
        <f>IFERROR(Table1[[#This Row],[Actual Production (Kg)]]-Table1[[#This Row],[Re-process (Kg)]], "")</f>
        <v>0</v>
      </c>
      <c r="J1923" s="53"/>
      <c r="K1923" s="52"/>
      <c r="L1923" s="53" t="str">
        <f>IF(Table1[[#This Row],[Target Time (Hours)]]="","",Table1[[#This Row],[Target Time (Hours)]]-Table1[[#This Row],[Downtime (Hours)]])</f>
        <v/>
      </c>
      <c r="M1923" s="53" t="str">
        <f>IFERROR(Table1[[#This Row],[Capacity (Kg)]]/Table1[[#This Row],[Target Time (Hours)]] * Table1[[#This Row],[Downtime (Hours)]], "")</f>
        <v/>
      </c>
      <c r="N1923" s="57" t="str">
        <f>IFERROR(Table1[[#This Row],[Running Time (hr)]]/Table1[Target Time (Hours)], "")</f>
        <v/>
      </c>
      <c r="O1923" s="57" t="str">
        <f>IFERROR(Table1[[#This Row],[Actual Production (Kg)]]/Table1[Capacity (Kg)], "")</f>
        <v/>
      </c>
      <c r="P1923" s="57" t="str">
        <f>IFERROR(Table1[[#This Row],[Quality Pass Production]]/Table1[[#This Row],[Actual Production (Kg)]], "")</f>
        <v/>
      </c>
      <c r="Q1923" s="57" t="str">
        <f>IFERROR(Table1[[#This Row],[Utilization %]]*Table1[[#This Row],[Efficiency %]]*Table1[[#This Row],[Quality %]], "")</f>
        <v/>
      </c>
      <c r="R1923" s="52"/>
    </row>
    <row r="1924" spans="1:18" ht="30" customHeight="1" x14ac:dyDescent="0.25">
      <c r="A1924" s="47">
        <v>46292</v>
      </c>
      <c r="B1924" s="48" t="s">
        <v>18</v>
      </c>
      <c r="C1924" s="48" t="s">
        <v>30</v>
      </c>
      <c r="D1924" s="48" t="s">
        <v>31</v>
      </c>
      <c r="E1924" s="49">
        <v>9000</v>
      </c>
      <c r="F1924" s="76">
        <v>7255</v>
      </c>
      <c r="G1924" s="49">
        <v>0</v>
      </c>
      <c r="H1924" s="50">
        <f>IFERROR(Table1[Re-process (Kg)]/Table1[Actual Production (Kg)], "")</f>
        <v>0</v>
      </c>
      <c r="I1924" s="49">
        <f>IFERROR(Table1[[#This Row],[Actual Production (Kg)]]-Table1[[#This Row],[Re-process (Kg)]], "")</f>
        <v>7255</v>
      </c>
      <c r="J1924" s="49">
        <v>22</v>
      </c>
      <c r="K1924" s="72">
        <v>2</v>
      </c>
      <c r="L1924" s="49">
        <f>IF(Table1[[#This Row],[Target Time (Hours)]]="","",Table1[[#This Row],[Target Time (Hours)]]-Table1[[#This Row],[Downtime (Hours)]])</f>
        <v>20</v>
      </c>
      <c r="M1924" s="49">
        <f>IFERROR(Table1[[#This Row],[Capacity (Kg)]]/Table1[[#This Row],[Target Time (Hours)]] * Table1[[#This Row],[Downtime (Hours)]], "")</f>
        <v>818.18181818181813</v>
      </c>
      <c r="N1924" s="50">
        <f>IFERROR(Table1[[#This Row],[Running Time (hr)]]/Table1[Target Time (Hours)], "")</f>
        <v>0.90909090909090906</v>
      </c>
      <c r="O1924" s="50">
        <f>IFERROR(Table1[[#This Row],[Actual Production (Kg)]]/Table1[Capacity (Kg)], "")</f>
        <v>0.80611111111111111</v>
      </c>
      <c r="P1924" s="50">
        <f>IFERROR(Table1[[#This Row],[Quality Pass Production]]/Table1[[#This Row],[Actual Production (Kg)]], "")</f>
        <v>1</v>
      </c>
      <c r="Q1924" s="50">
        <f>IFERROR(Table1[[#This Row],[Utilization %]]*Table1[[#This Row],[Efficiency %]]*Table1[[#This Row],[Quality %]], "")</f>
        <v>0.73282828282828283</v>
      </c>
      <c r="R1924" s="48" t="s">
        <v>529</v>
      </c>
    </row>
    <row r="1925" spans="1:18" ht="30" customHeight="1" x14ac:dyDescent="0.25">
      <c r="A1925" s="51">
        <v>46292</v>
      </c>
      <c r="B1925" s="52" t="s">
        <v>18</v>
      </c>
      <c r="C1925" s="52" t="s">
        <v>32</v>
      </c>
      <c r="D1925" s="52" t="s">
        <v>31</v>
      </c>
      <c r="E1925" s="53"/>
      <c r="F1925" s="53"/>
      <c r="G1925" s="53"/>
      <c r="H1925" s="57" t="str">
        <f>IFERROR(Table1[Re-process (Kg)]/Table1[Actual Production (Kg)], "")</f>
        <v/>
      </c>
      <c r="I1925" s="53">
        <f>IFERROR(Table1[[#This Row],[Actual Production (Kg)]]-Table1[[#This Row],[Re-process (Kg)]], "")</f>
        <v>0</v>
      </c>
      <c r="J1925" s="53"/>
      <c r="K1925" s="52"/>
      <c r="L1925" s="53" t="str">
        <f>IF(Table1[[#This Row],[Target Time (Hours)]]="","",Table1[[#This Row],[Target Time (Hours)]]-Table1[[#This Row],[Downtime (Hours)]])</f>
        <v/>
      </c>
      <c r="M1925" s="53" t="str">
        <f>IFERROR(Table1[[#This Row],[Capacity (Kg)]]/Table1[[#This Row],[Target Time (Hours)]] * Table1[[#This Row],[Downtime (Hours)]], "")</f>
        <v/>
      </c>
      <c r="N1925" s="57" t="str">
        <f>IFERROR(Table1[[#This Row],[Running Time (hr)]]/Table1[Target Time (Hours)], "")</f>
        <v/>
      </c>
      <c r="O1925" s="57" t="str">
        <f>IFERROR(Table1[[#This Row],[Actual Production (Kg)]]/Table1[Capacity (Kg)], "")</f>
        <v/>
      </c>
      <c r="P1925" s="57" t="str">
        <f>IFERROR(Table1[[#This Row],[Quality Pass Production]]/Table1[[#This Row],[Actual Production (Kg)]], "")</f>
        <v/>
      </c>
      <c r="Q1925" s="57" t="str">
        <f>IFERROR(Table1[[#This Row],[Utilization %]]*Table1[[#This Row],[Efficiency %]]*Table1[[#This Row],[Quality %]], "")</f>
        <v/>
      </c>
      <c r="R1925" s="52"/>
    </row>
    <row r="1926" spans="1:18" ht="30" customHeight="1" x14ac:dyDescent="0.25">
      <c r="A1926" s="47">
        <v>46292</v>
      </c>
      <c r="B1926" s="48" t="s">
        <v>33</v>
      </c>
      <c r="C1926" s="48" t="s">
        <v>34</v>
      </c>
      <c r="D1926" s="48" t="s">
        <v>35</v>
      </c>
      <c r="E1926" s="49">
        <v>9000</v>
      </c>
      <c r="F1926" s="76">
        <v>3560</v>
      </c>
      <c r="G1926" s="49">
        <v>0</v>
      </c>
      <c r="H1926" s="50">
        <f>IFERROR(Table1[Re-process (Kg)]/Table1[Actual Production (Kg)], "")</f>
        <v>0</v>
      </c>
      <c r="I1926" s="49">
        <f>IFERROR(Table1[[#This Row],[Actual Production (Kg)]]-Table1[[#This Row],[Re-process (Kg)]], "")</f>
        <v>3560</v>
      </c>
      <c r="J1926" s="49">
        <v>22</v>
      </c>
      <c r="K1926" s="72"/>
      <c r="L1926" s="49">
        <f>IF(Table1[[#This Row],[Target Time (Hours)]]="","",Table1[[#This Row],[Target Time (Hours)]]-Table1[[#This Row],[Downtime (Hours)]])</f>
        <v>22</v>
      </c>
      <c r="M1926" s="49">
        <f>IFERROR(Table1[[#This Row],[Capacity (Kg)]]/Table1[[#This Row],[Target Time (Hours)]] * Table1[[#This Row],[Downtime (Hours)]], "")</f>
        <v>0</v>
      </c>
      <c r="N1926" s="50">
        <f>IFERROR(Table1[[#This Row],[Running Time (hr)]]/Table1[Target Time (Hours)], "")</f>
        <v>1</v>
      </c>
      <c r="O1926" s="50">
        <f>IFERROR(Table1[[#This Row],[Actual Production (Kg)]]/Table1[Capacity (Kg)], "")</f>
        <v>0.39555555555555555</v>
      </c>
      <c r="P1926" s="50">
        <f>IFERROR(Table1[[#This Row],[Quality Pass Production]]/Table1[[#This Row],[Actual Production (Kg)]], "")</f>
        <v>1</v>
      </c>
      <c r="Q1926" s="50">
        <f>IFERROR(Table1[[#This Row],[Utilization %]]*Table1[[#This Row],[Efficiency %]]*Table1[[#This Row],[Quality %]], "")</f>
        <v>0.39555555555555555</v>
      </c>
    </row>
    <row r="1927" spans="1:18" ht="30" customHeight="1" x14ac:dyDescent="0.25">
      <c r="A1927" s="47">
        <v>46292</v>
      </c>
      <c r="B1927" s="48" t="s">
        <v>33</v>
      </c>
      <c r="C1927" s="48" t="s">
        <v>36</v>
      </c>
      <c r="D1927" s="48" t="s">
        <v>37</v>
      </c>
      <c r="E1927" s="49">
        <v>8000</v>
      </c>
      <c r="F1927" s="76">
        <v>5206</v>
      </c>
      <c r="G1927" s="49">
        <v>0</v>
      </c>
      <c r="H1927" s="50">
        <f>IFERROR(Table1[Re-process (Kg)]/Table1[Actual Production (Kg)], "")</f>
        <v>0</v>
      </c>
      <c r="I1927" s="49">
        <f>IFERROR(Table1[[#This Row],[Actual Production (Kg)]]-Table1[[#This Row],[Re-process (Kg)]], "")</f>
        <v>5206</v>
      </c>
      <c r="J1927" s="49">
        <v>22</v>
      </c>
      <c r="K1927" s="72">
        <v>5.33</v>
      </c>
      <c r="L1927" s="49">
        <f>IF(Table1[[#This Row],[Target Time (Hours)]]="","",Table1[[#This Row],[Target Time (Hours)]]-Table1[[#This Row],[Downtime (Hours)]])</f>
        <v>16.670000000000002</v>
      </c>
      <c r="M1927" s="49">
        <f>IFERROR(Table1[[#This Row],[Capacity (Kg)]]/Table1[[#This Row],[Target Time (Hours)]] * Table1[[#This Row],[Downtime (Hours)]], "")</f>
        <v>1938.1818181818182</v>
      </c>
      <c r="N1927" s="50">
        <f>IFERROR(Table1[[#This Row],[Running Time (hr)]]/Table1[Target Time (Hours)], "")</f>
        <v>0.7577272727272728</v>
      </c>
      <c r="O1927" s="50">
        <f>IFERROR(Table1[[#This Row],[Actual Production (Kg)]]/Table1[Capacity (Kg)], "")</f>
        <v>0.65075000000000005</v>
      </c>
      <c r="P1927" s="50">
        <f>IFERROR(Table1[[#This Row],[Quality Pass Production]]/Table1[[#This Row],[Actual Production (Kg)]], "")</f>
        <v>1</v>
      </c>
      <c r="Q1927" s="50">
        <f>IFERROR(Table1[[#This Row],[Utilization %]]*Table1[[#This Row],[Efficiency %]]*Table1[[#This Row],[Quality %]], "")</f>
        <v>0.49309102272727284</v>
      </c>
      <c r="R1927" s="48" t="s">
        <v>530</v>
      </c>
    </row>
    <row r="1928" spans="1:18" ht="30" customHeight="1" x14ac:dyDescent="0.25">
      <c r="A1928" s="47">
        <v>46292</v>
      </c>
      <c r="B1928" s="48" t="s">
        <v>33</v>
      </c>
      <c r="C1928" s="48" t="s">
        <v>39</v>
      </c>
      <c r="D1928" s="48" t="s">
        <v>31</v>
      </c>
      <c r="E1928" s="49">
        <v>6000</v>
      </c>
      <c r="F1928" s="76">
        <v>2589</v>
      </c>
      <c r="G1928" s="49">
        <v>0</v>
      </c>
      <c r="H1928" s="50">
        <f>IFERROR(Table1[Re-process (Kg)]/Table1[Actual Production (Kg)], "")</f>
        <v>0</v>
      </c>
      <c r="I1928" s="49">
        <f>IFERROR(Table1[[#This Row],[Actual Production (Kg)]]-Table1[[#This Row],[Re-process (Kg)]], "")</f>
        <v>2589</v>
      </c>
      <c r="J1928" s="49">
        <v>22</v>
      </c>
      <c r="K1928" s="72">
        <v>6</v>
      </c>
      <c r="L1928" s="49">
        <f>IF(Table1[[#This Row],[Target Time (Hours)]]="","",Table1[[#This Row],[Target Time (Hours)]]-Table1[[#This Row],[Downtime (Hours)]])</f>
        <v>16</v>
      </c>
      <c r="M1928" s="49">
        <f>IFERROR(Table1[[#This Row],[Capacity (Kg)]]/Table1[[#This Row],[Target Time (Hours)]] * Table1[[#This Row],[Downtime (Hours)]], "")</f>
        <v>1636.3636363636365</v>
      </c>
      <c r="N1928" s="50">
        <f>IFERROR(Table1[[#This Row],[Running Time (hr)]]/Table1[Target Time (Hours)], "")</f>
        <v>0.72727272727272729</v>
      </c>
      <c r="O1928" s="50">
        <f>IFERROR(Table1[[#This Row],[Actual Production (Kg)]]/Table1[Capacity (Kg)], "")</f>
        <v>0.43149999999999999</v>
      </c>
      <c r="P1928" s="50">
        <f>IFERROR(Table1[[#This Row],[Quality Pass Production]]/Table1[[#This Row],[Actual Production (Kg)]], "")</f>
        <v>1</v>
      </c>
      <c r="Q1928" s="50">
        <f>IFERROR(Table1[[#This Row],[Utilization %]]*Table1[[#This Row],[Efficiency %]]*Table1[[#This Row],[Quality %]], "")</f>
        <v>0.31381818181818183</v>
      </c>
      <c r="R1928" s="48" t="s">
        <v>531</v>
      </c>
    </row>
    <row r="1929" spans="1:18" ht="45" customHeight="1" x14ac:dyDescent="0.25">
      <c r="A1929" s="54">
        <v>46292</v>
      </c>
      <c r="B1929" s="55" t="s">
        <v>33</v>
      </c>
      <c r="C1929" s="55" t="s">
        <v>40</v>
      </c>
      <c r="D1929" s="55" t="s">
        <v>31</v>
      </c>
      <c r="E1929" s="56">
        <v>5000</v>
      </c>
      <c r="F1929" s="56">
        <v>3243</v>
      </c>
      <c r="G1929" s="56">
        <v>0</v>
      </c>
      <c r="H1929" s="58">
        <f>IFERROR(Table1[Re-process (Kg)]/Table1[Actual Production (Kg)], "")</f>
        <v>0</v>
      </c>
      <c r="I1929" s="56">
        <f>IFERROR(Table1[[#This Row],[Actual Production (Kg)]]-Table1[[#This Row],[Re-process (Kg)]], "")</f>
        <v>3243</v>
      </c>
      <c r="J1929" s="56">
        <v>22</v>
      </c>
      <c r="K1929" s="55">
        <v>2</v>
      </c>
      <c r="L1929" s="56">
        <f>IF(Table1[[#This Row],[Target Time (Hours)]]="","",Table1[[#This Row],[Target Time (Hours)]]-Table1[[#This Row],[Downtime (Hours)]])</f>
        <v>20</v>
      </c>
      <c r="M1929" s="56">
        <f>IFERROR(Table1[[#This Row],[Capacity (Kg)]]/Table1[[#This Row],[Target Time (Hours)]] * Table1[[#This Row],[Downtime (Hours)]], "")</f>
        <v>454.54545454545456</v>
      </c>
      <c r="N1929" s="58">
        <f>IFERROR(Table1[[#This Row],[Running Time (hr)]]/Table1[Target Time (Hours)], "")</f>
        <v>0.90909090909090906</v>
      </c>
      <c r="O1929" s="58">
        <f>IFERROR(Table1[[#This Row],[Actual Production (Kg)]]/Table1[Capacity (Kg)], "")</f>
        <v>0.64859999999999995</v>
      </c>
      <c r="P1929" s="58">
        <f>IFERROR(Table1[[#This Row],[Quality Pass Production]]/Table1[[#This Row],[Actual Production (Kg)]], "")</f>
        <v>1</v>
      </c>
      <c r="Q1929" s="58">
        <f>IFERROR(Table1[[#This Row],[Utilization %]]*Table1[[#This Row],[Efficiency %]]*Table1[[#This Row],[Quality %]], "")</f>
        <v>0.58963636363636363</v>
      </c>
      <c r="R1929" s="55" t="s">
        <v>532</v>
      </c>
    </row>
    <row r="1930" spans="1:18" ht="30" customHeight="1" x14ac:dyDescent="0.25">
      <c r="A1930" s="47">
        <v>46293</v>
      </c>
      <c r="B1930" s="48" t="s">
        <v>18</v>
      </c>
      <c r="C1930" s="48" t="s">
        <v>19</v>
      </c>
      <c r="D1930" s="48" t="s">
        <v>20</v>
      </c>
      <c r="E1930" s="49">
        <v>10000</v>
      </c>
      <c r="F1930" s="76">
        <v>9500</v>
      </c>
      <c r="G1930" s="49">
        <v>0</v>
      </c>
      <c r="H1930" s="50">
        <f>IFERROR(Table1[Re-process (Kg)]/Table1[Actual Production (Kg)], "")</f>
        <v>0</v>
      </c>
      <c r="I1930" s="49">
        <f>IFERROR(Table1[[#This Row],[Actual Production (Kg)]]-Table1[[#This Row],[Re-process (Kg)]], "")</f>
        <v>9500</v>
      </c>
      <c r="J1930" s="49">
        <v>22</v>
      </c>
      <c r="K1930" s="72"/>
      <c r="L1930" s="49">
        <f>IF(Table1[[#This Row],[Target Time (Hours)]]="","",Table1[[#This Row],[Target Time (Hours)]]-Table1[[#This Row],[Downtime (Hours)]])</f>
        <v>22</v>
      </c>
      <c r="M1930" s="49">
        <f>IFERROR(Table1[[#This Row],[Capacity (Kg)]]/Table1[[#This Row],[Target Time (Hours)]] * Table1[[#This Row],[Downtime (Hours)]], "")</f>
        <v>0</v>
      </c>
      <c r="N1930" s="50">
        <f>IFERROR(Table1[[#This Row],[Running Time (hr)]]/Table1[Target Time (Hours)], "")</f>
        <v>1</v>
      </c>
      <c r="O1930" s="50">
        <f>IFERROR(Table1[[#This Row],[Actual Production (Kg)]]/Table1[Capacity (Kg)], "")</f>
        <v>0.95</v>
      </c>
      <c r="P1930" s="50">
        <f>IFERROR(Table1[[#This Row],[Quality Pass Production]]/Table1[[#This Row],[Actual Production (Kg)]], "")</f>
        <v>1</v>
      </c>
      <c r="Q1930" s="50">
        <f>IFERROR(Table1[[#This Row],[Utilization %]]*Table1[[#This Row],[Efficiency %]]*Table1[[#This Row],[Quality %]], "")</f>
        <v>0.95</v>
      </c>
    </row>
    <row r="1931" spans="1:18" x14ac:dyDescent="0.25">
      <c r="A1931" s="51">
        <v>46293</v>
      </c>
      <c r="B1931" s="52" t="s">
        <v>18</v>
      </c>
      <c r="C1931" s="52" t="s">
        <v>238</v>
      </c>
      <c r="D1931" s="52" t="s">
        <v>20</v>
      </c>
      <c r="E1931" s="53">
        <v>9804</v>
      </c>
      <c r="F1931" s="53">
        <v>9804</v>
      </c>
      <c r="G1931" s="53">
        <v>0</v>
      </c>
      <c r="H1931" s="57">
        <f>IFERROR(Table1[Re-process (Kg)]/Table1[Actual Production (Kg)], "")</f>
        <v>0</v>
      </c>
      <c r="I1931" s="53">
        <f>IFERROR(Table1[[#This Row],[Actual Production (Kg)]]-Table1[[#This Row],[Re-process (Kg)]], "")</f>
        <v>9804</v>
      </c>
      <c r="J1931" s="53"/>
      <c r="K1931" s="52"/>
      <c r="L1931" s="53" t="str">
        <f>IF(Table1[[#This Row],[Target Time (Hours)]]="","",Table1[[#This Row],[Target Time (Hours)]]-Table1[[#This Row],[Downtime (Hours)]])</f>
        <v/>
      </c>
      <c r="M1931" s="53" t="str">
        <f>IFERROR(Table1[[#This Row],[Capacity (Kg)]]/Table1[[#This Row],[Target Time (Hours)]] * Table1[[#This Row],[Downtime (Hours)]], "")</f>
        <v/>
      </c>
      <c r="N1931" s="57" t="str">
        <f>IFERROR(Table1[[#This Row],[Running Time (hr)]]/Table1[Target Time (Hours)], "")</f>
        <v/>
      </c>
      <c r="O1931" s="57">
        <f>IFERROR(Table1[[#This Row],[Actual Production (Kg)]]/Table1[Capacity (Kg)], "")</f>
        <v>1</v>
      </c>
      <c r="P1931" s="57">
        <f>IFERROR(Table1[[#This Row],[Quality Pass Production]]/Table1[[#This Row],[Actual Production (Kg)]], "")</f>
        <v>1</v>
      </c>
      <c r="Q1931" s="57" t="str">
        <f>IFERROR(Table1[[#This Row],[Utilization %]]*Table1[[#This Row],[Efficiency %]]*Table1[[#This Row],[Quality %]], "")</f>
        <v/>
      </c>
      <c r="R1931" s="52"/>
    </row>
    <row r="1932" spans="1:18" ht="30" customHeight="1" x14ac:dyDescent="0.25">
      <c r="A1932" s="47">
        <v>46293</v>
      </c>
      <c r="B1932" s="48" t="s">
        <v>18</v>
      </c>
      <c r="C1932" s="48" t="s">
        <v>22</v>
      </c>
      <c r="D1932" s="48" t="s">
        <v>23</v>
      </c>
      <c r="E1932" s="49">
        <v>5000</v>
      </c>
      <c r="F1932" s="76">
        <v>2443</v>
      </c>
      <c r="G1932" s="49">
        <v>0</v>
      </c>
      <c r="H1932" s="50">
        <f>IFERROR(Table1[Re-process (Kg)]/Table1[Actual Production (Kg)], "")</f>
        <v>0</v>
      </c>
      <c r="I1932" s="49">
        <f>IFERROR(Table1[[#This Row],[Actual Production (Kg)]]-Table1[[#This Row],[Re-process (Kg)]], "")</f>
        <v>2443</v>
      </c>
      <c r="J1932" s="49">
        <v>22</v>
      </c>
      <c r="K1932" s="72"/>
      <c r="L1932" s="49">
        <f>IF(Table1[[#This Row],[Target Time (Hours)]]="","",Table1[[#This Row],[Target Time (Hours)]]-Table1[[#This Row],[Downtime (Hours)]])</f>
        <v>22</v>
      </c>
      <c r="M1932" s="49">
        <f>IFERROR(Table1[[#This Row],[Capacity (Kg)]]/Table1[[#This Row],[Target Time (Hours)]] * Table1[[#This Row],[Downtime (Hours)]], "")</f>
        <v>0</v>
      </c>
      <c r="N1932" s="50">
        <f>IFERROR(Table1[[#This Row],[Running Time (hr)]]/Table1[Target Time (Hours)], "")</f>
        <v>1</v>
      </c>
      <c r="O1932" s="50">
        <f>IFERROR(Table1[[#This Row],[Actual Production (Kg)]]/Table1[Capacity (Kg)], "")</f>
        <v>0.48859999999999998</v>
      </c>
      <c r="P1932" s="50">
        <f>IFERROR(Table1[[#This Row],[Quality Pass Production]]/Table1[[#This Row],[Actual Production (Kg)]], "")</f>
        <v>1</v>
      </c>
      <c r="Q1932" s="50">
        <f>IFERROR(Table1[[#This Row],[Utilization %]]*Table1[[#This Row],[Efficiency %]]*Table1[[#This Row],[Quality %]], "")</f>
        <v>0.48859999999999998</v>
      </c>
      <c r="R1932" s="48" t="s">
        <v>209</v>
      </c>
    </row>
    <row r="1933" spans="1:18" x14ac:dyDescent="0.25">
      <c r="A1933" s="47">
        <v>46293</v>
      </c>
      <c r="B1933" s="48" t="s">
        <v>18</v>
      </c>
      <c r="C1933" s="48" t="s">
        <v>22</v>
      </c>
      <c r="D1933" s="48" t="s">
        <v>25</v>
      </c>
      <c r="E1933" s="49">
        <v>4000</v>
      </c>
      <c r="F1933" s="76">
        <v>7902</v>
      </c>
      <c r="G1933" s="49">
        <v>0</v>
      </c>
      <c r="H1933" s="50">
        <f>IFERROR(Table1[Re-process (Kg)]/Table1[Actual Production (Kg)], "")</f>
        <v>0</v>
      </c>
      <c r="I1933" s="49">
        <f>IFERROR(Table1[[#This Row],[Actual Production (Kg)]]-Table1[[#This Row],[Re-process (Kg)]], "")</f>
        <v>7902</v>
      </c>
      <c r="J1933" s="49"/>
      <c r="K1933" s="72"/>
      <c r="L1933" s="49" t="str">
        <f>IF(Table1[[#This Row],[Target Time (Hours)]]="","",Table1[[#This Row],[Target Time (Hours)]]-Table1[[#This Row],[Downtime (Hours)]])</f>
        <v/>
      </c>
      <c r="M1933" s="49" t="str">
        <f>IFERROR(Table1[[#This Row],[Capacity (Kg)]]/Table1[[#This Row],[Target Time (Hours)]] * Table1[[#This Row],[Downtime (Hours)]], "")</f>
        <v/>
      </c>
      <c r="N1933" s="50" t="str">
        <f>IFERROR(Table1[[#This Row],[Running Time (hr)]]/Table1[Target Time (Hours)], "")</f>
        <v/>
      </c>
      <c r="O1933" s="50">
        <f>IFERROR(Table1[[#This Row],[Actual Production (Kg)]]/Table1[Capacity (Kg)], "")</f>
        <v>1.9755</v>
      </c>
      <c r="P1933" s="50">
        <f>IFERROR(Table1[[#This Row],[Quality Pass Production]]/Table1[[#This Row],[Actual Production (Kg)]], "")</f>
        <v>1</v>
      </c>
      <c r="Q1933" s="50" t="str">
        <f>IFERROR(Table1[[#This Row],[Utilization %]]*Table1[[#This Row],[Efficiency %]]*Table1[[#This Row],[Quality %]], "")</f>
        <v/>
      </c>
    </row>
    <row r="1934" spans="1:18" ht="30" customHeight="1" x14ac:dyDescent="0.25">
      <c r="A1934" s="47">
        <v>46293</v>
      </c>
      <c r="B1934" s="48" t="s">
        <v>18</v>
      </c>
      <c r="C1934" s="48" t="s">
        <v>26</v>
      </c>
      <c r="D1934" s="48" t="s">
        <v>25</v>
      </c>
      <c r="E1934" s="49">
        <v>7000</v>
      </c>
      <c r="F1934" s="76">
        <v>7952</v>
      </c>
      <c r="G1934" s="49">
        <v>0</v>
      </c>
      <c r="H1934" s="50">
        <f>IFERROR(Table1[Re-process (Kg)]/Table1[Actual Production (Kg)], "")</f>
        <v>0</v>
      </c>
      <c r="I1934" s="49">
        <f>IFERROR(Table1[[#This Row],[Actual Production (Kg)]]-Table1[[#This Row],[Re-process (Kg)]], "")</f>
        <v>7952</v>
      </c>
      <c r="J1934" s="49">
        <v>22</v>
      </c>
      <c r="K1934" s="72"/>
      <c r="L1934" s="49">
        <f>IF(Table1[[#This Row],[Target Time (Hours)]]="","",Table1[[#This Row],[Target Time (Hours)]]-Table1[[#This Row],[Downtime (Hours)]])</f>
        <v>22</v>
      </c>
      <c r="M1934" s="49">
        <f>IFERROR(Table1[[#This Row],[Capacity (Kg)]]/Table1[[#This Row],[Target Time (Hours)]] * Table1[[#This Row],[Downtime (Hours)]], "")</f>
        <v>0</v>
      </c>
      <c r="N1934" s="50">
        <f>IFERROR(Table1[[#This Row],[Running Time (hr)]]/Table1[Target Time (Hours)], "")</f>
        <v>1</v>
      </c>
      <c r="O1934" s="50">
        <f>IFERROR(Table1[[#This Row],[Actual Production (Kg)]]/Table1[Capacity (Kg)], "")</f>
        <v>1.1359999999999999</v>
      </c>
      <c r="P1934" s="50">
        <f>IFERROR(Table1[[#This Row],[Quality Pass Production]]/Table1[[#This Row],[Actual Production (Kg)]], "")</f>
        <v>1</v>
      </c>
      <c r="Q1934" s="50">
        <f>IFERROR(Table1[[#This Row],[Utilization %]]*Table1[[#This Row],[Efficiency %]]*Table1[[#This Row],[Quality %]], "")</f>
        <v>1.1359999999999999</v>
      </c>
      <c r="R1934" s="48" t="s">
        <v>209</v>
      </c>
    </row>
    <row r="1935" spans="1:18" ht="30" customHeight="1" x14ac:dyDescent="0.25">
      <c r="A1935" s="47">
        <v>46293</v>
      </c>
      <c r="B1935" s="48" t="s">
        <v>18</v>
      </c>
      <c r="C1935" s="48" t="s">
        <v>28</v>
      </c>
      <c r="D1935" s="48" t="s">
        <v>29</v>
      </c>
      <c r="E1935" s="49">
        <v>7800</v>
      </c>
      <c r="F1935" s="76">
        <v>3703</v>
      </c>
      <c r="G1935" s="49">
        <v>0</v>
      </c>
      <c r="H1935" s="50">
        <f>IFERROR(Table1[Re-process (Kg)]/Table1[Actual Production (Kg)], "")</f>
        <v>0</v>
      </c>
      <c r="I1935" s="49">
        <f>IFERROR(Table1[[#This Row],[Actual Production (Kg)]]-Table1[[#This Row],[Re-process (Kg)]], "")</f>
        <v>3703</v>
      </c>
      <c r="J1935" s="49">
        <v>22</v>
      </c>
      <c r="K1935" s="72">
        <v>10</v>
      </c>
      <c r="L1935" s="49">
        <f>IF(Table1[[#This Row],[Target Time (Hours)]]="","",Table1[[#This Row],[Target Time (Hours)]]-Table1[[#This Row],[Downtime (Hours)]])</f>
        <v>12</v>
      </c>
      <c r="M1935" s="49">
        <f>IFERROR(Table1[[#This Row],[Capacity (Kg)]]/Table1[[#This Row],[Target Time (Hours)]] * Table1[[#This Row],[Downtime (Hours)]], "")</f>
        <v>3545.4545454545455</v>
      </c>
      <c r="N1935" s="50">
        <f>IFERROR(Table1[[#This Row],[Running Time (hr)]]/Table1[Target Time (Hours)], "")</f>
        <v>0.54545454545454541</v>
      </c>
      <c r="O1935" s="50">
        <f>IFERROR(Table1[[#This Row],[Actual Production (Kg)]]/Table1[Capacity (Kg)], "")</f>
        <v>0.47474358974358977</v>
      </c>
      <c r="P1935" s="50">
        <f>IFERROR(Table1[[#This Row],[Quality Pass Production]]/Table1[[#This Row],[Actual Production (Kg)]], "")</f>
        <v>1</v>
      </c>
      <c r="Q1935" s="50">
        <f>IFERROR(Table1[[#This Row],[Utilization %]]*Table1[[#This Row],[Efficiency %]]*Table1[[#This Row],[Quality %]], "")</f>
        <v>0.25895104895104892</v>
      </c>
      <c r="R1935" s="48" t="s">
        <v>533</v>
      </c>
    </row>
    <row r="1936" spans="1:18" ht="30" customHeight="1" x14ac:dyDescent="0.25">
      <c r="A1936" s="51">
        <v>46293</v>
      </c>
      <c r="B1936" s="52" t="s">
        <v>18</v>
      </c>
      <c r="C1936" s="52" t="s">
        <v>135</v>
      </c>
      <c r="D1936" s="52" t="s">
        <v>29</v>
      </c>
      <c r="E1936" s="53"/>
      <c r="F1936" s="53"/>
      <c r="G1936" s="53"/>
      <c r="H1936" s="57" t="str">
        <f>IFERROR(Table1[Re-process (Kg)]/Table1[Actual Production (Kg)], "")</f>
        <v/>
      </c>
      <c r="I1936" s="53">
        <f>IFERROR(Table1[[#This Row],[Actual Production (Kg)]]-Table1[[#This Row],[Re-process (Kg)]], "")</f>
        <v>0</v>
      </c>
      <c r="J1936" s="53"/>
      <c r="K1936" s="52"/>
      <c r="L1936" s="53" t="str">
        <f>IF(Table1[[#This Row],[Target Time (Hours)]]="","",Table1[[#This Row],[Target Time (Hours)]]-Table1[[#This Row],[Downtime (Hours)]])</f>
        <v/>
      </c>
      <c r="M1936" s="53" t="str">
        <f>IFERROR(Table1[[#This Row],[Capacity (Kg)]]/Table1[[#This Row],[Target Time (Hours)]] * Table1[[#This Row],[Downtime (Hours)]], "")</f>
        <v/>
      </c>
      <c r="N1936" s="57" t="str">
        <f>IFERROR(Table1[[#This Row],[Running Time (hr)]]/Table1[Target Time (Hours)], "")</f>
        <v/>
      </c>
      <c r="O1936" s="57" t="str">
        <f>IFERROR(Table1[[#This Row],[Actual Production (Kg)]]/Table1[Capacity (Kg)], "")</f>
        <v/>
      </c>
      <c r="P1936" s="57" t="str">
        <f>IFERROR(Table1[[#This Row],[Quality Pass Production]]/Table1[[#This Row],[Actual Production (Kg)]], "")</f>
        <v/>
      </c>
      <c r="Q1936" s="57" t="str">
        <f>IFERROR(Table1[[#This Row],[Utilization %]]*Table1[[#This Row],[Efficiency %]]*Table1[[#This Row],[Quality %]], "")</f>
        <v/>
      </c>
      <c r="R1936" s="52"/>
    </row>
    <row r="1937" spans="1:18" ht="30" customHeight="1" x14ac:dyDescent="0.25">
      <c r="A1937" s="47">
        <v>46293</v>
      </c>
      <c r="B1937" s="48" t="s">
        <v>18</v>
      </c>
      <c r="C1937" s="48" t="s">
        <v>30</v>
      </c>
      <c r="D1937" s="48" t="s">
        <v>31</v>
      </c>
      <c r="E1937" s="49">
        <v>9000</v>
      </c>
      <c r="F1937" s="76">
        <v>8485</v>
      </c>
      <c r="G1937" s="49">
        <v>0</v>
      </c>
      <c r="H1937" s="50">
        <f>IFERROR(Table1[Re-process (Kg)]/Table1[Actual Production (Kg)], "")</f>
        <v>0</v>
      </c>
      <c r="I1937" s="49">
        <f>IFERROR(Table1[[#This Row],[Actual Production (Kg)]]-Table1[[#This Row],[Re-process (Kg)]], "")</f>
        <v>8485</v>
      </c>
      <c r="J1937" s="49">
        <v>22</v>
      </c>
      <c r="K1937" s="72"/>
      <c r="L1937" s="49">
        <f>IF(Table1[[#This Row],[Target Time (Hours)]]="","",Table1[[#This Row],[Target Time (Hours)]]-Table1[[#This Row],[Downtime (Hours)]])</f>
        <v>22</v>
      </c>
      <c r="M1937" s="49">
        <f>IFERROR(Table1[[#This Row],[Capacity (Kg)]]/Table1[[#This Row],[Target Time (Hours)]] * Table1[[#This Row],[Downtime (Hours)]], "")</f>
        <v>0</v>
      </c>
      <c r="N1937" s="50">
        <f>IFERROR(Table1[[#This Row],[Running Time (hr)]]/Table1[Target Time (Hours)], "")</f>
        <v>1</v>
      </c>
      <c r="O1937" s="50">
        <f>IFERROR(Table1[[#This Row],[Actual Production (Kg)]]/Table1[Capacity (Kg)], "")</f>
        <v>0.94277777777777783</v>
      </c>
      <c r="P1937" s="50">
        <f>IFERROR(Table1[[#This Row],[Quality Pass Production]]/Table1[[#This Row],[Actual Production (Kg)]], "")</f>
        <v>1</v>
      </c>
      <c r="Q1937" s="50">
        <f>IFERROR(Table1[[#This Row],[Utilization %]]*Table1[[#This Row],[Efficiency %]]*Table1[[#This Row],[Quality %]], "")</f>
        <v>0.94277777777777783</v>
      </c>
    </row>
    <row r="1938" spans="1:18" ht="30" customHeight="1" x14ac:dyDescent="0.25">
      <c r="A1938" s="51">
        <v>46293</v>
      </c>
      <c r="B1938" s="52" t="s">
        <v>18</v>
      </c>
      <c r="C1938" s="52" t="s">
        <v>32</v>
      </c>
      <c r="D1938" s="52" t="s">
        <v>31</v>
      </c>
      <c r="E1938" s="53">
        <v>2500</v>
      </c>
      <c r="F1938" s="53">
        <v>2819</v>
      </c>
      <c r="G1938" s="53">
        <v>0</v>
      </c>
      <c r="H1938" s="57">
        <f>IFERROR(Table1[Re-process (Kg)]/Table1[Actual Production (Kg)], "")</f>
        <v>0</v>
      </c>
      <c r="I1938" s="53">
        <f>IFERROR(Table1[[#This Row],[Actual Production (Kg)]]-Table1[[#This Row],[Re-process (Kg)]], "")</f>
        <v>2819</v>
      </c>
      <c r="J1938" s="53"/>
      <c r="K1938" s="52"/>
      <c r="L1938" s="53" t="str">
        <f>IF(Table1[[#This Row],[Target Time (Hours)]]="","",Table1[[#This Row],[Target Time (Hours)]]-Table1[[#This Row],[Downtime (Hours)]])</f>
        <v/>
      </c>
      <c r="M1938" s="53" t="str">
        <f>IFERROR(Table1[[#This Row],[Capacity (Kg)]]/Table1[[#This Row],[Target Time (Hours)]] * Table1[[#This Row],[Downtime (Hours)]], "")</f>
        <v/>
      </c>
      <c r="N1938" s="57" t="str">
        <f>IFERROR(Table1[[#This Row],[Running Time (hr)]]/Table1[Target Time (Hours)], "")</f>
        <v/>
      </c>
      <c r="O1938" s="57">
        <f>IFERROR(Table1[[#This Row],[Actual Production (Kg)]]/Table1[Capacity (Kg)], "")</f>
        <v>1.1275999999999999</v>
      </c>
      <c r="P1938" s="57">
        <f>IFERROR(Table1[[#This Row],[Quality Pass Production]]/Table1[[#This Row],[Actual Production (Kg)]], "")</f>
        <v>1</v>
      </c>
      <c r="Q1938" s="57" t="str">
        <f>IFERROR(Table1[[#This Row],[Utilization %]]*Table1[[#This Row],[Efficiency %]]*Table1[[#This Row],[Quality %]], "")</f>
        <v/>
      </c>
      <c r="R1938" s="52" t="s">
        <v>534</v>
      </c>
    </row>
    <row r="1939" spans="1:18" ht="30" customHeight="1" x14ac:dyDescent="0.25">
      <c r="A1939" s="47">
        <v>46293</v>
      </c>
      <c r="B1939" s="48" t="s">
        <v>33</v>
      </c>
      <c r="C1939" s="48" t="s">
        <v>34</v>
      </c>
      <c r="D1939" s="48" t="s">
        <v>35</v>
      </c>
      <c r="E1939" s="49">
        <v>9000</v>
      </c>
      <c r="F1939" s="76">
        <v>6536</v>
      </c>
      <c r="G1939" s="49">
        <v>0</v>
      </c>
      <c r="H1939" s="50">
        <f>IFERROR(Table1[Re-process (Kg)]/Table1[Actual Production (Kg)], "")</f>
        <v>0</v>
      </c>
      <c r="I1939" s="49">
        <f>IFERROR(Table1[[#This Row],[Actual Production (Kg)]]-Table1[[#This Row],[Re-process (Kg)]], "")</f>
        <v>6536</v>
      </c>
      <c r="J1939" s="49">
        <v>22</v>
      </c>
      <c r="K1939" s="72"/>
      <c r="L1939" s="49">
        <f>IF(Table1[[#This Row],[Target Time (Hours)]]="","",Table1[[#This Row],[Target Time (Hours)]]-Table1[[#This Row],[Downtime (Hours)]])</f>
        <v>22</v>
      </c>
      <c r="M1939" s="49">
        <f>IFERROR(Table1[[#This Row],[Capacity (Kg)]]/Table1[[#This Row],[Target Time (Hours)]] * Table1[[#This Row],[Downtime (Hours)]], "")</f>
        <v>0</v>
      </c>
      <c r="N1939" s="50">
        <f>IFERROR(Table1[[#This Row],[Running Time (hr)]]/Table1[Target Time (Hours)], "")</f>
        <v>1</v>
      </c>
      <c r="O1939" s="50">
        <f>IFERROR(Table1[[#This Row],[Actual Production (Kg)]]/Table1[Capacity (Kg)], "")</f>
        <v>0.72622222222222221</v>
      </c>
      <c r="P1939" s="50">
        <f>IFERROR(Table1[[#This Row],[Quality Pass Production]]/Table1[[#This Row],[Actual Production (Kg)]], "")</f>
        <v>1</v>
      </c>
      <c r="Q1939" s="50">
        <f>IFERROR(Table1[[#This Row],[Utilization %]]*Table1[[#This Row],[Efficiency %]]*Table1[[#This Row],[Quality %]], "")</f>
        <v>0.72622222222222221</v>
      </c>
    </row>
    <row r="1940" spans="1:18" ht="30" customHeight="1" x14ac:dyDescent="0.25">
      <c r="A1940" s="47">
        <v>46293</v>
      </c>
      <c r="B1940" s="48" t="s">
        <v>33</v>
      </c>
      <c r="C1940" s="48" t="s">
        <v>36</v>
      </c>
      <c r="D1940" s="48" t="s">
        <v>37</v>
      </c>
      <c r="E1940" s="49">
        <v>8000</v>
      </c>
      <c r="F1940" s="76">
        <v>5404</v>
      </c>
      <c r="G1940" s="49">
        <v>0</v>
      </c>
      <c r="H1940" s="50">
        <f>IFERROR(Table1[Re-process (Kg)]/Table1[Actual Production (Kg)], "")</f>
        <v>0</v>
      </c>
      <c r="I1940" s="49">
        <f>IFERROR(Table1[[#This Row],[Actual Production (Kg)]]-Table1[[#This Row],[Re-process (Kg)]], "")</f>
        <v>5404</v>
      </c>
      <c r="J1940" s="49">
        <v>22</v>
      </c>
      <c r="K1940" s="72">
        <v>2</v>
      </c>
      <c r="L1940" s="49">
        <f>IF(Table1[[#This Row],[Target Time (Hours)]]="","",Table1[[#This Row],[Target Time (Hours)]]-Table1[[#This Row],[Downtime (Hours)]])</f>
        <v>20</v>
      </c>
      <c r="M1940" s="49">
        <f>IFERROR(Table1[[#This Row],[Capacity (Kg)]]/Table1[[#This Row],[Target Time (Hours)]] * Table1[[#This Row],[Downtime (Hours)]], "")</f>
        <v>727.27272727272725</v>
      </c>
      <c r="N1940" s="50">
        <f>IFERROR(Table1[[#This Row],[Running Time (hr)]]/Table1[Target Time (Hours)], "")</f>
        <v>0.90909090909090906</v>
      </c>
      <c r="O1940" s="50">
        <f>IFERROR(Table1[[#This Row],[Actual Production (Kg)]]/Table1[Capacity (Kg)], "")</f>
        <v>0.67549999999999999</v>
      </c>
      <c r="P1940" s="50">
        <f>IFERROR(Table1[[#This Row],[Quality Pass Production]]/Table1[[#This Row],[Actual Production (Kg)]], "")</f>
        <v>1</v>
      </c>
      <c r="Q1940" s="50">
        <f>IFERROR(Table1[[#This Row],[Utilization %]]*Table1[[#This Row],[Efficiency %]]*Table1[[#This Row],[Quality %]], "")</f>
        <v>0.61409090909090902</v>
      </c>
      <c r="R1940" s="48" t="s">
        <v>535</v>
      </c>
    </row>
    <row r="1941" spans="1:18" ht="30" customHeight="1" x14ac:dyDescent="0.25">
      <c r="A1941" s="47">
        <v>46293</v>
      </c>
      <c r="B1941" s="48" t="s">
        <v>33</v>
      </c>
      <c r="C1941" s="48" t="s">
        <v>39</v>
      </c>
      <c r="D1941" s="48" t="s">
        <v>31</v>
      </c>
      <c r="E1941" s="49">
        <v>6000</v>
      </c>
      <c r="F1941" s="76">
        <v>2321</v>
      </c>
      <c r="G1941" s="49">
        <v>0</v>
      </c>
      <c r="H1941" s="50">
        <f>IFERROR(Table1[Re-process (Kg)]/Table1[Actual Production (Kg)], "")</f>
        <v>0</v>
      </c>
      <c r="I1941" s="49">
        <f>IFERROR(Table1[[#This Row],[Actual Production (Kg)]]-Table1[[#This Row],[Re-process (Kg)]], "")</f>
        <v>2321</v>
      </c>
      <c r="J1941" s="49">
        <v>22</v>
      </c>
      <c r="K1941" s="72">
        <v>13.5</v>
      </c>
      <c r="L1941" s="49">
        <f>IF(Table1[[#This Row],[Target Time (Hours)]]="","",Table1[[#This Row],[Target Time (Hours)]]-Table1[[#This Row],[Downtime (Hours)]])</f>
        <v>8.5</v>
      </c>
      <c r="M1941" s="49">
        <f>IFERROR(Table1[[#This Row],[Capacity (Kg)]]/Table1[[#This Row],[Target Time (Hours)]] * Table1[[#This Row],[Downtime (Hours)]], "")</f>
        <v>3681.818181818182</v>
      </c>
      <c r="N1941" s="50">
        <f>IFERROR(Table1[[#This Row],[Running Time (hr)]]/Table1[Target Time (Hours)], "")</f>
        <v>0.38636363636363635</v>
      </c>
      <c r="O1941" s="50">
        <f>IFERROR(Table1[[#This Row],[Actual Production (Kg)]]/Table1[Capacity (Kg)], "")</f>
        <v>0.38683333333333331</v>
      </c>
      <c r="P1941" s="50">
        <f>IFERROR(Table1[[#This Row],[Quality Pass Production]]/Table1[[#This Row],[Actual Production (Kg)]], "")</f>
        <v>1</v>
      </c>
      <c r="Q1941" s="50">
        <f>IFERROR(Table1[[#This Row],[Utilization %]]*Table1[[#This Row],[Efficiency %]]*Table1[[#This Row],[Quality %]], "")</f>
        <v>0.14945833333333333</v>
      </c>
      <c r="R1941" s="48" t="s">
        <v>536</v>
      </c>
    </row>
    <row r="1942" spans="1:18" ht="45" customHeight="1" x14ac:dyDescent="0.25">
      <c r="A1942" s="54">
        <v>46293</v>
      </c>
      <c r="B1942" s="55" t="s">
        <v>33</v>
      </c>
      <c r="C1942" s="55" t="s">
        <v>40</v>
      </c>
      <c r="D1942" s="55" t="s">
        <v>31</v>
      </c>
      <c r="E1942" s="56">
        <v>5000</v>
      </c>
      <c r="F1942" s="56">
        <v>2180</v>
      </c>
      <c r="G1942" s="56">
        <v>0</v>
      </c>
      <c r="H1942" s="58">
        <f>IFERROR(Table1[Re-process (Kg)]/Table1[Actual Production (Kg)], "")</f>
        <v>0</v>
      </c>
      <c r="I1942" s="56">
        <f>IFERROR(Table1[[#This Row],[Actual Production (Kg)]]-Table1[[#This Row],[Re-process (Kg)]], "")</f>
        <v>2180</v>
      </c>
      <c r="J1942" s="56">
        <v>22</v>
      </c>
      <c r="K1942" s="55">
        <v>9</v>
      </c>
      <c r="L1942" s="56">
        <f>IF(Table1[[#This Row],[Target Time (Hours)]]="","",Table1[[#This Row],[Target Time (Hours)]]-Table1[[#This Row],[Downtime (Hours)]])</f>
        <v>13</v>
      </c>
      <c r="M1942" s="56">
        <f>IFERROR(Table1[[#This Row],[Capacity (Kg)]]/Table1[[#This Row],[Target Time (Hours)]] * Table1[[#This Row],[Downtime (Hours)]], "")</f>
        <v>2045.4545454545455</v>
      </c>
      <c r="N1942" s="58">
        <f>IFERROR(Table1[[#This Row],[Running Time (hr)]]/Table1[Target Time (Hours)], "")</f>
        <v>0.59090909090909094</v>
      </c>
      <c r="O1942" s="58">
        <f>IFERROR(Table1[[#This Row],[Actual Production (Kg)]]/Table1[Capacity (Kg)], "")</f>
        <v>0.436</v>
      </c>
      <c r="P1942" s="58">
        <f>IFERROR(Table1[[#This Row],[Quality Pass Production]]/Table1[[#This Row],[Actual Production (Kg)]], "")</f>
        <v>1</v>
      </c>
      <c r="Q1942" s="58">
        <f>IFERROR(Table1[[#This Row],[Utilization %]]*Table1[[#This Row],[Efficiency %]]*Table1[[#This Row],[Quality %]], "")</f>
        <v>0.25763636363636366</v>
      </c>
      <c r="R1942" s="55" t="s">
        <v>537</v>
      </c>
    </row>
    <row r="1943" spans="1:18" ht="30" customHeight="1" x14ac:dyDescent="0.25">
      <c r="A1943" s="47">
        <v>46294</v>
      </c>
      <c r="B1943" s="48" t="s">
        <v>18</v>
      </c>
      <c r="C1943" s="48" t="s">
        <v>19</v>
      </c>
      <c r="D1943" s="48" t="s">
        <v>20</v>
      </c>
      <c r="E1943" s="49">
        <v>10000</v>
      </c>
      <c r="F1943" s="76">
        <v>9405</v>
      </c>
      <c r="G1943" s="49">
        <v>0</v>
      </c>
      <c r="H1943" s="50">
        <f>IFERROR(Table1[Re-process (Kg)]/Table1[Actual Production (Kg)], "")</f>
        <v>0</v>
      </c>
      <c r="I1943" s="49">
        <f>IFERROR(Table1[[#This Row],[Actual Production (Kg)]]-Table1[[#This Row],[Re-process (Kg)]], "")</f>
        <v>9405</v>
      </c>
      <c r="J1943" s="49">
        <v>22</v>
      </c>
      <c r="K1943" s="72"/>
      <c r="L1943" s="49">
        <f>IF(Table1[[#This Row],[Target Time (Hours)]]="","",Table1[[#This Row],[Target Time (Hours)]]-Table1[[#This Row],[Downtime (Hours)]])</f>
        <v>22</v>
      </c>
      <c r="M1943" s="49">
        <f>IFERROR(Table1[[#This Row],[Capacity (Kg)]]/Table1[[#This Row],[Target Time (Hours)]] * Table1[[#This Row],[Downtime (Hours)]], "")</f>
        <v>0</v>
      </c>
      <c r="N1943" s="50">
        <f>IFERROR(Table1[[#This Row],[Running Time (hr)]]/Table1[Target Time (Hours)], "")</f>
        <v>1</v>
      </c>
      <c r="O1943" s="50">
        <f>IFERROR(Table1[[#This Row],[Actual Production (Kg)]]/Table1[Capacity (Kg)], "")</f>
        <v>0.9405</v>
      </c>
      <c r="P1943" s="50">
        <f>IFERROR(Table1[[#This Row],[Quality Pass Production]]/Table1[[#This Row],[Actual Production (Kg)]], "")</f>
        <v>1</v>
      </c>
      <c r="Q1943" s="50">
        <f>IFERROR(Table1[[#This Row],[Utilization %]]*Table1[[#This Row],[Efficiency %]]*Table1[[#This Row],[Quality %]], "")</f>
        <v>0.9405</v>
      </c>
    </row>
    <row r="1944" spans="1:18" x14ac:dyDescent="0.25">
      <c r="A1944" s="51">
        <v>46294</v>
      </c>
      <c r="B1944" s="52" t="s">
        <v>18</v>
      </c>
      <c r="C1944" s="52" t="s">
        <v>238</v>
      </c>
      <c r="D1944" s="52" t="s">
        <v>20</v>
      </c>
      <c r="E1944" s="53">
        <v>9778</v>
      </c>
      <c r="F1944" s="53">
        <v>9778</v>
      </c>
      <c r="G1944" s="53">
        <v>0</v>
      </c>
      <c r="H1944" s="57">
        <f>IFERROR(Table1[Re-process (Kg)]/Table1[Actual Production (Kg)], "")</f>
        <v>0</v>
      </c>
      <c r="I1944" s="53">
        <f>IFERROR(Table1[[#This Row],[Actual Production (Kg)]]-Table1[[#This Row],[Re-process (Kg)]], "")</f>
        <v>9778</v>
      </c>
      <c r="J1944" s="53"/>
      <c r="K1944" s="52"/>
      <c r="L1944" s="53" t="str">
        <f>IF(Table1[[#This Row],[Target Time (Hours)]]="","",Table1[[#This Row],[Target Time (Hours)]]-Table1[[#This Row],[Downtime (Hours)]])</f>
        <v/>
      </c>
      <c r="M1944" s="53" t="str">
        <f>IFERROR(Table1[[#This Row],[Capacity (Kg)]]/Table1[[#This Row],[Target Time (Hours)]] * Table1[[#This Row],[Downtime (Hours)]], "")</f>
        <v/>
      </c>
      <c r="N1944" s="57" t="str">
        <f>IFERROR(Table1[[#This Row],[Running Time (hr)]]/Table1[Target Time (Hours)], "")</f>
        <v/>
      </c>
      <c r="O1944" s="57">
        <f>IFERROR(Table1[[#This Row],[Actual Production (Kg)]]/Table1[Capacity (Kg)], "")</f>
        <v>1</v>
      </c>
      <c r="P1944" s="57">
        <f>IFERROR(Table1[[#This Row],[Quality Pass Production]]/Table1[[#This Row],[Actual Production (Kg)]], "")</f>
        <v>1</v>
      </c>
      <c r="Q1944" s="57" t="str">
        <f>IFERROR(Table1[[#This Row],[Utilization %]]*Table1[[#This Row],[Efficiency %]]*Table1[[#This Row],[Quality %]], "")</f>
        <v/>
      </c>
      <c r="R1944" s="52"/>
    </row>
    <row r="1945" spans="1:18" ht="30" customHeight="1" x14ac:dyDescent="0.25">
      <c r="A1945" s="47">
        <v>46294</v>
      </c>
      <c r="B1945" s="48" t="s">
        <v>18</v>
      </c>
      <c r="C1945" s="48" t="s">
        <v>22</v>
      </c>
      <c r="D1945" s="48" t="s">
        <v>23</v>
      </c>
      <c r="E1945" s="49">
        <v>5000</v>
      </c>
      <c r="F1945" s="76">
        <v>6257</v>
      </c>
      <c r="G1945" s="49">
        <v>0</v>
      </c>
      <c r="H1945" s="50">
        <f>IFERROR(Table1[Re-process (Kg)]/Table1[Actual Production (Kg)], "")</f>
        <v>0</v>
      </c>
      <c r="I1945" s="49">
        <f>IFERROR(Table1[[#This Row],[Actual Production (Kg)]]-Table1[[#This Row],[Re-process (Kg)]], "")</f>
        <v>6257</v>
      </c>
      <c r="J1945" s="49">
        <v>22</v>
      </c>
      <c r="K1945" s="72"/>
      <c r="L1945" s="49">
        <f>IF(Table1[[#This Row],[Target Time (Hours)]]="","",Table1[[#This Row],[Target Time (Hours)]]-Table1[[#This Row],[Downtime (Hours)]])</f>
        <v>22</v>
      </c>
      <c r="M1945" s="49">
        <f>IFERROR(Table1[[#This Row],[Capacity (Kg)]]/Table1[[#This Row],[Target Time (Hours)]] * Table1[[#This Row],[Downtime (Hours)]], "")</f>
        <v>0</v>
      </c>
      <c r="N1945" s="50">
        <f>IFERROR(Table1[[#This Row],[Running Time (hr)]]/Table1[Target Time (Hours)], "")</f>
        <v>1</v>
      </c>
      <c r="O1945" s="50">
        <f>IFERROR(Table1[[#This Row],[Actual Production (Kg)]]/Table1[Capacity (Kg)], "")</f>
        <v>1.2514000000000001</v>
      </c>
      <c r="P1945" s="50">
        <f>IFERROR(Table1[[#This Row],[Quality Pass Production]]/Table1[[#This Row],[Actual Production (Kg)]], "")</f>
        <v>1</v>
      </c>
      <c r="Q1945" s="50">
        <f>IFERROR(Table1[[#This Row],[Utilization %]]*Table1[[#This Row],[Efficiency %]]*Table1[[#This Row],[Quality %]], "")</f>
        <v>1.2514000000000001</v>
      </c>
      <c r="R1945" s="48" t="s">
        <v>209</v>
      </c>
    </row>
    <row r="1946" spans="1:18" x14ac:dyDescent="0.25">
      <c r="A1946" s="47">
        <v>46294</v>
      </c>
      <c r="B1946" s="48" t="s">
        <v>18</v>
      </c>
      <c r="C1946" s="48" t="s">
        <v>22</v>
      </c>
      <c r="D1946" s="48" t="s">
        <v>25</v>
      </c>
      <c r="E1946" s="49">
        <v>4000</v>
      </c>
      <c r="F1946" s="76">
        <v>3196</v>
      </c>
      <c r="G1946" s="49">
        <v>0</v>
      </c>
      <c r="H1946" s="50">
        <f>IFERROR(Table1[Re-process (Kg)]/Table1[Actual Production (Kg)], "")</f>
        <v>0</v>
      </c>
      <c r="I1946" s="49">
        <f>IFERROR(Table1[[#This Row],[Actual Production (Kg)]]-Table1[[#This Row],[Re-process (Kg)]], "")</f>
        <v>3196</v>
      </c>
      <c r="J1946" s="49"/>
      <c r="K1946" s="72"/>
      <c r="L1946" s="49" t="str">
        <f>IF(Table1[[#This Row],[Target Time (Hours)]]="","",Table1[[#This Row],[Target Time (Hours)]]-Table1[[#This Row],[Downtime (Hours)]])</f>
        <v/>
      </c>
      <c r="M1946" s="49" t="str">
        <f>IFERROR(Table1[[#This Row],[Capacity (Kg)]]/Table1[[#This Row],[Target Time (Hours)]] * Table1[[#This Row],[Downtime (Hours)]], "")</f>
        <v/>
      </c>
      <c r="N1946" s="50" t="str">
        <f>IFERROR(Table1[[#This Row],[Running Time (hr)]]/Table1[Target Time (Hours)], "")</f>
        <v/>
      </c>
      <c r="O1946" s="50">
        <f>IFERROR(Table1[[#This Row],[Actual Production (Kg)]]/Table1[Capacity (Kg)], "")</f>
        <v>0.79900000000000004</v>
      </c>
      <c r="P1946" s="50">
        <f>IFERROR(Table1[[#This Row],[Quality Pass Production]]/Table1[[#This Row],[Actual Production (Kg)]], "")</f>
        <v>1</v>
      </c>
      <c r="Q1946" s="50" t="str">
        <f>IFERROR(Table1[[#This Row],[Utilization %]]*Table1[[#This Row],[Efficiency %]]*Table1[[#This Row],[Quality %]], "")</f>
        <v/>
      </c>
    </row>
    <row r="1947" spans="1:18" ht="30" customHeight="1" x14ac:dyDescent="0.25">
      <c r="A1947" s="47">
        <v>46294</v>
      </c>
      <c r="B1947" s="48" t="s">
        <v>18</v>
      </c>
      <c r="C1947" s="48" t="s">
        <v>26</v>
      </c>
      <c r="D1947" s="48" t="s">
        <v>25</v>
      </c>
      <c r="E1947" s="49">
        <v>7000</v>
      </c>
      <c r="F1947" s="76">
        <v>8084</v>
      </c>
      <c r="G1947" s="49">
        <v>0</v>
      </c>
      <c r="H1947" s="50">
        <f>IFERROR(Table1[Re-process (Kg)]/Table1[Actual Production (Kg)], "")</f>
        <v>0</v>
      </c>
      <c r="I1947" s="49">
        <f>IFERROR(Table1[[#This Row],[Actual Production (Kg)]]-Table1[[#This Row],[Re-process (Kg)]], "")</f>
        <v>8084</v>
      </c>
      <c r="J1947" s="49">
        <v>22</v>
      </c>
      <c r="K1947" s="72"/>
      <c r="L1947" s="49">
        <f>IF(Table1[[#This Row],[Target Time (Hours)]]="","",Table1[[#This Row],[Target Time (Hours)]]-Table1[[#This Row],[Downtime (Hours)]])</f>
        <v>22</v>
      </c>
      <c r="M1947" s="49">
        <f>IFERROR(Table1[[#This Row],[Capacity (Kg)]]/Table1[[#This Row],[Target Time (Hours)]] * Table1[[#This Row],[Downtime (Hours)]], "")</f>
        <v>0</v>
      </c>
      <c r="N1947" s="50">
        <f>IFERROR(Table1[[#This Row],[Running Time (hr)]]/Table1[Target Time (Hours)], "")</f>
        <v>1</v>
      </c>
      <c r="O1947" s="50">
        <f>IFERROR(Table1[[#This Row],[Actual Production (Kg)]]/Table1[Capacity (Kg)], "")</f>
        <v>1.1548571428571428</v>
      </c>
      <c r="P1947" s="50">
        <f>IFERROR(Table1[[#This Row],[Quality Pass Production]]/Table1[[#This Row],[Actual Production (Kg)]], "")</f>
        <v>1</v>
      </c>
      <c r="Q1947" s="50">
        <f>IFERROR(Table1[[#This Row],[Utilization %]]*Table1[[#This Row],[Efficiency %]]*Table1[[#This Row],[Quality %]], "")</f>
        <v>1.1548571428571428</v>
      </c>
      <c r="R1947" s="48" t="s">
        <v>209</v>
      </c>
    </row>
    <row r="1948" spans="1:18" ht="30" customHeight="1" x14ac:dyDescent="0.25">
      <c r="A1948" s="47">
        <v>46294</v>
      </c>
      <c r="B1948" s="48" t="s">
        <v>18</v>
      </c>
      <c r="C1948" s="48" t="s">
        <v>28</v>
      </c>
      <c r="D1948" s="48" t="s">
        <v>29</v>
      </c>
      <c r="E1948" s="49">
        <v>7800</v>
      </c>
      <c r="F1948" s="76">
        <v>8224</v>
      </c>
      <c r="G1948" s="49">
        <v>0</v>
      </c>
      <c r="H1948" s="50">
        <f>IFERROR(Table1[Re-process (Kg)]/Table1[Actual Production (Kg)], "")</f>
        <v>0</v>
      </c>
      <c r="I1948" s="49">
        <f>IFERROR(Table1[[#This Row],[Actual Production (Kg)]]-Table1[[#This Row],[Re-process (Kg)]], "")</f>
        <v>8224</v>
      </c>
      <c r="J1948" s="49">
        <v>22</v>
      </c>
      <c r="K1948" s="72"/>
      <c r="L1948" s="49">
        <f>IF(Table1[[#This Row],[Target Time (Hours)]]="","",Table1[[#This Row],[Target Time (Hours)]]-Table1[[#This Row],[Downtime (Hours)]])</f>
        <v>22</v>
      </c>
      <c r="M1948" s="49">
        <f>IFERROR(Table1[[#This Row],[Capacity (Kg)]]/Table1[[#This Row],[Target Time (Hours)]] * Table1[[#This Row],[Downtime (Hours)]], "")</f>
        <v>0</v>
      </c>
      <c r="N1948" s="50">
        <f>IFERROR(Table1[[#This Row],[Running Time (hr)]]/Table1[Target Time (Hours)], "")</f>
        <v>1</v>
      </c>
      <c r="O1948" s="50">
        <f>IFERROR(Table1[[#This Row],[Actual Production (Kg)]]/Table1[Capacity (Kg)], "")</f>
        <v>1.0543589743589743</v>
      </c>
      <c r="P1948" s="50">
        <f>IFERROR(Table1[[#This Row],[Quality Pass Production]]/Table1[[#This Row],[Actual Production (Kg)]], "")</f>
        <v>1</v>
      </c>
      <c r="Q1948" s="50">
        <f>IFERROR(Table1[[#This Row],[Utilization %]]*Table1[[#This Row],[Efficiency %]]*Table1[[#This Row],[Quality %]], "")</f>
        <v>1.0543589743589743</v>
      </c>
    </row>
    <row r="1949" spans="1:18" ht="30" customHeight="1" x14ac:dyDescent="0.25">
      <c r="A1949" s="51">
        <v>46294</v>
      </c>
      <c r="B1949" s="52" t="s">
        <v>18</v>
      </c>
      <c r="C1949" s="52" t="s">
        <v>135</v>
      </c>
      <c r="D1949" s="52" t="s">
        <v>29</v>
      </c>
      <c r="E1949" s="53"/>
      <c r="F1949" s="53"/>
      <c r="G1949" s="53"/>
      <c r="H1949" s="57" t="str">
        <f>IFERROR(Table1[Re-process (Kg)]/Table1[Actual Production (Kg)], "")</f>
        <v/>
      </c>
      <c r="I1949" s="53">
        <f>IFERROR(Table1[[#This Row],[Actual Production (Kg)]]-Table1[[#This Row],[Re-process (Kg)]], "")</f>
        <v>0</v>
      </c>
      <c r="J1949" s="53"/>
      <c r="K1949" s="52"/>
      <c r="L1949" s="53" t="str">
        <f>IF(Table1[[#This Row],[Target Time (Hours)]]="","",Table1[[#This Row],[Target Time (Hours)]]-Table1[[#This Row],[Downtime (Hours)]])</f>
        <v/>
      </c>
      <c r="M1949" s="53" t="str">
        <f>IFERROR(Table1[[#This Row],[Capacity (Kg)]]/Table1[[#This Row],[Target Time (Hours)]] * Table1[[#This Row],[Downtime (Hours)]], "")</f>
        <v/>
      </c>
      <c r="N1949" s="57" t="str">
        <f>IFERROR(Table1[[#This Row],[Running Time (hr)]]/Table1[Target Time (Hours)], "")</f>
        <v/>
      </c>
      <c r="O1949" s="57" t="str">
        <f>IFERROR(Table1[[#This Row],[Actual Production (Kg)]]/Table1[Capacity (Kg)], "")</f>
        <v/>
      </c>
      <c r="P1949" s="57" t="str">
        <f>IFERROR(Table1[[#This Row],[Quality Pass Production]]/Table1[[#This Row],[Actual Production (Kg)]], "")</f>
        <v/>
      </c>
      <c r="Q1949" s="57" t="str">
        <f>IFERROR(Table1[[#This Row],[Utilization %]]*Table1[[#This Row],[Efficiency %]]*Table1[[#This Row],[Quality %]], "")</f>
        <v/>
      </c>
      <c r="R1949" s="52"/>
    </row>
    <row r="1950" spans="1:18" ht="30" customHeight="1" x14ac:dyDescent="0.25">
      <c r="A1950" s="47">
        <v>46294</v>
      </c>
      <c r="B1950" s="48" t="s">
        <v>18</v>
      </c>
      <c r="C1950" s="48" t="s">
        <v>30</v>
      </c>
      <c r="D1950" s="48" t="s">
        <v>31</v>
      </c>
      <c r="E1950" s="49">
        <v>9000</v>
      </c>
      <c r="F1950" s="76">
        <v>8125</v>
      </c>
      <c r="G1950" s="49">
        <v>0</v>
      </c>
      <c r="H1950" s="50">
        <f>IFERROR(Table1[Re-process (Kg)]/Table1[Actual Production (Kg)], "")</f>
        <v>0</v>
      </c>
      <c r="I1950" s="49">
        <f>IFERROR(Table1[[#This Row],[Actual Production (Kg)]]-Table1[[#This Row],[Re-process (Kg)]], "")</f>
        <v>8125</v>
      </c>
      <c r="J1950" s="49">
        <v>22</v>
      </c>
      <c r="K1950" s="72"/>
      <c r="L1950" s="49">
        <f>IF(Table1[[#This Row],[Target Time (Hours)]]="","",Table1[[#This Row],[Target Time (Hours)]]-Table1[[#This Row],[Downtime (Hours)]])</f>
        <v>22</v>
      </c>
      <c r="M1950" s="49">
        <f>IFERROR(Table1[[#This Row],[Capacity (Kg)]]/Table1[[#This Row],[Target Time (Hours)]] * Table1[[#This Row],[Downtime (Hours)]], "")</f>
        <v>0</v>
      </c>
      <c r="N1950" s="50">
        <f>IFERROR(Table1[[#This Row],[Running Time (hr)]]/Table1[Target Time (Hours)], "")</f>
        <v>1</v>
      </c>
      <c r="O1950" s="50">
        <f>IFERROR(Table1[[#This Row],[Actual Production (Kg)]]/Table1[Capacity (Kg)], "")</f>
        <v>0.90277777777777779</v>
      </c>
      <c r="P1950" s="50">
        <f>IFERROR(Table1[[#This Row],[Quality Pass Production]]/Table1[[#This Row],[Actual Production (Kg)]], "")</f>
        <v>1</v>
      </c>
      <c r="Q1950" s="50">
        <f>IFERROR(Table1[[#This Row],[Utilization %]]*Table1[[#This Row],[Efficiency %]]*Table1[[#This Row],[Quality %]], "")</f>
        <v>0.90277777777777779</v>
      </c>
    </row>
    <row r="1951" spans="1:18" ht="30" customHeight="1" x14ac:dyDescent="0.25">
      <c r="A1951" s="51">
        <v>46294</v>
      </c>
      <c r="B1951" s="52" t="s">
        <v>18</v>
      </c>
      <c r="C1951" s="52" t="s">
        <v>32</v>
      </c>
      <c r="D1951" s="52" t="s">
        <v>31</v>
      </c>
      <c r="E1951" s="53"/>
      <c r="F1951" s="53"/>
      <c r="G1951" s="53"/>
      <c r="H1951" s="57" t="str">
        <f>IFERROR(Table1[Re-process (Kg)]/Table1[Actual Production (Kg)], "")</f>
        <v/>
      </c>
      <c r="I1951" s="53">
        <f>IFERROR(Table1[[#This Row],[Actual Production (Kg)]]-Table1[[#This Row],[Re-process (Kg)]], "")</f>
        <v>0</v>
      </c>
      <c r="J1951" s="53"/>
      <c r="K1951" s="52"/>
      <c r="L1951" s="53" t="str">
        <f>IF(Table1[[#This Row],[Target Time (Hours)]]="","",Table1[[#This Row],[Target Time (Hours)]]-Table1[[#This Row],[Downtime (Hours)]])</f>
        <v/>
      </c>
      <c r="M1951" s="53" t="str">
        <f>IFERROR(Table1[[#This Row],[Capacity (Kg)]]/Table1[[#This Row],[Target Time (Hours)]] * Table1[[#This Row],[Downtime (Hours)]], "")</f>
        <v/>
      </c>
      <c r="N1951" s="57" t="str">
        <f>IFERROR(Table1[[#This Row],[Running Time (hr)]]/Table1[Target Time (Hours)], "")</f>
        <v/>
      </c>
      <c r="O1951" s="57" t="str">
        <f>IFERROR(Table1[[#This Row],[Actual Production (Kg)]]/Table1[Capacity (Kg)], "")</f>
        <v/>
      </c>
      <c r="P1951" s="57" t="str">
        <f>IFERROR(Table1[[#This Row],[Quality Pass Production]]/Table1[[#This Row],[Actual Production (Kg)]], "")</f>
        <v/>
      </c>
      <c r="Q1951" s="57" t="str">
        <f>IFERROR(Table1[[#This Row],[Utilization %]]*Table1[[#This Row],[Efficiency %]]*Table1[[#This Row],[Quality %]], "")</f>
        <v/>
      </c>
      <c r="R1951" s="52"/>
    </row>
    <row r="1952" spans="1:18" ht="30" customHeight="1" x14ac:dyDescent="0.25">
      <c r="A1952" s="47">
        <v>46294</v>
      </c>
      <c r="B1952" s="48" t="s">
        <v>33</v>
      </c>
      <c r="C1952" s="48" t="s">
        <v>34</v>
      </c>
      <c r="D1952" s="48" t="s">
        <v>35</v>
      </c>
      <c r="E1952" s="49">
        <v>9000</v>
      </c>
      <c r="F1952" s="76">
        <v>4107</v>
      </c>
      <c r="G1952" s="49">
        <v>0</v>
      </c>
      <c r="H1952" s="50">
        <f>IFERROR(Table1[Re-process (Kg)]/Table1[Actual Production (Kg)], "")</f>
        <v>0</v>
      </c>
      <c r="I1952" s="49">
        <f>IFERROR(Table1[[#This Row],[Actual Production (Kg)]]-Table1[[#This Row],[Re-process (Kg)]], "")</f>
        <v>4107</v>
      </c>
      <c r="J1952" s="49">
        <v>22</v>
      </c>
      <c r="K1952" s="72">
        <v>4</v>
      </c>
      <c r="L1952" s="49">
        <f>IF(Table1[[#This Row],[Target Time (Hours)]]="","",Table1[[#This Row],[Target Time (Hours)]]-Table1[[#This Row],[Downtime (Hours)]])</f>
        <v>18</v>
      </c>
      <c r="M1952" s="49">
        <f>IFERROR(Table1[[#This Row],[Capacity (Kg)]]/Table1[[#This Row],[Target Time (Hours)]] * Table1[[#This Row],[Downtime (Hours)]], "")</f>
        <v>1636.3636363636363</v>
      </c>
      <c r="N1952" s="50">
        <f>IFERROR(Table1[[#This Row],[Running Time (hr)]]/Table1[Target Time (Hours)], "")</f>
        <v>0.81818181818181823</v>
      </c>
      <c r="O1952" s="50">
        <f>IFERROR(Table1[[#This Row],[Actual Production (Kg)]]/Table1[Capacity (Kg)], "")</f>
        <v>0.45633333333333331</v>
      </c>
      <c r="P1952" s="50">
        <f>IFERROR(Table1[[#This Row],[Quality Pass Production]]/Table1[[#This Row],[Actual Production (Kg)]], "")</f>
        <v>1</v>
      </c>
      <c r="Q1952" s="50">
        <f>IFERROR(Table1[[#This Row],[Utilization %]]*Table1[[#This Row],[Efficiency %]]*Table1[[#This Row],[Quality %]], "")</f>
        <v>0.3733636363636364</v>
      </c>
      <c r="R1952" s="48" t="s">
        <v>538</v>
      </c>
    </row>
    <row r="1953" spans="1:18" ht="30" customHeight="1" x14ac:dyDescent="0.25">
      <c r="A1953" s="47">
        <v>46294</v>
      </c>
      <c r="B1953" s="48" t="s">
        <v>33</v>
      </c>
      <c r="C1953" s="48" t="s">
        <v>36</v>
      </c>
      <c r="D1953" s="48" t="s">
        <v>37</v>
      </c>
      <c r="E1953" s="49">
        <v>8000</v>
      </c>
      <c r="F1953" s="76">
        <v>5192</v>
      </c>
      <c r="G1953" s="49">
        <v>0</v>
      </c>
      <c r="H1953" s="50">
        <f>IFERROR(Table1[Re-process (Kg)]/Table1[Actual Production (Kg)], "")</f>
        <v>0</v>
      </c>
      <c r="I1953" s="49">
        <f>IFERROR(Table1[[#This Row],[Actual Production (Kg)]]-Table1[[#This Row],[Re-process (Kg)]], "")</f>
        <v>5192</v>
      </c>
      <c r="J1953" s="49">
        <v>22</v>
      </c>
      <c r="K1953" s="72">
        <v>5.33</v>
      </c>
      <c r="L1953" s="49">
        <f>IF(Table1[[#This Row],[Target Time (Hours)]]="","",Table1[[#This Row],[Target Time (Hours)]]-Table1[[#This Row],[Downtime (Hours)]])</f>
        <v>16.670000000000002</v>
      </c>
      <c r="M1953" s="49">
        <f>IFERROR(Table1[[#This Row],[Capacity (Kg)]]/Table1[[#This Row],[Target Time (Hours)]] * Table1[[#This Row],[Downtime (Hours)]], "")</f>
        <v>1938.1818181818182</v>
      </c>
      <c r="N1953" s="50">
        <f>IFERROR(Table1[[#This Row],[Running Time (hr)]]/Table1[Target Time (Hours)], "")</f>
        <v>0.7577272727272728</v>
      </c>
      <c r="O1953" s="50">
        <f>IFERROR(Table1[[#This Row],[Actual Production (Kg)]]/Table1[Capacity (Kg)], "")</f>
        <v>0.64900000000000002</v>
      </c>
      <c r="P1953" s="50">
        <f>IFERROR(Table1[[#This Row],[Quality Pass Production]]/Table1[[#This Row],[Actual Production (Kg)]], "")</f>
        <v>1</v>
      </c>
      <c r="Q1953" s="50">
        <f>IFERROR(Table1[[#This Row],[Utilization %]]*Table1[[#This Row],[Efficiency %]]*Table1[[#This Row],[Quality %]], "")</f>
        <v>0.49176500000000006</v>
      </c>
      <c r="R1953" s="48" t="s">
        <v>530</v>
      </c>
    </row>
    <row r="1954" spans="1:18" ht="30" customHeight="1" x14ac:dyDescent="0.25">
      <c r="A1954" s="47">
        <v>46294</v>
      </c>
      <c r="B1954" s="48" t="s">
        <v>33</v>
      </c>
      <c r="C1954" s="48" t="s">
        <v>39</v>
      </c>
      <c r="D1954" s="48" t="s">
        <v>31</v>
      </c>
      <c r="E1954" s="49">
        <v>6000</v>
      </c>
      <c r="F1954" s="76">
        <v>1606</v>
      </c>
      <c r="G1954" s="49">
        <v>0</v>
      </c>
      <c r="H1954" s="50">
        <f>IFERROR(Table1[Re-process (Kg)]/Table1[Actual Production (Kg)], "")</f>
        <v>0</v>
      </c>
      <c r="I1954" s="49">
        <f>IFERROR(Table1[[#This Row],[Actual Production (Kg)]]-Table1[[#This Row],[Re-process (Kg)]], "")</f>
        <v>1606</v>
      </c>
      <c r="J1954" s="49">
        <v>22</v>
      </c>
      <c r="K1954" s="72">
        <v>14</v>
      </c>
      <c r="L1954" s="49">
        <f>IF(Table1[[#This Row],[Target Time (Hours)]]="","",Table1[[#This Row],[Target Time (Hours)]]-Table1[[#This Row],[Downtime (Hours)]])</f>
        <v>8</v>
      </c>
      <c r="M1954" s="49">
        <f>IFERROR(Table1[[#This Row],[Capacity (Kg)]]/Table1[[#This Row],[Target Time (Hours)]] * Table1[[#This Row],[Downtime (Hours)]], "")</f>
        <v>3818.1818181818185</v>
      </c>
      <c r="N1954" s="50">
        <f>IFERROR(Table1[[#This Row],[Running Time (hr)]]/Table1[Target Time (Hours)], "")</f>
        <v>0.36363636363636365</v>
      </c>
      <c r="O1954" s="50">
        <f>IFERROR(Table1[[#This Row],[Actual Production (Kg)]]/Table1[Capacity (Kg)], "")</f>
        <v>0.26766666666666666</v>
      </c>
      <c r="P1954" s="50">
        <f>IFERROR(Table1[[#This Row],[Quality Pass Production]]/Table1[[#This Row],[Actual Production (Kg)]], "")</f>
        <v>1</v>
      </c>
      <c r="Q1954" s="50">
        <f>IFERROR(Table1[[#This Row],[Utilization %]]*Table1[[#This Row],[Efficiency %]]*Table1[[#This Row],[Quality %]], "")</f>
        <v>9.7333333333333341E-2</v>
      </c>
      <c r="R1954" s="48" t="s">
        <v>539</v>
      </c>
    </row>
    <row r="1955" spans="1:18" ht="45" customHeight="1" x14ac:dyDescent="0.25">
      <c r="A1955" s="54">
        <v>46294</v>
      </c>
      <c r="B1955" s="55" t="s">
        <v>33</v>
      </c>
      <c r="C1955" s="55" t="s">
        <v>40</v>
      </c>
      <c r="D1955" s="55" t="s">
        <v>31</v>
      </c>
      <c r="E1955" s="56">
        <v>5000</v>
      </c>
      <c r="F1955" s="56">
        <v>3320</v>
      </c>
      <c r="G1955" s="56">
        <v>0</v>
      </c>
      <c r="H1955" s="58">
        <f>IFERROR(Table1[Re-process (Kg)]/Table1[Actual Production (Kg)], "")</f>
        <v>0</v>
      </c>
      <c r="I1955" s="56">
        <f>IFERROR(Table1[[#This Row],[Actual Production (Kg)]]-Table1[[#This Row],[Re-process (Kg)]], "")</f>
        <v>3320</v>
      </c>
      <c r="J1955" s="56">
        <v>22</v>
      </c>
      <c r="K1955" s="55">
        <v>4</v>
      </c>
      <c r="L1955" s="56">
        <f>IF(Table1[[#This Row],[Target Time (Hours)]]="","",Table1[[#This Row],[Target Time (Hours)]]-Table1[[#This Row],[Downtime (Hours)]])</f>
        <v>18</v>
      </c>
      <c r="M1955" s="56">
        <f>IFERROR(Table1[[#This Row],[Capacity (Kg)]]/Table1[[#This Row],[Target Time (Hours)]] * Table1[[#This Row],[Downtime (Hours)]], "")</f>
        <v>909.09090909090912</v>
      </c>
      <c r="N1955" s="58">
        <f>IFERROR(Table1[[#This Row],[Running Time (hr)]]/Table1[Target Time (Hours)], "")</f>
        <v>0.81818181818181823</v>
      </c>
      <c r="O1955" s="58">
        <f>IFERROR(Table1[[#This Row],[Actual Production (Kg)]]/Table1[Capacity (Kg)], "")</f>
        <v>0.66400000000000003</v>
      </c>
      <c r="P1955" s="58">
        <f>IFERROR(Table1[[#This Row],[Quality Pass Production]]/Table1[[#This Row],[Actual Production (Kg)]], "")</f>
        <v>1</v>
      </c>
      <c r="Q1955" s="58">
        <f>IFERROR(Table1[[#This Row],[Utilization %]]*Table1[[#This Row],[Efficiency %]]*Table1[[#This Row],[Quality %]], "")</f>
        <v>0.54327272727272735</v>
      </c>
      <c r="R1955" s="55" t="s">
        <v>538</v>
      </c>
    </row>
    <row r="1956" spans="1:18" ht="30" customHeight="1" x14ac:dyDescent="0.25">
      <c r="A1956" s="47">
        <v>46295</v>
      </c>
      <c r="B1956" s="48" t="s">
        <v>18</v>
      </c>
      <c r="C1956" s="48" t="s">
        <v>19</v>
      </c>
      <c r="D1956" s="48" t="s">
        <v>20</v>
      </c>
      <c r="E1956" s="49">
        <v>10000</v>
      </c>
      <c r="F1956" s="76">
        <v>9797</v>
      </c>
      <c r="G1956" s="49">
        <v>0</v>
      </c>
      <c r="H1956" s="50">
        <f>IFERROR(Table1[Re-process (Kg)]/Table1[Actual Production (Kg)], "")</f>
        <v>0</v>
      </c>
      <c r="I1956" s="49">
        <f>IFERROR(Table1[[#This Row],[Actual Production (Kg)]]-Table1[[#This Row],[Re-process (Kg)]], "")</f>
        <v>9797</v>
      </c>
      <c r="J1956" s="49">
        <v>22</v>
      </c>
      <c r="K1956" s="72"/>
      <c r="L1956" s="49">
        <f>IF(Table1[[#This Row],[Target Time (Hours)]]="","",Table1[[#This Row],[Target Time (Hours)]]-Table1[[#This Row],[Downtime (Hours)]])</f>
        <v>22</v>
      </c>
      <c r="M1956" s="49">
        <f>IFERROR(Table1[[#This Row],[Capacity (Kg)]]/Table1[[#This Row],[Target Time (Hours)]] * Table1[[#This Row],[Downtime (Hours)]], "")</f>
        <v>0</v>
      </c>
      <c r="N1956" s="50">
        <f>IFERROR(Table1[[#This Row],[Running Time (hr)]]/Table1[Target Time (Hours)], "")</f>
        <v>1</v>
      </c>
      <c r="O1956" s="50">
        <f>IFERROR(Table1[[#This Row],[Actual Production (Kg)]]/Table1[Capacity (Kg)], "")</f>
        <v>0.97970000000000002</v>
      </c>
      <c r="P1956" s="50">
        <f>IFERROR(Table1[[#This Row],[Quality Pass Production]]/Table1[[#This Row],[Actual Production (Kg)]], "")</f>
        <v>1</v>
      </c>
      <c r="Q1956" s="50">
        <f>IFERROR(Table1[[#This Row],[Utilization %]]*Table1[[#This Row],[Efficiency %]]*Table1[[#This Row],[Quality %]], "")</f>
        <v>0.97970000000000002</v>
      </c>
    </row>
    <row r="1957" spans="1:18" x14ac:dyDescent="0.25">
      <c r="A1957" s="51">
        <v>46295</v>
      </c>
      <c r="B1957" s="52" t="s">
        <v>18</v>
      </c>
      <c r="C1957" s="52" t="s">
        <v>238</v>
      </c>
      <c r="D1957" s="52" t="s">
        <v>20</v>
      </c>
      <c r="E1957" s="53">
        <v>9900</v>
      </c>
      <c r="F1957" s="53">
        <v>9900</v>
      </c>
      <c r="G1957" s="53">
        <v>0</v>
      </c>
      <c r="H1957" s="57">
        <f>IFERROR(Table1[Re-process (Kg)]/Table1[Actual Production (Kg)], "")</f>
        <v>0</v>
      </c>
      <c r="I1957" s="53">
        <f>IFERROR(Table1[[#This Row],[Actual Production (Kg)]]-Table1[[#This Row],[Re-process (Kg)]], "")</f>
        <v>9900</v>
      </c>
      <c r="J1957" s="53"/>
      <c r="K1957" s="52"/>
      <c r="L1957" s="53" t="str">
        <f>IF(Table1[[#This Row],[Target Time (Hours)]]="","",Table1[[#This Row],[Target Time (Hours)]]-Table1[[#This Row],[Downtime (Hours)]])</f>
        <v/>
      </c>
      <c r="M1957" s="53" t="str">
        <f>IFERROR(Table1[[#This Row],[Capacity (Kg)]]/Table1[[#This Row],[Target Time (Hours)]] * Table1[[#This Row],[Downtime (Hours)]], "")</f>
        <v/>
      </c>
      <c r="N1957" s="57" t="str">
        <f>IFERROR(Table1[[#This Row],[Running Time (hr)]]/Table1[Target Time (Hours)], "")</f>
        <v/>
      </c>
      <c r="O1957" s="57">
        <f>IFERROR(Table1[[#This Row],[Actual Production (Kg)]]/Table1[Capacity (Kg)], "")</f>
        <v>1</v>
      </c>
      <c r="P1957" s="57">
        <f>IFERROR(Table1[[#This Row],[Quality Pass Production]]/Table1[[#This Row],[Actual Production (Kg)]], "")</f>
        <v>1</v>
      </c>
      <c r="Q1957" s="57" t="str">
        <f>IFERROR(Table1[[#This Row],[Utilization %]]*Table1[[#This Row],[Efficiency %]]*Table1[[#This Row],[Quality %]], "")</f>
        <v/>
      </c>
      <c r="R1957" s="52"/>
    </row>
    <row r="1958" spans="1:18" ht="30" customHeight="1" x14ac:dyDescent="0.25">
      <c r="A1958" s="47">
        <v>46295</v>
      </c>
      <c r="B1958" s="48" t="s">
        <v>18</v>
      </c>
      <c r="C1958" s="48" t="s">
        <v>22</v>
      </c>
      <c r="D1958" s="48" t="s">
        <v>23</v>
      </c>
      <c r="E1958" s="49">
        <v>5000</v>
      </c>
      <c r="F1958" s="76">
        <v>4157</v>
      </c>
      <c r="G1958" s="49">
        <v>0</v>
      </c>
      <c r="H1958" s="50">
        <f>IFERROR(Table1[Re-process (Kg)]/Table1[Actual Production (Kg)], "")</f>
        <v>0</v>
      </c>
      <c r="I1958" s="49">
        <f>IFERROR(Table1[[#This Row],[Actual Production (Kg)]]-Table1[[#This Row],[Re-process (Kg)]], "")</f>
        <v>4157</v>
      </c>
      <c r="J1958" s="49">
        <v>22</v>
      </c>
      <c r="K1958" s="72"/>
      <c r="L1958" s="49">
        <f>IF(Table1[[#This Row],[Target Time (Hours)]]="","",Table1[[#This Row],[Target Time (Hours)]]-Table1[[#This Row],[Downtime (Hours)]])</f>
        <v>22</v>
      </c>
      <c r="M1958" s="49">
        <f>IFERROR(Table1[[#This Row],[Capacity (Kg)]]/Table1[[#This Row],[Target Time (Hours)]] * Table1[[#This Row],[Downtime (Hours)]], "")</f>
        <v>0</v>
      </c>
      <c r="N1958" s="50">
        <f>IFERROR(Table1[[#This Row],[Running Time (hr)]]/Table1[Target Time (Hours)], "")</f>
        <v>1</v>
      </c>
      <c r="O1958" s="50">
        <f>IFERROR(Table1[[#This Row],[Actual Production (Kg)]]/Table1[Capacity (Kg)], "")</f>
        <v>0.83140000000000003</v>
      </c>
      <c r="P1958" s="50">
        <f>IFERROR(Table1[[#This Row],[Quality Pass Production]]/Table1[[#This Row],[Actual Production (Kg)]], "")</f>
        <v>1</v>
      </c>
      <c r="Q1958" s="50">
        <f>IFERROR(Table1[[#This Row],[Utilization %]]*Table1[[#This Row],[Efficiency %]]*Table1[[#This Row],[Quality %]], "")</f>
        <v>0.83140000000000003</v>
      </c>
      <c r="R1958" s="48" t="s">
        <v>209</v>
      </c>
    </row>
    <row r="1959" spans="1:18" x14ac:dyDescent="0.25">
      <c r="A1959" s="47">
        <v>46295</v>
      </c>
      <c r="B1959" s="48" t="s">
        <v>18</v>
      </c>
      <c r="C1959" s="48" t="s">
        <v>22</v>
      </c>
      <c r="D1959" s="48" t="s">
        <v>25</v>
      </c>
      <c r="E1959" s="49">
        <v>4000</v>
      </c>
      <c r="F1959" s="76">
        <v>5844</v>
      </c>
      <c r="G1959" s="49">
        <v>0</v>
      </c>
      <c r="H1959" s="50">
        <f>IFERROR(Table1[Re-process (Kg)]/Table1[Actual Production (Kg)], "")</f>
        <v>0</v>
      </c>
      <c r="I1959" s="49">
        <f>IFERROR(Table1[[#This Row],[Actual Production (Kg)]]-Table1[[#This Row],[Re-process (Kg)]], "")</f>
        <v>5844</v>
      </c>
      <c r="J1959" s="49"/>
      <c r="K1959" s="72"/>
      <c r="L1959" s="49" t="str">
        <f>IF(Table1[[#This Row],[Target Time (Hours)]]="","",Table1[[#This Row],[Target Time (Hours)]]-Table1[[#This Row],[Downtime (Hours)]])</f>
        <v/>
      </c>
      <c r="M1959" s="49" t="str">
        <f>IFERROR(Table1[[#This Row],[Capacity (Kg)]]/Table1[[#This Row],[Target Time (Hours)]] * Table1[[#This Row],[Downtime (Hours)]], "")</f>
        <v/>
      </c>
      <c r="N1959" s="50" t="str">
        <f>IFERROR(Table1[[#This Row],[Running Time (hr)]]/Table1[Target Time (Hours)], "")</f>
        <v/>
      </c>
      <c r="O1959" s="50">
        <f>IFERROR(Table1[[#This Row],[Actual Production (Kg)]]/Table1[Capacity (Kg)], "")</f>
        <v>1.4610000000000001</v>
      </c>
      <c r="P1959" s="50">
        <f>IFERROR(Table1[[#This Row],[Quality Pass Production]]/Table1[[#This Row],[Actual Production (Kg)]], "")</f>
        <v>1</v>
      </c>
      <c r="Q1959" s="50" t="str">
        <f>IFERROR(Table1[[#This Row],[Utilization %]]*Table1[[#This Row],[Efficiency %]]*Table1[[#This Row],[Quality %]], "")</f>
        <v/>
      </c>
    </row>
    <row r="1960" spans="1:18" x14ac:dyDescent="0.25">
      <c r="A1960" s="47">
        <v>46295</v>
      </c>
      <c r="B1960" s="48" t="s">
        <v>18</v>
      </c>
      <c r="C1960" s="48" t="s">
        <v>26</v>
      </c>
      <c r="D1960" s="48" t="s">
        <v>25</v>
      </c>
      <c r="E1960" s="49">
        <v>7000</v>
      </c>
      <c r="F1960" s="76">
        <v>7040</v>
      </c>
      <c r="G1960" s="49">
        <v>0</v>
      </c>
      <c r="H1960" s="50">
        <f>IFERROR(Table1[Re-process (Kg)]/Table1[Actual Production (Kg)], "")</f>
        <v>0</v>
      </c>
      <c r="I1960" s="49">
        <f>IFERROR(Table1[[#This Row],[Actual Production (Kg)]]-Table1[[#This Row],[Re-process (Kg)]], "")</f>
        <v>7040</v>
      </c>
      <c r="J1960" s="49">
        <v>22</v>
      </c>
      <c r="K1960" s="72"/>
      <c r="L1960" s="49">
        <f>IF(Table1[[#This Row],[Target Time (Hours)]]="","",Table1[[#This Row],[Target Time (Hours)]]-Table1[[#This Row],[Downtime (Hours)]])</f>
        <v>22</v>
      </c>
      <c r="M1960" s="49">
        <f>IFERROR(Table1[[#This Row],[Capacity (Kg)]]/Table1[[#This Row],[Target Time (Hours)]] * Table1[[#This Row],[Downtime (Hours)]], "")</f>
        <v>0</v>
      </c>
      <c r="N1960" s="50">
        <f>IFERROR(Table1[[#This Row],[Running Time (hr)]]/Table1[Target Time (Hours)], "")</f>
        <v>1</v>
      </c>
      <c r="O1960" s="50">
        <f>IFERROR(Table1[[#This Row],[Actual Production (Kg)]]/Table1[Capacity (Kg)], "")</f>
        <v>1.0057142857142858</v>
      </c>
      <c r="P1960" s="50">
        <f>IFERROR(Table1[[#This Row],[Quality Pass Production]]/Table1[[#This Row],[Actual Production (Kg)]], "")</f>
        <v>1</v>
      </c>
      <c r="Q1960" s="50">
        <f>IFERROR(Table1[[#This Row],[Utilization %]]*Table1[[#This Row],[Efficiency %]]*Table1[[#This Row],[Quality %]], "")</f>
        <v>1.0057142857142858</v>
      </c>
    </row>
    <row r="1961" spans="1:18" ht="30" customHeight="1" x14ac:dyDescent="0.25">
      <c r="A1961" s="47">
        <v>46295</v>
      </c>
      <c r="B1961" s="48" t="s">
        <v>18</v>
      </c>
      <c r="C1961" s="48" t="s">
        <v>28</v>
      </c>
      <c r="D1961" s="48" t="s">
        <v>29</v>
      </c>
      <c r="E1961" s="49">
        <v>7800</v>
      </c>
      <c r="F1961" s="76">
        <v>6185</v>
      </c>
      <c r="G1961" s="49">
        <v>0</v>
      </c>
      <c r="H1961" s="50">
        <f>IFERROR(Table1[Re-process (Kg)]/Table1[Actual Production (Kg)], "")</f>
        <v>0</v>
      </c>
      <c r="I1961" s="49">
        <f>IFERROR(Table1[[#This Row],[Actual Production (Kg)]]-Table1[[#This Row],[Re-process (Kg)]], "")</f>
        <v>6185</v>
      </c>
      <c r="J1961" s="49">
        <v>22</v>
      </c>
      <c r="K1961" s="72">
        <v>5.17</v>
      </c>
      <c r="L1961" s="49">
        <f>IF(Table1[[#This Row],[Target Time (Hours)]]="","",Table1[[#This Row],[Target Time (Hours)]]-Table1[[#This Row],[Downtime (Hours)]])</f>
        <v>16.829999999999998</v>
      </c>
      <c r="M1961" s="49">
        <f>IFERROR(Table1[[#This Row],[Capacity (Kg)]]/Table1[[#This Row],[Target Time (Hours)]] * Table1[[#This Row],[Downtime (Hours)]], "")</f>
        <v>1833</v>
      </c>
      <c r="N1961" s="50">
        <f>IFERROR(Table1[[#This Row],[Running Time (hr)]]/Table1[Target Time (Hours)], "")</f>
        <v>0.7649999999999999</v>
      </c>
      <c r="O1961" s="50">
        <f>IFERROR(Table1[[#This Row],[Actual Production (Kg)]]/Table1[Capacity (Kg)], "")</f>
        <v>0.79294871794871791</v>
      </c>
      <c r="P1961" s="50">
        <f>IFERROR(Table1[[#This Row],[Quality Pass Production]]/Table1[[#This Row],[Actual Production (Kg)]], "")</f>
        <v>1</v>
      </c>
      <c r="Q1961" s="50">
        <f>IFERROR(Table1[[#This Row],[Utilization %]]*Table1[[#This Row],[Efficiency %]]*Table1[[#This Row],[Quality %]], "")</f>
        <v>0.60660576923076914</v>
      </c>
      <c r="R1961" s="48" t="s">
        <v>540</v>
      </c>
    </row>
    <row r="1962" spans="1:18" ht="30" customHeight="1" x14ac:dyDescent="0.25">
      <c r="A1962" s="51">
        <v>46295</v>
      </c>
      <c r="B1962" s="52" t="s">
        <v>18</v>
      </c>
      <c r="C1962" s="52" t="s">
        <v>135</v>
      </c>
      <c r="D1962" s="52" t="s">
        <v>29</v>
      </c>
      <c r="E1962" s="53"/>
      <c r="F1962" s="53"/>
      <c r="G1962" s="53"/>
      <c r="H1962" s="57" t="str">
        <f>IFERROR(Table1[Re-process (Kg)]/Table1[Actual Production (Kg)], "")</f>
        <v/>
      </c>
      <c r="I1962" s="53">
        <f>IFERROR(Table1[[#This Row],[Actual Production (Kg)]]-Table1[[#This Row],[Re-process (Kg)]], "")</f>
        <v>0</v>
      </c>
      <c r="J1962" s="53"/>
      <c r="K1962" s="52"/>
      <c r="L1962" s="53" t="str">
        <f>IF(Table1[[#This Row],[Target Time (Hours)]]="","",Table1[[#This Row],[Target Time (Hours)]]-Table1[[#This Row],[Downtime (Hours)]])</f>
        <v/>
      </c>
      <c r="M1962" s="53" t="str">
        <f>IFERROR(Table1[[#This Row],[Capacity (Kg)]]/Table1[[#This Row],[Target Time (Hours)]] * Table1[[#This Row],[Downtime (Hours)]], "")</f>
        <v/>
      </c>
      <c r="N1962" s="57" t="str">
        <f>IFERROR(Table1[[#This Row],[Running Time (hr)]]/Table1[Target Time (Hours)], "")</f>
        <v/>
      </c>
      <c r="O1962" s="57" t="str">
        <f>IFERROR(Table1[[#This Row],[Actual Production (Kg)]]/Table1[Capacity (Kg)], "")</f>
        <v/>
      </c>
      <c r="P1962" s="57" t="str">
        <f>IFERROR(Table1[[#This Row],[Quality Pass Production]]/Table1[[#This Row],[Actual Production (Kg)]], "")</f>
        <v/>
      </c>
      <c r="Q1962" s="57" t="str">
        <f>IFERROR(Table1[[#This Row],[Utilization %]]*Table1[[#This Row],[Efficiency %]]*Table1[[#This Row],[Quality %]], "")</f>
        <v/>
      </c>
      <c r="R1962" s="52"/>
    </row>
    <row r="1963" spans="1:18" ht="30" customHeight="1" x14ac:dyDescent="0.25">
      <c r="A1963" s="47">
        <v>46295</v>
      </c>
      <c r="B1963" s="48" t="s">
        <v>18</v>
      </c>
      <c r="C1963" s="48" t="s">
        <v>30</v>
      </c>
      <c r="D1963" s="48" t="s">
        <v>31</v>
      </c>
      <c r="E1963" s="49">
        <v>9000</v>
      </c>
      <c r="F1963" s="76">
        <v>8590</v>
      </c>
      <c r="G1963" s="49">
        <v>0</v>
      </c>
      <c r="H1963" s="50">
        <f>IFERROR(Table1[Re-process (Kg)]/Table1[Actual Production (Kg)], "")</f>
        <v>0</v>
      </c>
      <c r="I1963" s="49">
        <f>IFERROR(Table1[[#This Row],[Actual Production (Kg)]]-Table1[[#This Row],[Re-process (Kg)]], "")</f>
        <v>8590</v>
      </c>
      <c r="J1963" s="49">
        <v>22</v>
      </c>
      <c r="K1963" s="72"/>
      <c r="L1963" s="49">
        <f>IF(Table1[[#This Row],[Target Time (Hours)]]="","",Table1[[#This Row],[Target Time (Hours)]]-Table1[[#This Row],[Downtime (Hours)]])</f>
        <v>22</v>
      </c>
      <c r="M1963" s="49">
        <f>IFERROR(Table1[[#This Row],[Capacity (Kg)]]/Table1[[#This Row],[Target Time (Hours)]] * Table1[[#This Row],[Downtime (Hours)]], "")</f>
        <v>0</v>
      </c>
      <c r="N1963" s="50">
        <f>IFERROR(Table1[[#This Row],[Running Time (hr)]]/Table1[Target Time (Hours)], "")</f>
        <v>1</v>
      </c>
      <c r="O1963" s="50">
        <f>IFERROR(Table1[[#This Row],[Actual Production (Kg)]]/Table1[Capacity (Kg)], "")</f>
        <v>0.95444444444444443</v>
      </c>
      <c r="P1963" s="50">
        <f>IFERROR(Table1[[#This Row],[Quality Pass Production]]/Table1[[#This Row],[Actual Production (Kg)]], "")</f>
        <v>1</v>
      </c>
      <c r="Q1963" s="50">
        <f>IFERROR(Table1[[#This Row],[Utilization %]]*Table1[[#This Row],[Efficiency %]]*Table1[[#This Row],[Quality %]], "")</f>
        <v>0.95444444444444443</v>
      </c>
    </row>
    <row r="1964" spans="1:18" ht="30" customHeight="1" x14ac:dyDescent="0.25">
      <c r="A1964" s="51">
        <v>46295</v>
      </c>
      <c r="B1964" s="52" t="s">
        <v>18</v>
      </c>
      <c r="C1964" s="52" t="s">
        <v>32</v>
      </c>
      <c r="D1964" s="52" t="s">
        <v>31</v>
      </c>
      <c r="E1964" s="53">
        <v>2500</v>
      </c>
      <c r="F1964" s="53">
        <v>1571</v>
      </c>
      <c r="G1964" s="53">
        <v>0</v>
      </c>
      <c r="H1964" s="57">
        <f>IFERROR(Table1[Re-process (Kg)]/Table1[Actual Production (Kg)], "")</f>
        <v>0</v>
      </c>
      <c r="I1964" s="53">
        <f>IFERROR(Table1[[#This Row],[Actual Production (Kg)]]-Table1[[#This Row],[Re-process (Kg)]], "")</f>
        <v>1571</v>
      </c>
      <c r="J1964" s="53"/>
      <c r="K1964" s="52"/>
      <c r="L1964" s="53" t="str">
        <f>IF(Table1[[#This Row],[Target Time (Hours)]]="","",Table1[[#This Row],[Target Time (Hours)]]-Table1[[#This Row],[Downtime (Hours)]])</f>
        <v/>
      </c>
      <c r="M1964" s="53" t="str">
        <f>IFERROR(Table1[[#This Row],[Capacity (Kg)]]/Table1[[#This Row],[Target Time (Hours)]] * Table1[[#This Row],[Downtime (Hours)]], "")</f>
        <v/>
      </c>
      <c r="N1964" s="57" t="str">
        <f>IFERROR(Table1[[#This Row],[Running Time (hr)]]/Table1[Target Time (Hours)], "")</f>
        <v/>
      </c>
      <c r="O1964" s="57">
        <f>IFERROR(Table1[[#This Row],[Actual Production (Kg)]]/Table1[Capacity (Kg)], "")</f>
        <v>0.62839999999999996</v>
      </c>
      <c r="P1964" s="57">
        <f>IFERROR(Table1[[#This Row],[Quality Pass Production]]/Table1[[#This Row],[Actual Production (Kg)]], "")</f>
        <v>1</v>
      </c>
      <c r="Q1964" s="57" t="str">
        <f>IFERROR(Table1[[#This Row],[Utilization %]]*Table1[[#This Row],[Efficiency %]]*Table1[[#This Row],[Quality %]], "")</f>
        <v/>
      </c>
      <c r="R1964" s="52"/>
    </row>
    <row r="1965" spans="1:18" ht="30" customHeight="1" x14ac:dyDescent="0.25">
      <c r="A1965" s="47">
        <v>46295</v>
      </c>
      <c r="B1965" s="48" t="s">
        <v>33</v>
      </c>
      <c r="C1965" s="48" t="s">
        <v>34</v>
      </c>
      <c r="D1965" s="48" t="s">
        <v>35</v>
      </c>
      <c r="E1965" s="49">
        <v>9000</v>
      </c>
      <c r="F1965" s="76">
        <v>6746</v>
      </c>
      <c r="G1965" s="49">
        <v>0</v>
      </c>
      <c r="H1965" s="50">
        <f>IFERROR(Table1[Re-process (Kg)]/Table1[Actual Production (Kg)], "")</f>
        <v>0</v>
      </c>
      <c r="I1965" s="49">
        <f>IFERROR(Table1[[#This Row],[Actual Production (Kg)]]-Table1[[#This Row],[Re-process (Kg)]], "")</f>
        <v>6746</v>
      </c>
      <c r="J1965" s="49">
        <v>22</v>
      </c>
      <c r="K1965" s="72"/>
      <c r="L1965" s="49">
        <f>IF(Table1[[#This Row],[Target Time (Hours)]]="","",Table1[[#This Row],[Target Time (Hours)]]-Table1[[#This Row],[Downtime (Hours)]])</f>
        <v>22</v>
      </c>
      <c r="M1965" s="49">
        <f>IFERROR(Table1[[#This Row],[Capacity (Kg)]]/Table1[[#This Row],[Target Time (Hours)]] * Table1[[#This Row],[Downtime (Hours)]], "")</f>
        <v>0</v>
      </c>
      <c r="N1965" s="50">
        <f>IFERROR(Table1[[#This Row],[Running Time (hr)]]/Table1[Target Time (Hours)], "")</f>
        <v>1</v>
      </c>
      <c r="O1965" s="50">
        <f>IFERROR(Table1[[#This Row],[Actual Production (Kg)]]/Table1[Capacity (Kg)], "")</f>
        <v>0.74955555555555553</v>
      </c>
      <c r="P1965" s="50">
        <f>IFERROR(Table1[[#This Row],[Quality Pass Production]]/Table1[[#This Row],[Actual Production (Kg)]], "")</f>
        <v>1</v>
      </c>
      <c r="Q1965" s="50">
        <f>IFERROR(Table1[[#This Row],[Utilization %]]*Table1[[#This Row],[Efficiency %]]*Table1[[#This Row],[Quality %]], "")</f>
        <v>0.74955555555555553</v>
      </c>
    </row>
    <row r="1966" spans="1:18" x14ac:dyDescent="0.25">
      <c r="A1966" s="47">
        <v>46295</v>
      </c>
      <c r="B1966" s="48" t="s">
        <v>33</v>
      </c>
      <c r="C1966" s="48" t="s">
        <v>36</v>
      </c>
      <c r="D1966" s="48" t="s">
        <v>37</v>
      </c>
      <c r="E1966" s="49">
        <v>8000</v>
      </c>
      <c r="F1966" s="76">
        <v>6502</v>
      </c>
      <c r="G1966" s="49">
        <v>0</v>
      </c>
      <c r="H1966" s="50">
        <f>IFERROR(Table1[Re-process (Kg)]/Table1[Actual Production (Kg)], "")</f>
        <v>0</v>
      </c>
      <c r="I1966" s="49">
        <f>IFERROR(Table1[[#This Row],[Actual Production (Kg)]]-Table1[[#This Row],[Re-process (Kg)]], "")</f>
        <v>6502</v>
      </c>
      <c r="J1966" s="49">
        <v>22</v>
      </c>
      <c r="K1966" s="72">
        <v>1.33</v>
      </c>
      <c r="L1966" s="49">
        <f>IF(Table1[[#This Row],[Target Time (Hours)]]="","",Table1[[#This Row],[Target Time (Hours)]]-Table1[[#This Row],[Downtime (Hours)]])</f>
        <v>20.67</v>
      </c>
      <c r="M1966" s="49">
        <f>IFERROR(Table1[[#This Row],[Capacity (Kg)]]/Table1[[#This Row],[Target Time (Hours)]] * Table1[[#This Row],[Downtime (Hours)]], "")</f>
        <v>483.63636363636363</v>
      </c>
      <c r="N1966" s="50">
        <f>IFERROR(Table1[[#This Row],[Running Time (hr)]]/Table1[Target Time (Hours)], "")</f>
        <v>0.93954545454545457</v>
      </c>
      <c r="O1966" s="50">
        <f>IFERROR(Table1[[#This Row],[Actual Production (Kg)]]/Table1[Capacity (Kg)], "")</f>
        <v>0.81274999999999997</v>
      </c>
      <c r="P1966" s="50">
        <f>IFERROR(Table1[[#This Row],[Quality Pass Production]]/Table1[[#This Row],[Actual Production (Kg)]], "")</f>
        <v>1</v>
      </c>
      <c r="Q1966" s="50">
        <f>IFERROR(Table1[[#This Row],[Utilization %]]*Table1[[#This Row],[Efficiency %]]*Table1[[#This Row],[Quality %]], "")</f>
        <v>0.76361556818181819</v>
      </c>
      <c r="R1966" s="48" t="s">
        <v>541</v>
      </c>
    </row>
    <row r="1967" spans="1:18" ht="30" customHeight="1" x14ac:dyDescent="0.25">
      <c r="A1967" s="47">
        <v>46295</v>
      </c>
      <c r="B1967" s="48" t="s">
        <v>33</v>
      </c>
      <c r="C1967" s="48" t="s">
        <v>39</v>
      </c>
      <c r="D1967" s="48" t="s">
        <v>31</v>
      </c>
      <c r="E1967" s="49">
        <v>6000</v>
      </c>
      <c r="F1967" s="76">
        <v>875</v>
      </c>
      <c r="G1967" s="49">
        <v>0</v>
      </c>
      <c r="H1967" s="50">
        <f>IFERROR(Table1[Re-process (Kg)]/Table1[Actual Production (Kg)], "")</f>
        <v>0</v>
      </c>
      <c r="I1967" s="49">
        <f>IFERROR(Table1[[#This Row],[Actual Production (Kg)]]-Table1[[#This Row],[Re-process (Kg)]], "")</f>
        <v>875</v>
      </c>
      <c r="J1967" s="49">
        <v>22</v>
      </c>
      <c r="K1967" s="72">
        <v>13</v>
      </c>
      <c r="L1967" s="49">
        <f>IF(Table1[[#This Row],[Target Time (Hours)]]="","",Table1[[#This Row],[Target Time (Hours)]]-Table1[[#This Row],[Downtime (Hours)]])</f>
        <v>9</v>
      </c>
      <c r="M1967" s="49">
        <f>IFERROR(Table1[[#This Row],[Capacity (Kg)]]/Table1[[#This Row],[Target Time (Hours)]] * Table1[[#This Row],[Downtime (Hours)]], "")</f>
        <v>3545.454545454546</v>
      </c>
      <c r="N1967" s="50">
        <f>IFERROR(Table1[[#This Row],[Running Time (hr)]]/Table1[Target Time (Hours)], "")</f>
        <v>0.40909090909090912</v>
      </c>
      <c r="O1967" s="50">
        <f>IFERROR(Table1[[#This Row],[Actual Production (Kg)]]/Table1[Capacity (Kg)], "")</f>
        <v>0.14583333333333334</v>
      </c>
      <c r="P1967" s="50">
        <f>IFERROR(Table1[[#This Row],[Quality Pass Production]]/Table1[[#This Row],[Actual Production (Kg)]], "")</f>
        <v>1</v>
      </c>
      <c r="Q1967" s="50">
        <f>IFERROR(Table1[[#This Row],[Utilization %]]*Table1[[#This Row],[Efficiency %]]*Table1[[#This Row],[Quality %]], "")</f>
        <v>5.9659090909090919E-2</v>
      </c>
      <c r="R1967" s="48" t="s">
        <v>542</v>
      </c>
    </row>
    <row r="1968" spans="1:18" ht="45" customHeight="1" x14ac:dyDescent="0.25">
      <c r="A1968" s="54">
        <v>46295</v>
      </c>
      <c r="B1968" s="55" t="s">
        <v>33</v>
      </c>
      <c r="C1968" s="55" t="s">
        <v>40</v>
      </c>
      <c r="D1968" s="55" t="s">
        <v>31</v>
      </c>
      <c r="E1968" s="56">
        <v>5000</v>
      </c>
      <c r="F1968" s="56">
        <v>4071</v>
      </c>
      <c r="G1968" s="56">
        <v>0</v>
      </c>
      <c r="H1968" s="58">
        <f>IFERROR(Table1[Re-process (Kg)]/Table1[Actual Production (Kg)], "")</f>
        <v>0</v>
      </c>
      <c r="I1968" s="56">
        <f>IFERROR(Table1[[#This Row],[Actual Production (Kg)]]-Table1[[#This Row],[Re-process (Kg)]], "")</f>
        <v>4071</v>
      </c>
      <c r="J1968" s="56">
        <v>22</v>
      </c>
      <c r="K1968" s="55"/>
      <c r="L1968" s="56">
        <f>IF(Table1[[#This Row],[Target Time (Hours)]]="","",Table1[[#This Row],[Target Time (Hours)]]-Table1[[#This Row],[Downtime (Hours)]])</f>
        <v>22</v>
      </c>
      <c r="M1968" s="56">
        <f>IFERROR(Table1[[#This Row],[Capacity (Kg)]]/Table1[[#This Row],[Target Time (Hours)]] * Table1[[#This Row],[Downtime (Hours)]], "")</f>
        <v>0</v>
      </c>
      <c r="N1968" s="58">
        <f>IFERROR(Table1[[#This Row],[Running Time (hr)]]/Table1[Target Time (Hours)], "")</f>
        <v>1</v>
      </c>
      <c r="O1968" s="58">
        <f>IFERROR(Table1[[#This Row],[Actual Production (Kg)]]/Table1[Capacity (Kg)], "")</f>
        <v>0.81420000000000003</v>
      </c>
      <c r="P1968" s="58">
        <f>IFERROR(Table1[[#This Row],[Quality Pass Production]]/Table1[[#This Row],[Actual Production (Kg)]], "")</f>
        <v>1</v>
      </c>
      <c r="Q1968" s="58">
        <f>IFERROR(Table1[[#This Row],[Utilization %]]*Table1[[#This Row],[Efficiency %]]*Table1[[#This Row],[Quality %]], "")</f>
        <v>0.81420000000000003</v>
      </c>
      <c r="R1968" s="55" t="s">
        <v>518</v>
      </c>
    </row>
    <row r="1969" spans="1:18" ht="30" customHeight="1" x14ac:dyDescent="0.25">
      <c r="A1969" s="47">
        <v>46296</v>
      </c>
      <c r="B1969" s="48" t="s">
        <v>18</v>
      </c>
      <c r="C1969" s="48" t="s">
        <v>19</v>
      </c>
      <c r="D1969" s="48" t="s">
        <v>20</v>
      </c>
      <c r="E1969" s="49">
        <v>10000</v>
      </c>
      <c r="F1969" s="76">
        <v>7890</v>
      </c>
      <c r="G1969" s="49">
        <v>0</v>
      </c>
      <c r="H1969" s="50">
        <f>IFERROR(Table1[Re-process (Kg)]/Table1[Actual Production (Kg)], "")</f>
        <v>0</v>
      </c>
      <c r="I1969" s="49">
        <f>IFERROR(Table1[[#This Row],[Actual Production (Kg)]]-Table1[[#This Row],[Re-process (Kg)]], "")</f>
        <v>7890</v>
      </c>
      <c r="J1969" s="49">
        <v>22</v>
      </c>
      <c r="K1969" s="72"/>
      <c r="L1969" s="49">
        <f>IF(Table1[[#This Row],[Target Time (Hours)]]="","",Table1[[#This Row],[Target Time (Hours)]]-Table1[[#This Row],[Downtime (Hours)]])</f>
        <v>22</v>
      </c>
      <c r="M1969" s="49">
        <f>IFERROR(Table1[[#This Row],[Capacity (Kg)]]/Table1[[#This Row],[Target Time (Hours)]] * Table1[[#This Row],[Downtime (Hours)]], "")</f>
        <v>0</v>
      </c>
      <c r="N1969" s="50">
        <f>IFERROR(Table1[[#This Row],[Running Time (hr)]]/Table1[Target Time (Hours)], "")</f>
        <v>1</v>
      </c>
      <c r="O1969" s="50">
        <f>IFERROR(Table1[[#This Row],[Actual Production (Kg)]]/Table1[Capacity (Kg)], "")</f>
        <v>0.78900000000000003</v>
      </c>
      <c r="P1969" s="50">
        <f>IFERROR(Table1[[#This Row],[Quality Pass Production]]/Table1[[#This Row],[Actual Production (Kg)]], "")</f>
        <v>1</v>
      </c>
      <c r="Q1969" s="50">
        <f>IFERROR(Table1[[#This Row],[Utilization %]]*Table1[[#This Row],[Efficiency %]]*Table1[[#This Row],[Quality %]], "")</f>
        <v>0.78900000000000003</v>
      </c>
    </row>
    <row r="1970" spans="1:18" x14ac:dyDescent="0.25">
      <c r="A1970" s="51">
        <v>46296</v>
      </c>
      <c r="B1970" s="52" t="s">
        <v>18</v>
      </c>
      <c r="C1970" s="52" t="s">
        <v>238</v>
      </c>
      <c r="D1970" s="52" t="s">
        <v>20</v>
      </c>
      <c r="E1970" s="53">
        <v>10049</v>
      </c>
      <c r="F1970" s="53">
        <v>10049</v>
      </c>
      <c r="G1970" s="53">
        <v>0</v>
      </c>
      <c r="H1970" s="57">
        <f>IFERROR(Table1[Re-process (Kg)]/Table1[Actual Production (Kg)], "")</f>
        <v>0</v>
      </c>
      <c r="I1970" s="53">
        <f>IFERROR(Table1[[#This Row],[Actual Production (Kg)]]-Table1[[#This Row],[Re-process (Kg)]], "")</f>
        <v>10049</v>
      </c>
      <c r="J1970" s="53"/>
      <c r="K1970" s="52"/>
      <c r="L1970" s="53" t="str">
        <f>IF(Table1[[#This Row],[Target Time (Hours)]]="","",Table1[[#This Row],[Target Time (Hours)]]-Table1[[#This Row],[Downtime (Hours)]])</f>
        <v/>
      </c>
      <c r="M1970" s="53" t="str">
        <f>IFERROR(Table1[[#This Row],[Capacity (Kg)]]/Table1[[#This Row],[Target Time (Hours)]] * Table1[[#This Row],[Downtime (Hours)]], "")</f>
        <v/>
      </c>
      <c r="N1970" s="57" t="str">
        <f>IFERROR(Table1[[#This Row],[Running Time (hr)]]/Table1[Target Time (Hours)], "")</f>
        <v/>
      </c>
      <c r="O1970" s="57">
        <f>IFERROR(Table1[[#This Row],[Actual Production (Kg)]]/Table1[Capacity (Kg)], "")</f>
        <v>1</v>
      </c>
      <c r="P1970" s="57">
        <f>IFERROR(Table1[[#This Row],[Quality Pass Production]]/Table1[[#This Row],[Actual Production (Kg)]], "")</f>
        <v>1</v>
      </c>
      <c r="Q1970" s="57" t="str">
        <f>IFERROR(Table1[[#This Row],[Utilization %]]*Table1[[#This Row],[Efficiency %]]*Table1[[#This Row],[Quality %]], "")</f>
        <v/>
      </c>
      <c r="R1970" s="52"/>
    </row>
    <row r="1971" spans="1:18" ht="30" customHeight="1" x14ac:dyDescent="0.25">
      <c r="A1971" s="47">
        <v>46296</v>
      </c>
      <c r="B1971" s="48" t="s">
        <v>18</v>
      </c>
      <c r="C1971" s="48" t="s">
        <v>22</v>
      </c>
      <c r="D1971" s="48" t="s">
        <v>23</v>
      </c>
      <c r="E1971" s="49">
        <v>5000</v>
      </c>
      <c r="F1971" s="76">
        <v>3658</v>
      </c>
      <c r="G1971" s="49">
        <v>0</v>
      </c>
      <c r="H1971" s="50">
        <f>IFERROR(Table1[Re-process (Kg)]/Table1[Actual Production (Kg)], "")</f>
        <v>0</v>
      </c>
      <c r="I1971" s="49">
        <f>IFERROR(Table1[[#This Row],[Actual Production (Kg)]]-Table1[[#This Row],[Re-process (Kg)]], "")</f>
        <v>3658</v>
      </c>
      <c r="J1971" s="49">
        <v>22</v>
      </c>
      <c r="K1971" s="72"/>
      <c r="L1971" s="49">
        <f>IF(Table1[[#This Row],[Target Time (Hours)]]="","",Table1[[#This Row],[Target Time (Hours)]]-Table1[[#This Row],[Downtime (Hours)]])</f>
        <v>22</v>
      </c>
      <c r="M1971" s="49">
        <f>IFERROR(Table1[[#This Row],[Capacity (Kg)]]/Table1[[#This Row],[Target Time (Hours)]] * Table1[[#This Row],[Downtime (Hours)]], "")</f>
        <v>0</v>
      </c>
      <c r="N1971" s="50">
        <f>IFERROR(Table1[[#This Row],[Running Time (hr)]]/Table1[Target Time (Hours)], "")</f>
        <v>1</v>
      </c>
      <c r="O1971" s="50">
        <f>IFERROR(Table1[[#This Row],[Actual Production (Kg)]]/Table1[Capacity (Kg)], "")</f>
        <v>0.73160000000000003</v>
      </c>
      <c r="P1971" s="50">
        <f>IFERROR(Table1[[#This Row],[Quality Pass Production]]/Table1[[#This Row],[Actual Production (Kg)]], "")</f>
        <v>1</v>
      </c>
      <c r="Q1971" s="50">
        <f>IFERROR(Table1[[#This Row],[Utilization %]]*Table1[[#This Row],[Efficiency %]]*Table1[[#This Row],[Quality %]], "")</f>
        <v>0.73160000000000003</v>
      </c>
      <c r="R1971" s="48" t="s">
        <v>209</v>
      </c>
    </row>
    <row r="1972" spans="1:18" x14ac:dyDescent="0.25">
      <c r="A1972" s="47">
        <v>46296</v>
      </c>
      <c r="B1972" s="48" t="s">
        <v>18</v>
      </c>
      <c r="C1972" s="48" t="s">
        <v>22</v>
      </c>
      <c r="D1972" s="48" t="s">
        <v>25</v>
      </c>
      <c r="E1972" s="49">
        <v>4000</v>
      </c>
      <c r="F1972" s="76">
        <v>5504</v>
      </c>
      <c r="G1972" s="49">
        <v>0</v>
      </c>
      <c r="H1972" s="50">
        <f>IFERROR(Table1[Re-process (Kg)]/Table1[Actual Production (Kg)], "")</f>
        <v>0</v>
      </c>
      <c r="I1972" s="49">
        <f>IFERROR(Table1[[#This Row],[Actual Production (Kg)]]-Table1[[#This Row],[Re-process (Kg)]], "")</f>
        <v>5504</v>
      </c>
      <c r="J1972" s="49"/>
      <c r="K1972" s="72"/>
      <c r="L1972" s="49" t="str">
        <f>IF(Table1[[#This Row],[Target Time (Hours)]]="","",Table1[[#This Row],[Target Time (Hours)]]-Table1[[#This Row],[Downtime (Hours)]])</f>
        <v/>
      </c>
      <c r="M1972" s="49" t="str">
        <f>IFERROR(Table1[[#This Row],[Capacity (Kg)]]/Table1[[#This Row],[Target Time (Hours)]] * Table1[[#This Row],[Downtime (Hours)]], "")</f>
        <v/>
      </c>
      <c r="N1972" s="50" t="str">
        <f>IFERROR(Table1[[#This Row],[Running Time (hr)]]/Table1[Target Time (Hours)], "")</f>
        <v/>
      </c>
      <c r="O1972" s="50">
        <f>IFERROR(Table1[[#This Row],[Actual Production (Kg)]]/Table1[Capacity (Kg)], "")</f>
        <v>1.3759999999999999</v>
      </c>
      <c r="P1972" s="50">
        <f>IFERROR(Table1[[#This Row],[Quality Pass Production]]/Table1[[#This Row],[Actual Production (Kg)]], "")</f>
        <v>1</v>
      </c>
      <c r="Q1972" s="50" t="str">
        <f>IFERROR(Table1[[#This Row],[Utilization %]]*Table1[[#This Row],[Efficiency %]]*Table1[[#This Row],[Quality %]], "")</f>
        <v/>
      </c>
    </row>
    <row r="1973" spans="1:18" x14ac:dyDescent="0.25">
      <c r="A1973" s="47">
        <v>46296</v>
      </c>
      <c r="B1973" s="48" t="s">
        <v>18</v>
      </c>
      <c r="C1973" s="48" t="s">
        <v>26</v>
      </c>
      <c r="D1973" s="48" t="s">
        <v>25</v>
      </c>
      <c r="E1973" s="49">
        <v>7000</v>
      </c>
      <c r="F1973" s="76">
        <v>7733</v>
      </c>
      <c r="G1973" s="49">
        <v>0</v>
      </c>
      <c r="H1973" s="50">
        <f>IFERROR(Table1[Re-process (Kg)]/Table1[Actual Production (Kg)], "")</f>
        <v>0</v>
      </c>
      <c r="I1973" s="49">
        <f>IFERROR(Table1[[#This Row],[Actual Production (Kg)]]-Table1[[#This Row],[Re-process (Kg)]], "")</f>
        <v>7733</v>
      </c>
      <c r="J1973" s="49">
        <v>22</v>
      </c>
      <c r="K1973" s="72"/>
      <c r="L1973" s="49">
        <f>IF(Table1[[#This Row],[Target Time (Hours)]]="","",Table1[[#This Row],[Target Time (Hours)]]-Table1[[#This Row],[Downtime (Hours)]])</f>
        <v>22</v>
      </c>
      <c r="M1973" s="49">
        <f>IFERROR(Table1[[#This Row],[Capacity (Kg)]]/Table1[[#This Row],[Target Time (Hours)]] * Table1[[#This Row],[Downtime (Hours)]], "")</f>
        <v>0</v>
      </c>
      <c r="N1973" s="50">
        <f>IFERROR(Table1[[#This Row],[Running Time (hr)]]/Table1[Target Time (Hours)], "")</f>
        <v>1</v>
      </c>
      <c r="O1973" s="50">
        <f>IFERROR(Table1[[#This Row],[Actual Production (Kg)]]/Table1[Capacity (Kg)], "")</f>
        <v>1.1047142857142858</v>
      </c>
      <c r="P1973" s="50">
        <f>IFERROR(Table1[[#This Row],[Quality Pass Production]]/Table1[[#This Row],[Actual Production (Kg)]], "")</f>
        <v>1</v>
      </c>
      <c r="Q1973" s="50">
        <f>IFERROR(Table1[[#This Row],[Utilization %]]*Table1[[#This Row],[Efficiency %]]*Table1[[#This Row],[Quality %]], "")</f>
        <v>1.1047142857142858</v>
      </c>
    </row>
    <row r="1974" spans="1:18" ht="30" customHeight="1" x14ac:dyDescent="0.25">
      <c r="A1974" s="47">
        <v>46296</v>
      </c>
      <c r="B1974" s="48" t="s">
        <v>18</v>
      </c>
      <c r="C1974" s="48" t="s">
        <v>28</v>
      </c>
      <c r="D1974" s="48" t="s">
        <v>29</v>
      </c>
      <c r="E1974" s="49">
        <v>7800</v>
      </c>
      <c r="F1974" s="76">
        <v>5590</v>
      </c>
      <c r="G1974" s="49">
        <v>0</v>
      </c>
      <c r="H1974" s="50">
        <f>IFERROR(Table1[Re-process (Kg)]/Table1[Actual Production (Kg)], "")</f>
        <v>0</v>
      </c>
      <c r="I1974" s="49">
        <f>IFERROR(Table1[[#This Row],[Actual Production (Kg)]]-Table1[[#This Row],[Re-process (Kg)]], "")</f>
        <v>5590</v>
      </c>
      <c r="J1974" s="49">
        <v>22</v>
      </c>
      <c r="K1974" s="72">
        <v>5.17</v>
      </c>
      <c r="L1974" s="49">
        <f>IF(Table1[[#This Row],[Target Time (Hours)]]="","",Table1[[#This Row],[Target Time (Hours)]]-Table1[[#This Row],[Downtime (Hours)]])</f>
        <v>16.829999999999998</v>
      </c>
      <c r="M1974" s="49">
        <f>IFERROR(Table1[[#This Row],[Capacity (Kg)]]/Table1[[#This Row],[Target Time (Hours)]] * Table1[[#This Row],[Downtime (Hours)]], "")</f>
        <v>1833</v>
      </c>
      <c r="N1974" s="50">
        <f>IFERROR(Table1[[#This Row],[Running Time (hr)]]/Table1[Target Time (Hours)], "")</f>
        <v>0.7649999999999999</v>
      </c>
      <c r="O1974" s="50">
        <f>IFERROR(Table1[[#This Row],[Actual Production (Kg)]]/Table1[Capacity (Kg)], "")</f>
        <v>0.71666666666666667</v>
      </c>
      <c r="P1974" s="50">
        <f>IFERROR(Table1[[#This Row],[Quality Pass Production]]/Table1[[#This Row],[Actual Production (Kg)]], "")</f>
        <v>1</v>
      </c>
      <c r="Q1974" s="50">
        <f>IFERROR(Table1[[#This Row],[Utilization %]]*Table1[[#This Row],[Efficiency %]]*Table1[[#This Row],[Quality %]], "")</f>
        <v>0.5482499999999999</v>
      </c>
      <c r="R1974" s="48" t="s">
        <v>540</v>
      </c>
    </row>
    <row r="1975" spans="1:18" ht="30" customHeight="1" x14ac:dyDescent="0.25">
      <c r="A1975" s="51">
        <v>46296</v>
      </c>
      <c r="B1975" s="52" t="s">
        <v>18</v>
      </c>
      <c r="C1975" s="52" t="s">
        <v>135</v>
      </c>
      <c r="D1975" s="52" t="s">
        <v>29</v>
      </c>
      <c r="E1975" s="53"/>
      <c r="F1975" s="53"/>
      <c r="G1975" s="53"/>
      <c r="H1975" s="57" t="str">
        <f>IFERROR(Table1[Re-process (Kg)]/Table1[Actual Production (Kg)], "")</f>
        <v/>
      </c>
      <c r="I1975" s="53">
        <f>IFERROR(Table1[[#This Row],[Actual Production (Kg)]]-Table1[[#This Row],[Re-process (Kg)]], "")</f>
        <v>0</v>
      </c>
      <c r="J1975" s="53"/>
      <c r="K1975" s="52"/>
      <c r="L1975" s="53" t="str">
        <f>IF(Table1[[#This Row],[Target Time (Hours)]]="","",Table1[[#This Row],[Target Time (Hours)]]-Table1[[#This Row],[Downtime (Hours)]])</f>
        <v/>
      </c>
      <c r="M1975" s="53" t="str">
        <f>IFERROR(Table1[[#This Row],[Capacity (Kg)]]/Table1[[#This Row],[Target Time (Hours)]] * Table1[[#This Row],[Downtime (Hours)]], "")</f>
        <v/>
      </c>
      <c r="N1975" s="57" t="str">
        <f>IFERROR(Table1[[#This Row],[Running Time (hr)]]/Table1[Target Time (Hours)], "")</f>
        <v/>
      </c>
      <c r="O1975" s="57" t="str">
        <f>IFERROR(Table1[[#This Row],[Actual Production (Kg)]]/Table1[Capacity (Kg)], "")</f>
        <v/>
      </c>
      <c r="P1975" s="57" t="str">
        <f>IFERROR(Table1[[#This Row],[Quality Pass Production]]/Table1[[#This Row],[Actual Production (Kg)]], "")</f>
        <v/>
      </c>
      <c r="Q1975" s="57" t="str">
        <f>IFERROR(Table1[[#This Row],[Utilization %]]*Table1[[#This Row],[Efficiency %]]*Table1[[#This Row],[Quality %]], "")</f>
        <v/>
      </c>
      <c r="R1975" s="52"/>
    </row>
    <row r="1976" spans="1:18" ht="30" customHeight="1" x14ac:dyDescent="0.25">
      <c r="A1976" s="47">
        <v>46296</v>
      </c>
      <c r="B1976" s="48" t="s">
        <v>18</v>
      </c>
      <c r="C1976" s="48" t="s">
        <v>30</v>
      </c>
      <c r="D1976" s="48" t="s">
        <v>31</v>
      </c>
      <c r="E1976" s="49">
        <v>9000</v>
      </c>
      <c r="F1976" s="76">
        <v>7990</v>
      </c>
      <c r="G1976" s="49">
        <v>0</v>
      </c>
      <c r="H1976" s="50">
        <f>IFERROR(Table1[Re-process (Kg)]/Table1[Actual Production (Kg)], "")</f>
        <v>0</v>
      </c>
      <c r="I1976" s="49">
        <f>IFERROR(Table1[[#This Row],[Actual Production (Kg)]]-Table1[[#This Row],[Re-process (Kg)]], "")</f>
        <v>7990</v>
      </c>
      <c r="J1976" s="49">
        <v>22</v>
      </c>
      <c r="K1976" s="72"/>
      <c r="L1976" s="49">
        <f>IF(Table1[[#This Row],[Target Time (Hours)]]="","",Table1[[#This Row],[Target Time (Hours)]]-Table1[[#This Row],[Downtime (Hours)]])</f>
        <v>22</v>
      </c>
      <c r="M1976" s="49">
        <f>IFERROR(Table1[[#This Row],[Capacity (Kg)]]/Table1[[#This Row],[Target Time (Hours)]] * Table1[[#This Row],[Downtime (Hours)]], "")</f>
        <v>0</v>
      </c>
      <c r="N1976" s="50">
        <f>IFERROR(Table1[[#This Row],[Running Time (hr)]]/Table1[Target Time (Hours)], "")</f>
        <v>1</v>
      </c>
      <c r="O1976" s="50">
        <f>IFERROR(Table1[[#This Row],[Actual Production (Kg)]]/Table1[Capacity (Kg)], "")</f>
        <v>0.88777777777777778</v>
      </c>
      <c r="P1976" s="50">
        <f>IFERROR(Table1[[#This Row],[Quality Pass Production]]/Table1[[#This Row],[Actual Production (Kg)]], "")</f>
        <v>1</v>
      </c>
      <c r="Q1976" s="50">
        <f>IFERROR(Table1[[#This Row],[Utilization %]]*Table1[[#This Row],[Efficiency %]]*Table1[[#This Row],[Quality %]], "")</f>
        <v>0.88777777777777778</v>
      </c>
    </row>
    <row r="1977" spans="1:18" ht="30" customHeight="1" x14ac:dyDescent="0.25">
      <c r="A1977" s="51">
        <v>46296</v>
      </c>
      <c r="B1977" s="52" t="s">
        <v>18</v>
      </c>
      <c r="C1977" s="52" t="s">
        <v>32</v>
      </c>
      <c r="D1977" s="52" t="s">
        <v>31</v>
      </c>
      <c r="E1977" s="53">
        <v>2500</v>
      </c>
      <c r="F1977" s="53">
        <v>0</v>
      </c>
      <c r="G1977" s="53">
        <v>0</v>
      </c>
      <c r="H1977" s="57" t="str">
        <f>IFERROR(Table1[Re-process (Kg)]/Table1[Actual Production (Kg)], "")</f>
        <v/>
      </c>
      <c r="I1977" s="53">
        <f>IFERROR(Table1[[#This Row],[Actual Production (Kg)]]-Table1[[#This Row],[Re-process (Kg)]], "")</f>
        <v>0</v>
      </c>
      <c r="J1977" s="53"/>
      <c r="K1977" s="52"/>
      <c r="L1977" s="53" t="str">
        <f>IF(Table1[[#This Row],[Target Time (Hours)]]="","",Table1[[#This Row],[Target Time (Hours)]]-Table1[[#This Row],[Downtime (Hours)]])</f>
        <v/>
      </c>
      <c r="M1977" s="53" t="str">
        <f>IFERROR(Table1[[#This Row],[Capacity (Kg)]]/Table1[[#This Row],[Target Time (Hours)]] * Table1[[#This Row],[Downtime (Hours)]], "")</f>
        <v/>
      </c>
      <c r="N1977" s="57" t="str">
        <f>IFERROR(Table1[[#This Row],[Running Time (hr)]]/Table1[Target Time (Hours)], "")</f>
        <v/>
      </c>
      <c r="O1977" s="57">
        <f>IFERROR(Table1[[#This Row],[Actual Production (Kg)]]/Table1[Capacity (Kg)], "")</f>
        <v>0</v>
      </c>
      <c r="P1977" s="57" t="str">
        <f>IFERROR(Table1[[#This Row],[Quality Pass Production]]/Table1[[#This Row],[Actual Production (Kg)]], "")</f>
        <v/>
      </c>
      <c r="Q1977" s="57" t="str">
        <f>IFERROR(Table1[[#This Row],[Utilization %]]*Table1[[#This Row],[Efficiency %]]*Table1[[#This Row],[Quality %]], "")</f>
        <v/>
      </c>
      <c r="R1977" s="52" t="s">
        <v>543</v>
      </c>
    </row>
    <row r="1978" spans="1:18" ht="30" customHeight="1" x14ac:dyDescent="0.25">
      <c r="A1978" s="47">
        <v>46296</v>
      </c>
      <c r="B1978" s="48" t="s">
        <v>33</v>
      </c>
      <c r="C1978" s="48" t="s">
        <v>34</v>
      </c>
      <c r="D1978" s="48" t="s">
        <v>35</v>
      </c>
      <c r="E1978" s="49">
        <v>9000</v>
      </c>
      <c r="F1978" s="76">
        <v>6376</v>
      </c>
      <c r="G1978" s="49">
        <v>0</v>
      </c>
      <c r="H1978" s="50">
        <f>IFERROR(Table1[Re-process (Kg)]/Table1[Actual Production (Kg)], "")</f>
        <v>0</v>
      </c>
      <c r="I1978" s="49">
        <f>IFERROR(Table1[[#This Row],[Actual Production (Kg)]]-Table1[[#This Row],[Re-process (Kg)]], "")</f>
        <v>6376</v>
      </c>
      <c r="J1978" s="49">
        <v>22</v>
      </c>
      <c r="K1978" s="72"/>
      <c r="L1978" s="49">
        <f>IF(Table1[[#This Row],[Target Time (Hours)]]="","",Table1[[#This Row],[Target Time (Hours)]]-Table1[[#This Row],[Downtime (Hours)]])</f>
        <v>22</v>
      </c>
      <c r="M1978" s="49">
        <f>IFERROR(Table1[[#This Row],[Capacity (Kg)]]/Table1[[#This Row],[Target Time (Hours)]] * Table1[[#This Row],[Downtime (Hours)]], "")</f>
        <v>0</v>
      </c>
      <c r="N1978" s="50">
        <f>IFERROR(Table1[[#This Row],[Running Time (hr)]]/Table1[Target Time (Hours)], "")</f>
        <v>1</v>
      </c>
      <c r="O1978" s="50">
        <f>IFERROR(Table1[[#This Row],[Actual Production (Kg)]]/Table1[Capacity (Kg)], "")</f>
        <v>0.70844444444444443</v>
      </c>
      <c r="P1978" s="50">
        <f>IFERROR(Table1[[#This Row],[Quality Pass Production]]/Table1[[#This Row],[Actual Production (Kg)]], "")</f>
        <v>1</v>
      </c>
      <c r="Q1978" s="50">
        <f>IFERROR(Table1[[#This Row],[Utilization %]]*Table1[[#This Row],[Efficiency %]]*Table1[[#This Row],[Quality %]], "")</f>
        <v>0.70844444444444443</v>
      </c>
    </row>
    <row r="1979" spans="1:18" x14ac:dyDescent="0.25">
      <c r="A1979" s="47">
        <v>46296</v>
      </c>
      <c r="B1979" s="48" t="s">
        <v>33</v>
      </c>
      <c r="C1979" s="48" t="s">
        <v>36</v>
      </c>
      <c r="D1979" s="48" t="s">
        <v>37</v>
      </c>
      <c r="E1979" s="49">
        <v>8000</v>
      </c>
      <c r="F1979" s="76">
        <v>6733</v>
      </c>
      <c r="G1979" s="49">
        <v>0</v>
      </c>
      <c r="H1979" s="50">
        <f>IFERROR(Table1[Re-process (Kg)]/Table1[Actual Production (Kg)], "")</f>
        <v>0</v>
      </c>
      <c r="I1979" s="49">
        <f>IFERROR(Table1[[#This Row],[Actual Production (Kg)]]-Table1[[#This Row],[Re-process (Kg)]], "")</f>
        <v>6733</v>
      </c>
      <c r="J1979" s="49">
        <v>22</v>
      </c>
      <c r="K1979" s="72">
        <v>1.33</v>
      </c>
      <c r="L1979" s="49">
        <f>IF(Table1[[#This Row],[Target Time (Hours)]]="","",Table1[[#This Row],[Target Time (Hours)]]-Table1[[#This Row],[Downtime (Hours)]])</f>
        <v>20.67</v>
      </c>
      <c r="M1979" s="49">
        <f>IFERROR(Table1[[#This Row],[Capacity (Kg)]]/Table1[[#This Row],[Target Time (Hours)]] * Table1[[#This Row],[Downtime (Hours)]], "")</f>
        <v>483.63636363636363</v>
      </c>
      <c r="N1979" s="50">
        <f>IFERROR(Table1[[#This Row],[Running Time (hr)]]/Table1[Target Time (Hours)], "")</f>
        <v>0.93954545454545457</v>
      </c>
      <c r="O1979" s="50">
        <f>IFERROR(Table1[[#This Row],[Actual Production (Kg)]]/Table1[Capacity (Kg)], "")</f>
        <v>0.84162499999999996</v>
      </c>
      <c r="P1979" s="50">
        <f>IFERROR(Table1[[#This Row],[Quality Pass Production]]/Table1[[#This Row],[Actual Production (Kg)]], "")</f>
        <v>1</v>
      </c>
      <c r="Q1979" s="50">
        <f>IFERROR(Table1[[#This Row],[Utilization %]]*Table1[[#This Row],[Efficiency %]]*Table1[[#This Row],[Quality %]], "")</f>
        <v>0.79074494318181821</v>
      </c>
      <c r="R1979" s="48" t="s">
        <v>541</v>
      </c>
    </row>
    <row r="1980" spans="1:18" ht="30" customHeight="1" x14ac:dyDescent="0.25">
      <c r="A1980" s="47">
        <v>46296</v>
      </c>
      <c r="B1980" s="48" t="s">
        <v>33</v>
      </c>
      <c r="C1980" s="48" t="s">
        <v>39</v>
      </c>
      <c r="D1980" s="48" t="s">
        <v>31</v>
      </c>
      <c r="E1980" s="49">
        <v>6000</v>
      </c>
      <c r="F1980" s="76">
        <v>1703</v>
      </c>
      <c r="G1980" s="49">
        <v>0</v>
      </c>
      <c r="H1980" s="50">
        <f>IFERROR(Table1[Re-process (Kg)]/Table1[Actual Production (Kg)], "")</f>
        <v>0</v>
      </c>
      <c r="I1980" s="49">
        <f>IFERROR(Table1[[#This Row],[Actual Production (Kg)]]-Table1[[#This Row],[Re-process (Kg)]], "")</f>
        <v>1703</v>
      </c>
      <c r="J1980" s="49">
        <v>22</v>
      </c>
      <c r="K1980" s="72">
        <v>13</v>
      </c>
      <c r="L1980" s="49">
        <f>IF(Table1[[#This Row],[Target Time (Hours)]]="","",Table1[[#This Row],[Target Time (Hours)]]-Table1[[#This Row],[Downtime (Hours)]])</f>
        <v>9</v>
      </c>
      <c r="M1980" s="49">
        <f>IFERROR(Table1[[#This Row],[Capacity (Kg)]]/Table1[[#This Row],[Target Time (Hours)]] * Table1[[#This Row],[Downtime (Hours)]], "")</f>
        <v>3545.454545454546</v>
      </c>
      <c r="N1980" s="50">
        <f>IFERROR(Table1[[#This Row],[Running Time (hr)]]/Table1[Target Time (Hours)], "")</f>
        <v>0.40909090909090912</v>
      </c>
      <c r="O1980" s="50">
        <f>IFERROR(Table1[[#This Row],[Actual Production (Kg)]]/Table1[Capacity (Kg)], "")</f>
        <v>0.28383333333333333</v>
      </c>
      <c r="P1980" s="50">
        <f>IFERROR(Table1[[#This Row],[Quality Pass Production]]/Table1[[#This Row],[Actual Production (Kg)]], "")</f>
        <v>1</v>
      </c>
      <c r="Q1980" s="50">
        <f>IFERROR(Table1[[#This Row],[Utilization %]]*Table1[[#This Row],[Efficiency %]]*Table1[[#This Row],[Quality %]], "")</f>
        <v>0.11611363636363636</v>
      </c>
      <c r="R1980" s="48" t="s">
        <v>542</v>
      </c>
    </row>
    <row r="1981" spans="1:18" ht="45" customHeight="1" x14ac:dyDescent="0.25">
      <c r="A1981" s="54">
        <v>46296</v>
      </c>
      <c r="B1981" s="55" t="s">
        <v>33</v>
      </c>
      <c r="C1981" s="55" t="s">
        <v>40</v>
      </c>
      <c r="D1981" s="55" t="s">
        <v>31</v>
      </c>
      <c r="E1981" s="56">
        <v>5000</v>
      </c>
      <c r="F1981" s="56">
        <v>4653</v>
      </c>
      <c r="G1981" s="56">
        <v>0</v>
      </c>
      <c r="H1981" s="58">
        <f>IFERROR(Table1[Re-process (Kg)]/Table1[Actual Production (Kg)], "")</f>
        <v>0</v>
      </c>
      <c r="I1981" s="56">
        <f>IFERROR(Table1[[#This Row],[Actual Production (Kg)]]-Table1[[#This Row],[Re-process (Kg)]], "")</f>
        <v>4653</v>
      </c>
      <c r="J1981" s="56">
        <v>22</v>
      </c>
      <c r="K1981" s="55"/>
      <c r="L1981" s="56">
        <f>IF(Table1[[#This Row],[Target Time (Hours)]]="","",Table1[[#This Row],[Target Time (Hours)]]-Table1[[#This Row],[Downtime (Hours)]])</f>
        <v>22</v>
      </c>
      <c r="M1981" s="56">
        <f>IFERROR(Table1[[#This Row],[Capacity (Kg)]]/Table1[[#This Row],[Target Time (Hours)]] * Table1[[#This Row],[Downtime (Hours)]], "")</f>
        <v>0</v>
      </c>
      <c r="N1981" s="58">
        <f>IFERROR(Table1[[#This Row],[Running Time (hr)]]/Table1[Target Time (Hours)], "")</f>
        <v>1</v>
      </c>
      <c r="O1981" s="58">
        <f>IFERROR(Table1[[#This Row],[Actual Production (Kg)]]/Table1[Capacity (Kg)], "")</f>
        <v>0.93059999999999998</v>
      </c>
      <c r="P1981" s="58">
        <f>IFERROR(Table1[[#This Row],[Quality Pass Production]]/Table1[[#This Row],[Actual Production (Kg)]], "")</f>
        <v>1</v>
      </c>
      <c r="Q1981" s="58">
        <f>IFERROR(Table1[[#This Row],[Utilization %]]*Table1[[#This Row],[Efficiency %]]*Table1[[#This Row],[Quality %]], "")</f>
        <v>0.93059999999999998</v>
      </c>
      <c r="R1981" s="55"/>
    </row>
    <row r="1982" spans="1:18" ht="30" customHeight="1" x14ac:dyDescent="0.25">
      <c r="A1982" s="47">
        <v>46298</v>
      </c>
      <c r="B1982" s="48" t="s">
        <v>18</v>
      </c>
      <c r="C1982" s="48" t="s">
        <v>19</v>
      </c>
      <c r="D1982" s="48" t="s">
        <v>20</v>
      </c>
      <c r="E1982" s="49">
        <v>10000</v>
      </c>
      <c r="F1982" s="76">
        <v>7628</v>
      </c>
      <c r="G1982" s="49">
        <v>0</v>
      </c>
      <c r="H1982" s="50">
        <f>IFERROR(Table1[Re-process (Kg)]/Table1[Actual Production (Kg)], "")</f>
        <v>0</v>
      </c>
      <c r="I1982" s="49">
        <f>IFERROR(Table1[[#This Row],[Actual Production (Kg)]]-Table1[[#This Row],[Re-process (Kg)]], "")</f>
        <v>7628</v>
      </c>
      <c r="J1982" s="49">
        <v>22</v>
      </c>
      <c r="K1982" s="72"/>
      <c r="L1982" s="49">
        <f>IF(Table1[[#This Row],[Target Time (Hours)]]="","",Table1[[#This Row],[Target Time (Hours)]]-Table1[[#This Row],[Downtime (Hours)]])</f>
        <v>22</v>
      </c>
      <c r="M1982" s="49">
        <f>IFERROR(Table1[[#This Row],[Capacity (Kg)]]/Table1[[#This Row],[Target Time (Hours)]] * Table1[[#This Row],[Downtime (Hours)]], "")</f>
        <v>0</v>
      </c>
      <c r="N1982" s="50">
        <f>IFERROR(Table1[[#This Row],[Running Time (hr)]]/Table1[Target Time (Hours)], "")</f>
        <v>1</v>
      </c>
      <c r="O1982" s="50">
        <f>IFERROR(Table1[[#This Row],[Actual Production (Kg)]]/Table1[Capacity (Kg)], "")</f>
        <v>0.76280000000000003</v>
      </c>
      <c r="P1982" s="50">
        <f>IFERROR(Table1[[#This Row],[Quality Pass Production]]/Table1[[#This Row],[Actual Production (Kg)]], "")</f>
        <v>1</v>
      </c>
      <c r="Q1982" s="50">
        <f>IFERROR(Table1[[#This Row],[Utilization %]]*Table1[[#This Row],[Efficiency %]]*Table1[[#This Row],[Quality %]], "")</f>
        <v>0.76280000000000003</v>
      </c>
      <c r="R1982" s="48" t="s">
        <v>544</v>
      </c>
    </row>
    <row r="1983" spans="1:18" x14ac:dyDescent="0.25">
      <c r="A1983" s="51">
        <v>46298</v>
      </c>
      <c r="B1983" s="52" t="s">
        <v>18</v>
      </c>
      <c r="C1983" s="52" t="s">
        <v>238</v>
      </c>
      <c r="D1983" s="52" t="s">
        <v>20</v>
      </c>
      <c r="E1983" s="53">
        <v>10914</v>
      </c>
      <c r="F1983" s="53">
        <v>10914</v>
      </c>
      <c r="G1983" s="53">
        <v>0</v>
      </c>
      <c r="H1983" s="57">
        <f>IFERROR(Table1[Re-process (Kg)]/Table1[Actual Production (Kg)], "")</f>
        <v>0</v>
      </c>
      <c r="I1983" s="53">
        <f>IFERROR(Table1[[#This Row],[Actual Production (Kg)]]-Table1[[#This Row],[Re-process (Kg)]], "")</f>
        <v>10914</v>
      </c>
      <c r="J1983" s="53"/>
      <c r="K1983" s="52"/>
      <c r="L1983" s="53" t="str">
        <f>IF(Table1[[#This Row],[Target Time (Hours)]]="","",Table1[[#This Row],[Target Time (Hours)]]-Table1[[#This Row],[Downtime (Hours)]])</f>
        <v/>
      </c>
      <c r="M1983" s="53" t="str">
        <f>IFERROR(Table1[[#This Row],[Capacity (Kg)]]/Table1[[#This Row],[Target Time (Hours)]] * Table1[[#This Row],[Downtime (Hours)]], "")</f>
        <v/>
      </c>
      <c r="N1983" s="57" t="str">
        <f>IFERROR(Table1[[#This Row],[Running Time (hr)]]/Table1[Target Time (Hours)], "")</f>
        <v/>
      </c>
      <c r="O1983" s="57">
        <f>IFERROR(Table1[[#This Row],[Actual Production (Kg)]]/Table1[Capacity (Kg)], "")</f>
        <v>1</v>
      </c>
      <c r="P1983" s="57">
        <f>IFERROR(Table1[[#This Row],[Quality Pass Production]]/Table1[[#This Row],[Actual Production (Kg)]], "")</f>
        <v>1</v>
      </c>
      <c r="Q1983" s="57" t="str">
        <f>IFERROR(Table1[[#This Row],[Utilization %]]*Table1[[#This Row],[Efficiency %]]*Table1[[#This Row],[Quality %]], "")</f>
        <v/>
      </c>
      <c r="R1983" s="52"/>
    </row>
    <row r="1984" spans="1:18" ht="30" customHeight="1" x14ac:dyDescent="0.25">
      <c r="A1984" s="47">
        <v>46298</v>
      </c>
      <c r="B1984" s="48" t="s">
        <v>18</v>
      </c>
      <c r="C1984" s="48" t="s">
        <v>22</v>
      </c>
      <c r="D1984" s="48" t="s">
        <v>23</v>
      </c>
      <c r="E1984" s="49">
        <v>5000</v>
      </c>
      <c r="F1984" s="76">
        <v>5694</v>
      </c>
      <c r="G1984" s="49">
        <v>0</v>
      </c>
      <c r="H1984" s="50">
        <f>IFERROR(Table1[Re-process (Kg)]/Table1[Actual Production (Kg)], "")</f>
        <v>0</v>
      </c>
      <c r="I1984" s="49">
        <f>IFERROR(Table1[[#This Row],[Actual Production (Kg)]]-Table1[[#This Row],[Re-process (Kg)]], "")</f>
        <v>5694</v>
      </c>
      <c r="J1984" s="49">
        <v>22</v>
      </c>
      <c r="K1984" s="72"/>
      <c r="L1984" s="49">
        <f>IF(Table1[[#This Row],[Target Time (Hours)]]="","",Table1[[#This Row],[Target Time (Hours)]]-Table1[[#This Row],[Downtime (Hours)]])</f>
        <v>22</v>
      </c>
      <c r="M1984" s="49">
        <f>IFERROR(Table1[[#This Row],[Capacity (Kg)]]/Table1[[#This Row],[Target Time (Hours)]] * Table1[[#This Row],[Downtime (Hours)]], "")</f>
        <v>0</v>
      </c>
      <c r="N1984" s="50">
        <f>IFERROR(Table1[[#This Row],[Running Time (hr)]]/Table1[Target Time (Hours)], "")</f>
        <v>1</v>
      </c>
      <c r="O1984" s="50">
        <f>IFERROR(Table1[[#This Row],[Actual Production (Kg)]]/Table1[Capacity (Kg)], "")</f>
        <v>1.1388</v>
      </c>
      <c r="P1984" s="50">
        <f>IFERROR(Table1[[#This Row],[Quality Pass Production]]/Table1[[#This Row],[Actual Production (Kg)]], "")</f>
        <v>1</v>
      </c>
      <c r="Q1984" s="50">
        <f>IFERROR(Table1[[#This Row],[Utilization %]]*Table1[[#This Row],[Efficiency %]]*Table1[[#This Row],[Quality %]], "")</f>
        <v>1.1388</v>
      </c>
      <c r="R1984" s="48" t="s">
        <v>545</v>
      </c>
    </row>
    <row r="1985" spans="1:18" x14ac:dyDescent="0.25">
      <c r="A1985" s="47">
        <v>46298</v>
      </c>
      <c r="B1985" s="48" t="s">
        <v>18</v>
      </c>
      <c r="C1985" s="48" t="s">
        <v>22</v>
      </c>
      <c r="D1985" s="48" t="s">
        <v>25</v>
      </c>
      <c r="E1985" s="49">
        <v>4000</v>
      </c>
      <c r="F1985" s="76">
        <v>3021</v>
      </c>
      <c r="G1985" s="49">
        <v>0</v>
      </c>
      <c r="H1985" s="50">
        <f>IFERROR(Table1[Re-process (Kg)]/Table1[Actual Production (Kg)], "")</f>
        <v>0</v>
      </c>
      <c r="I1985" s="49">
        <f>IFERROR(Table1[[#This Row],[Actual Production (Kg)]]-Table1[[#This Row],[Re-process (Kg)]], "")</f>
        <v>3021</v>
      </c>
      <c r="J1985" s="49"/>
      <c r="K1985" s="72"/>
      <c r="L1985" s="49" t="str">
        <f>IF(Table1[[#This Row],[Target Time (Hours)]]="","",Table1[[#This Row],[Target Time (Hours)]]-Table1[[#This Row],[Downtime (Hours)]])</f>
        <v/>
      </c>
      <c r="M1985" s="49" t="str">
        <f>IFERROR(Table1[[#This Row],[Capacity (Kg)]]/Table1[[#This Row],[Target Time (Hours)]] * Table1[[#This Row],[Downtime (Hours)]], "")</f>
        <v/>
      </c>
      <c r="N1985" s="50" t="str">
        <f>IFERROR(Table1[[#This Row],[Running Time (hr)]]/Table1[Target Time (Hours)], "")</f>
        <v/>
      </c>
      <c r="O1985" s="50">
        <f>IFERROR(Table1[[#This Row],[Actual Production (Kg)]]/Table1[Capacity (Kg)], "")</f>
        <v>0.75524999999999998</v>
      </c>
      <c r="P1985" s="50">
        <f>IFERROR(Table1[[#This Row],[Quality Pass Production]]/Table1[[#This Row],[Actual Production (Kg)]], "")</f>
        <v>1</v>
      </c>
      <c r="Q1985" s="50" t="str">
        <f>IFERROR(Table1[[#This Row],[Utilization %]]*Table1[[#This Row],[Efficiency %]]*Table1[[#This Row],[Quality %]], "")</f>
        <v/>
      </c>
    </row>
    <row r="1986" spans="1:18" ht="30" customHeight="1" x14ac:dyDescent="0.25">
      <c r="A1986" s="47">
        <v>46298</v>
      </c>
      <c r="B1986" s="48" t="s">
        <v>18</v>
      </c>
      <c r="C1986" s="48" t="s">
        <v>26</v>
      </c>
      <c r="D1986" s="48" t="s">
        <v>25</v>
      </c>
      <c r="E1986" s="49">
        <v>7000</v>
      </c>
      <c r="F1986" s="76">
        <v>6532</v>
      </c>
      <c r="G1986" s="49">
        <v>0</v>
      </c>
      <c r="H1986" s="50">
        <f>IFERROR(Table1[Re-process (Kg)]/Table1[Actual Production (Kg)], "")</f>
        <v>0</v>
      </c>
      <c r="I1986" s="49">
        <f>IFERROR(Table1[[#This Row],[Actual Production (Kg)]]-Table1[[#This Row],[Re-process (Kg)]], "")</f>
        <v>6532</v>
      </c>
      <c r="J1986" s="49">
        <v>22</v>
      </c>
      <c r="K1986" s="72"/>
      <c r="L1986" s="49">
        <f>IF(Table1[[#This Row],[Target Time (Hours)]]="","",Table1[[#This Row],[Target Time (Hours)]]-Table1[[#This Row],[Downtime (Hours)]])</f>
        <v>22</v>
      </c>
      <c r="M1986" s="49">
        <f>IFERROR(Table1[[#This Row],[Capacity (Kg)]]/Table1[[#This Row],[Target Time (Hours)]] * Table1[[#This Row],[Downtime (Hours)]], "")</f>
        <v>0</v>
      </c>
      <c r="N1986" s="50">
        <f>IFERROR(Table1[[#This Row],[Running Time (hr)]]/Table1[Target Time (Hours)], "")</f>
        <v>1</v>
      </c>
      <c r="O1986" s="50">
        <f>IFERROR(Table1[[#This Row],[Actual Production (Kg)]]/Table1[Capacity (Kg)], "")</f>
        <v>0.93314285714285716</v>
      </c>
      <c r="P1986" s="50">
        <f>IFERROR(Table1[[#This Row],[Quality Pass Production]]/Table1[[#This Row],[Actual Production (Kg)]], "")</f>
        <v>1</v>
      </c>
      <c r="Q1986" s="50">
        <f>IFERROR(Table1[[#This Row],[Utilization %]]*Table1[[#This Row],[Efficiency %]]*Table1[[#This Row],[Quality %]], "")</f>
        <v>0.93314285714285716</v>
      </c>
      <c r="R1986" s="48" t="s">
        <v>546</v>
      </c>
    </row>
    <row r="1987" spans="1:18" ht="30" customHeight="1" x14ac:dyDescent="0.25">
      <c r="A1987" s="47">
        <v>46298</v>
      </c>
      <c r="B1987" s="48" t="s">
        <v>18</v>
      </c>
      <c r="C1987" s="48" t="s">
        <v>28</v>
      </c>
      <c r="D1987" s="48" t="s">
        <v>29</v>
      </c>
      <c r="E1987" s="49">
        <v>7800</v>
      </c>
      <c r="F1987" s="76">
        <v>8623</v>
      </c>
      <c r="G1987" s="49">
        <v>0</v>
      </c>
      <c r="H1987" s="50">
        <f>IFERROR(Table1[Re-process (Kg)]/Table1[Actual Production (Kg)], "")</f>
        <v>0</v>
      </c>
      <c r="I1987" s="49">
        <f>IFERROR(Table1[[#This Row],[Actual Production (Kg)]]-Table1[[#This Row],[Re-process (Kg)]], "")</f>
        <v>8623</v>
      </c>
      <c r="J1987" s="49">
        <v>22</v>
      </c>
      <c r="K1987" s="72">
        <v>5.17</v>
      </c>
      <c r="L1987" s="49">
        <f>IF(Table1[[#This Row],[Target Time (Hours)]]="","",Table1[[#This Row],[Target Time (Hours)]]-Table1[[#This Row],[Downtime (Hours)]])</f>
        <v>16.829999999999998</v>
      </c>
      <c r="M1987" s="49">
        <f>IFERROR(Table1[[#This Row],[Capacity (Kg)]]/Table1[[#This Row],[Target Time (Hours)]] * Table1[[#This Row],[Downtime (Hours)]], "")</f>
        <v>1833</v>
      </c>
      <c r="N1987" s="50">
        <f>IFERROR(Table1[[#This Row],[Running Time (hr)]]/Table1[Target Time (Hours)], "")</f>
        <v>0.7649999999999999</v>
      </c>
      <c r="O1987" s="50">
        <f>IFERROR(Table1[[#This Row],[Actual Production (Kg)]]/Table1[Capacity (Kg)], "")</f>
        <v>1.1055128205128204</v>
      </c>
      <c r="P1987" s="50">
        <f>IFERROR(Table1[[#This Row],[Quality Pass Production]]/Table1[[#This Row],[Actual Production (Kg)]], "")</f>
        <v>1</v>
      </c>
      <c r="Q1987" s="50">
        <f>IFERROR(Table1[[#This Row],[Utilization %]]*Table1[[#This Row],[Efficiency %]]*Table1[[#This Row],[Quality %]], "")</f>
        <v>0.84571730769230746</v>
      </c>
    </row>
    <row r="1988" spans="1:18" ht="30" customHeight="1" x14ac:dyDescent="0.25">
      <c r="A1988" s="51">
        <v>46298</v>
      </c>
      <c r="B1988" s="52" t="s">
        <v>18</v>
      </c>
      <c r="C1988" s="52" t="s">
        <v>135</v>
      </c>
      <c r="D1988" s="52" t="s">
        <v>29</v>
      </c>
      <c r="E1988" s="53"/>
      <c r="F1988" s="53"/>
      <c r="G1988" s="53"/>
      <c r="H1988" s="57" t="str">
        <f>IFERROR(Table1[Re-process (Kg)]/Table1[Actual Production (Kg)], "")</f>
        <v/>
      </c>
      <c r="I1988" s="53">
        <f>IFERROR(Table1[[#This Row],[Actual Production (Kg)]]-Table1[[#This Row],[Re-process (Kg)]], "")</f>
        <v>0</v>
      </c>
      <c r="J1988" s="53"/>
      <c r="K1988" s="52"/>
      <c r="L1988" s="53" t="str">
        <f>IF(Table1[[#This Row],[Target Time (Hours)]]="","",Table1[[#This Row],[Target Time (Hours)]]-Table1[[#This Row],[Downtime (Hours)]])</f>
        <v/>
      </c>
      <c r="M1988" s="53" t="str">
        <f>IFERROR(Table1[[#This Row],[Capacity (Kg)]]/Table1[[#This Row],[Target Time (Hours)]] * Table1[[#This Row],[Downtime (Hours)]], "")</f>
        <v/>
      </c>
      <c r="N1988" s="57" t="str">
        <f>IFERROR(Table1[[#This Row],[Running Time (hr)]]/Table1[Target Time (Hours)], "")</f>
        <v/>
      </c>
      <c r="O1988" s="57" t="str">
        <f>IFERROR(Table1[[#This Row],[Actual Production (Kg)]]/Table1[Capacity (Kg)], "")</f>
        <v/>
      </c>
      <c r="P1988" s="57" t="str">
        <f>IFERROR(Table1[[#This Row],[Quality Pass Production]]/Table1[[#This Row],[Actual Production (Kg)]], "")</f>
        <v/>
      </c>
      <c r="Q1988" s="57" t="str">
        <f>IFERROR(Table1[[#This Row],[Utilization %]]*Table1[[#This Row],[Efficiency %]]*Table1[[#This Row],[Quality %]], "")</f>
        <v/>
      </c>
      <c r="R1988" s="52"/>
    </row>
    <row r="1989" spans="1:18" ht="30" customHeight="1" x14ac:dyDescent="0.25">
      <c r="A1989" s="47">
        <v>46298</v>
      </c>
      <c r="B1989" s="48" t="s">
        <v>18</v>
      </c>
      <c r="C1989" s="48" t="s">
        <v>30</v>
      </c>
      <c r="D1989" s="48" t="s">
        <v>31</v>
      </c>
      <c r="E1989" s="49">
        <v>9000</v>
      </c>
      <c r="F1989" s="76">
        <v>9264</v>
      </c>
      <c r="G1989" s="49">
        <v>0</v>
      </c>
      <c r="H1989" s="50">
        <f>IFERROR(Table1[Re-process (Kg)]/Table1[Actual Production (Kg)], "")</f>
        <v>0</v>
      </c>
      <c r="I1989" s="49">
        <f>IFERROR(Table1[[#This Row],[Actual Production (Kg)]]-Table1[[#This Row],[Re-process (Kg)]], "")</f>
        <v>9264</v>
      </c>
      <c r="J1989" s="49">
        <v>22</v>
      </c>
      <c r="K1989" s="72"/>
      <c r="L1989" s="49">
        <f>IF(Table1[[#This Row],[Target Time (Hours)]]="","",Table1[[#This Row],[Target Time (Hours)]]-Table1[[#This Row],[Downtime (Hours)]])</f>
        <v>22</v>
      </c>
      <c r="M1989" s="49">
        <f>IFERROR(Table1[[#This Row],[Capacity (Kg)]]/Table1[[#This Row],[Target Time (Hours)]] * Table1[[#This Row],[Downtime (Hours)]], "")</f>
        <v>0</v>
      </c>
      <c r="N1989" s="50">
        <f>IFERROR(Table1[[#This Row],[Running Time (hr)]]/Table1[Target Time (Hours)], "")</f>
        <v>1</v>
      </c>
      <c r="O1989" s="50">
        <f>IFERROR(Table1[[#This Row],[Actual Production (Kg)]]/Table1[Capacity (Kg)], "")</f>
        <v>1.0293333333333334</v>
      </c>
      <c r="P1989" s="50">
        <f>IFERROR(Table1[[#This Row],[Quality Pass Production]]/Table1[[#This Row],[Actual Production (Kg)]], "")</f>
        <v>1</v>
      </c>
      <c r="Q1989" s="50">
        <f>IFERROR(Table1[[#This Row],[Utilization %]]*Table1[[#This Row],[Efficiency %]]*Table1[[#This Row],[Quality %]], "")</f>
        <v>1.0293333333333334</v>
      </c>
    </row>
    <row r="1990" spans="1:18" ht="30" customHeight="1" x14ac:dyDescent="0.25">
      <c r="A1990" s="51">
        <v>46298</v>
      </c>
      <c r="B1990" s="52" t="s">
        <v>18</v>
      </c>
      <c r="C1990" s="52" t="s">
        <v>32</v>
      </c>
      <c r="D1990" s="52" t="s">
        <v>31</v>
      </c>
      <c r="E1990" s="53">
        <v>2500</v>
      </c>
      <c r="F1990" s="53">
        <v>0</v>
      </c>
      <c r="G1990" s="53">
        <v>0</v>
      </c>
      <c r="H1990" s="57" t="str">
        <f>IFERROR(Table1[Re-process (Kg)]/Table1[Actual Production (Kg)], "")</f>
        <v/>
      </c>
      <c r="I1990" s="53">
        <f>IFERROR(Table1[[#This Row],[Actual Production (Kg)]]-Table1[[#This Row],[Re-process (Kg)]], "")</f>
        <v>0</v>
      </c>
      <c r="J1990" s="53"/>
      <c r="K1990" s="52"/>
      <c r="L1990" s="53" t="str">
        <f>IF(Table1[[#This Row],[Target Time (Hours)]]="","",Table1[[#This Row],[Target Time (Hours)]]-Table1[[#This Row],[Downtime (Hours)]])</f>
        <v/>
      </c>
      <c r="M1990" s="53" t="str">
        <f>IFERROR(Table1[[#This Row],[Capacity (Kg)]]/Table1[[#This Row],[Target Time (Hours)]] * Table1[[#This Row],[Downtime (Hours)]], "")</f>
        <v/>
      </c>
      <c r="N1990" s="57" t="str">
        <f>IFERROR(Table1[[#This Row],[Running Time (hr)]]/Table1[Target Time (Hours)], "")</f>
        <v/>
      </c>
      <c r="O1990" s="57">
        <f>IFERROR(Table1[[#This Row],[Actual Production (Kg)]]/Table1[Capacity (Kg)], "")</f>
        <v>0</v>
      </c>
      <c r="P1990" s="57" t="str">
        <f>IFERROR(Table1[[#This Row],[Quality Pass Production]]/Table1[[#This Row],[Actual Production (Kg)]], "")</f>
        <v/>
      </c>
      <c r="Q1990" s="57" t="str">
        <f>IFERROR(Table1[[#This Row],[Utilization %]]*Table1[[#This Row],[Efficiency %]]*Table1[[#This Row],[Quality %]], "")</f>
        <v/>
      </c>
      <c r="R1990" s="52" t="s">
        <v>543</v>
      </c>
    </row>
    <row r="1991" spans="1:18" ht="30" customHeight="1" x14ac:dyDescent="0.25">
      <c r="A1991" s="47">
        <v>46298</v>
      </c>
      <c r="B1991" s="48" t="s">
        <v>33</v>
      </c>
      <c r="C1991" s="48" t="s">
        <v>34</v>
      </c>
      <c r="D1991" s="48" t="s">
        <v>35</v>
      </c>
      <c r="E1991" s="49">
        <v>9000</v>
      </c>
      <c r="F1991" s="76">
        <v>6243</v>
      </c>
      <c r="G1991" s="49">
        <v>0</v>
      </c>
      <c r="H1991" s="50">
        <f>IFERROR(Table1[Re-process (Kg)]/Table1[Actual Production (Kg)], "")</f>
        <v>0</v>
      </c>
      <c r="I1991" s="49">
        <f>IFERROR(Table1[[#This Row],[Actual Production (Kg)]]-Table1[[#This Row],[Re-process (Kg)]], "")</f>
        <v>6243</v>
      </c>
      <c r="J1991" s="49">
        <v>22</v>
      </c>
      <c r="K1991" s="72"/>
      <c r="L1991" s="49">
        <f>IF(Table1[[#This Row],[Target Time (Hours)]]="","",Table1[[#This Row],[Target Time (Hours)]]-Table1[[#This Row],[Downtime (Hours)]])</f>
        <v>22</v>
      </c>
      <c r="M1991" s="49">
        <f>IFERROR(Table1[[#This Row],[Capacity (Kg)]]/Table1[[#This Row],[Target Time (Hours)]] * Table1[[#This Row],[Downtime (Hours)]], "")</f>
        <v>0</v>
      </c>
      <c r="N1991" s="50">
        <f>IFERROR(Table1[[#This Row],[Running Time (hr)]]/Table1[Target Time (Hours)], "")</f>
        <v>1</v>
      </c>
      <c r="O1991" s="50">
        <f>IFERROR(Table1[[#This Row],[Actual Production (Kg)]]/Table1[Capacity (Kg)], "")</f>
        <v>0.69366666666666665</v>
      </c>
      <c r="P1991" s="50">
        <f>IFERROR(Table1[[#This Row],[Quality Pass Production]]/Table1[[#This Row],[Actual Production (Kg)]], "")</f>
        <v>1</v>
      </c>
      <c r="Q1991" s="50">
        <f>IFERROR(Table1[[#This Row],[Utilization %]]*Table1[[#This Row],[Efficiency %]]*Table1[[#This Row],[Quality %]], "")</f>
        <v>0.69366666666666665</v>
      </c>
    </row>
    <row r="1992" spans="1:18" x14ac:dyDescent="0.25">
      <c r="A1992" s="47">
        <v>46298</v>
      </c>
      <c r="B1992" s="48" t="s">
        <v>33</v>
      </c>
      <c r="C1992" s="48" t="s">
        <v>36</v>
      </c>
      <c r="D1992" s="48" t="s">
        <v>37</v>
      </c>
      <c r="E1992" s="49">
        <v>8000</v>
      </c>
      <c r="F1992" s="76">
        <v>6285</v>
      </c>
      <c r="G1992" s="49">
        <v>0</v>
      </c>
      <c r="H1992" s="50">
        <f>IFERROR(Table1[Re-process (Kg)]/Table1[Actual Production (Kg)], "")</f>
        <v>0</v>
      </c>
      <c r="I1992" s="49">
        <f>IFERROR(Table1[[#This Row],[Actual Production (Kg)]]-Table1[[#This Row],[Re-process (Kg)]], "")</f>
        <v>6285</v>
      </c>
      <c r="J1992" s="49">
        <v>22</v>
      </c>
      <c r="K1992" s="72">
        <v>1.33</v>
      </c>
      <c r="L1992" s="49">
        <f>IF(Table1[[#This Row],[Target Time (Hours)]]="","",Table1[[#This Row],[Target Time (Hours)]]-Table1[[#This Row],[Downtime (Hours)]])</f>
        <v>20.67</v>
      </c>
      <c r="M1992" s="49">
        <f>IFERROR(Table1[[#This Row],[Capacity (Kg)]]/Table1[[#This Row],[Target Time (Hours)]] * Table1[[#This Row],[Downtime (Hours)]], "")</f>
        <v>483.63636363636363</v>
      </c>
      <c r="N1992" s="50">
        <f>IFERROR(Table1[[#This Row],[Running Time (hr)]]/Table1[Target Time (Hours)], "")</f>
        <v>0.93954545454545457</v>
      </c>
      <c r="O1992" s="50">
        <f>IFERROR(Table1[[#This Row],[Actual Production (Kg)]]/Table1[Capacity (Kg)], "")</f>
        <v>0.78562500000000002</v>
      </c>
      <c r="P1992" s="50">
        <f>IFERROR(Table1[[#This Row],[Quality Pass Production]]/Table1[[#This Row],[Actual Production (Kg)]], "")</f>
        <v>1</v>
      </c>
      <c r="Q1992" s="50">
        <f>IFERROR(Table1[[#This Row],[Utilization %]]*Table1[[#This Row],[Efficiency %]]*Table1[[#This Row],[Quality %]], "")</f>
        <v>0.73813039772727274</v>
      </c>
      <c r="R1992" s="48" t="s">
        <v>541</v>
      </c>
    </row>
    <row r="1993" spans="1:18" ht="30" customHeight="1" x14ac:dyDescent="0.25">
      <c r="A1993" s="47">
        <v>46298</v>
      </c>
      <c r="B1993" s="48" t="s">
        <v>33</v>
      </c>
      <c r="C1993" s="48" t="s">
        <v>39</v>
      </c>
      <c r="D1993" s="48" t="s">
        <v>31</v>
      </c>
      <c r="E1993" s="49">
        <v>6000</v>
      </c>
      <c r="F1993" s="76">
        <v>3980</v>
      </c>
      <c r="G1993" s="49">
        <v>0</v>
      </c>
      <c r="H1993" s="50">
        <f>IFERROR(Table1[Re-process (Kg)]/Table1[Actual Production (Kg)], "")</f>
        <v>0</v>
      </c>
      <c r="I1993" s="49">
        <f>IFERROR(Table1[[#This Row],[Actual Production (Kg)]]-Table1[[#This Row],[Re-process (Kg)]], "")</f>
        <v>3980</v>
      </c>
      <c r="J1993" s="49">
        <v>22</v>
      </c>
      <c r="K1993" s="72">
        <v>2</v>
      </c>
      <c r="L1993" s="49">
        <f>IF(Table1[[#This Row],[Target Time (Hours)]]="","",Table1[[#This Row],[Target Time (Hours)]]-Table1[[#This Row],[Downtime (Hours)]])</f>
        <v>20</v>
      </c>
      <c r="M1993" s="49">
        <f>IFERROR(Table1[[#This Row],[Capacity (Kg)]]/Table1[[#This Row],[Target Time (Hours)]] * Table1[[#This Row],[Downtime (Hours)]], "")</f>
        <v>545.4545454545455</v>
      </c>
      <c r="N1993" s="50">
        <f>IFERROR(Table1[[#This Row],[Running Time (hr)]]/Table1[Target Time (Hours)], "")</f>
        <v>0.90909090909090906</v>
      </c>
      <c r="O1993" s="50">
        <f>IFERROR(Table1[[#This Row],[Actual Production (Kg)]]/Table1[Capacity (Kg)], "")</f>
        <v>0.66333333333333333</v>
      </c>
      <c r="P1993" s="50">
        <f>IFERROR(Table1[[#This Row],[Quality Pass Production]]/Table1[[#This Row],[Actual Production (Kg)]], "")</f>
        <v>1</v>
      </c>
      <c r="Q1993" s="50">
        <f>IFERROR(Table1[[#This Row],[Utilization %]]*Table1[[#This Row],[Efficiency %]]*Table1[[#This Row],[Quality %]], "")</f>
        <v>0.60303030303030303</v>
      </c>
      <c r="R1993" s="48" t="s">
        <v>459</v>
      </c>
    </row>
    <row r="1994" spans="1:18" ht="45" customHeight="1" x14ac:dyDescent="0.25">
      <c r="A1994" s="54">
        <v>46298</v>
      </c>
      <c r="B1994" s="55" t="s">
        <v>33</v>
      </c>
      <c r="C1994" s="55" t="s">
        <v>40</v>
      </c>
      <c r="D1994" s="55" t="s">
        <v>31</v>
      </c>
      <c r="E1994" s="56">
        <v>5000</v>
      </c>
      <c r="F1994" s="56">
        <v>2820</v>
      </c>
      <c r="G1994" s="56">
        <v>0</v>
      </c>
      <c r="H1994" s="58">
        <f>IFERROR(Table1[Re-process (Kg)]/Table1[Actual Production (Kg)], "")</f>
        <v>0</v>
      </c>
      <c r="I1994" s="56">
        <f>IFERROR(Table1[[#This Row],[Actual Production (Kg)]]-Table1[[#This Row],[Re-process (Kg)]], "")</f>
        <v>2820</v>
      </c>
      <c r="J1994" s="56">
        <v>22</v>
      </c>
      <c r="K1994" s="55"/>
      <c r="L1994" s="56">
        <f>IF(Table1[[#This Row],[Target Time (Hours)]]="","",Table1[[#This Row],[Target Time (Hours)]]-Table1[[#This Row],[Downtime (Hours)]])</f>
        <v>22</v>
      </c>
      <c r="M1994" s="56">
        <f>IFERROR(Table1[[#This Row],[Capacity (Kg)]]/Table1[[#This Row],[Target Time (Hours)]] * Table1[[#This Row],[Downtime (Hours)]], "")</f>
        <v>0</v>
      </c>
      <c r="N1994" s="58">
        <f>IFERROR(Table1[[#This Row],[Running Time (hr)]]/Table1[Target Time (Hours)], "")</f>
        <v>1</v>
      </c>
      <c r="O1994" s="58">
        <f>IFERROR(Table1[[#This Row],[Actual Production (Kg)]]/Table1[Capacity (Kg)], "")</f>
        <v>0.56399999999999995</v>
      </c>
      <c r="P1994" s="58">
        <f>IFERROR(Table1[[#This Row],[Quality Pass Production]]/Table1[[#This Row],[Actual Production (Kg)]], "")</f>
        <v>1</v>
      </c>
      <c r="Q1994" s="58">
        <f>IFERROR(Table1[[#This Row],[Utilization %]]*Table1[[#This Row],[Efficiency %]]*Table1[[#This Row],[Quality %]], "")</f>
        <v>0.56399999999999995</v>
      </c>
      <c r="R1994" s="55"/>
    </row>
    <row r="1995" spans="1:18" ht="30" customHeight="1" x14ac:dyDescent="0.25">
      <c r="A1995" s="47">
        <v>46299</v>
      </c>
      <c r="B1995" s="48" t="s">
        <v>18</v>
      </c>
      <c r="C1995" s="48" t="s">
        <v>19</v>
      </c>
      <c r="D1995" s="48" t="s">
        <v>20</v>
      </c>
      <c r="E1995" s="49">
        <v>10000</v>
      </c>
      <c r="F1995" s="76">
        <v>9411</v>
      </c>
      <c r="G1995" s="49">
        <v>0</v>
      </c>
      <c r="H1995" s="50">
        <f>IFERROR(Table1[Re-process (Kg)]/Table1[Actual Production (Kg)], "")</f>
        <v>0</v>
      </c>
      <c r="I1995" s="49">
        <f>IFERROR(Table1[[#This Row],[Actual Production (Kg)]]-Table1[[#This Row],[Re-process (Kg)]], "")</f>
        <v>9411</v>
      </c>
      <c r="J1995" s="49">
        <v>22</v>
      </c>
      <c r="K1995" s="72"/>
      <c r="L1995" s="49">
        <f>IF(Table1[[#This Row],[Target Time (Hours)]]="","",Table1[[#This Row],[Target Time (Hours)]]-Table1[[#This Row],[Downtime (Hours)]])</f>
        <v>22</v>
      </c>
      <c r="M1995" s="49">
        <f>IFERROR(Table1[[#This Row],[Capacity (Kg)]]/Table1[[#This Row],[Target Time (Hours)]] * Table1[[#This Row],[Downtime (Hours)]], "")</f>
        <v>0</v>
      </c>
      <c r="N1995" s="50">
        <f>IFERROR(Table1[[#This Row],[Running Time (hr)]]/Table1[Target Time (Hours)], "")</f>
        <v>1</v>
      </c>
      <c r="O1995" s="50">
        <f>IFERROR(Table1[[#This Row],[Actual Production (Kg)]]/Table1[Capacity (Kg)], "")</f>
        <v>0.94110000000000005</v>
      </c>
      <c r="P1995" s="50">
        <f>IFERROR(Table1[[#This Row],[Quality Pass Production]]/Table1[[#This Row],[Actual Production (Kg)]], "")</f>
        <v>1</v>
      </c>
      <c r="Q1995" s="50">
        <f>IFERROR(Table1[[#This Row],[Utilization %]]*Table1[[#This Row],[Efficiency %]]*Table1[[#This Row],[Quality %]], "")</f>
        <v>0.94110000000000005</v>
      </c>
    </row>
    <row r="1996" spans="1:18" x14ac:dyDescent="0.25">
      <c r="A1996" s="51">
        <v>46299</v>
      </c>
      <c r="B1996" s="52" t="s">
        <v>18</v>
      </c>
      <c r="C1996" s="52" t="s">
        <v>238</v>
      </c>
      <c r="D1996" s="52" t="s">
        <v>20</v>
      </c>
      <c r="E1996" s="53">
        <v>10914</v>
      </c>
      <c r="F1996" s="53">
        <v>11970</v>
      </c>
      <c r="G1996" s="53">
        <v>0</v>
      </c>
      <c r="H1996" s="57">
        <f>IFERROR(Table1[Re-process (Kg)]/Table1[Actual Production (Kg)], "")</f>
        <v>0</v>
      </c>
      <c r="I1996" s="53">
        <f>IFERROR(Table1[[#This Row],[Actual Production (Kg)]]-Table1[[#This Row],[Re-process (Kg)]], "")</f>
        <v>11970</v>
      </c>
      <c r="J1996" s="53"/>
      <c r="K1996" s="52"/>
      <c r="L1996" s="53" t="str">
        <f>IF(Table1[[#This Row],[Target Time (Hours)]]="","",Table1[[#This Row],[Target Time (Hours)]]-Table1[[#This Row],[Downtime (Hours)]])</f>
        <v/>
      </c>
      <c r="M1996" s="53" t="str">
        <f>IFERROR(Table1[[#This Row],[Capacity (Kg)]]/Table1[[#This Row],[Target Time (Hours)]] * Table1[[#This Row],[Downtime (Hours)]], "")</f>
        <v/>
      </c>
      <c r="N1996" s="57" t="str">
        <f>IFERROR(Table1[[#This Row],[Running Time (hr)]]/Table1[Target Time (Hours)], "")</f>
        <v/>
      </c>
      <c r="O1996" s="57">
        <f>IFERROR(Table1[[#This Row],[Actual Production (Kg)]]/Table1[Capacity (Kg)], "")</f>
        <v>1.0967564595931831</v>
      </c>
      <c r="P1996" s="57">
        <f>IFERROR(Table1[[#This Row],[Quality Pass Production]]/Table1[[#This Row],[Actual Production (Kg)]], "")</f>
        <v>1</v>
      </c>
      <c r="Q1996" s="57" t="str">
        <f>IFERROR(Table1[[#This Row],[Utilization %]]*Table1[[#This Row],[Efficiency %]]*Table1[[#This Row],[Quality %]], "")</f>
        <v/>
      </c>
      <c r="R1996" s="52"/>
    </row>
    <row r="1997" spans="1:18" x14ac:dyDescent="0.25">
      <c r="A1997" s="47">
        <v>46299</v>
      </c>
      <c r="B1997" s="48" t="s">
        <v>18</v>
      </c>
      <c r="C1997" s="48" t="s">
        <v>22</v>
      </c>
      <c r="D1997" s="48" t="s">
        <v>23</v>
      </c>
      <c r="E1997" s="49">
        <v>5000</v>
      </c>
      <c r="F1997" s="76">
        <v>4416</v>
      </c>
      <c r="G1997" s="49">
        <v>0</v>
      </c>
      <c r="H1997" s="50">
        <f>IFERROR(Table1[Re-process (Kg)]/Table1[Actual Production (Kg)], "")</f>
        <v>0</v>
      </c>
      <c r="I1997" s="49">
        <f>IFERROR(Table1[[#This Row],[Actual Production (Kg)]]-Table1[[#This Row],[Re-process (Kg)]], "")</f>
        <v>4416</v>
      </c>
      <c r="J1997" s="49">
        <v>22</v>
      </c>
      <c r="K1997" s="72"/>
      <c r="L1997" s="49">
        <f>IF(Table1[[#This Row],[Target Time (Hours)]]="","",Table1[[#This Row],[Target Time (Hours)]]-Table1[[#This Row],[Downtime (Hours)]])</f>
        <v>22</v>
      </c>
      <c r="M1997" s="49">
        <f>IFERROR(Table1[[#This Row],[Capacity (Kg)]]/Table1[[#This Row],[Target Time (Hours)]] * Table1[[#This Row],[Downtime (Hours)]], "")</f>
        <v>0</v>
      </c>
      <c r="N1997" s="50">
        <f>IFERROR(Table1[[#This Row],[Running Time (hr)]]/Table1[Target Time (Hours)], "")</f>
        <v>1</v>
      </c>
      <c r="O1997" s="50">
        <f>IFERROR(Table1[[#This Row],[Actual Production (Kg)]]/Table1[Capacity (Kg)], "")</f>
        <v>0.88319999999999999</v>
      </c>
      <c r="P1997" s="50">
        <f>IFERROR(Table1[[#This Row],[Quality Pass Production]]/Table1[[#This Row],[Actual Production (Kg)]], "")</f>
        <v>1</v>
      </c>
      <c r="Q1997" s="50">
        <f>IFERROR(Table1[[#This Row],[Utilization %]]*Table1[[#This Row],[Efficiency %]]*Table1[[#This Row],[Quality %]], "")</f>
        <v>0.88319999999999999</v>
      </c>
    </row>
    <row r="1998" spans="1:18" x14ac:dyDescent="0.25">
      <c r="A1998" s="47">
        <v>46299</v>
      </c>
      <c r="B1998" s="48" t="s">
        <v>18</v>
      </c>
      <c r="C1998" s="48" t="s">
        <v>22</v>
      </c>
      <c r="D1998" s="48" t="s">
        <v>25</v>
      </c>
      <c r="E1998" s="49">
        <v>4000</v>
      </c>
      <c r="F1998" s="76">
        <v>5149</v>
      </c>
      <c r="G1998" s="49">
        <v>0</v>
      </c>
      <c r="H1998" s="50">
        <f>IFERROR(Table1[Re-process (Kg)]/Table1[Actual Production (Kg)], "")</f>
        <v>0</v>
      </c>
      <c r="I1998" s="49">
        <f>IFERROR(Table1[[#This Row],[Actual Production (Kg)]]-Table1[[#This Row],[Re-process (Kg)]], "")</f>
        <v>5149</v>
      </c>
      <c r="J1998" s="49"/>
      <c r="K1998" s="72"/>
      <c r="L1998" s="49" t="str">
        <f>IF(Table1[[#This Row],[Target Time (Hours)]]="","",Table1[[#This Row],[Target Time (Hours)]]-Table1[[#This Row],[Downtime (Hours)]])</f>
        <v/>
      </c>
      <c r="M1998" s="49" t="str">
        <f>IFERROR(Table1[[#This Row],[Capacity (Kg)]]/Table1[[#This Row],[Target Time (Hours)]] * Table1[[#This Row],[Downtime (Hours)]], "")</f>
        <v/>
      </c>
      <c r="N1998" s="50" t="str">
        <f>IFERROR(Table1[[#This Row],[Running Time (hr)]]/Table1[Target Time (Hours)], "")</f>
        <v/>
      </c>
      <c r="O1998" s="50">
        <f>IFERROR(Table1[[#This Row],[Actual Production (Kg)]]/Table1[Capacity (Kg)], "")</f>
        <v>1.28725</v>
      </c>
      <c r="P1998" s="50">
        <f>IFERROR(Table1[[#This Row],[Quality Pass Production]]/Table1[[#This Row],[Actual Production (Kg)]], "")</f>
        <v>1</v>
      </c>
      <c r="Q1998" s="50" t="str">
        <f>IFERROR(Table1[[#This Row],[Utilization %]]*Table1[[#This Row],[Efficiency %]]*Table1[[#This Row],[Quality %]], "")</f>
        <v/>
      </c>
    </row>
    <row r="1999" spans="1:18" x14ac:dyDescent="0.25">
      <c r="A1999" s="47">
        <v>46299</v>
      </c>
      <c r="B1999" s="48" t="s">
        <v>18</v>
      </c>
      <c r="C1999" s="48" t="s">
        <v>26</v>
      </c>
      <c r="D1999" s="48" t="s">
        <v>25</v>
      </c>
      <c r="E1999" s="49">
        <v>7000</v>
      </c>
      <c r="F1999" s="76">
        <v>6609</v>
      </c>
      <c r="G1999" s="49">
        <v>0</v>
      </c>
      <c r="H1999" s="50">
        <f>IFERROR(Table1[Re-process (Kg)]/Table1[Actual Production (Kg)], "")</f>
        <v>0</v>
      </c>
      <c r="I1999" s="49">
        <f>IFERROR(Table1[[#This Row],[Actual Production (Kg)]]-Table1[[#This Row],[Re-process (Kg)]], "")</f>
        <v>6609</v>
      </c>
      <c r="J1999" s="49">
        <v>22</v>
      </c>
      <c r="K1999" s="72">
        <v>3</v>
      </c>
      <c r="L1999" s="49">
        <f>IF(Table1[[#This Row],[Target Time (Hours)]]="","",Table1[[#This Row],[Target Time (Hours)]]-Table1[[#This Row],[Downtime (Hours)]])</f>
        <v>19</v>
      </c>
      <c r="M1999" s="49">
        <f>IFERROR(Table1[[#This Row],[Capacity (Kg)]]/Table1[[#This Row],[Target Time (Hours)]] * Table1[[#This Row],[Downtime (Hours)]], "")</f>
        <v>954.5454545454545</v>
      </c>
      <c r="N1999" s="50">
        <f>IFERROR(Table1[[#This Row],[Running Time (hr)]]/Table1[Target Time (Hours)], "")</f>
        <v>0.86363636363636365</v>
      </c>
      <c r="O1999" s="50">
        <f>IFERROR(Table1[[#This Row],[Actual Production (Kg)]]/Table1[Capacity (Kg)], "")</f>
        <v>0.94414285714285717</v>
      </c>
      <c r="P1999" s="50">
        <f>IFERROR(Table1[[#This Row],[Quality Pass Production]]/Table1[[#This Row],[Actual Production (Kg)]], "")</f>
        <v>1</v>
      </c>
      <c r="Q1999" s="50">
        <f>IFERROR(Table1[[#This Row],[Utilization %]]*Table1[[#This Row],[Efficiency %]]*Table1[[#This Row],[Quality %]], "")</f>
        <v>0.81539610389610395</v>
      </c>
      <c r="R1999" s="48" t="s">
        <v>547</v>
      </c>
    </row>
    <row r="2000" spans="1:18" ht="30" customHeight="1" x14ac:dyDescent="0.25">
      <c r="A2000" s="47">
        <v>46299</v>
      </c>
      <c r="B2000" s="48" t="s">
        <v>18</v>
      </c>
      <c r="C2000" s="48" t="s">
        <v>28</v>
      </c>
      <c r="D2000" s="48" t="s">
        <v>29</v>
      </c>
      <c r="E2000" s="49">
        <v>7800</v>
      </c>
      <c r="F2000" s="76">
        <v>7967</v>
      </c>
      <c r="G2000" s="49">
        <v>0</v>
      </c>
      <c r="H2000" s="50">
        <f>IFERROR(Table1[Re-process (Kg)]/Table1[Actual Production (Kg)], "")</f>
        <v>0</v>
      </c>
      <c r="I2000" s="49">
        <f>IFERROR(Table1[[#This Row],[Actual Production (Kg)]]-Table1[[#This Row],[Re-process (Kg)]], "")</f>
        <v>7967</v>
      </c>
      <c r="J2000" s="49">
        <v>22</v>
      </c>
      <c r="K2000" s="72"/>
      <c r="L2000" s="49">
        <f>IF(Table1[[#This Row],[Target Time (Hours)]]="","",Table1[[#This Row],[Target Time (Hours)]]-Table1[[#This Row],[Downtime (Hours)]])</f>
        <v>22</v>
      </c>
      <c r="M2000" s="49">
        <f>IFERROR(Table1[[#This Row],[Capacity (Kg)]]/Table1[[#This Row],[Target Time (Hours)]] * Table1[[#This Row],[Downtime (Hours)]], "")</f>
        <v>0</v>
      </c>
      <c r="N2000" s="50">
        <f>IFERROR(Table1[[#This Row],[Running Time (hr)]]/Table1[Target Time (Hours)], "")</f>
        <v>1</v>
      </c>
      <c r="O2000" s="50">
        <f>IFERROR(Table1[[#This Row],[Actual Production (Kg)]]/Table1[Capacity (Kg)], "")</f>
        <v>1.0214102564102565</v>
      </c>
      <c r="P2000" s="50">
        <f>IFERROR(Table1[[#This Row],[Quality Pass Production]]/Table1[[#This Row],[Actual Production (Kg)]], "")</f>
        <v>1</v>
      </c>
      <c r="Q2000" s="50">
        <f>IFERROR(Table1[[#This Row],[Utilization %]]*Table1[[#This Row],[Efficiency %]]*Table1[[#This Row],[Quality %]], "")</f>
        <v>1.0214102564102565</v>
      </c>
    </row>
    <row r="2001" spans="1:18" ht="30" customHeight="1" x14ac:dyDescent="0.25">
      <c r="A2001" s="51">
        <v>46299</v>
      </c>
      <c r="B2001" s="52" t="s">
        <v>18</v>
      </c>
      <c r="C2001" s="52" t="s">
        <v>135</v>
      </c>
      <c r="D2001" s="52" t="s">
        <v>29</v>
      </c>
      <c r="E2001" s="53"/>
      <c r="F2001" s="53"/>
      <c r="G2001" s="53"/>
      <c r="H2001" s="57" t="str">
        <f>IFERROR(Table1[Re-process (Kg)]/Table1[Actual Production (Kg)], "")</f>
        <v/>
      </c>
      <c r="I2001" s="53">
        <f>IFERROR(Table1[[#This Row],[Actual Production (Kg)]]-Table1[[#This Row],[Re-process (Kg)]], "")</f>
        <v>0</v>
      </c>
      <c r="J2001" s="53"/>
      <c r="K2001" s="52"/>
      <c r="L2001" s="53" t="str">
        <f>IF(Table1[[#This Row],[Target Time (Hours)]]="","",Table1[[#This Row],[Target Time (Hours)]]-Table1[[#This Row],[Downtime (Hours)]])</f>
        <v/>
      </c>
      <c r="M2001" s="53" t="str">
        <f>IFERROR(Table1[[#This Row],[Capacity (Kg)]]/Table1[[#This Row],[Target Time (Hours)]] * Table1[[#This Row],[Downtime (Hours)]], "")</f>
        <v/>
      </c>
      <c r="N2001" s="57" t="str">
        <f>IFERROR(Table1[[#This Row],[Running Time (hr)]]/Table1[Target Time (Hours)], "")</f>
        <v/>
      </c>
      <c r="O2001" s="57" t="str">
        <f>IFERROR(Table1[[#This Row],[Actual Production (Kg)]]/Table1[Capacity (Kg)], "")</f>
        <v/>
      </c>
      <c r="P2001" s="57" t="str">
        <f>IFERROR(Table1[[#This Row],[Quality Pass Production]]/Table1[[#This Row],[Actual Production (Kg)]], "")</f>
        <v/>
      </c>
      <c r="Q2001" s="57" t="str">
        <f>IFERROR(Table1[[#This Row],[Utilization %]]*Table1[[#This Row],[Efficiency %]]*Table1[[#This Row],[Quality %]], "")</f>
        <v/>
      </c>
      <c r="R2001" s="52"/>
    </row>
    <row r="2002" spans="1:18" ht="30" customHeight="1" x14ac:dyDescent="0.25">
      <c r="A2002" s="47">
        <v>46299</v>
      </c>
      <c r="B2002" s="48" t="s">
        <v>18</v>
      </c>
      <c r="C2002" s="48" t="s">
        <v>30</v>
      </c>
      <c r="D2002" s="48" t="s">
        <v>31</v>
      </c>
      <c r="E2002" s="49">
        <v>9000</v>
      </c>
      <c r="F2002" s="76">
        <v>9060</v>
      </c>
      <c r="G2002" s="49">
        <v>0</v>
      </c>
      <c r="H2002" s="50">
        <f>IFERROR(Table1[Re-process (Kg)]/Table1[Actual Production (Kg)], "")</f>
        <v>0</v>
      </c>
      <c r="I2002" s="49">
        <f>IFERROR(Table1[[#This Row],[Actual Production (Kg)]]-Table1[[#This Row],[Re-process (Kg)]], "")</f>
        <v>9060</v>
      </c>
      <c r="J2002" s="49">
        <v>22</v>
      </c>
      <c r="K2002" s="72"/>
      <c r="L2002" s="49">
        <f>IF(Table1[[#This Row],[Target Time (Hours)]]="","",Table1[[#This Row],[Target Time (Hours)]]-Table1[[#This Row],[Downtime (Hours)]])</f>
        <v>22</v>
      </c>
      <c r="M2002" s="49">
        <f>IFERROR(Table1[[#This Row],[Capacity (Kg)]]/Table1[[#This Row],[Target Time (Hours)]] * Table1[[#This Row],[Downtime (Hours)]], "")</f>
        <v>0</v>
      </c>
      <c r="N2002" s="50">
        <f>IFERROR(Table1[[#This Row],[Running Time (hr)]]/Table1[Target Time (Hours)], "")</f>
        <v>1</v>
      </c>
      <c r="O2002" s="50">
        <f>IFERROR(Table1[[#This Row],[Actual Production (Kg)]]/Table1[Capacity (Kg)], "")</f>
        <v>1.0066666666666666</v>
      </c>
      <c r="P2002" s="50">
        <f>IFERROR(Table1[[#This Row],[Quality Pass Production]]/Table1[[#This Row],[Actual Production (Kg)]], "")</f>
        <v>1</v>
      </c>
      <c r="Q2002" s="50">
        <f>IFERROR(Table1[[#This Row],[Utilization %]]*Table1[[#This Row],[Efficiency %]]*Table1[[#This Row],[Quality %]], "")</f>
        <v>1.0066666666666666</v>
      </c>
    </row>
    <row r="2003" spans="1:18" ht="30" customHeight="1" x14ac:dyDescent="0.25">
      <c r="A2003" s="51">
        <v>46299</v>
      </c>
      <c r="B2003" s="52" t="s">
        <v>18</v>
      </c>
      <c r="C2003" s="52" t="s">
        <v>32</v>
      </c>
      <c r="D2003" s="52" t="s">
        <v>31</v>
      </c>
      <c r="E2003" s="53">
        <v>2500</v>
      </c>
      <c r="F2003" s="53">
        <v>490</v>
      </c>
      <c r="G2003" s="53">
        <v>0</v>
      </c>
      <c r="H2003" s="57">
        <f>IFERROR(Table1[Re-process (Kg)]/Table1[Actual Production (Kg)], "")</f>
        <v>0</v>
      </c>
      <c r="I2003" s="53">
        <f>IFERROR(Table1[[#This Row],[Actual Production (Kg)]]-Table1[[#This Row],[Re-process (Kg)]], "")</f>
        <v>490</v>
      </c>
      <c r="J2003" s="53"/>
      <c r="K2003" s="52"/>
      <c r="L2003" s="53" t="str">
        <f>IF(Table1[[#This Row],[Target Time (Hours)]]="","",Table1[[#This Row],[Target Time (Hours)]]-Table1[[#This Row],[Downtime (Hours)]])</f>
        <v/>
      </c>
      <c r="M2003" s="53" t="str">
        <f>IFERROR(Table1[[#This Row],[Capacity (Kg)]]/Table1[[#This Row],[Target Time (Hours)]] * Table1[[#This Row],[Downtime (Hours)]], "")</f>
        <v/>
      </c>
      <c r="N2003" s="57" t="str">
        <f>IFERROR(Table1[[#This Row],[Running Time (hr)]]/Table1[Target Time (Hours)], "")</f>
        <v/>
      </c>
      <c r="O2003" s="57">
        <f>IFERROR(Table1[[#This Row],[Actual Production (Kg)]]/Table1[Capacity (Kg)], "")</f>
        <v>0.19600000000000001</v>
      </c>
      <c r="P2003" s="57">
        <f>IFERROR(Table1[[#This Row],[Quality Pass Production]]/Table1[[#This Row],[Actual Production (Kg)]], "")</f>
        <v>1</v>
      </c>
      <c r="Q2003" s="57" t="str">
        <f>IFERROR(Table1[[#This Row],[Utilization %]]*Table1[[#This Row],[Efficiency %]]*Table1[[#This Row],[Quality %]], "")</f>
        <v/>
      </c>
      <c r="R2003" s="52"/>
    </row>
    <row r="2004" spans="1:18" ht="30" customHeight="1" x14ac:dyDescent="0.25">
      <c r="A2004" s="47">
        <v>46299</v>
      </c>
      <c r="B2004" s="48" t="s">
        <v>33</v>
      </c>
      <c r="C2004" s="48" t="s">
        <v>34</v>
      </c>
      <c r="D2004" s="48" t="s">
        <v>35</v>
      </c>
      <c r="E2004" s="49">
        <v>9000</v>
      </c>
      <c r="F2004" s="76">
        <v>5955</v>
      </c>
      <c r="G2004" s="49">
        <v>0</v>
      </c>
      <c r="H2004" s="50">
        <f>IFERROR(Table1[Re-process (Kg)]/Table1[Actual Production (Kg)], "")</f>
        <v>0</v>
      </c>
      <c r="I2004" s="49">
        <f>IFERROR(Table1[[#This Row],[Actual Production (Kg)]]-Table1[[#This Row],[Re-process (Kg)]], "")</f>
        <v>5955</v>
      </c>
      <c r="J2004" s="49">
        <v>22</v>
      </c>
      <c r="K2004" s="72"/>
      <c r="L2004" s="49">
        <f>IF(Table1[[#This Row],[Target Time (Hours)]]="","",Table1[[#This Row],[Target Time (Hours)]]-Table1[[#This Row],[Downtime (Hours)]])</f>
        <v>22</v>
      </c>
      <c r="M2004" s="49">
        <f>IFERROR(Table1[[#This Row],[Capacity (Kg)]]/Table1[[#This Row],[Target Time (Hours)]] * Table1[[#This Row],[Downtime (Hours)]], "")</f>
        <v>0</v>
      </c>
      <c r="N2004" s="50">
        <f>IFERROR(Table1[[#This Row],[Running Time (hr)]]/Table1[Target Time (Hours)], "")</f>
        <v>1</v>
      </c>
      <c r="O2004" s="50">
        <f>IFERROR(Table1[[#This Row],[Actual Production (Kg)]]/Table1[Capacity (Kg)], "")</f>
        <v>0.66166666666666663</v>
      </c>
      <c r="P2004" s="50">
        <f>IFERROR(Table1[[#This Row],[Quality Pass Production]]/Table1[[#This Row],[Actual Production (Kg)]], "")</f>
        <v>1</v>
      </c>
      <c r="Q2004" s="50">
        <f>IFERROR(Table1[[#This Row],[Utilization %]]*Table1[[#This Row],[Efficiency %]]*Table1[[#This Row],[Quality %]], "")</f>
        <v>0.66166666666666663</v>
      </c>
    </row>
    <row r="2005" spans="1:18" x14ac:dyDescent="0.25">
      <c r="A2005" s="47">
        <v>46299</v>
      </c>
      <c r="B2005" s="48" t="s">
        <v>33</v>
      </c>
      <c r="C2005" s="48" t="s">
        <v>36</v>
      </c>
      <c r="D2005" s="48" t="s">
        <v>37</v>
      </c>
      <c r="E2005" s="49">
        <v>8000</v>
      </c>
      <c r="F2005" s="76">
        <v>5975</v>
      </c>
      <c r="G2005" s="49">
        <v>0</v>
      </c>
      <c r="H2005" s="50">
        <f>IFERROR(Table1[Re-process (Kg)]/Table1[Actual Production (Kg)], "")</f>
        <v>0</v>
      </c>
      <c r="I2005" s="49">
        <f>IFERROR(Table1[[#This Row],[Actual Production (Kg)]]-Table1[[#This Row],[Re-process (Kg)]], "")</f>
        <v>5975</v>
      </c>
      <c r="J2005" s="49">
        <v>22</v>
      </c>
      <c r="K2005" s="72">
        <v>1.5</v>
      </c>
      <c r="L2005" s="49">
        <f>IF(Table1[[#This Row],[Target Time (Hours)]]="","",Table1[[#This Row],[Target Time (Hours)]]-Table1[[#This Row],[Downtime (Hours)]])</f>
        <v>20.5</v>
      </c>
      <c r="M2005" s="49">
        <f>IFERROR(Table1[[#This Row],[Capacity (Kg)]]/Table1[[#This Row],[Target Time (Hours)]] * Table1[[#This Row],[Downtime (Hours)]], "")</f>
        <v>545.4545454545455</v>
      </c>
      <c r="N2005" s="50">
        <f>IFERROR(Table1[[#This Row],[Running Time (hr)]]/Table1[Target Time (Hours)], "")</f>
        <v>0.93181818181818177</v>
      </c>
      <c r="O2005" s="50">
        <f>IFERROR(Table1[[#This Row],[Actual Production (Kg)]]/Table1[Capacity (Kg)], "")</f>
        <v>0.74687499999999996</v>
      </c>
      <c r="P2005" s="50">
        <f>IFERROR(Table1[[#This Row],[Quality Pass Production]]/Table1[[#This Row],[Actual Production (Kg)]], "")</f>
        <v>1</v>
      </c>
      <c r="Q2005" s="50">
        <f>IFERROR(Table1[[#This Row],[Utilization %]]*Table1[[#This Row],[Efficiency %]]*Table1[[#This Row],[Quality %]], "")</f>
        <v>0.69595170454545452</v>
      </c>
      <c r="R2005" s="48" t="s">
        <v>548</v>
      </c>
    </row>
    <row r="2006" spans="1:18" ht="30" customHeight="1" x14ac:dyDescent="0.25">
      <c r="A2006" s="47">
        <v>46299</v>
      </c>
      <c r="B2006" s="48" t="s">
        <v>33</v>
      </c>
      <c r="C2006" s="48" t="s">
        <v>39</v>
      </c>
      <c r="D2006" s="48" t="s">
        <v>31</v>
      </c>
      <c r="E2006" s="49">
        <v>6000</v>
      </c>
      <c r="F2006" s="76">
        <v>2080</v>
      </c>
      <c r="G2006" s="49">
        <v>0</v>
      </c>
      <c r="H2006" s="50">
        <f>IFERROR(Table1[Re-process (Kg)]/Table1[Actual Production (Kg)], "")</f>
        <v>0</v>
      </c>
      <c r="I2006" s="49">
        <f>IFERROR(Table1[[#This Row],[Actual Production (Kg)]]-Table1[[#This Row],[Re-process (Kg)]], "")</f>
        <v>2080</v>
      </c>
      <c r="J2006" s="49">
        <v>22</v>
      </c>
      <c r="K2006" s="72">
        <v>8.67</v>
      </c>
      <c r="L2006" s="49">
        <f>IF(Table1[[#This Row],[Target Time (Hours)]]="","",Table1[[#This Row],[Target Time (Hours)]]-Table1[[#This Row],[Downtime (Hours)]])</f>
        <v>13.33</v>
      </c>
      <c r="M2006" s="49">
        <f>IFERROR(Table1[[#This Row],[Capacity (Kg)]]/Table1[[#This Row],[Target Time (Hours)]] * Table1[[#This Row],[Downtime (Hours)]], "")</f>
        <v>2364.5454545454545</v>
      </c>
      <c r="N2006" s="50">
        <f>IFERROR(Table1[[#This Row],[Running Time (hr)]]/Table1[Target Time (Hours)], "")</f>
        <v>0.60590909090909095</v>
      </c>
      <c r="O2006" s="50">
        <f>IFERROR(Table1[[#This Row],[Actual Production (Kg)]]/Table1[Capacity (Kg)], "")</f>
        <v>0.34666666666666668</v>
      </c>
      <c r="P2006" s="50">
        <f>IFERROR(Table1[[#This Row],[Quality Pass Production]]/Table1[[#This Row],[Actual Production (Kg)]], "")</f>
        <v>1</v>
      </c>
      <c r="Q2006" s="50">
        <f>IFERROR(Table1[[#This Row],[Utilization %]]*Table1[[#This Row],[Efficiency %]]*Table1[[#This Row],[Quality %]], "")</f>
        <v>0.21004848484848487</v>
      </c>
      <c r="R2006" s="48" t="s">
        <v>549</v>
      </c>
    </row>
    <row r="2007" spans="1:18" ht="45" customHeight="1" x14ac:dyDescent="0.25">
      <c r="A2007" s="54">
        <v>46299</v>
      </c>
      <c r="B2007" s="55" t="s">
        <v>33</v>
      </c>
      <c r="C2007" s="55" t="s">
        <v>40</v>
      </c>
      <c r="D2007" s="55" t="s">
        <v>31</v>
      </c>
      <c r="E2007" s="56">
        <v>5000</v>
      </c>
      <c r="F2007" s="56">
        <v>2665</v>
      </c>
      <c r="G2007" s="56">
        <v>0</v>
      </c>
      <c r="H2007" s="58">
        <f>IFERROR(Table1[Re-process (Kg)]/Table1[Actual Production (Kg)], "")</f>
        <v>0</v>
      </c>
      <c r="I2007" s="56">
        <f>IFERROR(Table1[[#This Row],[Actual Production (Kg)]]-Table1[[#This Row],[Re-process (Kg)]], "")</f>
        <v>2665</v>
      </c>
      <c r="J2007" s="56">
        <v>22</v>
      </c>
      <c r="K2007" s="55"/>
      <c r="L2007" s="56">
        <f>IF(Table1[[#This Row],[Target Time (Hours)]]="","",Table1[[#This Row],[Target Time (Hours)]]-Table1[[#This Row],[Downtime (Hours)]])</f>
        <v>22</v>
      </c>
      <c r="M2007" s="56">
        <f>IFERROR(Table1[[#This Row],[Capacity (Kg)]]/Table1[[#This Row],[Target Time (Hours)]] * Table1[[#This Row],[Downtime (Hours)]], "")</f>
        <v>0</v>
      </c>
      <c r="N2007" s="58">
        <f>IFERROR(Table1[[#This Row],[Running Time (hr)]]/Table1[Target Time (Hours)], "")</f>
        <v>1</v>
      </c>
      <c r="O2007" s="58">
        <f>IFERROR(Table1[[#This Row],[Actual Production (Kg)]]/Table1[Capacity (Kg)], "")</f>
        <v>0.53300000000000003</v>
      </c>
      <c r="P2007" s="58">
        <f>IFERROR(Table1[[#This Row],[Quality Pass Production]]/Table1[[#This Row],[Actual Production (Kg)]], "")</f>
        <v>1</v>
      </c>
      <c r="Q2007" s="58">
        <f>IFERROR(Table1[[#This Row],[Utilization %]]*Table1[[#This Row],[Efficiency %]]*Table1[[#This Row],[Quality %]], "")</f>
        <v>0.53300000000000003</v>
      </c>
      <c r="R2007" s="55"/>
    </row>
    <row r="2008" spans="1:18" ht="30" customHeight="1" x14ac:dyDescent="0.25">
      <c r="A2008" s="47">
        <v>46300</v>
      </c>
      <c r="B2008" s="48" t="s">
        <v>18</v>
      </c>
      <c r="C2008" s="48" t="s">
        <v>19</v>
      </c>
      <c r="D2008" s="48" t="s">
        <v>20</v>
      </c>
      <c r="E2008" s="49">
        <v>10000</v>
      </c>
      <c r="F2008" s="76">
        <v>8577</v>
      </c>
      <c r="G2008" s="49">
        <v>0</v>
      </c>
      <c r="H2008" s="50">
        <f>IFERROR(Table1[Re-process (Kg)]/Table1[Actual Production (Kg)], "")</f>
        <v>0</v>
      </c>
      <c r="I2008" s="49">
        <f>IFERROR(Table1[[#This Row],[Actual Production (Kg)]]-Table1[[#This Row],[Re-process (Kg)]], "")</f>
        <v>8577</v>
      </c>
      <c r="J2008" s="49">
        <v>22</v>
      </c>
      <c r="K2008" s="72"/>
      <c r="L2008" s="49">
        <f>IF(Table1[[#This Row],[Target Time (Hours)]]="","",Table1[[#This Row],[Target Time (Hours)]]-Table1[[#This Row],[Downtime (Hours)]])</f>
        <v>22</v>
      </c>
      <c r="M2008" s="49">
        <f>IFERROR(Table1[[#This Row],[Capacity (Kg)]]/Table1[[#This Row],[Target Time (Hours)]] * Table1[[#This Row],[Downtime (Hours)]], "")</f>
        <v>0</v>
      </c>
      <c r="N2008" s="50">
        <f>IFERROR(Table1[[#This Row],[Running Time (hr)]]/Table1[Target Time (Hours)], "")</f>
        <v>1</v>
      </c>
      <c r="O2008" s="50">
        <f>IFERROR(Table1[[#This Row],[Actual Production (Kg)]]/Table1[Capacity (Kg)], "")</f>
        <v>0.85770000000000002</v>
      </c>
      <c r="P2008" s="50">
        <f>IFERROR(Table1[[#This Row],[Quality Pass Production]]/Table1[[#This Row],[Actual Production (Kg)]], "")</f>
        <v>1</v>
      </c>
      <c r="Q2008" s="50">
        <f>IFERROR(Table1[[#This Row],[Utilization %]]*Table1[[#This Row],[Efficiency %]]*Table1[[#This Row],[Quality %]], "")</f>
        <v>0.85770000000000002</v>
      </c>
    </row>
    <row r="2009" spans="1:18" x14ac:dyDescent="0.25">
      <c r="A2009" s="51">
        <v>46300</v>
      </c>
      <c r="B2009" s="52" t="s">
        <v>18</v>
      </c>
      <c r="C2009" s="52" t="s">
        <v>238</v>
      </c>
      <c r="D2009" s="52" t="s">
        <v>20</v>
      </c>
      <c r="E2009" s="53">
        <v>11530</v>
      </c>
      <c r="F2009" s="53">
        <v>11530</v>
      </c>
      <c r="G2009" s="53">
        <v>0</v>
      </c>
      <c r="H2009" s="57">
        <f>IFERROR(Table1[Re-process (Kg)]/Table1[Actual Production (Kg)], "")</f>
        <v>0</v>
      </c>
      <c r="I2009" s="53">
        <f>IFERROR(Table1[[#This Row],[Actual Production (Kg)]]-Table1[[#This Row],[Re-process (Kg)]], "")</f>
        <v>11530</v>
      </c>
      <c r="J2009" s="53"/>
      <c r="K2009" s="52"/>
      <c r="L2009" s="53" t="str">
        <f>IF(Table1[[#This Row],[Target Time (Hours)]]="","",Table1[[#This Row],[Target Time (Hours)]]-Table1[[#This Row],[Downtime (Hours)]])</f>
        <v/>
      </c>
      <c r="M2009" s="53" t="str">
        <f>IFERROR(Table1[[#This Row],[Capacity (Kg)]]/Table1[[#This Row],[Target Time (Hours)]] * Table1[[#This Row],[Downtime (Hours)]], "")</f>
        <v/>
      </c>
      <c r="N2009" s="57" t="str">
        <f>IFERROR(Table1[[#This Row],[Running Time (hr)]]/Table1[Target Time (Hours)], "")</f>
        <v/>
      </c>
      <c r="O2009" s="57">
        <f>IFERROR(Table1[[#This Row],[Actual Production (Kg)]]/Table1[Capacity (Kg)], "")</f>
        <v>1</v>
      </c>
      <c r="P2009" s="57">
        <f>IFERROR(Table1[[#This Row],[Quality Pass Production]]/Table1[[#This Row],[Actual Production (Kg)]], "")</f>
        <v>1</v>
      </c>
      <c r="Q2009" s="57" t="str">
        <f>IFERROR(Table1[[#This Row],[Utilization %]]*Table1[[#This Row],[Efficiency %]]*Table1[[#This Row],[Quality %]], "")</f>
        <v/>
      </c>
      <c r="R2009" s="52"/>
    </row>
    <row r="2010" spans="1:18" x14ac:dyDescent="0.25">
      <c r="A2010" s="47">
        <v>46300</v>
      </c>
      <c r="B2010" s="48" t="s">
        <v>18</v>
      </c>
      <c r="C2010" s="48" t="s">
        <v>22</v>
      </c>
      <c r="D2010" s="48" t="s">
        <v>23</v>
      </c>
      <c r="E2010" s="49">
        <v>5000</v>
      </c>
      <c r="F2010" s="76">
        <v>6735</v>
      </c>
      <c r="G2010" s="49">
        <v>0</v>
      </c>
      <c r="H2010" s="50">
        <f>IFERROR(Table1[Re-process (Kg)]/Table1[Actual Production (Kg)], "")</f>
        <v>0</v>
      </c>
      <c r="I2010" s="49">
        <f>IFERROR(Table1[[#This Row],[Actual Production (Kg)]]-Table1[[#This Row],[Re-process (Kg)]], "")</f>
        <v>6735</v>
      </c>
      <c r="J2010" s="49">
        <v>22</v>
      </c>
      <c r="K2010" s="72"/>
      <c r="L2010" s="49">
        <f>IF(Table1[[#This Row],[Target Time (Hours)]]="","",Table1[[#This Row],[Target Time (Hours)]]-Table1[[#This Row],[Downtime (Hours)]])</f>
        <v>22</v>
      </c>
      <c r="M2010" s="49">
        <f>IFERROR(Table1[[#This Row],[Capacity (Kg)]]/Table1[[#This Row],[Target Time (Hours)]] * Table1[[#This Row],[Downtime (Hours)]], "")</f>
        <v>0</v>
      </c>
      <c r="N2010" s="50">
        <f>IFERROR(Table1[[#This Row],[Running Time (hr)]]/Table1[Target Time (Hours)], "")</f>
        <v>1</v>
      </c>
      <c r="O2010" s="50">
        <f>IFERROR(Table1[[#This Row],[Actual Production (Kg)]]/Table1[Capacity (Kg)], "")</f>
        <v>1.347</v>
      </c>
      <c r="P2010" s="50">
        <f>IFERROR(Table1[[#This Row],[Quality Pass Production]]/Table1[[#This Row],[Actual Production (Kg)]], "")</f>
        <v>1</v>
      </c>
      <c r="Q2010" s="50">
        <f>IFERROR(Table1[[#This Row],[Utilization %]]*Table1[[#This Row],[Efficiency %]]*Table1[[#This Row],[Quality %]], "")</f>
        <v>1.347</v>
      </c>
    </row>
    <row r="2011" spans="1:18" x14ac:dyDescent="0.25">
      <c r="A2011" s="47">
        <v>46300</v>
      </c>
      <c r="B2011" s="48" t="s">
        <v>18</v>
      </c>
      <c r="C2011" s="48" t="s">
        <v>22</v>
      </c>
      <c r="D2011" s="48" t="s">
        <v>25</v>
      </c>
      <c r="E2011" s="49">
        <v>4000</v>
      </c>
      <c r="F2011" s="76">
        <v>3068</v>
      </c>
      <c r="G2011" s="49">
        <v>0</v>
      </c>
      <c r="H2011" s="50">
        <f>IFERROR(Table1[Re-process (Kg)]/Table1[Actual Production (Kg)], "")</f>
        <v>0</v>
      </c>
      <c r="I2011" s="49">
        <f>IFERROR(Table1[[#This Row],[Actual Production (Kg)]]-Table1[[#This Row],[Re-process (Kg)]], "")</f>
        <v>3068</v>
      </c>
      <c r="J2011" s="49"/>
      <c r="K2011" s="72"/>
      <c r="L2011" s="49" t="str">
        <f>IF(Table1[[#This Row],[Target Time (Hours)]]="","",Table1[[#This Row],[Target Time (Hours)]]-Table1[[#This Row],[Downtime (Hours)]])</f>
        <v/>
      </c>
      <c r="M2011" s="49" t="str">
        <f>IFERROR(Table1[[#This Row],[Capacity (Kg)]]/Table1[[#This Row],[Target Time (Hours)]] * Table1[[#This Row],[Downtime (Hours)]], "")</f>
        <v/>
      </c>
      <c r="N2011" s="50" t="str">
        <f>IFERROR(Table1[[#This Row],[Running Time (hr)]]/Table1[Target Time (Hours)], "")</f>
        <v/>
      </c>
      <c r="O2011" s="50">
        <f>IFERROR(Table1[[#This Row],[Actual Production (Kg)]]/Table1[Capacity (Kg)], "")</f>
        <v>0.76700000000000002</v>
      </c>
      <c r="P2011" s="50">
        <f>IFERROR(Table1[[#This Row],[Quality Pass Production]]/Table1[[#This Row],[Actual Production (Kg)]], "")</f>
        <v>1</v>
      </c>
      <c r="Q2011" s="50" t="str">
        <f>IFERROR(Table1[[#This Row],[Utilization %]]*Table1[[#This Row],[Efficiency %]]*Table1[[#This Row],[Quality %]], "")</f>
        <v/>
      </c>
    </row>
    <row r="2012" spans="1:18" x14ac:dyDescent="0.25">
      <c r="A2012" s="47">
        <v>46300</v>
      </c>
      <c r="B2012" s="48" t="s">
        <v>18</v>
      </c>
      <c r="C2012" s="48" t="s">
        <v>26</v>
      </c>
      <c r="D2012" s="48" t="s">
        <v>25</v>
      </c>
      <c r="E2012" s="49">
        <v>7000</v>
      </c>
      <c r="F2012" s="76">
        <v>7072</v>
      </c>
      <c r="G2012" s="49">
        <v>0</v>
      </c>
      <c r="H2012" s="50">
        <f>IFERROR(Table1[Re-process (Kg)]/Table1[Actual Production (Kg)], "")</f>
        <v>0</v>
      </c>
      <c r="I2012" s="49">
        <f>IFERROR(Table1[[#This Row],[Actual Production (Kg)]]-Table1[[#This Row],[Re-process (Kg)]], "")</f>
        <v>7072</v>
      </c>
      <c r="J2012" s="49">
        <v>22</v>
      </c>
      <c r="K2012" s="72"/>
      <c r="L2012" s="49">
        <f>IF(Table1[[#This Row],[Target Time (Hours)]]="","",Table1[[#This Row],[Target Time (Hours)]]-Table1[[#This Row],[Downtime (Hours)]])</f>
        <v>22</v>
      </c>
      <c r="M2012" s="49">
        <f>IFERROR(Table1[[#This Row],[Capacity (Kg)]]/Table1[[#This Row],[Target Time (Hours)]] * Table1[[#This Row],[Downtime (Hours)]], "")</f>
        <v>0</v>
      </c>
      <c r="N2012" s="50">
        <f>IFERROR(Table1[[#This Row],[Running Time (hr)]]/Table1[Target Time (Hours)], "")</f>
        <v>1</v>
      </c>
      <c r="O2012" s="50">
        <f>IFERROR(Table1[[#This Row],[Actual Production (Kg)]]/Table1[Capacity (Kg)], "")</f>
        <v>1.0102857142857142</v>
      </c>
      <c r="P2012" s="50">
        <f>IFERROR(Table1[[#This Row],[Quality Pass Production]]/Table1[[#This Row],[Actual Production (Kg)]], "")</f>
        <v>1</v>
      </c>
      <c r="Q2012" s="50">
        <f>IFERROR(Table1[[#This Row],[Utilization %]]*Table1[[#This Row],[Efficiency %]]*Table1[[#This Row],[Quality %]], "")</f>
        <v>1.0102857142857142</v>
      </c>
    </row>
    <row r="2013" spans="1:18" ht="30" customHeight="1" x14ac:dyDescent="0.25">
      <c r="A2013" s="47">
        <v>46300</v>
      </c>
      <c r="B2013" s="48" t="s">
        <v>18</v>
      </c>
      <c r="C2013" s="48" t="s">
        <v>28</v>
      </c>
      <c r="D2013" s="48" t="s">
        <v>29</v>
      </c>
      <c r="E2013" s="49">
        <v>7800</v>
      </c>
      <c r="F2013" s="76">
        <v>7031</v>
      </c>
      <c r="G2013" s="49">
        <v>0</v>
      </c>
      <c r="H2013" s="50">
        <f>IFERROR(Table1[Re-process (Kg)]/Table1[Actual Production (Kg)], "")</f>
        <v>0</v>
      </c>
      <c r="I2013" s="49">
        <f>IFERROR(Table1[[#This Row],[Actual Production (Kg)]]-Table1[[#This Row],[Re-process (Kg)]], "")</f>
        <v>7031</v>
      </c>
      <c r="J2013" s="49">
        <v>22</v>
      </c>
      <c r="K2013" s="72">
        <v>4</v>
      </c>
      <c r="L2013" s="49">
        <f>IF(Table1[[#This Row],[Target Time (Hours)]]="","",Table1[[#This Row],[Target Time (Hours)]]-Table1[[#This Row],[Downtime (Hours)]])</f>
        <v>18</v>
      </c>
      <c r="M2013" s="49">
        <f>IFERROR(Table1[[#This Row],[Capacity (Kg)]]/Table1[[#This Row],[Target Time (Hours)]] * Table1[[#This Row],[Downtime (Hours)]], "")</f>
        <v>1418.1818181818182</v>
      </c>
      <c r="N2013" s="50">
        <f>IFERROR(Table1[[#This Row],[Running Time (hr)]]/Table1[Target Time (Hours)], "")</f>
        <v>0.81818181818181823</v>
      </c>
      <c r="O2013" s="50">
        <f>IFERROR(Table1[[#This Row],[Actual Production (Kg)]]/Table1[Capacity (Kg)], "")</f>
        <v>0.90141025641025641</v>
      </c>
      <c r="P2013" s="50">
        <f>IFERROR(Table1[[#This Row],[Quality Pass Production]]/Table1[[#This Row],[Actual Production (Kg)]], "")</f>
        <v>1</v>
      </c>
      <c r="Q2013" s="50">
        <f>IFERROR(Table1[[#This Row],[Utilization %]]*Table1[[#This Row],[Efficiency %]]*Table1[[#This Row],[Quality %]], "")</f>
        <v>0.73751748251748261</v>
      </c>
      <c r="R2013" s="48" t="s">
        <v>550</v>
      </c>
    </row>
    <row r="2014" spans="1:18" ht="30" customHeight="1" x14ac:dyDescent="0.25">
      <c r="A2014" s="51">
        <v>46300</v>
      </c>
      <c r="B2014" s="52" t="s">
        <v>18</v>
      </c>
      <c r="C2014" s="52" t="s">
        <v>135</v>
      </c>
      <c r="D2014" s="52" t="s">
        <v>29</v>
      </c>
      <c r="E2014" s="53"/>
      <c r="F2014" s="53"/>
      <c r="G2014" s="53"/>
      <c r="H2014" s="57" t="str">
        <f>IFERROR(Table1[Re-process (Kg)]/Table1[Actual Production (Kg)], "")</f>
        <v/>
      </c>
      <c r="I2014" s="53">
        <f>IFERROR(Table1[[#This Row],[Actual Production (Kg)]]-Table1[[#This Row],[Re-process (Kg)]], "")</f>
        <v>0</v>
      </c>
      <c r="J2014" s="53"/>
      <c r="K2014" s="52"/>
      <c r="L2014" s="53" t="str">
        <f>IF(Table1[[#This Row],[Target Time (Hours)]]="","",Table1[[#This Row],[Target Time (Hours)]]-Table1[[#This Row],[Downtime (Hours)]])</f>
        <v/>
      </c>
      <c r="M2014" s="53" t="str">
        <f>IFERROR(Table1[[#This Row],[Capacity (Kg)]]/Table1[[#This Row],[Target Time (Hours)]] * Table1[[#This Row],[Downtime (Hours)]], "")</f>
        <v/>
      </c>
      <c r="N2014" s="57" t="str">
        <f>IFERROR(Table1[[#This Row],[Running Time (hr)]]/Table1[Target Time (Hours)], "")</f>
        <v/>
      </c>
      <c r="O2014" s="57" t="str">
        <f>IFERROR(Table1[[#This Row],[Actual Production (Kg)]]/Table1[Capacity (Kg)], "")</f>
        <v/>
      </c>
      <c r="P2014" s="57" t="str">
        <f>IFERROR(Table1[[#This Row],[Quality Pass Production]]/Table1[[#This Row],[Actual Production (Kg)]], "")</f>
        <v/>
      </c>
      <c r="Q2014" s="57" t="str">
        <f>IFERROR(Table1[[#This Row],[Utilization %]]*Table1[[#This Row],[Efficiency %]]*Table1[[#This Row],[Quality %]], "")</f>
        <v/>
      </c>
      <c r="R2014" s="52"/>
    </row>
    <row r="2015" spans="1:18" ht="30" customHeight="1" x14ac:dyDescent="0.25">
      <c r="A2015" s="47">
        <v>46300</v>
      </c>
      <c r="B2015" s="48" t="s">
        <v>18</v>
      </c>
      <c r="C2015" s="48" t="s">
        <v>30</v>
      </c>
      <c r="D2015" s="48" t="s">
        <v>31</v>
      </c>
      <c r="E2015" s="49">
        <v>9000</v>
      </c>
      <c r="F2015" s="76">
        <v>9248</v>
      </c>
      <c r="G2015" s="49">
        <v>0</v>
      </c>
      <c r="H2015" s="50">
        <f>IFERROR(Table1[Re-process (Kg)]/Table1[Actual Production (Kg)], "")</f>
        <v>0</v>
      </c>
      <c r="I2015" s="49">
        <f>IFERROR(Table1[[#This Row],[Actual Production (Kg)]]-Table1[[#This Row],[Re-process (Kg)]], "")</f>
        <v>9248</v>
      </c>
      <c r="J2015" s="49">
        <v>22</v>
      </c>
      <c r="K2015" s="72"/>
      <c r="L2015" s="49">
        <f>IF(Table1[[#This Row],[Target Time (Hours)]]="","",Table1[[#This Row],[Target Time (Hours)]]-Table1[[#This Row],[Downtime (Hours)]])</f>
        <v>22</v>
      </c>
      <c r="M2015" s="49">
        <f>IFERROR(Table1[[#This Row],[Capacity (Kg)]]/Table1[[#This Row],[Target Time (Hours)]] * Table1[[#This Row],[Downtime (Hours)]], "")</f>
        <v>0</v>
      </c>
      <c r="N2015" s="50">
        <f>IFERROR(Table1[[#This Row],[Running Time (hr)]]/Table1[Target Time (Hours)], "")</f>
        <v>1</v>
      </c>
      <c r="O2015" s="50">
        <f>IFERROR(Table1[[#This Row],[Actual Production (Kg)]]/Table1[Capacity (Kg)], "")</f>
        <v>1.0275555555555556</v>
      </c>
      <c r="P2015" s="50">
        <f>IFERROR(Table1[[#This Row],[Quality Pass Production]]/Table1[[#This Row],[Actual Production (Kg)]], "")</f>
        <v>1</v>
      </c>
      <c r="Q2015" s="50">
        <f>IFERROR(Table1[[#This Row],[Utilization %]]*Table1[[#This Row],[Efficiency %]]*Table1[[#This Row],[Quality %]], "")</f>
        <v>1.0275555555555556</v>
      </c>
    </row>
    <row r="2016" spans="1:18" ht="30" customHeight="1" x14ac:dyDescent="0.25">
      <c r="A2016" s="51">
        <v>46300</v>
      </c>
      <c r="B2016" s="52" t="s">
        <v>18</v>
      </c>
      <c r="C2016" s="52" t="s">
        <v>32</v>
      </c>
      <c r="D2016" s="52" t="s">
        <v>31</v>
      </c>
      <c r="E2016" s="53"/>
      <c r="F2016" s="53"/>
      <c r="G2016" s="53"/>
      <c r="H2016" s="57" t="str">
        <f>IFERROR(Table1[Re-process (Kg)]/Table1[Actual Production (Kg)], "")</f>
        <v/>
      </c>
      <c r="I2016" s="53">
        <f>IFERROR(Table1[[#This Row],[Actual Production (Kg)]]-Table1[[#This Row],[Re-process (Kg)]], "")</f>
        <v>0</v>
      </c>
      <c r="J2016" s="53"/>
      <c r="K2016" s="52"/>
      <c r="L2016" s="53" t="str">
        <f>IF(Table1[[#This Row],[Target Time (Hours)]]="","",Table1[[#This Row],[Target Time (Hours)]]-Table1[[#This Row],[Downtime (Hours)]])</f>
        <v/>
      </c>
      <c r="M2016" s="53" t="str">
        <f>IFERROR(Table1[[#This Row],[Capacity (Kg)]]/Table1[[#This Row],[Target Time (Hours)]] * Table1[[#This Row],[Downtime (Hours)]], "")</f>
        <v/>
      </c>
      <c r="N2016" s="57" t="str">
        <f>IFERROR(Table1[[#This Row],[Running Time (hr)]]/Table1[Target Time (Hours)], "")</f>
        <v/>
      </c>
      <c r="O2016" s="57" t="str">
        <f>IFERROR(Table1[[#This Row],[Actual Production (Kg)]]/Table1[Capacity (Kg)], "")</f>
        <v/>
      </c>
      <c r="P2016" s="57" t="str">
        <f>IFERROR(Table1[[#This Row],[Quality Pass Production]]/Table1[[#This Row],[Actual Production (Kg)]], "")</f>
        <v/>
      </c>
      <c r="Q2016" s="57" t="str">
        <f>IFERROR(Table1[[#This Row],[Utilization %]]*Table1[[#This Row],[Efficiency %]]*Table1[[#This Row],[Quality %]], "")</f>
        <v/>
      </c>
      <c r="R2016" s="52"/>
    </row>
    <row r="2017" spans="1:18" ht="45" customHeight="1" x14ac:dyDescent="0.25">
      <c r="A2017" s="47">
        <v>46300</v>
      </c>
      <c r="B2017" s="48" t="s">
        <v>33</v>
      </c>
      <c r="C2017" s="48" t="s">
        <v>34</v>
      </c>
      <c r="D2017" s="48" t="s">
        <v>35</v>
      </c>
      <c r="E2017" s="49">
        <v>9000</v>
      </c>
      <c r="F2017" s="76">
        <v>4832</v>
      </c>
      <c r="G2017" s="49">
        <v>0</v>
      </c>
      <c r="H2017" s="50">
        <f>IFERROR(Table1[Re-process (Kg)]/Table1[Actual Production (Kg)], "")</f>
        <v>0</v>
      </c>
      <c r="I2017" s="49">
        <f>IFERROR(Table1[[#This Row],[Actual Production (Kg)]]-Table1[[#This Row],[Re-process (Kg)]], "")</f>
        <v>4832</v>
      </c>
      <c r="J2017" s="49">
        <v>22</v>
      </c>
      <c r="K2017" s="72">
        <v>2</v>
      </c>
      <c r="L2017" s="49">
        <f>IF(Table1[[#This Row],[Target Time (Hours)]]="","",Table1[[#This Row],[Target Time (Hours)]]-Table1[[#This Row],[Downtime (Hours)]])</f>
        <v>20</v>
      </c>
      <c r="M2017" s="49">
        <f>IFERROR(Table1[[#This Row],[Capacity (Kg)]]/Table1[[#This Row],[Target Time (Hours)]] * Table1[[#This Row],[Downtime (Hours)]], "")</f>
        <v>818.18181818181813</v>
      </c>
      <c r="N2017" s="50">
        <f>IFERROR(Table1[[#This Row],[Running Time (hr)]]/Table1[Target Time (Hours)], "")</f>
        <v>0.90909090909090906</v>
      </c>
      <c r="O2017" s="50">
        <f>IFERROR(Table1[[#This Row],[Actual Production (Kg)]]/Table1[Capacity (Kg)], "")</f>
        <v>0.53688888888888886</v>
      </c>
      <c r="P2017" s="50">
        <f>IFERROR(Table1[[#This Row],[Quality Pass Production]]/Table1[[#This Row],[Actual Production (Kg)]], "")</f>
        <v>1</v>
      </c>
      <c r="Q2017" s="50">
        <f>IFERROR(Table1[[#This Row],[Utilization %]]*Table1[[#This Row],[Efficiency %]]*Table1[[#This Row],[Quality %]], "")</f>
        <v>0.48808080808080806</v>
      </c>
      <c r="R2017" s="48" t="s">
        <v>551</v>
      </c>
    </row>
    <row r="2018" spans="1:18" ht="45" customHeight="1" x14ac:dyDescent="0.25">
      <c r="A2018" s="47">
        <v>46300</v>
      </c>
      <c r="B2018" s="48" t="s">
        <v>33</v>
      </c>
      <c r="C2018" s="48" t="s">
        <v>36</v>
      </c>
      <c r="D2018" s="48" t="s">
        <v>37</v>
      </c>
      <c r="E2018" s="49">
        <v>8000</v>
      </c>
      <c r="F2018" s="76">
        <v>4789</v>
      </c>
      <c r="G2018" s="49">
        <v>0</v>
      </c>
      <c r="H2018" s="50">
        <f>IFERROR(Table1[Re-process (Kg)]/Table1[Actual Production (Kg)], "")</f>
        <v>0</v>
      </c>
      <c r="I2018" s="49">
        <f>IFERROR(Table1[[#This Row],[Actual Production (Kg)]]-Table1[[#This Row],[Re-process (Kg)]], "")</f>
        <v>4789</v>
      </c>
      <c r="J2018" s="49">
        <v>22</v>
      </c>
      <c r="K2018" s="72">
        <v>4.42</v>
      </c>
      <c r="L2018" s="49">
        <f>IF(Table1[[#This Row],[Target Time (Hours)]]="","",Table1[[#This Row],[Target Time (Hours)]]-Table1[[#This Row],[Downtime (Hours)]])</f>
        <v>17.579999999999998</v>
      </c>
      <c r="M2018" s="49">
        <f>IFERROR(Table1[[#This Row],[Capacity (Kg)]]/Table1[[#This Row],[Target Time (Hours)]] * Table1[[#This Row],[Downtime (Hours)]], "")</f>
        <v>1607.2727272727273</v>
      </c>
      <c r="N2018" s="50">
        <f>IFERROR(Table1[[#This Row],[Running Time (hr)]]/Table1[Target Time (Hours)], "")</f>
        <v>0.79909090909090896</v>
      </c>
      <c r="O2018" s="50">
        <f>IFERROR(Table1[[#This Row],[Actual Production (Kg)]]/Table1[Capacity (Kg)], "")</f>
        <v>0.59862499999999996</v>
      </c>
      <c r="P2018" s="50">
        <f>IFERROR(Table1[[#This Row],[Quality Pass Production]]/Table1[[#This Row],[Actual Production (Kg)]], "")</f>
        <v>1</v>
      </c>
      <c r="Q2018" s="50">
        <f>IFERROR(Table1[[#This Row],[Utilization %]]*Table1[[#This Row],[Efficiency %]]*Table1[[#This Row],[Quality %]], "")</f>
        <v>0.47835579545454537</v>
      </c>
      <c r="R2018" s="48" t="s">
        <v>552</v>
      </c>
    </row>
    <row r="2019" spans="1:18" ht="45" customHeight="1" x14ac:dyDescent="0.25">
      <c r="A2019" s="47">
        <v>46300</v>
      </c>
      <c r="B2019" s="48" t="s">
        <v>33</v>
      </c>
      <c r="C2019" s="48" t="s">
        <v>39</v>
      </c>
      <c r="D2019" s="48" t="s">
        <v>31</v>
      </c>
      <c r="E2019" s="49">
        <v>6000</v>
      </c>
      <c r="F2019" s="76">
        <v>2690</v>
      </c>
      <c r="G2019" s="49">
        <v>0</v>
      </c>
      <c r="H2019" s="50">
        <f>IFERROR(Table1[Re-process (Kg)]/Table1[Actual Production (Kg)], "")</f>
        <v>0</v>
      </c>
      <c r="I2019" s="49">
        <f>IFERROR(Table1[[#This Row],[Actual Production (Kg)]]-Table1[[#This Row],[Re-process (Kg)]], "")</f>
        <v>2690</v>
      </c>
      <c r="J2019" s="49">
        <v>22</v>
      </c>
      <c r="K2019" s="72">
        <v>5.5</v>
      </c>
      <c r="L2019" s="49">
        <f>IF(Table1[[#This Row],[Target Time (Hours)]]="","",Table1[[#This Row],[Target Time (Hours)]]-Table1[[#This Row],[Downtime (Hours)]])</f>
        <v>16.5</v>
      </c>
      <c r="M2019" s="49">
        <f>IFERROR(Table1[[#This Row],[Capacity (Kg)]]/Table1[[#This Row],[Target Time (Hours)]] * Table1[[#This Row],[Downtime (Hours)]], "")</f>
        <v>1500</v>
      </c>
      <c r="N2019" s="50">
        <f>IFERROR(Table1[[#This Row],[Running Time (hr)]]/Table1[Target Time (Hours)], "")</f>
        <v>0.75</v>
      </c>
      <c r="O2019" s="50">
        <f>IFERROR(Table1[[#This Row],[Actual Production (Kg)]]/Table1[Capacity (Kg)], "")</f>
        <v>0.44833333333333331</v>
      </c>
      <c r="P2019" s="50">
        <f>IFERROR(Table1[[#This Row],[Quality Pass Production]]/Table1[[#This Row],[Actual Production (Kg)]], "")</f>
        <v>1</v>
      </c>
      <c r="Q2019" s="50">
        <f>IFERROR(Table1[[#This Row],[Utilization %]]*Table1[[#This Row],[Efficiency %]]*Table1[[#This Row],[Quality %]], "")</f>
        <v>0.33624999999999999</v>
      </c>
      <c r="R2019" s="48" t="s">
        <v>553</v>
      </c>
    </row>
    <row r="2020" spans="1:18" ht="45" customHeight="1" x14ac:dyDescent="0.25">
      <c r="A2020" s="54">
        <v>46300</v>
      </c>
      <c r="B2020" s="55" t="s">
        <v>33</v>
      </c>
      <c r="C2020" s="55" t="s">
        <v>40</v>
      </c>
      <c r="D2020" s="55" t="s">
        <v>31</v>
      </c>
      <c r="E2020" s="56">
        <v>5000</v>
      </c>
      <c r="F2020" s="56">
        <v>2765</v>
      </c>
      <c r="G2020" s="56">
        <v>0</v>
      </c>
      <c r="H2020" s="58">
        <f>IFERROR(Table1[Re-process (Kg)]/Table1[Actual Production (Kg)], "")</f>
        <v>0</v>
      </c>
      <c r="I2020" s="56">
        <f>IFERROR(Table1[[#This Row],[Actual Production (Kg)]]-Table1[[#This Row],[Re-process (Kg)]], "")</f>
        <v>2765</v>
      </c>
      <c r="J2020" s="56">
        <v>22</v>
      </c>
      <c r="K2020" s="55">
        <v>2</v>
      </c>
      <c r="L2020" s="56">
        <f>IF(Table1[[#This Row],[Target Time (Hours)]]="","",Table1[[#This Row],[Target Time (Hours)]]-Table1[[#This Row],[Downtime (Hours)]])</f>
        <v>20</v>
      </c>
      <c r="M2020" s="56">
        <f>IFERROR(Table1[[#This Row],[Capacity (Kg)]]/Table1[[#This Row],[Target Time (Hours)]] * Table1[[#This Row],[Downtime (Hours)]], "")</f>
        <v>454.54545454545456</v>
      </c>
      <c r="N2020" s="58">
        <f>IFERROR(Table1[[#This Row],[Running Time (hr)]]/Table1[Target Time (Hours)], "")</f>
        <v>0.90909090909090906</v>
      </c>
      <c r="O2020" s="58">
        <f>IFERROR(Table1[[#This Row],[Actual Production (Kg)]]/Table1[Capacity (Kg)], "")</f>
        <v>0.55300000000000005</v>
      </c>
      <c r="P2020" s="58">
        <f>IFERROR(Table1[[#This Row],[Quality Pass Production]]/Table1[[#This Row],[Actual Production (Kg)]], "")</f>
        <v>1</v>
      </c>
      <c r="Q2020" s="58">
        <f>IFERROR(Table1[[#This Row],[Utilization %]]*Table1[[#This Row],[Efficiency %]]*Table1[[#This Row],[Quality %]], "")</f>
        <v>0.5027272727272728</v>
      </c>
      <c r="R2020" s="55" t="s">
        <v>551</v>
      </c>
    </row>
    <row r="2021" spans="1:18" ht="30" customHeight="1" x14ac:dyDescent="0.25">
      <c r="A2021" s="47">
        <v>46301</v>
      </c>
      <c r="B2021" s="48" t="s">
        <v>18</v>
      </c>
      <c r="C2021" s="48" t="s">
        <v>19</v>
      </c>
      <c r="D2021" s="48" t="s">
        <v>20</v>
      </c>
      <c r="E2021" s="49">
        <v>10000</v>
      </c>
      <c r="F2021" s="76">
        <v>9120</v>
      </c>
      <c r="G2021" s="49">
        <v>0</v>
      </c>
      <c r="H2021" s="50">
        <f>IFERROR(Table1[Re-process (Kg)]/Table1[Actual Production (Kg)], "")</f>
        <v>0</v>
      </c>
      <c r="I2021" s="49">
        <f>IFERROR(Table1[[#This Row],[Actual Production (Kg)]]-Table1[[#This Row],[Re-process (Kg)]], "")</f>
        <v>9120</v>
      </c>
      <c r="J2021" s="49">
        <v>22</v>
      </c>
      <c r="K2021" s="72"/>
      <c r="L2021" s="49">
        <f>IF(Table1[[#This Row],[Target Time (Hours)]]="","",Table1[[#This Row],[Target Time (Hours)]]-Table1[[#This Row],[Downtime (Hours)]])</f>
        <v>22</v>
      </c>
      <c r="M2021" s="49">
        <f>IFERROR(Table1[[#This Row],[Capacity (Kg)]]/Table1[[#This Row],[Target Time (Hours)]] * Table1[[#This Row],[Downtime (Hours)]], "")</f>
        <v>0</v>
      </c>
      <c r="N2021" s="50">
        <f>IFERROR(Table1[[#This Row],[Running Time (hr)]]/Table1[Target Time (Hours)], "")</f>
        <v>1</v>
      </c>
      <c r="O2021" s="50">
        <f>IFERROR(Table1[[#This Row],[Actual Production (Kg)]]/Table1[Capacity (Kg)], "")</f>
        <v>0.91200000000000003</v>
      </c>
      <c r="P2021" s="50">
        <f>IFERROR(Table1[[#This Row],[Quality Pass Production]]/Table1[[#This Row],[Actual Production (Kg)]], "")</f>
        <v>1</v>
      </c>
      <c r="Q2021" s="50">
        <f>IFERROR(Table1[[#This Row],[Utilization %]]*Table1[[#This Row],[Efficiency %]]*Table1[[#This Row],[Quality %]], "")</f>
        <v>0.91200000000000003</v>
      </c>
    </row>
    <row r="2022" spans="1:18" x14ac:dyDescent="0.25">
      <c r="A2022" s="51">
        <v>46301</v>
      </c>
      <c r="B2022" s="52" t="s">
        <v>18</v>
      </c>
      <c r="C2022" s="52" t="s">
        <v>238</v>
      </c>
      <c r="D2022" s="52" t="s">
        <v>20</v>
      </c>
      <c r="E2022" s="53">
        <v>10685</v>
      </c>
      <c r="F2022" s="53">
        <v>10685</v>
      </c>
      <c r="G2022" s="53">
        <v>0</v>
      </c>
      <c r="H2022" s="57">
        <f>IFERROR(Table1[Re-process (Kg)]/Table1[Actual Production (Kg)], "")</f>
        <v>0</v>
      </c>
      <c r="I2022" s="53">
        <f>IFERROR(Table1[[#This Row],[Actual Production (Kg)]]-Table1[[#This Row],[Re-process (Kg)]], "")</f>
        <v>10685</v>
      </c>
      <c r="J2022" s="53"/>
      <c r="K2022" s="52"/>
      <c r="L2022" s="53" t="str">
        <f>IF(Table1[[#This Row],[Target Time (Hours)]]="","",Table1[[#This Row],[Target Time (Hours)]]-Table1[[#This Row],[Downtime (Hours)]])</f>
        <v/>
      </c>
      <c r="M2022" s="53" t="str">
        <f>IFERROR(Table1[[#This Row],[Capacity (Kg)]]/Table1[[#This Row],[Target Time (Hours)]] * Table1[[#This Row],[Downtime (Hours)]], "")</f>
        <v/>
      </c>
      <c r="N2022" s="57" t="str">
        <f>IFERROR(Table1[[#This Row],[Running Time (hr)]]/Table1[Target Time (Hours)], "")</f>
        <v/>
      </c>
      <c r="O2022" s="57">
        <f>IFERROR(Table1[[#This Row],[Actual Production (Kg)]]/Table1[Capacity (Kg)], "")</f>
        <v>1</v>
      </c>
      <c r="P2022" s="57">
        <f>IFERROR(Table1[[#This Row],[Quality Pass Production]]/Table1[[#This Row],[Actual Production (Kg)]], "")</f>
        <v>1</v>
      </c>
      <c r="Q2022" s="57" t="str">
        <f>IFERROR(Table1[[#This Row],[Utilization %]]*Table1[[#This Row],[Efficiency %]]*Table1[[#This Row],[Quality %]], "")</f>
        <v/>
      </c>
      <c r="R2022" s="52"/>
    </row>
    <row r="2023" spans="1:18" x14ac:dyDescent="0.25">
      <c r="A2023" s="47">
        <v>46301</v>
      </c>
      <c r="B2023" s="48" t="s">
        <v>18</v>
      </c>
      <c r="C2023" s="48" t="s">
        <v>22</v>
      </c>
      <c r="D2023" s="48" t="s">
        <v>23</v>
      </c>
      <c r="E2023" s="49">
        <v>5000</v>
      </c>
      <c r="F2023" s="76">
        <v>4523</v>
      </c>
      <c r="G2023" s="49">
        <v>0</v>
      </c>
      <c r="H2023" s="50">
        <f>IFERROR(Table1[Re-process (Kg)]/Table1[Actual Production (Kg)], "")</f>
        <v>0</v>
      </c>
      <c r="I2023" s="49">
        <f>IFERROR(Table1[[#This Row],[Actual Production (Kg)]]-Table1[[#This Row],[Re-process (Kg)]], "")</f>
        <v>4523</v>
      </c>
      <c r="J2023" s="49">
        <v>22</v>
      </c>
      <c r="K2023" s="72"/>
      <c r="L2023" s="49">
        <f>IF(Table1[[#This Row],[Target Time (Hours)]]="","",Table1[[#This Row],[Target Time (Hours)]]-Table1[[#This Row],[Downtime (Hours)]])</f>
        <v>22</v>
      </c>
      <c r="M2023" s="49">
        <f>IFERROR(Table1[[#This Row],[Capacity (Kg)]]/Table1[[#This Row],[Target Time (Hours)]] * Table1[[#This Row],[Downtime (Hours)]], "")</f>
        <v>0</v>
      </c>
      <c r="N2023" s="50">
        <f>IFERROR(Table1[[#This Row],[Running Time (hr)]]/Table1[Target Time (Hours)], "")</f>
        <v>1</v>
      </c>
      <c r="O2023" s="50">
        <f>IFERROR(Table1[[#This Row],[Actual Production (Kg)]]/Table1[Capacity (Kg)], "")</f>
        <v>0.90459999999999996</v>
      </c>
      <c r="P2023" s="50">
        <f>IFERROR(Table1[[#This Row],[Quality Pass Production]]/Table1[[#This Row],[Actual Production (Kg)]], "")</f>
        <v>1</v>
      </c>
      <c r="Q2023" s="50">
        <f>IFERROR(Table1[[#This Row],[Utilization %]]*Table1[[#This Row],[Efficiency %]]*Table1[[#This Row],[Quality %]], "")</f>
        <v>0.90459999999999996</v>
      </c>
    </row>
    <row r="2024" spans="1:18" x14ac:dyDescent="0.25">
      <c r="A2024" s="47">
        <v>46301</v>
      </c>
      <c r="B2024" s="48" t="s">
        <v>18</v>
      </c>
      <c r="C2024" s="48" t="s">
        <v>22</v>
      </c>
      <c r="D2024" s="48" t="s">
        <v>25</v>
      </c>
      <c r="E2024" s="49">
        <v>4000</v>
      </c>
      <c r="F2024" s="76">
        <v>5487</v>
      </c>
      <c r="G2024" s="49">
        <v>0</v>
      </c>
      <c r="H2024" s="50">
        <f>IFERROR(Table1[Re-process (Kg)]/Table1[Actual Production (Kg)], "")</f>
        <v>0</v>
      </c>
      <c r="I2024" s="49">
        <f>IFERROR(Table1[[#This Row],[Actual Production (Kg)]]-Table1[[#This Row],[Re-process (Kg)]], "")</f>
        <v>5487</v>
      </c>
      <c r="J2024" s="49"/>
      <c r="K2024" s="72"/>
      <c r="L2024" s="49" t="str">
        <f>IF(Table1[[#This Row],[Target Time (Hours)]]="","",Table1[[#This Row],[Target Time (Hours)]]-Table1[[#This Row],[Downtime (Hours)]])</f>
        <v/>
      </c>
      <c r="M2024" s="49" t="str">
        <f>IFERROR(Table1[[#This Row],[Capacity (Kg)]]/Table1[[#This Row],[Target Time (Hours)]] * Table1[[#This Row],[Downtime (Hours)]], "")</f>
        <v/>
      </c>
      <c r="N2024" s="50" t="str">
        <f>IFERROR(Table1[[#This Row],[Running Time (hr)]]/Table1[Target Time (Hours)], "")</f>
        <v/>
      </c>
      <c r="O2024" s="50">
        <f>IFERROR(Table1[[#This Row],[Actual Production (Kg)]]/Table1[Capacity (Kg)], "")</f>
        <v>1.37175</v>
      </c>
      <c r="P2024" s="50">
        <f>IFERROR(Table1[[#This Row],[Quality Pass Production]]/Table1[[#This Row],[Actual Production (Kg)]], "")</f>
        <v>1</v>
      </c>
      <c r="Q2024" s="50" t="str">
        <f>IFERROR(Table1[[#This Row],[Utilization %]]*Table1[[#This Row],[Efficiency %]]*Table1[[#This Row],[Quality %]], "")</f>
        <v/>
      </c>
    </row>
    <row r="2025" spans="1:18" x14ac:dyDescent="0.25">
      <c r="A2025" s="47">
        <v>46301</v>
      </c>
      <c r="B2025" s="48" t="s">
        <v>18</v>
      </c>
      <c r="C2025" s="48" t="s">
        <v>26</v>
      </c>
      <c r="D2025" s="48" t="s">
        <v>25</v>
      </c>
      <c r="E2025" s="49">
        <v>7000</v>
      </c>
      <c r="F2025" s="76">
        <v>7069</v>
      </c>
      <c r="G2025" s="49">
        <v>0</v>
      </c>
      <c r="H2025" s="50">
        <f>IFERROR(Table1[Re-process (Kg)]/Table1[Actual Production (Kg)], "")</f>
        <v>0</v>
      </c>
      <c r="I2025" s="49">
        <f>IFERROR(Table1[[#This Row],[Actual Production (Kg)]]-Table1[[#This Row],[Re-process (Kg)]], "")</f>
        <v>7069</v>
      </c>
      <c r="J2025" s="49">
        <v>22</v>
      </c>
      <c r="K2025" s="72"/>
      <c r="L2025" s="49">
        <f>IF(Table1[[#This Row],[Target Time (Hours)]]="","",Table1[[#This Row],[Target Time (Hours)]]-Table1[[#This Row],[Downtime (Hours)]])</f>
        <v>22</v>
      </c>
      <c r="M2025" s="49">
        <f>IFERROR(Table1[[#This Row],[Capacity (Kg)]]/Table1[[#This Row],[Target Time (Hours)]] * Table1[[#This Row],[Downtime (Hours)]], "")</f>
        <v>0</v>
      </c>
      <c r="N2025" s="50">
        <f>IFERROR(Table1[[#This Row],[Running Time (hr)]]/Table1[Target Time (Hours)], "")</f>
        <v>1</v>
      </c>
      <c r="O2025" s="50">
        <f>IFERROR(Table1[[#This Row],[Actual Production (Kg)]]/Table1[Capacity (Kg)], "")</f>
        <v>1.0098571428571428</v>
      </c>
      <c r="P2025" s="50">
        <f>IFERROR(Table1[[#This Row],[Quality Pass Production]]/Table1[[#This Row],[Actual Production (Kg)]], "")</f>
        <v>1</v>
      </c>
      <c r="Q2025" s="50">
        <f>IFERROR(Table1[[#This Row],[Utilization %]]*Table1[[#This Row],[Efficiency %]]*Table1[[#This Row],[Quality %]], "")</f>
        <v>1.0098571428571428</v>
      </c>
    </row>
    <row r="2026" spans="1:18" ht="30" customHeight="1" x14ac:dyDescent="0.25">
      <c r="A2026" s="47">
        <v>46301</v>
      </c>
      <c r="B2026" s="48" t="s">
        <v>18</v>
      </c>
      <c r="C2026" s="48" t="s">
        <v>28</v>
      </c>
      <c r="D2026" s="48" t="s">
        <v>29</v>
      </c>
      <c r="E2026" s="49">
        <v>7800</v>
      </c>
      <c r="F2026" s="76">
        <v>6731</v>
      </c>
      <c r="G2026" s="49">
        <v>0</v>
      </c>
      <c r="H2026" s="50">
        <f>IFERROR(Table1[Re-process (Kg)]/Table1[Actual Production (Kg)], "")</f>
        <v>0</v>
      </c>
      <c r="I2026" s="49">
        <f>IFERROR(Table1[[#This Row],[Actual Production (Kg)]]-Table1[[#This Row],[Re-process (Kg)]], "")</f>
        <v>6731</v>
      </c>
      <c r="J2026" s="49">
        <v>22</v>
      </c>
      <c r="K2026" s="72">
        <v>5</v>
      </c>
      <c r="L2026" s="49">
        <f>IF(Table1[[#This Row],[Target Time (Hours)]]="","",Table1[[#This Row],[Target Time (Hours)]]-Table1[[#This Row],[Downtime (Hours)]])</f>
        <v>17</v>
      </c>
      <c r="M2026" s="49">
        <f>IFERROR(Table1[[#This Row],[Capacity (Kg)]]/Table1[[#This Row],[Target Time (Hours)]] * Table1[[#This Row],[Downtime (Hours)]], "")</f>
        <v>1772.7272727272727</v>
      </c>
      <c r="N2026" s="50">
        <f>IFERROR(Table1[[#This Row],[Running Time (hr)]]/Table1[Target Time (Hours)], "")</f>
        <v>0.77272727272727271</v>
      </c>
      <c r="O2026" s="50">
        <f>IFERROR(Table1[[#This Row],[Actual Production (Kg)]]/Table1[Capacity (Kg)], "")</f>
        <v>0.86294871794871797</v>
      </c>
      <c r="P2026" s="50">
        <f>IFERROR(Table1[[#This Row],[Quality Pass Production]]/Table1[[#This Row],[Actual Production (Kg)]], "")</f>
        <v>1</v>
      </c>
      <c r="Q2026" s="50">
        <f>IFERROR(Table1[[#This Row],[Utilization %]]*Table1[[#This Row],[Efficiency %]]*Table1[[#This Row],[Quality %]], "")</f>
        <v>0.66682400932400931</v>
      </c>
      <c r="R2026" s="48" t="s">
        <v>519</v>
      </c>
    </row>
    <row r="2027" spans="1:18" ht="30" customHeight="1" x14ac:dyDescent="0.25">
      <c r="A2027" s="51">
        <v>46301</v>
      </c>
      <c r="B2027" s="52" t="s">
        <v>18</v>
      </c>
      <c r="C2027" s="52" t="s">
        <v>135</v>
      </c>
      <c r="D2027" s="52" t="s">
        <v>29</v>
      </c>
      <c r="E2027" s="53"/>
      <c r="F2027" s="53"/>
      <c r="G2027" s="53"/>
      <c r="H2027" s="57" t="str">
        <f>IFERROR(Table1[Re-process (Kg)]/Table1[Actual Production (Kg)], "")</f>
        <v/>
      </c>
      <c r="I2027" s="53">
        <f>IFERROR(Table1[[#This Row],[Actual Production (Kg)]]-Table1[[#This Row],[Re-process (Kg)]], "")</f>
        <v>0</v>
      </c>
      <c r="J2027" s="53"/>
      <c r="K2027" s="52"/>
      <c r="L2027" s="53" t="str">
        <f>IF(Table1[[#This Row],[Target Time (Hours)]]="","",Table1[[#This Row],[Target Time (Hours)]]-Table1[[#This Row],[Downtime (Hours)]])</f>
        <v/>
      </c>
      <c r="M2027" s="53" t="str">
        <f>IFERROR(Table1[[#This Row],[Capacity (Kg)]]/Table1[[#This Row],[Target Time (Hours)]] * Table1[[#This Row],[Downtime (Hours)]], "")</f>
        <v/>
      </c>
      <c r="N2027" s="57" t="str">
        <f>IFERROR(Table1[[#This Row],[Running Time (hr)]]/Table1[Target Time (Hours)], "")</f>
        <v/>
      </c>
      <c r="O2027" s="57" t="str">
        <f>IFERROR(Table1[[#This Row],[Actual Production (Kg)]]/Table1[Capacity (Kg)], "")</f>
        <v/>
      </c>
      <c r="P2027" s="57" t="str">
        <f>IFERROR(Table1[[#This Row],[Quality Pass Production]]/Table1[[#This Row],[Actual Production (Kg)]], "")</f>
        <v/>
      </c>
      <c r="Q2027" s="57" t="str">
        <f>IFERROR(Table1[[#This Row],[Utilization %]]*Table1[[#This Row],[Efficiency %]]*Table1[[#This Row],[Quality %]], "")</f>
        <v/>
      </c>
      <c r="R2027" s="52"/>
    </row>
    <row r="2028" spans="1:18" ht="30" customHeight="1" x14ac:dyDescent="0.25">
      <c r="A2028" s="47">
        <v>46301</v>
      </c>
      <c r="B2028" s="48" t="s">
        <v>18</v>
      </c>
      <c r="C2028" s="48" t="s">
        <v>30</v>
      </c>
      <c r="D2028" s="48" t="s">
        <v>31</v>
      </c>
      <c r="E2028" s="49">
        <v>9000</v>
      </c>
      <c r="F2028" s="76">
        <v>9072</v>
      </c>
      <c r="G2028" s="49">
        <v>0</v>
      </c>
      <c r="H2028" s="50">
        <f>IFERROR(Table1[Re-process (Kg)]/Table1[Actual Production (Kg)], "")</f>
        <v>0</v>
      </c>
      <c r="I2028" s="49">
        <f>IFERROR(Table1[[#This Row],[Actual Production (Kg)]]-Table1[[#This Row],[Re-process (Kg)]], "")</f>
        <v>9072</v>
      </c>
      <c r="J2028" s="49">
        <v>22</v>
      </c>
      <c r="K2028" s="72"/>
      <c r="L2028" s="49">
        <f>IF(Table1[[#This Row],[Target Time (Hours)]]="","",Table1[[#This Row],[Target Time (Hours)]]-Table1[[#This Row],[Downtime (Hours)]])</f>
        <v>22</v>
      </c>
      <c r="M2028" s="49">
        <f>IFERROR(Table1[[#This Row],[Capacity (Kg)]]/Table1[[#This Row],[Target Time (Hours)]] * Table1[[#This Row],[Downtime (Hours)]], "")</f>
        <v>0</v>
      </c>
      <c r="N2028" s="50">
        <f>IFERROR(Table1[[#This Row],[Running Time (hr)]]/Table1[Target Time (Hours)], "")</f>
        <v>1</v>
      </c>
      <c r="O2028" s="50">
        <f>IFERROR(Table1[[#This Row],[Actual Production (Kg)]]/Table1[Capacity (Kg)], "")</f>
        <v>1.008</v>
      </c>
      <c r="P2028" s="50">
        <f>IFERROR(Table1[[#This Row],[Quality Pass Production]]/Table1[[#This Row],[Actual Production (Kg)]], "")</f>
        <v>1</v>
      </c>
      <c r="Q2028" s="50">
        <f>IFERROR(Table1[[#This Row],[Utilization %]]*Table1[[#This Row],[Efficiency %]]*Table1[[#This Row],[Quality %]], "")</f>
        <v>1.008</v>
      </c>
    </row>
    <row r="2029" spans="1:18" ht="30" customHeight="1" x14ac:dyDescent="0.25">
      <c r="A2029" s="51">
        <v>46301</v>
      </c>
      <c r="B2029" s="52" t="s">
        <v>18</v>
      </c>
      <c r="C2029" s="52" t="s">
        <v>32</v>
      </c>
      <c r="D2029" s="52" t="s">
        <v>31</v>
      </c>
      <c r="E2029" s="53"/>
      <c r="F2029" s="53"/>
      <c r="G2029" s="53"/>
      <c r="H2029" s="57" t="str">
        <f>IFERROR(Table1[Re-process (Kg)]/Table1[Actual Production (Kg)], "")</f>
        <v/>
      </c>
      <c r="I2029" s="53">
        <f>IFERROR(Table1[[#This Row],[Actual Production (Kg)]]-Table1[[#This Row],[Re-process (Kg)]], "")</f>
        <v>0</v>
      </c>
      <c r="J2029" s="53"/>
      <c r="K2029" s="52"/>
      <c r="L2029" s="53" t="str">
        <f>IF(Table1[[#This Row],[Target Time (Hours)]]="","",Table1[[#This Row],[Target Time (Hours)]]-Table1[[#This Row],[Downtime (Hours)]])</f>
        <v/>
      </c>
      <c r="M2029" s="53" t="str">
        <f>IFERROR(Table1[[#This Row],[Capacity (Kg)]]/Table1[[#This Row],[Target Time (Hours)]] * Table1[[#This Row],[Downtime (Hours)]], "")</f>
        <v/>
      </c>
      <c r="N2029" s="57" t="str">
        <f>IFERROR(Table1[[#This Row],[Running Time (hr)]]/Table1[Target Time (Hours)], "")</f>
        <v/>
      </c>
      <c r="O2029" s="57" t="str">
        <f>IFERROR(Table1[[#This Row],[Actual Production (Kg)]]/Table1[Capacity (Kg)], "")</f>
        <v/>
      </c>
      <c r="P2029" s="57" t="str">
        <f>IFERROR(Table1[[#This Row],[Quality Pass Production]]/Table1[[#This Row],[Actual Production (Kg)]], "")</f>
        <v/>
      </c>
      <c r="Q2029" s="57" t="str">
        <f>IFERROR(Table1[[#This Row],[Utilization %]]*Table1[[#This Row],[Efficiency %]]*Table1[[#This Row],[Quality %]], "")</f>
        <v/>
      </c>
      <c r="R2029" s="52"/>
    </row>
    <row r="2030" spans="1:18" ht="45" customHeight="1" x14ac:dyDescent="0.25">
      <c r="A2030" s="47">
        <v>46301</v>
      </c>
      <c r="B2030" s="48" t="s">
        <v>33</v>
      </c>
      <c r="C2030" s="48" t="s">
        <v>34</v>
      </c>
      <c r="D2030" s="48" t="s">
        <v>35</v>
      </c>
      <c r="E2030" s="49">
        <v>9000</v>
      </c>
      <c r="F2030" s="76">
        <v>7152</v>
      </c>
      <c r="G2030" s="49">
        <v>0</v>
      </c>
      <c r="H2030" s="50">
        <f>IFERROR(Table1[Re-process (Kg)]/Table1[Actual Production (Kg)], "")</f>
        <v>0</v>
      </c>
      <c r="I2030" s="49">
        <f>IFERROR(Table1[[#This Row],[Actual Production (Kg)]]-Table1[[#This Row],[Re-process (Kg)]], "")</f>
        <v>7152</v>
      </c>
      <c r="J2030" s="49">
        <v>22</v>
      </c>
      <c r="K2030" s="72">
        <v>2</v>
      </c>
      <c r="L2030" s="49">
        <f>IF(Table1[[#This Row],[Target Time (Hours)]]="","",Table1[[#This Row],[Target Time (Hours)]]-Table1[[#This Row],[Downtime (Hours)]])</f>
        <v>20</v>
      </c>
      <c r="M2030" s="49">
        <f>IFERROR(Table1[[#This Row],[Capacity (Kg)]]/Table1[[#This Row],[Target Time (Hours)]] * Table1[[#This Row],[Downtime (Hours)]], "")</f>
        <v>818.18181818181813</v>
      </c>
      <c r="N2030" s="50">
        <f>IFERROR(Table1[[#This Row],[Running Time (hr)]]/Table1[Target Time (Hours)], "")</f>
        <v>0.90909090909090906</v>
      </c>
      <c r="O2030" s="50">
        <f>IFERROR(Table1[[#This Row],[Actual Production (Kg)]]/Table1[Capacity (Kg)], "")</f>
        <v>0.79466666666666663</v>
      </c>
      <c r="P2030" s="50">
        <f>IFERROR(Table1[[#This Row],[Quality Pass Production]]/Table1[[#This Row],[Actual Production (Kg)]], "")</f>
        <v>1</v>
      </c>
      <c r="Q2030" s="50">
        <f>IFERROR(Table1[[#This Row],[Utilization %]]*Table1[[#This Row],[Efficiency %]]*Table1[[#This Row],[Quality %]], "")</f>
        <v>0.72242424242424241</v>
      </c>
      <c r="R2030" s="48" t="s">
        <v>551</v>
      </c>
    </row>
    <row r="2031" spans="1:18" ht="45" customHeight="1" x14ac:dyDescent="0.25">
      <c r="A2031" s="47">
        <v>46301</v>
      </c>
      <c r="B2031" s="48" t="s">
        <v>33</v>
      </c>
      <c r="C2031" s="48" t="s">
        <v>36</v>
      </c>
      <c r="D2031" s="48" t="s">
        <v>37</v>
      </c>
      <c r="E2031" s="49">
        <v>8000</v>
      </c>
      <c r="F2031" s="76">
        <v>6842</v>
      </c>
      <c r="G2031" s="49">
        <v>0</v>
      </c>
      <c r="H2031" s="50">
        <f>IFERROR(Table1[Re-process (Kg)]/Table1[Actual Production (Kg)], "")</f>
        <v>0</v>
      </c>
      <c r="I2031" s="49">
        <f>IFERROR(Table1[[#This Row],[Actual Production (Kg)]]-Table1[[#This Row],[Re-process (Kg)]], "")</f>
        <v>6842</v>
      </c>
      <c r="J2031" s="49">
        <v>22</v>
      </c>
      <c r="K2031" s="72">
        <v>3</v>
      </c>
      <c r="L2031" s="49">
        <f>IF(Table1[[#This Row],[Target Time (Hours)]]="","",Table1[[#This Row],[Target Time (Hours)]]-Table1[[#This Row],[Downtime (Hours)]])</f>
        <v>19</v>
      </c>
      <c r="M2031" s="49">
        <f>IFERROR(Table1[[#This Row],[Capacity (Kg)]]/Table1[[#This Row],[Target Time (Hours)]] * Table1[[#This Row],[Downtime (Hours)]], "")</f>
        <v>1090.909090909091</v>
      </c>
      <c r="N2031" s="50">
        <f>IFERROR(Table1[[#This Row],[Running Time (hr)]]/Table1[Target Time (Hours)], "")</f>
        <v>0.86363636363636365</v>
      </c>
      <c r="O2031" s="50">
        <f>IFERROR(Table1[[#This Row],[Actual Production (Kg)]]/Table1[Capacity (Kg)], "")</f>
        <v>0.85524999999999995</v>
      </c>
      <c r="P2031" s="50">
        <f>IFERROR(Table1[[#This Row],[Quality Pass Production]]/Table1[[#This Row],[Actual Production (Kg)]], "")</f>
        <v>1</v>
      </c>
      <c r="Q2031" s="50">
        <f>IFERROR(Table1[[#This Row],[Utilization %]]*Table1[[#This Row],[Efficiency %]]*Table1[[#This Row],[Quality %]], "")</f>
        <v>0.73862499999999998</v>
      </c>
      <c r="R2031" s="48" t="s">
        <v>554</v>
      </c>
    </row>
    <row r="2032" spans="1:18" ht="45" customHeight="1" x14ac:dyDescent="0.25">
      <c r="A2032" s="47">
        <v>46301</v>
      </c>
      <c r="B2032" s="48" t="s">
        <v>33</v>
      </c>
      <c r="C2032" s="48" t="s">
        <v>39</v>
      </c>
      <c r="D2032" s="48" t="s">
        <v>31</v>
      </c>
      <c r="E2032" s="49">
        <v>6000</v>
      </c>
      <c r="F2032" s="76">
        <v>3573</v>
      </c>
      <c r="G2032" s="49">
        <v>0</v>
      </c>
      <c r="H2032" s="50">
        <f>IFERROR(Table1[Re-process (Kg)]/Table1[Actual Production (Kg)], "")</f>
        <v>0</v>
      </c>
      <c r="I2032" s="49">
        <f>IFERROR(Table1[[#This Row],[Actual Production (Kg)]]-Table1[[#This Row],[Re-process (Kg)]], "")</f>
        <v>3573</v>
      </c>
      <c r="J2032" s="49">
        <v>22</v>
      </c>
      <c r="K2032" s="72">
        <v>3.5</v>
      </c>
      <c r="L2032" s="49">
        <f>IF(Table1[[#This Row],[Target Time (Hours)]]="","",Table1[[#This Row],[Target Time (Hours)]]-Table1[[#This Row],[Downtime (Hours)]])</f>
        <v>18.5</v>
      </c>
      <c r="M2032" s="49">
        <f>IFERROR(Table1[[#This Row],[Capacity (Kg)]]/Table1[[#This Row],[Target Time (Hours)]] * Table1[[#This Row],[Downtime (Hours)]], "")</f>
        <v>954.54545454545462</v>
      </c>
      <c r="N2032" s="50">
        <f>IFERROR(Table1[[#This Row],[Running Time (hr)]]/Table1[Target Time (Hours)], "")</f>
        <v>0.84090909090909094</v>
      </c>
      <c r="O2032" s="50">
        <f>IFERROR(Table1[[#This Row],[Actual Production (Kg)]]/Table1[Capacity (Kg)], "")</f>
        <v>0.59550000000000003</v>
      </c>
      <c r="P2032" s="50">
        <f>IFERROR(Table1[[#This Row],[Quality Pass Production]]/Table1[[#This Row],[Actual Production (Kg)]], "")</f>
        <v>1</v>
      </c>
      <c r="Q2032" s="50">
        <f>IFERROR(Table1[[#This Row],[Utilization %]]*Table1[[#This Row],[Efficiency %]]*Table1[[#This Row],[Quality %]], "")</f>
        <v>0.5007613636363637</v>
      </c>
      <c r="R2032" s="48" t="s">
        <v>555</v>
      </c>
    </row>
    <row r="2033" spans="1:18" ht="45" customHeight="1" x14ac:dyDescent="0.25">
      <c r="A2033" s="54">
        <v>46301</v>
      </c>
      <c r="B2033" s="55" t="s">
        <v>33</v>
      </c>
      <c r="C2033" s="55" t="s">
        <v>40</v>
      </c>
      <c r="D2033" s="55" t="s">
        <v>31</v>
      </c>
      <c r="E2033" s="56">
        <v>5000</v>
      </c>
      <c r="F2033" s="56">
        <v>1293</v>
      </c>
      <c r="G2033" s="56">
        <v>0</v>
      </c>
      <c r="H2033" s="58">
        <f>IFERROR(Table1[Re-process (Kg)]/Table1[Actual Production (Kg)], "")</f>
        <v>0</v>
      </c>
      <c r="I2033" s="56">
        <f>IFERROR(Table1[[#This Row],[Actual Production (Kg)]]-Table1[[#This Row],[Re-process (Kg)]], "")</f>
        <v>1293</v>
      </c>
      <c r="J2033" s="56">
        <v>22</v>
      </c>
      <c r="K2033" s="55">
        <v>12</v>
      </c>
      <c r="L2033" s="56">
        <f>IF(Table1[[#This Row],[Target Time (Hours)]]="","",Table1[[#This Row],[Target Time (Hours)]]-Table1[[#This Row],[Downtime (Hours)]])</f>
        <v>10</v>
      </c>
      <c r="M2033" s="56">
        <f>IFERROR(Table1[[#This Row],[Capacity (Kg)]]/Table1[[#This Row],[Target Time (Hours)]] * Table1[[#This Row],[Downtime (Hours)]], "")</f>
        <v>2727.2727272727275</v>
      </c>
      <c r="N2033" s="58">
        <f>IFERROR(Table1[[#This Row],[Running Time (hr)]]/Table1[Target Time (Hours)], "")</f>
        <v>0.45454545454545453</v>
      </c>
      <c r="O2033" s="58">
        <f>IFERROR(Table1[[#This Row],[Actual Production (Kg)]]/Table1[Capacity (Kg)], "")</f>
        <v>0.2586</v>
      </c>
      <c r="P2033" s="58">
        <f>IFERROR(Table1[[#This Row],[Quality Pass Production]]/Table1[[#This Row],[Actual Production (Kg)]], "")</f>
        <v>1</v>
      </c>
      <c r="Q2033" s="58">
        <f>IFERROR(Table1[[#This Row],[Utilization %]]*Table1[[#This Row],[Efficiency %]]*Table1[[#This Row],[Quality %]], "")</f>
        <v>0.11754545454545454</v>
      </c>
      <c r="R2033" s="55" t="s">
        <v>556</v>
      </c>
    </row>
    <row r="2034" spans="1:18" ht="30" customHeight="1" x14ac:dyDescent="0.25">
      <c r="A2034" s="47">
        <v>46302</v>
      </c>
      <c r="B2034" s="48" t="s">
        <v>18</v>
      </c>
      <c r="C2034" s="48" t="s">
        <v>19</v>
      </c>
      <c r="D2034" s="48" t="s">
        <v>20</v>
      </c>
      <c r="E2034" s="49">
        <v>10000</v>
      </c>
      <c r="F2034" s="76">
        <v>9454</v>
      </c>
      <c r="G2034" s="49">
        <v>0</v>
      </c>
      <c r="H2034" s="50">
        <f>IFERROR(Table1[Re-process (Kg)]/Table1[Actual Production (Kg)], "")</f>
        <v>0</v>
      </c>
      <c r="I2034" s="49">
        <f>IFERROR(Table1[[#This Row],[Actual Production (Kg)]]-Table1[[#This Row],[Re-process (Kg)]], "")</f>
        <v>9454</v>
      </c>
      <c r="J2034" s="49">
        <v>22</v>
      </c>
      <c r="K2034" s="72"/>
      <c r="L2034" s="49">
        <f>IF(Table1[[#This Row],[Target Time (Hours)]]="","",Table1[[#This Row],[Target Time (Hours)]]-Table1[[#This Row],[Downtime (Hours)]])</f>
        <v>22</v>
      </c>
      <c r="M2034" s="49">
        <f>IFERROR(Table1[[#This Row],[Capacity (Kg)]]/Table1[[#This Row],[Target Time (Hours)]] * Table1[[#This Row],[Downtime (Hours)]], "")</f>
        <v>0</v>
      </c>
      <c r="N2034" s="50">
        <f>IFERROR(Table1[[#This Row],[Running Time (hr)]]/Table1[Target Time (Hours)], "")</f>
        <v>1</v>
      </c>
      <c r="O2034" s="50">
        <f>IFERROR(Table1[[#This Row],[Actual Production (Kg)]]/Table1[Capacity (Kg)], "")</f>
        <v>0.94540000000000002</v>
      </c>
      <c r="P2034" s="50">
        <f>IFERROR(Table1[[#This Row],[Quality Pass Production]]/Table1[[#This Row],[Actual Production (Kg)]], "")</f>
        <v>1</v>
      </c>
      <c r="Q2034" s="50">
        <f>IFERROR(Table1[[#This Row],[Utilization %]]*Table1[[#This Row],[Efficiency %]]*Table1[[#This Row],[Quality %]], "")</f>
        <v>0.94540000000000002</v>
      </c>
    </row>
    <row r="2035" spans="1:18" x14ac:dyDescent="0.25">
      <c r="A2035" s="51">
        <v>46302</v>
      </c>
      <c r="B2035" s="52" t="s">
        <v>18</v>
      </c>
      <c r="C2035" s="52" t="s">
        <v>238</v>
      </c>
      <c r="D2035" s="52" t="s">
        <v>20</v>
      </c>
      <c r="E2035" s="53">
        <v>9583</v>
      </c>
      <c r="F2035" s="53">
        <v>9583</v>
      </c>
      <c r="G2035" s="53">
        <v>0</v>
      </c>
      <c r="H2035" s="57">
        <f>IFERROR(Table1[Re-process (Kg)]/Table1[Actual Production (Kg)], "")</f>
        <v>0</v>
      </c>
      <c r="I2035" s="53">
        <f>IFERROR(Table1[[#This Row],[Actual Production (Kg)]]-Table1[[#This Row],[Re-process (Kg)]], "")</f>
        <v>9583</v>
      </c>
      <c r="J2035" s="53"/>
      <c r="K2035" s="52"/>
      <c r="L2035" s="53" t="str">
        <f>IF(Table1[[#This Row],[Target Time (Hours)]]="","",Table1[[#This Row],[Target Time (Hours)]]-Table1[[#This Row],[Downtime (Hours)]])</f>
        <v/>
      </c>
      <c r="M2035" s="53" t="str">
        <f>IFERROR(Table1[[#This Row],[Capacity (Kg)]]/Table1[[#This Row],[Target Time (Hours)]] * Table1[[#This Row],[Downtime (Hours)]], "")</f>
        <v/>
      </c>
      <c r="N2035" s="57" t="str">
        <f>IFERROR(Table1[[#This Row],[Running Time (hr)]]/Table1[Target Time (Hours)], "")</f>
        <v/>
      </c>
      <c r="O2035" s="57">
        <f>IFERROR(Table1[[#This Row],[Actual Production (Kg)]]/Table1[Capacity (Kg)], "")</f>
        <v>1</v>
      </c>
      <c r="P2035" s="57">
        <f>IFERROR(Table1[[#This Row],[Quality Pass Production]]/Table1[[#This Row],[Actual Production (Kg)]], "")</f>
        <v>1</v>
      </c>
      <c r="Q2035" s="57" t="str">
        <f>IFERROR(Table1[[#This Row],[Utilization %]]*Table1[[#This Row],[Efficiency %]]*Table1[[#This Row],[Quality %]], "")</f>
        <v/>
      </c>
      <c r="R2035" s="52"/>
    </row>
    <row r="2036" spans="1:18" x14ac:dyDescent="0.25">
      <c r="A2036" s="47">
        <v>46302</v>
      </c>
      <c r="B2036" s="48" t="s">
        <v>18</v>
      </c>
      <c r="C2036" s="48" t="s">
        <v>22</v>
      </c>
      <c r="D2036" s="48" t="s">
        <v>23</v>
      </c>
      <c r="E2036" s="49">
        <v>5000</v>
      </c>
      <c r="F2036" s="76">
        <v>5654</v>
      </c>
      <c r="G2036" s="49">
        <v>0</v>
      </c>
      <c r="H2036" s="50">
        <f>IFERROR(Table1[Re-process (Kg)]/Table1[Actual Production (Kg)], "")</f>
        <v>0</v>
      </c>
      <c r="I2036" s="49">
        <f>IFERROR(Table1[[#This Row],[Actual Production (Kg)]]-Table1[[#This Row],[Re-process (Kg)]], "")</f>
        <v>5654</v>
      </c>
      <c r="J2036" s="49">
        <v>22</v>
      </c>
      <c r="K2036" s="72"/>
      <c r="L2036" s="49">
        <f>IF(Table1[[#This Row],[Target Time (Hours)]]="","",Table1[[#This Row],[Target Time (Hours)]]-Table1[[#This Row],[Downtime (Hours)]])</f>
        <v>22</v>
      </c>
      <c r="M2036" s="49">
        <f>IFERROR(Table1[[#This Row],[Capacity (Kg)]]/Table1[[#This Row],[Target Time (Hours)]] * Table1[[#This Row],[Downtime (Hours)]], "")</f>
        <v>0</v>
      </c>
      <c r="N2036" s="50">
        <f>IFERROR(Table1[[#This Row],[Running Time (hr)]]/Table1[Target Time (Hours)], "")</f>
        <v>1</v>
      </c>
      <c r="O2036" s="50">
        <f>IFERROR(Table1[[#This Row],[Actual Production (Kg)]]/Table1[Capacity (Kg)], "")</f>
        <v>1.1308</v>
      </c>
      <c r="P2036" s="50">
        <f>IFERROR(Table1[[#This Row],[Quality Pass Production]]/Table1[[#This Row],[Actual Production (Kg)]], "")</f>
        <v>1</v>
      </c>
      <c r="Q2036" s="50">
        <f>IFERROR(Table1[[#This Row],[Utilization %]]*Table1[[#This Row],[Efficiency %]]*Table1[[#This Row],[Quality %]], "")</f>
        <v>1.1308</v>
      </c>
    </row>
    <row r="2037" spans="1:18" x14ac:dyDescent="0.25">
      <c r="A2037" s="47">
        <v>46302</v>
      </c>
      <c r="B2037" s="48" t="s">
        <v>18</v>
      </c>
      <c r="C2037" s="48" t="s">
        <v>22</v>
      </c>
      <c r="D2037" s="48" t="s">
        <v>25</v>
      </c>
      <c r="E2037" s="49">
        <v>4000</v>
      </c>
      <c r="F2037" s="76">
        <v>3630</v>
      </c>
      <c r="G2037" s="49">
        <v>0</v>
      </c>
      <c r="H2037" s="50">
        <f>IFERROR(Table1[Re-process (Kg)]/Table1[Actual Production (Kg)], "")</f>
        <v>0</v>
      </c>
      <c r="I2037" s="49">
        <f>IFERROR(Table1[[#This Row],[Actual Production (Kg)]]-Table1[[#This Row],[Re-process (Kg)]], "")</f>
        <v>3630</v>
      </c>
      <c r="J2037" s="49"/>
      <c r="K2037" s="72"/>
      <c r="L2037" s="49" t="str">
        <f>IF(Table1[[#This Row],[Target Time (Hours)]]="","",Table1[[#This Row],[Target Time (Hours)]]-Table1[[#This Row],[Downtime (Hours)]])</f>
        <v/>
      </c>
      <c r="M2037" s="49" t="str">
        <f>IFERROR(Table1[[#This Row],[Capacity (Kg)]]/Table1[[#This Row],[Target Time (Hours)]] * Table1[[#This Row],[Downtime (Hours)]], "")</f>
        <v/>
      </c>
      <c r="N2037" s="50" t="str">
        <f>IFERROR(Table1[[#This Row],[Running Time (hr)]]/Table1[Target Time (Hours)], "")</f>
        <v/>
      </c>
      <c r="O2037" s="50">
        <f>IFERROR(Table1[[#This Row],[Actual Production (Kg)]]/Table1[Capacity (Kg)], "")</f>
        <v>0.90749999999999997</v>
      </c>
      <c r="P2037" s="50">
        <f>IFERROR(Table1[[#This Row],[Quality Pass Production]]/Table1[[#This Row],[Actual Production (Kg)]], "")</f>
        <v>1</v>
      </c>
      <c r="Q2037" s="50" t="str">
        <f>IFERROR(Table1[[#This Row],[Utilization %]]*Table1[[#This Row],[Efficiency %]]*Table1[[#This Row],[Quality %]], "")</f>
        <v/>
      </c>
    </row>
    <row r="2038" spans="1:18" x14ac:dyDescent="0.25">
      <c r="A2038" s="47">
        <v>46302</v>
      </c>
      <c r="B2038" s="48" t="s">
        <v>18</v>
      </c>
      <c r="C2038" s="48" t="s">
        <v>26</v>
      </c>
      <c r="D2038" s="48" t="s">
        <v>25</v>
      </c>
      <c r="E2038" s="49">
        <v>7000</v>
      </c>
      <c r="F2038" s="76">
        <v>7573</v>
      </c>
      <c r="G2038" s="49">
        <v>0</v>
      </c>
      <c r="H2038" s="50">
        <f>IFERROR(Table1[Re-process (Kg)]/Table1[Actual Production (Kg)], "")</f>
        <v>0</v>
      </c>
      <c r="I2038" s="49">
        <f>IFERROR(Table1[[#This Row],[Actual Production (Kg)]]-Table1[[#This Row],[Re-process (Kg)]], "")</f>
        <v>7573</v>
      </c>
      <c r="J2038" s="49">
        <v>22</v>
      </c>
      <c r="K2038" s="72"/>
      <c r="L2038" s="49">
        <f>IF(Table1[[#This Row],[Target Time (Hours)]]="","",Table1[[#This Row],[Target Time (Hours)]]-Table1[[#This Row],[Downtime (Hours)]])</f>
        <v>22</v>
      </c>
      <c r="M2038" s="49">
        <f>IFERROR(Table1[[#This Row],[Capacity (Kg)]]/Table1[[#This Row],[Target Time (Hours)]] * Table1[[#This Row],[Downtime (Hours)]], "")</f>
        <v>0</v>
      </c>
      <c r="N2038" s="50">
        <f>IFERROR(Table1[[#This Row],[Running Time (hr)]]/Table1[Target Time (Hours)], "")</f>
        <v>1</v>
      </c>
      <c r="O2038" s="50">
        <f>IFERROR(Table1[[#This Row],[Actual Production (Kg)]]/Table1[Capacity (Kg)], "")</f>
        <v>1.0818571428571429</v>
      </c>
      <c r="P2038" s="50">
        <f>IFERROR(Table1[[#This Row],[Quality Pass Production]]/Table1[[#This Row],[Actual Production (Kg)]], "")</f>
        <v>1</v>
      </c>
      <c r="Q2038" s="50">
        <f>IFERROR(Table1[[#This Row],[Utilization %]]*Table1[[#This Row],[Efficiency %]]*Table1[[#This Row],[Quality %]], "")</f>
        <v>1.0818571428571429</v>
      </c>
    </row>
    <row r="2039" spans="1:18" ht="30" customHeight="1" x14ac:dyDescent="0.25">
      <c r="A2039" s="47">
        <v>46302</v>
      </c>
      <c r="B2039" s="48" t="s">
        <v>18</v>
      </c>
      <c r="C2039" s="48" t="s">
        <v>28</v>
      </c>
      <c r="D2039" s="48" t="s">
        <v>29</v>
      </c>
      <c r="E2039" s="49">
        <v>7800</v>
      </c>
      <c r="F2039" s="76">
        <v>7975</v>
      </c>
      <c r="G2039" s="49">
        <v>0</v>
      </c>
      <c r="H2039" s="50">
        <f>IFERROR(Table1[Re-process (Kg)]/Table1[Actual Production (Kg)], "")</f>
        <v>0</v>
      </c>
      <c r="I2039" s="49">
        <f>IFERROR(Table1[[#This Row],[Actual Production (Kg)]]-Table1[[#This Row],[Re-process (Kg)]], "")</f>
        <v>7975</v>
      </c>
      <c r="J2039" s="49">
        <v>22</v>
      </c>
      <c r="K2039" s="72">
        <v>5</v>
      </c>
      <c r="L2039" s="49">
        <f>IF(Table1[[#This Row],[Target Time (Hours)]]="","",Table1[[#This Row],[Target Time (Hours)]]-Table1[[#This Row],[Downtime (Hours)]])</f>
        <v>17</v>
      </c>
      <c r="M2039" s="49">
        <f>IFERROR(Table1[[#This Row],[Capacity (Kg)]]/Table1[[#This Row],[Target Time (Hours)]] * Table1[[#This Row],[Downtime (Hours)]], "")</f>
        <v>1772.7272727272727</v>
      </c>
      <c r="N2039" s="50">
        <f>IFERROR(Table1[[#This Row],[Running Time (hr)]]/Table1[Target Time (Hours)], "")</f>
        <v>0.77272727272727271</v>
      </c>
      <c r="O2039" s="50">
        <f>IFERROR(Table1[[#This Row],[Actual Production (Kg)]]/Table1[Capacity (Kg)], "")</f>
        <v>1.0224358974358974</v>
      </c>
      <c r="P2039" s="50">
        <f>IFERROR(Table1[[#This Row],[Quality Pass Production]]/Table1[[#This Row],[Actual Production (Kg)]], "")</f>
        <v>1</v>
      </c>
      <c r="Q2039" s="50">
        <f>IFERROR(Table1[[#This Row],[Utilization %]]*Table1[[#This Row],[Efficiency %]]*Table1[[#This Row],[Quality %]], "")</f>
        <v>0.79006410256410253</v>
      </c>
      <c r="R2039" s="48" t="s">
        <v>519</v>
      </c>
    </row>
    <row r="2040" spans="1:18" ht="30" customHeight="1" x14ac:dyDescent="0.25">
      <c r="A2040" s="51">
        <v>46302</v>
      </c>
      <c r="B2040" s="52" t="s">
        <v>18</v>
      </c>
      <c r="C2040" s="52" t="s">
        <v>135</v>
      </c>
      <c r="D2040" s="52" t="s">
        <v>29</v>
      </c>
      <c r="E2040" s="53"/>
      <c r="F2040" s="53"/>
      <c r="G2040" s="53"/>
      <c r="H2040" s="57" t="str">
        <f>IFERROR(Table1[Re-process (Kg)]/Table1[Actual Production (Kg)], "")</f>
        <v/>
      </c>
      <c r="I2040" s="53">
        <f>IFERROR(Table1[[#This Row],[Actual Production (Kg)]]-Table1[[#This Row],[Re-process (Kg)]], "")</f>
        <v>0</v>
      </c>
      <c r="J2040" s="53"/>
      <c r="K2040" s="52"/>
      <c r="L2040" s="53" t="str">
        <f>IF(Table1[[#This Row],[Target Time (Hours)]]="","",Table1[[#This Row],[Target Time (Hours)]]-Table1[[#This Row],[Downtime (Hours)]])</f>
        <v/>
      </c>
      <c r="M2040" s="53" t="str">
        <f>IFERROR(Table1[[#This Row],[Capacity (Kg)]]/Table1[[#This Row],[Target Time (Hours)]] * Table1[[#This Row],[Downtime (Hours)]], "")</f>
        <v/>
      </c>
      <c r="N2040" s="57" t="str">
        <f>IFERROR(Table1[[#This Row],[Running Time (hr)]]/Table1[Target Time (Hours)], "")</f>
        <v/>
      </c>
      <c r="O2040" s="57" t="str">
        <f>IFERROR(Table1[[#This Row],[Actual Production (Kg)]]/Table1[Capacity (Kg)], "")</f>
        <v/>
      </c>
      <c r="P2040" s="57" t="str">
        <f>IFERROR(Table1[[#This Row],[Quality Pass Production]]/Table1[[#This Row],[Actual Production (Kg)]], "")</f>
        <v/>
      </c>
      <c r="Q2040" s="57" t="str">
        <f>IFERROR(Table1[[#This Row],[Utilization %]]*Table1[[#This Row],[Efficiency %]]*Table1[[#This Row],[Quality %]], "")</f>
        <v/>
      </c>
      <c r="R2040" s="52"/>
    </row>
    <row r="2041" spans="1:18" ht="30" customHeight="1" x14ac:dyDescent="0.25">
      <c r="A2041" s="47">
        <v>46302</v>
      </c>
      <c r="B2041" s="48" t="s">
        <v>18</v>
      </c>
      <c r="C2041" s="48" t="s">
        <v>30</v>
      </c>
      <c r="D2041" s="48" t="s">
        <v>31</v>
      </c>
      <c r="E2041" s="49">
        <v>9000</v>
      </c>
      <c r="F2041" s="76">
        <v>9450</v>
      </c>
      <c r="G2041" s="49">
        <v>0</v>
      </c>
      <c r="H2041" s="50">
        <f>IFERROR(Table1[Re-process (Kg)]/Table1[Actual Production (Kg)], "")</f>
        <v>0</v>
      </c>
      <c r="I2041" s="49">
        <f>IFERROR(Table1[[#This Row],[Actual Production (Kg)]]-Table1[[#This Row],[Re-process (Kg)]], "")</f>
        <v>9450</v>
      </c>
      <c r="J2041" s="49">
        <v>22</v>
      </c>
      <c r="K2041" s="72"/>
      <c r="L2041" s="49">
        <f>IF(Table1[[#This Row],[Target Time (Hours)]]="","",Table1[[#This Row],[Target Time (Hours)]]-Table1[[#This Row],[Downtime (Hours)]])</f>
        <v>22</v>
      </c>
      <c r="M2041" s="49">
        <f>IFERROR(Table1[[#This Row],[Capacity (Kg)]]/Table1[[#This Row],[Target Time (Hours)]] * Table1[[#This Row],[Downtime (Hours)]], "")</f>
        <v>0</v>
      </c>
      <c r="N2041" s="50">
        <f>IFERROR(Table1[[#This Row],[Running Time (hr)]]/Table1[Target Time (Hours)], "")</f>
        <v>1</v>
      </c>
      <c r="O2041" s="50">
        <f>IFERROR(Table1[[#This Row],[Actual Production (Kg)]]/Table1[Capacity (Kg)], "")</f>
        <v>1.05</v>
      </c>
      <c r="P2041" s="50">
        <f>IFERROR(Table1[[#This Row],[Quality Pass Production]]/Table1[[#This Row],[Actual Production (Kg)]], "")</f>
        <v>1</v>
      </c>
      <c r="Q2041" s="50">
        <f>IFERROR(Table1[[#This Row],[Utilization %]]*Table1[[#This Row],[Efficiency %]]*Table1[[#This Row],[Quality %]], "")</f>
        <v>1.05</v>
      </c>
    </row>
    <row r="2042" spans="1:18" ht="30" customHeight="1" x14ac:dyDescent="0.25">
      <c r="A2042" s="51">
        <v>46302</v>
      </c>
      <c r="B2042" s="52" t="s">
        <v>18</v>
      </c>
      <c r="C2042" s="52" t="s">
        <v>32</v>
      </c>
      <c r="D2042" s="52" t="s">
        <v>31</v>
      </c>
      <c r="E2042" s="53"/>
      <c r="F2042" s="53"/>
      <c r="G2042" s="53"/>
      <c r="H2042" s="57" t="str">
        <f>IFERROR(Table1[Re-process (Kg)]/Table1[Actual Production (Kg)], "")</f>
        <v/>
      </c>
      <c r="I2042" s="53">
        <f>IFERROR(Table1[[#This Row],[Actual Production (Kg)]]-Table1[[#This Row],[Re-process (Kg)]], "")</f>
        <v>0</v>
      </c>
      <c r="J2042" s="53"/>
      <c r="K2042" s="52"/>
      <c r="L2042" s="53" t="str">
        <f>IF(Table1[[#This Row],[Target Time (Hours)]]="","",Table1[[#This Row],[Target Time (Hours)]]-Table1[[#This Row],[Downtime (Hours)]])</f>
        <v/>
      </c>
      <c r="M2042" s="53" t="str">
        <f>IFERROR(Table1[[#This Row],[Capacity (Kg)]]/Table1[[#This Row],[Target Time (Hours)]] * Table1[[#This Row],[Downtime (Hours)]], "")</f>
        <v/>
      </c>
      <c r="N2042" s="57" t="str">
        <f>IFERROR(Table1[[#This Row],[Running Time (hr)]]/Table1[Target Time (Hours)], "")</f>
        <v/>
      </c>
      <c r="O2042" s="57" t="str">
        <f>IFERROR(Table1[[#This Row],[Actual Production (Kg)]]/Table1[Capacity (Kg)], "")</f>
        <v/>
      </c>
      <c r="P2042" s="57" t="str">
        <f>IFERROR(Table1[[#This Row],[Quality Pass Production]]/Table1[[#This Row],[Actual Production (Kg)]], "")</f>
        <v/>
      </c>
      <c r="Q2042" s="57" t="str">
        <f>IFERROR(Table1[[#This Row],[Utilization %]]*Table1[[#This Row],[Efficiency %]]*Table1[[#This Row],[Quality %]], "")</f>
        <v/>
      </c>
      <c r="R2042" s="52"/>
    </row>
    <row r="2043" spans="1:18" ht="45" customHeight="1" x14ac:dyDescent="0.25">
      <c r="A2043" s="47">
        <v>46302</v>
      </c>
      <c r="B2043" s="48" t="s">
        <v>33</v>
      </c>
      <c r="C2043" s="48" t="s">
        <v>34</v>
      </c>
      <c r="D2043" s="48" t="s">
        <v>35</v>
      </c>
      <c r="E2043" s="49">
        <v>9000</v>
      </c>
      <c r="F2043" s="76">
        <v>4466</v>
      </c>
      <c r="G2043" s="49">
        <v>0</v>
      </c>
      <c r="H2043" s="50">
        <f>IFERROR(Table1[Re-process (Kg)]/Table1[Actual Production (Kg)], "")</f>
        <v>0</v>
      </c>
      <c r="I2043" s="49">
        <f>IFERROR(Table1[[#This Row],[Actual Production (Kg)]]-Table1[[#This Row],[Re-process (Kg)]], "")</f>
        <v>4466</v>
      </c>
      <c r="J2043" s="49">
        <v>22</v>
      </c>
      <c r="K2043" s="72">
        <v>2</v>
      </c>
      <c r="L2043" s="49">
        <f>IF(Table1[[#This Row],[Target Time (Hours)]]="","",Table1[[#This Row],[Target Time (Hours)]]-Table1[[#This Row],[Downtime (Hours)]])</f>
        <v>20</v>
      </c>
      <c r="M2043" s="49">
        <f>IFERROR(Table1[[#This Row],[Capacity (Kg)]]/Table1[[#This Row],[Target Time (Hours)]] * Table1[[#This Row],[Downtime (Hours)]], "")</f>
        <v>818.18181818181813</v>
      </c>
      <c r="N2043" s="50">
        <f>IFERROR(Table1[[#This Row],[Running Time (hr)]]/Table1[Target Time (Hours)], "")</f>
        <v>0.90909090909090906</v>
      </c>
      <c r="O2043" s="50">
        <f>IFERROR(Table1[[#This Row],[Actual Production (Kg)]]/Table1[Capacity (Kg)], "")</f>
        <v>0.49622222222222223</v>
      </c>
      <c r="P2043" s="50">
        <f>IFERROR(Table1[[#This Row],[Quality Pass Production]]/Table1[[#This Row],[Actual Production (Kg)]], "")</f>
        <v>1</v>
      </c>
      <c r="Q2043" s="50">
        <f>IFERROR(Table1[[#This Row],[Utilization %]]*Table1[[#This Row],[Efficiency %]]*Table1[[#This Row],[Quality %]], "")</f>
        <v>0.45111111111111113</v>
      </c>
      <c r="R2043" s="48" t="s">
        <v>551</v>
      </c>
    </row>
    <row r="2044" spans="1:18" ht="45" customHeight="1" x14ac:dyDescent="0.25">
      <c r="A2044" s="47">
        <v>46302</v>
      </c>
      <c r="B2044" s="48" t="s">
        <v>33</v>
      </c>
      <c r="C2044" s="48" t="s">
        <v>36</v>
      </c>
      <c r="D2044" s="48" t="s">
        <v>37</v>
      </c>
      <c r="E2044" s="49">
        <v>8000</v>
      </c>
      <c r="F2044" s="76">
        <v>4797</v>
      </c>
      <c r="G2044" s="49">
        <v>0</v>
      </c>
      <c r="H2044" s="50">
        <f>IFERROR(Table1[Re-process (Kg)]/Table1[Actual Production (Kg)], "")</f>
        <v>0</v>
      </c>
      <c r="I2044" s="49">
        <f>IFERROR(Table1[[#This Row],[Actual Production (Kg)]]-Table1[[#This Row],[Re-process (Kg)]], "")</f>
        <v>4797</v>
      </c>
      <c r="J2044" s="49">
        <v>22</v>
      </c>
      <c r="K2044" s="72">
        <v>3</v>
      </c>
      <c r="L2044" s="49">
        <f>IF(Table1[[#This Row],[Target Time (Hours)]]="","",Table1[[#This Row],[Target Time (Hours)]]-Table1[[#This Row],[Downtime (Hours)]])</f>
        <v>19</v>
      </c>
      <c r="M2044" s="49">
        <f>IFERROR(Table1[[#This Row],[Capacity (Kg)]]/Table1[[#This Row],[Target Time (Hours)]] * Table1[[#This Row],[Downtime (Hours)]], "")</f>
        <v>1090.909090909091</v>
      </c>
      <c r="N2044" s="50">
        <f>IFERROR(Table1[[#This Row],[Running Time (hr)]]/Table1[Target Time (Hours)], "")</f>
        <v>0.86363636363636365</v>
      </c>
      <c r="O2044" s="50">
        <f>IFERROR(Table1[[#This Row],[Actual Production (Kg)]]/Table1[Capacity (Kg)], "")</f>
        <v>0.59962499999999996</v>
      </c>
      <c r="P2044" s="50">
        <f>IFERROR(Table1[[#This Row],[Quality Pass Production]]/Table1[[#This Row],[Actual Production (Kg)]], "")</f>
        <v>1</v>
      </c>
      <c r="Q2044" s="50">
        <f>IFERROR(Table1[[#This Row],[Utilization %]]*Table1[[#This Row],[Efficiency %]]*Table1[[#This Row],[Quality %]], "")</f>
        <v>0.51785795454545447</v>
      </c>
      <c r="R2044" s="48" t="s">
        <v>554</v>
      </c>
    </row>
    <row r="2045" spans="1:18" ht="45" customHeight="1" x14ac:dyDescent="0.25">
      <c r="A2045" s="47">
        <v>46302</v>
      </c>
      <c r="B2045" s="48" t="s">
        <v>33</v>
      </c>
      <c r="C2045" s="48" t="s">
        <v>39</v>
      </c>
      <c r="D2045" s="48" t="s">
        <v>31</v>
      </c>
      <c r="E2045" s="49">
        <v>6000</v>
      </c>
      <c r="F2045" s="76">
        <v>3221</v>
      </c>
      <c r="G2045" s="49">
        <v>0</v>
      </c>
      <c r="H2045" s="50">
        <f>IFERROR(Table1[Re-process (Kg)]/Table1[Actual Production (Kg)], "")</f>
        <v>0</v>
      </c>
      <c r="I2045" s="49">
        <f>IFERROR(Table1[[#This Row],[Actual Production (Kg)]]-Table1[[#This Row],[Re-process (Kg)]], "")</f>
        <v>3221</v>
      </c>
      <c r="J2045" s="49">
        <v>22</v>
      </c>
      <c r="K2045" s="72">
        <v>3.5</v>
      </c>
      <c r="L2045" s="49">
        <f>IF(Table1[[#This Row],[Target Time (Hours)]]="","",Table1[[#This Row],[Target Time (Hours)]]-Table1[[#This Row],[Downtime (Hours)]])</f>
        <v>18.5</v>
      </c>
      <c r="M2045" s="49">
        <f>IFERROR(Table1[[#This Row],[Capacity (Kg)]]/Table1[[#This Row],[Target Time (Hours)]] * Table1[[#This Row],[Downtime (Hours)]], "")</f>
        <v>954.54545454545462</v>
      </c>
      <c r="N2045" s="50">
        <f>IFERROR(Table1[[#This Row],[Running Time (hr)]]/Table1[Target Time (Hours)], "")</f>
        <v>0.84090909090909094</v>
      </c>
      <c r="O2045" s="50">
        <f>IFERROR(Table1[[#This Row],[Actual Production (Kg)]]/Table1[Capacity (Kg)], "")</f>
        <v>0.53683333333333338</v>
      </c>
      <c r="P2045" s="50">
        <f>IFERROR(Table1[[#This Row],[Quality Pass Production]]/Table1[[#This Row],[Actual Production (Kg)]], "")</f>
        <v>1</v>
      </c>
      <c r="Q2045" s="50">
        <f>IFERROR(Table1[[#This Row],[Utilization %]]*Table1[[#This Row],[Efficiency %]]*Table1[[#This Row],[Quality %]], "")</f>
        <v>0.45142803030303036</v>
      </c>
      <c r="R2045" s="48" t="s">
        <v>555</v>
      </c>
    </row>
    <row r="2046" spans="1:18" ht="45" customHeight="1" x14ac:dyDescent="0.25">
      <c r="A2046" s="54">
        <v>46302</v>
      </c>
      <c r="B2046" s="55" t="s">
        <v>33</v>
      </c>
      <c r="C2046" s="55" t="s">
        <v>40</v>
      </c>
      <c r="D2046" s="55" t="s">
        <v>31</v>
      </c>
      <c r="E2046" s="56">
        <v>5000</v>
      </c>
      <c r="F2046" s="56">
        <v>2082</v>
      </c>
      <c r="G2046" s="56">
        <v>0</v>
      </c>
      <c r="H2046" s="58">
        <f>IFERROR(Table1[Re-process (Kg)]/Table1[Actual Production (Kg)], "")</f>
        <v>0</v>
      </c>
      <c r="I2046" s="56">
        <f>IFERROR(Table1[[#This Row],[Actual Production (Kg)]]-Table1[[#This Row],[Re-process (Kg)]], "")</f>
        <v>2082</v>
      </c>
      <c r="J2046" s="56">
        <v>22</v>
      </c>
      <c r="K2046" s="55">
        <v>12</v>
      </c>
      <c r="L2046" s="56">
        <f>IF(Table1[[#This Row],[Target Time (Hours)]]="","",Table1[[#This Row],[Target Time (Hours)]]-Table1[[#This Row],[Downtime (Hours)]])</f>
        <v>10</v>
      </c>
      <c r="M2046" s="56">
        <f>IFERROR(Table1[[#This Row],[Capacity (Kg)]]/Table1[[#This Row],[Target Time (Hours)]] * Table1[[#This Row],[Downtime (Hours)]], "")</f>
        <v>2727.2727272727275</v>
      </c>
      <c r="N2046" s="58">
        <f>IFERROR(Table1[[#This Row],[Running Time (hr)]]/Table1[Target Time (Hours)], "")</f>
        <v>0.45454545454545453</v>
      </c>
      <c r="O2046" s="58">
        <f>IFERROR(Table1[[#This Row],[Actual Production (Kg)]]/Table1[Capacity (Kg)], "")</f>
        <v>0.41639999999999999</v>
      </c>
      <c r="P2046" s="58">
        <f>IFERROR(Table1[[#This Row],[Quality Pass Production]]/Table1[[#This Row],[Actual Production (Kg)]], "")</f>
        <v>1</v>
      </c>
      <c r="Q2046" s="58">
        <f>IFERROR(Table1[[#This Row],[Utilization %]]*Table1[[#This Row],[Efficiency %]]*Table1[[#This Row],[Quality %]], "")</f>
        <v>0.18927272727272726</v>
      </c>
      <c r="R2046" s="55" t="s">
        <v>556</v>
      </c>
    </row>
    <row r="2047" spans="1:18" ht="30" customHeight="1" x14ac:dyDescent="0.25">
      <c r="A2047" s="47">
        <v>46303</v>
      </c>
      <c r="B2047" s="48" t="s">
        <v>18</v>
      </c>
      <c r="C2047" s="48" t="s">
        <v>19</v>
      </c>
      <c r="D2047" s="48" t="s">
        <v>20</v>
      </c>
      <c r="E2047" s="49">
        <v>10000</v>
      </c>
      <c r="F2047" s="76">
        <v>10368</v>
      </c>
      <c r="G2047" s="49">
        <v>0</v>
      </c>
      <c r="H2047" s="50">
        <f>IFERROR(Table1[Re-process (Kg)]/Table1[Actual Production (Kg)], "")</f>
        <v>0</v>
      </c>
      <c r="I2047" s="49">
        <f>IFERROR(Table1[[#This Row],[Actual Production (Kg)]]-Table1[[#This Row],[Re-process (Kg)]], "")</f>
        <v>10368</v>
      </c>
      <c r="J2047" s="49">
        <v>22</v>
      </c>
      <c r="K2047" s="72"/>
      <c r="L2047" s="49">
        <f>IF(Table1[[#This Row],[Target Time (Hours)]]="","",Table1[[#This Row],[Target Time (Hours)]]-Table1[[#This Row],[Downtime (Hours)]])</f>
        <v>22</v>
      </c>
      <c r="M2047" s="49">
        <f>IFERROR(Table1[[#This Row],[Capacity (Kg)]]/Table1[[#This Row],[Target Time (Hours)]] * Table1[[#This Row],[Downtime (Hours)]], "")</f>
        <v>0</v>
      </c>
      <c r="N2047" s="50">
        <f>IFERROR(Table1[[#This Row],[Running Time (hr)]]/Table1[Target Time (Hours)], "")</f>
        <v>1</v>
      </c>
      <c r="O2047" s="50">
        <f>IFERROR(Table1[[#This Row],[Actual Production (Kg)]]/Table1[Capacity (Kg)], "")</f>
        <v>1.0367999999999999</v>
      </c>
      <c r="P2047" s="50">
        <f>IFERROR(Table1[[#This Row],[Quality Pass Production]]/Table1[[#This Row],[Actual Production (Kg)]], "")</f>
        <v>1</v>
      </c>
      <c r="Q2047" s="50">
        <f>IFERROR(Table1[[#This Row],[Utilization %]]*Table1[[#This Row],[Efficiency %]]*Table1[[#This Row],[Quality %]], "")</f>
        <v>1.0367999999999999</v>
      </c>
    </row>
    <row r="2048" spans="1:18" x14ac:dyDescent="0.25">
      <c r="A2048" s="51">
        <v>46303</v>
      </c>
      <c r="B2048" s="52" t="s">
        <v>18</v>
      </c>
      <c r="C2048" s="52" t="s">
        <v>238</v>
      </c>
      <c r="D2048" s="52" t="s">
        <v>20</v>
      </c>
      <c r="E2048" s="53">
        <v>9520</v>
      </c>
      <c r="F2048" s="53">
        <v>9520</v>
      </c>
      <c r="G2048" s="53">
        <v>0</v>
      </c>
      <c r="H2048" s="57">
        <f>IFERROR(Table1[Re-process (Kg)]/Table1[Actual Production (Kg)], "")</f>
        <v>0</v>
      </c>
      <c r="I2048" s="53">
        <f>IFERROR(Table1[[#This Row],[Actual Production (Kg)]]-Table1[[#This Row],[Re-process (Kg)]], "")</f>
        <v>9520</v>
      </c>
      <c r="J2048" s="53"/>
      <c r="K2048" s="52"/>
      <c r="L2048" s="53" t="str">
        <f>IF(Table1[[#This Row],[Target Time (Hours)]]="","",Table1[[#This Row],[Target Time (Hours)]]-Table1[[#This Row],[Downtime (Hours)]])</f>
        <v/>
      </c>
      <c r="M2048" s="53" t="str">
        <f>IFERROR(Table1[[#This Row],[Capacity (Kg)]]/Table1[[#This Row],[Target Time (Hours)]] * Table1[[#This Row],[Downtime (Hours)]], "")</f>
        <v/>
      </c>
      <c r="N2048" s="57" t="str">
        <f>IFERROR(Table1[[#This Row],[Running Time (hr)]]/Table1[Target Time (Hours)], "")</f>
        <v/>
      </c>
      <c r="O2048" s="57">
        <f>IFERROR(Table1[[#This Row],[Actual Production (Kg)]]/Table1[Capacity (Kg)], "")</f>
        <v>1</v>
      </c>
      <c r="P2048" s="57">
        <f>IFERROR(Table1[[#This Row],[Quality Pass Production]]/Table1[[#This Row],[Actual Production (Kg)]], "")</f>
        <v>1</v>
      </c>
      <c r="Q2048" s="57" t="str">
        <f>IFERROR(Table1[[#This Row],[Utilization %]]*Table1[[#This Row],[Efficiency %]]*Table1[[#This Row],[Quality %]], "")</f>
        <v/>
      </c>
      <c r="R2048" s="52"/>
    </row>
    <row r="2049" spans="1:18" x14ac:dyDescent="0.25">
      <c r="A2049" s="47">
        <v>46303</v>
      </c>
      <c r="B2049" s="48" t="s">
        <v>18</v>
      </c>
      <c r="C2049" s="48" t="s">
        <v>22</v>
      </c>
      <c r="D2049" s="48" t="s">
        <v>23</v>
      </c>
      <c r="E2049" s="49">
        <v>5000</v>
      </c>
      <c r="F2049" s="76">
        <v>3530</v>
      </c>
      <c r="G2049" s="49">
        <v>0</v>
      </c>
      <c r="H2049" s="50">
        <f>IFERROR(Table1[Re-process (Kg)]/Table1[Actual Production (Kg)], "")</f>
        <v>0</v>
      </c>
      <c r="I2049" s="49">
        <f>IFERROR(Table1[[#This Row],[Actual Production (Kg)]]-Table1[[#This Row],[Re-process (Kg)]], "")</f>
        <v>3530</v>
      </c>
      <c r="J2049" s="49">
        <v>22</v>
      </c>
      <c r="K2049" s="72"/>
      <c r="L2049" s="49">
        <f>IF(Table1[[#This Row],[Target Time (Hours)]]="","",Table1[[#This Row],[Target Time (Hours)]]-Table1[[#This Row],[Downtime (Hours)]])</f>
        <v>22</v>
      </c>
      <c r="M2049" s="49">
        <f>IFERROR(Table1[[#This Row],[Capacity (Kg)]]/Table1[[#This Row],[Target Time (Hours)]] * Table1[[#This Row],[Downtime (Hours)]], "")</f>
        <v>0</v>
      </c>
      <c r="N2049" s="50">
        <f>IFERROR(Table1[[#This Row],[Running Time (hr)]]/Table1[Target Time (Hours)], "")</f>
        <v>1</v>
      </c>
      <c r="O2049" s="50">
        <f>IFERROR(Table1[[#This Row],[Actual Production (Kg)]]/Table1[Capacity (Kg)], "")</f>
        <v>0.70599999999999996</v>
      </c>
      <c r="P2049" s="50">
        <f>IFERROR(Table1[[#This Row],[Quality Pass Production]]/Table1[[#This Row],[Actual Production (Kg)]], "")</f>
        <v>1</v>
      </c>
      <c r="Q2049" s="50">
        <f>IFERROR(Table1[[#This Row],[Utilization %]]*Table1[[#This Row],[Efficiency %]]*Table1[[#This Row],[Quality %]], "")</f>
        <v>0.70599999999999996</v>
      </c>
    </row>
    <row r="2050" spans="1:18" x14ac:dyDescent="0.25">
      <c r="A2050" s="47">
        <v>46303</v>
      </c>
      <c r="B2050" s="48" t="s">
        <v>18</v>
      </c>
      <c r="C2050" s="48" t="s">
        <v>22</v>
      </c>
      <c r="D2050" s="48" t="s">
        <v>25</v>
      </c>
      <c r="E2050" s="49">
        <v>4000</v>
      </c>
      <c r="F2050" s="76">
        <v>8063</v>
      </c>
      <c r="G2050" s="49">
        <v>0</v>
      </c>
      <c r="H2050" s="50">
        <f>IFERROR(Table1[Re-process (Kg)]/Table1[Actual Production (Kg)], "")</f>
        <v>0</v>
      </c>
      <c r="I2050" s="49">
        <f>IFERROR(Table1[[#This Row],[Actual Production (Kg)]]-Table1[[#This Row],[Re-process (Kg)]], "")</f>
        <v>8063</v>
      </c>
      <c r="J2050" s="49"/>
      <c r="K2050" s="72"/>
      <c r="L2050" s="49" t="str">
        <f>IF(Table1[[#This Row],[Target Time (Hours)]]="","",Table1[[#This Row],[Target Time (Hours)]]-Table1[[#This Row],[Downtime (Hours)]])</f>
        <v/>
      </c>
      <c r="M2050" s="49" t="str">
        <f>IFERROR(Table1[[#This Row],[Capacity (Kg)]]/Table1[[#This Row],[Target Time (Hours)]] * Table1[[#This Row],[Downtime (Hours)]], "")</f>
        <v/>
      </c>
      <c r="N2050" s="50" t="str">
        <f>IFERROR(Table1[[#This Row],[Running Time (hr)]]/Table1[Target Time (Hours)], "")</f>
        <v/>
      </c>
      <c r="O2050" s="50">
        <f>IFERROR(Table1[[#This Row],[Actual Production (Kg)]]/Table1[Capacity (Kg)], "")</f>
        <v>2.0157500000000002</v>
      </c>
      <c r="P2050" s="50">
        <f>IFERROR(Table1[[#This Row],[Quality Pass Production]]/Table1[[#This Row],[Actual Production (Kg)]], "")</f>
        <v>1</v>
      </c>
      <c r="Q2050" s="50" t="str">
        <f>IFERROR(Table1[[#This Row],[Utilization %]]*Table1[[#This Row],[Efficiency %]]*Table1[[#This Row],[Quality %]], "")</f>
        <v/>
      </c>
    </row>
    <row r="2051" spans="1:18" x14ac:dyDescent="0.25">
      <c r="A2051" s="47">
        <v>46303</v>
      </c>
      <c r="B2051" s="48" t="s">
        <v>18</v>
      </c>
      <c r="C2051" s="48" t="s">
        <v>26</v>
      </c>
      <c r="D2051" s="48" t="s">
        <v>25</v>
      </c>
      <c r="E2051" s="49">
        <v>7000</v>
      </c>
      <c r="F2051" s="76">
        <v>6943</v>
      </c>
      <c r="G2051" s="49">
        <v>0</v>
      </c>
      <c r="H2051" s="50">
        <f>IFERROR(Table1[Re-process (Kg)]/Table1[Actual Production (Kg)], "")</f>
        <v>0</v>
      </c>
      <c r="I2051" s="49">
        <f>IFERROR(Table1[[#This Row],[Actual Production (Kg)]]-Table1[[#This Row],[Re-process (Kg)]], "")</f>
        <v>6943</v>
      </c>
      <c r="J2051" s="49">
        <v>22</v>
      </c>
      <c r="K2051" s="72"/>
      <c r="L2051" s="49">
        <f>IF(Table1[[#This Row],[Target Time (Hours)]]="","",Table1[[#This Row],[Target Time (Hours)]]-Table1[[#This Row],[Downtime (Hours)]])</f>
        <v>22</v>
      </c>
      <c r="M2051" s="49">
        <f>IFERROR(Table1[[#This Row],[Capacity (Kg)]]/Table1[[#This Row],[Target Time (Hours)]] * Table1[[#This Row],[Downtime (Hours)]], "")</f>
        <v>0</v>
      </c>
      <c r="N2051" s="50">
        <f>IFERROR(Table1[[#This Row],[Running Time (hr)]]/Table1[Target Time (Hours)], "")</f>
        <v>1</v>
      </c>
      <c r="O2051" s="50">
        <f>IFERROR(Table1[[#This Row],[Actual Production (Kg)]]/Table1[Capacity (Kg)], "")</f>
        <v>0.99185714285714288</v>
      </c>
      <c r="P2051" s="50">
        <f>IFERROR(Table1[[#This Row],[Quality Pass Production]]/Table1[[#This Row],[Actual Production (Kg)]], "")</f>
        <v>1</v>
      </c>
      <c r="Q2051" s="50">
        <f>IFERROR(Table1[[#This Row],[Utilization %]]*Table1[[#This Row],[Efficiency %]]*Table1[[#This Row],[Quality %]], "")</f>
        <v>0.99185714285714288</v>
      </c>
    </row>
    <row r="2052" spans="1:18" ht="30" customHeight="1" x14ac:dyDescent="0.25">
      <c r="A2052" s="47">
        <v>46303</v>
      </c>
      <c r="B2052" s="48" t="s">
        <v>18</v>
      </c>
      <c r="C2052" s="48" t="s">
        <v>28</v>
      </c>
      <c r="D2052" s="48" t="s">
        <v>29</v>
      </c>
      <c r="E2052" s="49">
        <v>7800</v>
      </c>
      <c r="F2052" s="76">
        <v>5378</v>
      </c>
      <c r="G2052" s="49">
        <v>0</v>
      </c>
      <c r="H2052" s="50">
        <f>IFERROR(Table1[Re-process (Kg)]/Table1[Actual Production (Kg)], "")</f>
        <v>0</v>
      </c>
      <c r="I2052" s="49">
        <f>IFERROR(Table1[[#This Row],[Actual Production (Kg)]]-Table1[[#This Row],[Re-process (Kg)]], "")</f>
        <v>5378</v>
      </c>
      <c r="J2052" s="49">
        <v>22</v>
      </c>
      <c r="K2052" s="72">
        <v>5</v>
      </c>
      <c r="L2052" s="49">
        <f>IF(Table1[[#This Row],[Target Time (Hours)]]="","",Table1[[#This Row],[Target Time (Hours)]]-Table1[[#This Row],[Downtime (Hours)]])</f>
        <v>17</v>
      </c>
      <c r="M2052" s="49">
        <f>IFERROR(Table1[[#This Row],[Capacity (Kg)]]/Table1[[#This Row],[Target Time (Hours)]] * Table1[[#This Row],[Downtime (Hours)]], "")</f>
        <v>1772.7272727272727</v>
      </c>
      <c r="N2052" s="50">
        <f>IFERROR(Table1[[#This Row],[Running Time (hr)]]/Table1[Target Time (Hours)], "")</f>
        <v>0.77272727272727271</v>
      </c>
      <c r="O2052" s="50">
        <f>IFERROR(Table1[[#This Row],[Actual Production (Kg)]]/Table1[Capacity (Kg)], "")</f>
        <v>0.68948717948717952</v>
      </c>
      <c r="P2052" s="50">
        <f>IFERROR(Table1[[#This Row],[Quality Pass Production]]/Table1[[#This Row],[Actual Production (Kg)]], "")</f>
        <v>1</v>
      </c>
      <c r="Q2052" s="50">
        <f>IFERROR(Table1[[#This Row],[Utilization %]]*Table1[[#This Row],[Efficiency %]]*Table1[[#This Row],[Quality %]], "")</f>
        <v>0.53278554778554776</v>
      </c>
      <c r="R2052" s="48" t="s">
        <v>519</v>
      </c>
    </row>
    <row r="2053" spans="1:18" ht="30" customHeight="1" x14ac:dyDescent="0.25">
      <c r="A2053" s="51">
        <v>46303</v>
      </c>
      <c r="B2053" s="52" t="s">
        <v>18</v>
      </c>
      <c r="C2053" s="52" t="s">
        <v>135</v>
      </c>
      <c r="D2053" s="52" t="s">
        <v>29</v>
      </c>
      <c r="E2053" s="53"/>
      <c r="F2053" s="53"/>
      <c r="G2053" s="53"/>
      <c r="H2053" s="57" t="str">
        <f>IFERROR(Table1[Re-process (Kg)]/Table1[Actual Production (Kg)], "")</f>
        <v/>
      </c>
      <c r="I2053" s="53">
        <f>IFERROR(Table1[[#This Row],[Actual Production (Kg)]]-Table1[[#This Row],[Re-process (Kg)]], "")</f>
        <v>0</v>
      </c>
      <c r="J2053" s="53"/>
      <c r="K2053" s="52"/>
      <c r="L2053" s="53" t="str">
        <f>IF(Table1[[#This Row],[Target Time (Hours)]]="","",Table1[[#This Row],[Target Time (Hours)]]-Table1[[#This Row],[Downtime (Hours)]])</f>
        <v/>
      </c>
      <c r="M2053" s="53" t="str">
        <f>IFERROR(Table1[[#This Row],[Capacity (Kg)]]/Table1[[#This Row],[Target Time (Hours)]] * Table1[[#This Row],[Downtime (Hours)]], "")</f>
        <v/>
      </c>
      <c r="N2053" s="57" t="str">
        <f>IFERROR(Table1[[#This Row],[Running Time (hr)]]/Table1[Target Time (Hours)], "")</f>
        <v/>
      </c>
      <c r="O2053" s="57" t="str">
        <f>IFERROR(Table1[[#This Row],[Actual Production (Kg)]]/Table1[Capacity (Kg)], "")</f>
        <v/>
      </c>
      <c r="P2053" s="57" t="str">
        <f>IFERROR(Table1[[#This Row],[Quality Pass Production]]/Table1[[#This Row],[Actual Production (Kg)]], "")</f>
        <v/>
      </c>
      <c r="Q2053" s="57" t="str">
        <f>IFERROR(Table1[[#This Row],[Utilization %]]*Table1[[#This Row],[Efficiency %]]*Table1[[#This Row],[Quality %]], "")</f>
        <v/>
      </c>
      <c r="R2053" s="52"/>
    </row>
    <row r="2054" spans="1:18" ht="30" customHeight="1" x14ac:dyDescent="0.25">
      <c r="A2054" s="47">
        <v>46303</v>
      </c>
      <c r="B2054" s="48" t="s">
        <v>18</v>
      </c>
      <c r="C2054" s="48" t="s">
        <v>30</v>
      </c>
      <c r="D2054" s="48" t="s">
        <v>31</v>
      </c>
      <c r="E2054" s="49">
        <v>9000</v>
      </c>
      <c r="F2054" s="76">
        <v>8470</v>
      </c>
      <c r="G2054" s="49">
        <v>0</v>
      </c>
      <c r="H2054" s="50">
        <f>IFERROR(Table1[Re-process (Kg)]/Table1[Actual Production (Kg)], "")</f>
        <v>0</v>
      </c>
      <c r="I2054" s="49">
        <f>IFERROR(Table1[[#This Row],[Actual Production (Kg)]]-Table1[[#This Row],[Re-process (Kg)]], "")</f>
        <v>8470</v>
      </c>
      <c r="J2054" s="49">
        <v>22</v>
      </c>
      <c r="K2054" s="72"/>
      <c r="L2054" s="49">
        <f>IF(Table1[[#This Row],[Target Time (Hours)]]="","",Table1[[#This Row],[Target Time (Hours)]]-Table1[[#This Row],[Downtime (Hours)]])</f>
        <v>22</v>
      </c>
      <c r="M2054" s="49">
        <f>IFERROR(Table1[[#This Row],[Capacity (Kg)]]/Table1[[#This Row],[Target Time (Hours)]] * Table1[[#This Row],[Downtime (Hours)]], "")</f>
        <v>0</v>
      </c>
      <c r="N2054" s="50">
        <f>IFERROR(Table1[[#This Row],[Running Time (hr)]]/Table1[Target Time (Hours)], "")</f>
        <v>1</v>
      </c>
      <c r="O2054" s="50">
        <f>IFERROR(Table1[[#This Row],[Actual Production (Kg)]]/Table1[Capacity (Kg)], "")</f>
        <v>0.94111111111111112</v>
      </c>
      <c r="P2054" s="50">
        <f>IFERROR(Table1[[#This Row],[Quality Pass Production]]/Table1[[#This Row],[Actual Production (Kg)]], "")</f>
        <v>1</v>
      </c>
      <c r="Q2054" s="50">
        <f>IFERROR(Table1[[#This Row],[Utilization %]]*Table1[[#This Row],[Efficiency %]]*Table1[[#This Row],[Quality %]], "")</f>
        <v>0.94111111111111112</v>
      </c>
    </row>
    <row r="2055" spans="1:18" ht="30" customHeight="1" x14ac:dyDescent="0.25">
      <c r="A2055" s="51">
        <v>46303</v>
      </c>
      <c r="B2055" s="52" t="s">
        <v>18</v>
      </c>
      <c r="C2055" s="52" t="s">
        <v>32</v>
      </c>
      <c r="D2055" s="52" t="s">
        <v>31</v>
      </c>
      <c r="E2055" s="53">
        <v>2500</v>
      </c>
      <c r="F2055" s="53">
        <v>2145</v>
      </c>
      <c r="G2055" s="53">
        <v>0</v>
      </c>
      <c r="H2055" s="57">
        <f>IFERROR(Table1[Re-process (Kg)]/Table1[Actual Production (Kg)], "")</f>
        <v>0</v>
      </c>
      <c r="I2055" s="53">
        <f>IFERROR(Table1[[#This Row],[Actual Production (Kg)]]-Table1[[#This Row],[Re-process (Kg)]], "")</f>
        <v>2145</v>
      </c>
      <c r="J2055" s="53"/>
      <c r="K2055" s="52"/>
      <c r="L2055" s="53" t="str">
        <f>IF(Table1[[#This Row],[Target Time (Hours)]]="","",Table1[[#This Row],[Target Time (Hours)]]-Table1[[#This Row],[Downtime (Hours)]])</f>
        <v/>
      </c>
      <c r="M2055" s="53" t="str">
        <f>IFERROR(Table1[[#This Row],[Capacity (Kg)]]/Table1[[#This Row],[Target Time (Hours)]] * Table1[[#This Row],[Downtime (Hours)]], "")</f>
        <v/>
      </c>
      <c r="N2055" s="57" t="str">
        <f>IFERROR(Table1[[#This Row],[Running Time (hr)]]/Table1[Target Time (Hours)], "")</f>
        <v/>
      </c>
      <c r="O2055" s="57">
        <f>IFERROR(Table1[[#This Row],[Actual Production (Kg)]]/Table1[Capacity (Kg)], "")</f>
        <v>0.85799999999999998</v>
      </c>
      <c r="P2055" s="57">
        <f>IFERROR(Table1[[#This Row],[Quality Pass Production]]/Table1[[#This Row],[Actual Production (Kg)]], "")</f>
        <v>1</v>
      </c>
      <c r="Q2055" s="57" t="str">
        <f>IFERROR(Table1[[#This Row],[Utilization %]]*Table1[[#This Row],[Efficiency %]]*Table1[[#This Row],[Quality %]], "")</f>
        <v/>
      </c>
      <c r="R2055" s="52"/>
    </row>
    <row r="2056" spans="1:18" ht="45" customHeight="1" x14ac:dyDescent="0.25">
      <c r="A2056" s="47">
        <v>46303</v>
      </c>
      <c r="B2056" s="48" t="s">
        <v>33</v>
      </c>
      <c r="C2056" s="48" t="s">
        <v>34</v>
      </c>
      <c r="D2056" s="48" t="s">
        <v>35</v>
      </c>
      <c r="E2056" s="49">
        <v>9000</v>
      </c>
      <c r="F2056" s="76">
        <v>5534</v>
      </c>
      <c r="G2056" s="49">
        <v>0</v>
      </c>
      <c r="H2056" s="50">
        <f>IFERROR(Table1[Re-process (Kg)]/Table1[Actual Production (Kg)], "")</f>
        <v>0</v>
      </c>
      <c r="I2056" s="49">
        <f>IFERROR(Table1[[#This Row],[Actual Production (Kg)]]-Table1[[#This Row],[Re-process (Kg)]], "")</f>
        <v>5534</v>
      </c>
      <c r="J2056" s="49">
        <v>22</v>
      </c>
      <c r="K2056" s="72">
        <v>2</v>
      </c>
      <c r="L2056" s="49">
        <f>IF(Table1[[#This Row],[Target Time (Hours)]]="","",Table1[[#This Row],[Target Time (Hours)]]-Table1[[#This Row],[Downtime (Hours)]])</f>
        <v>20</v>
      </c>
      <c r="M2056" s="49">
        <f>IFERROR(Table1[[#This Row],[Capacity (Kg)]]/Table1[[#This Row],[Target Time (Hours)]] * Table1[[#This Row],[Downtime (Hours)]], "")</f>
        <v>818.18181818181813</v>
      </c>
      <c r="N2056" s="50">
        <f>IFERROR(Table1[[#This Row],[Running Time (hr)]]/Table1[Target Time (Hours)], "")</f>
        <v>0.90909090909090906</v>
      </c>
      <c r="O2056" s="50">
        <f>IFERROR(Table1[[#This Row],[Actual Production (Kg)]]/Table1[Capacity (Kg)], "")</f>
        <v>0.61488888888888893</v>
      </c>
      <c r="P2056" s="50">
        <f>IFERROR(Table1[[#This Row],[Quality Pass Production]]/Table1[[#This Row],[Actual Production (Kg)]], "")</f>
        <v>1</v>
      </c>
      <c r="Q2056" s="50">
        <f>IFERROR(Table1[[#This Row],[Utilization %]]*Table1[[#This Row],[Efficiency %]]*Table1[[#This Row],[Quality %]], "")</f>
        <v>0.55898989898989904</v>
      </c>
      <c r="R2056" s="48" t="s">
        <v>551</v>
      </c>
    </row>
    <row r="2057" spans="1:18" ht="45" customHeight="1" x14ac:dyDescent="0.25">
      <c r="A2057" s="47">
        <v>46303</v>
      </c>
      <c r="B2057" s="48" t="s">
        <v>33</v>
      </c>
      <c r="C2057" s="48" t="s">
        <v>36</v>
      </c>
      <c r="D2057" s="48" t="s">
        <v>37</v>
      </c>
      <c r="E2057" s="49">
        <v>8000</v>
      </c>
      <c r="F2057" s="76">
        <v>5708</v>
      </c>
      <c r="G2057" s="49">
        <v>0</v>
      </c>
      <c r="H2057" s="50">
        <f>IFERROR(Table1[Re-process (Kg)]/Table1[Actual Production (Kg)], "")</f>
        <v>0</v>
      </c>
      <c r="I2057" s="49">
        <f>IFERROR(Table1[[#This Row],[Actual Production (Kg)]]-Table1[[#This Row],[Re-process (Kg)]], "")</f>
        <v>5708</v>
      </c>
      <c r="J2057" s="49">
        <v>22</v>
      </c>
      <c r="K2057" s="72">
        <v>3</v>
      </c>
      <c r="L2057" s="49">
        <f>IF(Table1[[#This Row],[Target Time (Hours)]]="","",Table1[[#This Row],[Target Time (Hours)]]-Table1[[#This Row],[Downtime (Hours)]])</f>
        <v>19</v>
      </c>
      <c r="M2057" s="49">
        <f>IFERROR(Table1[[#This Row],[Capacity (Kg)]]/Table1[[#This Row],[Target Time (Hours)]] * Table1[[#This Row],[Downtime (Hours)]], "")</f>
        <v>1090.909090909091</v>
      </c>
      <c r="N2057" s="50">
        <f>IFERROR(Table1[[#This Row],[Running Time (hr)]]/Table1[Target Time (Hours)], "")</f>
        <v>0.86363636363636365</v>
      </c>
      <c r="O2057" s="50">
        <f>IFERROR(Table1[[#This Row],[Actual Production (Kg)]]/Table1[Capacity (Kg)], "")</f>
        <v>0.71350000000000002</v>
      </c>
      <c r="P2057" s="50">
        <f>IFERROR(Table1[[#This Row],[Quality Pass Production]]/Table1[[#This Row],[Actual Production (Kg)]], "")</f>
        <v>1</v>
      </c>
      <c r="Q2057" s="50">
        <f>IFERROR(Table1[[#This Row],[Utilization %]]*Table1[[#This Row],[Efficiency %]]*Table1[[#This Row],[Quality %]], "")</f>
        <v>0.6162045454545455</v>
      </c>
      <c r="R2057" s="48" t="s">
        <v>554</v>
      </c>
    </row>
    <row r="2058" spans="1:18" ht="45" customHeight="1" x14ac:dyDescent="0.25">
      <c r="A2058" s="47">
        <v>46303</v>
      </c>
      <c r="B2058" s="48" t="s">
        <v>33</v>
      </c>
      <c r="C2058" s="48" t="s">
        <v>39</v>
      </c>
      <c r="D2058" s="48" t="s">
        <v>31</v>
      </c>
      <c r="E2058" s="49">
        <v>6000</v>
      </c>
      <c r="F2058" s="76">
        <v>825</v>
      </c>
      <c r="G2058" s="49">
        <v>0</v>
      </c>
      <c r="H2058" s="50">
        <f>IFERROR(Table1[Re-process (Kg)]/Table1[Actual Production (Kg)], "")</f>
        <v>0</v>
      </c>
      <c r="I2058" s="49">
        <f>IFERROR(Table1[[#This Row],[Actual Production (Kg)]]-Table1[[#This Row],[Re-process (Kg)]], "")</f>
        <v>825</v>
      </c>
      <c r="J2058" s="49">
        <v>22</v>
      </c>
      <c r="K2058" s="72">
        <v>3.5</v>
      </c>
      <c r="L2058" s="49">
        <f>IF(Table1[[#This Row],[Target Time (Hours)]]="","",Table1[[#This Row],[Target Time (Hours)]]-Table1[[#This Row],[Downtime (Hours)]])</f>
        <v>18.5</v>
      </c>
      <c r="M2058" s="49">
        <f>IFERROR(Table1[[#This Row],[Capacity (Kg)]]/Table1[[#This Row],[Target Time (Hours)]] * Table1[[#This Row],[Downtime (Hours)]], "")</f>
        <v>954.54545454545462</v>
      </c>
      <c r="N2058" s="50">
        <f>IFERROR(Table1[[#This Row],[Running Time (hr)]]/Table1[Target Time (Hours)], "")</f>
        <v>0.84090909090909094</v>
      </c>
      <c r="O2058" s="50">
        <f>IFERROR(Table1[[#This Row],[Actual Production (Kg)]]/Table1[Capacity (Kg)], "")</f>
        <v>0.13750000000000001</v>
      </c>
      <c r="P2058" s="50">
        <f>IFERROR(Table1[[#This Row],[Quality Pass Production]]/Table1[[#This Row],[Actual Production (Kg)]], "")</f>
        <v>1</v>
      </c>
      <c r="Q2058" s="50">
        <f>IFERROR(Table1[[#This Row],[Utilization %]]*Table1[[#This Row],[Efficiency %]]*Table1[[#This Row],[Quality %]], "")</f>
        <v>0.11562500000000002</v>
      </c>
      <c r="R2058" s="48" t="s">
        <v>555</v>
      </c>
    </row>
    <row r="2059" spans="1:18" ht="45" customHeight="1" x14ac:dyDescent="0.25">
      <c r="A2059" s="54">
        <v>46303</v>
      </c>
      <c r="B2059" s="55" t="s">
        <v>33</v>
      </c>
      <c r="C2059" s="55" t="s">
        <v>40</v>
      </c>
      <c r="D2059" s="55" t="s">
        <v>31</v>
      </c>
      <c r="E2059" s="56">
        <v>5000</v>
      </c>
      <c r="F2059" s="56">
        <v>3514</v>
      </c>
      <c r="G2059" s="56">
        <v>0</v>
      </c>
      <c r="H2059" s="58">
        <f>IFERROR(Table1[Re-process (Kg)]/Table1[Actual Production (Kg)], "")</f>
        <v>0</v>
      </c>
      <c r="I2059" s="56">
        <f>IFERROR(Table1[[#This Row],[Actual Production (Kg)]]-Table1[[#This Row],[Re-process (Kg)]], "")</f>
        <v>3514</v>
      </c>
      <c r="J2059" s="56">
        <v>22</v>
      </c>
      <c r="K2059" s="55">
        <v>12</v>
      </c>
      <c r="L2059" s="56">
        <f>IF(Table1[[#This Row],[Target Time (Hours)]]="","",Table1[[#This Row],[Target Time (Hours)]]-Table1[[#This Row],[Downtime (Hours)]])</f>
        <v>10</v>
      </c>
      <c r="M2059" s="56">
        <f>IFERROR(Table1[[#This Row],[Capacity (Kg)]]/Table1[[#This Row],[Target Time (Hours)]] * Table1[[#This Row],[Downtime (Hours)]], "")</f>
        <v>2727.2727272727275</v>
      </c>
      <c r="N2059" s="58">
        <f>IFERROR(Table1[[#This Row],[Running Time (hr)]]/Table1[Target Time (Hours)], "")</f>
        <v>0.45454545454545453</v>
      </c>
      <c r="O2059" s="58">
        <f>IFERROR(Table1[[#This Row],[Actual Production (Kg)]]/Table1[Capacity (Kg)], "")</f>
        <v>0.70279999999999998</v>
      </c>
      <c r="P2059" s="58">
        <f>IFERROR(Table1[[#This Row],[Quality Pass Production]]/Table1[[#This Row],[Actual Production (Kg)]], "")</f>
        <v>1</v>
      </c>
      <c r="Q2059" s="58">
        <f>IFERROR(Table1[[#This Row],[Utilization %]]*Table1[[#This Row],[Efficiency %]]*Table1[[#This Row],[Quality %]], "")</f>
        <v>0.31945454545454544</v>
      </c>
      <c r="R2059" s="55" t="s">
        <v>556</v>
      </c>
    </row>
    <row r="2060" spans="1:18" ht="30" customHeight="1" x14ac:dyDescent="0.25">
      <c r="A2060" s="47">
        <v>46305</v>
      </c>
      <c r="B2060" s="48" t="s">
        <v>18</v>
      </c>
      <c r="C2060" s="48" t="s">
        <v>19</v>
      </c>
      <c r="D2060" s="48" t="s">
        <v>20</v>
      </c>
      <c r="E2060" s="49">
        <v>10000</v>
      </c>
      <c r="F2060" s="76">
        <v>8586</v>
      </c>
      <c r="G2060" s="49">
        <v>0</v>
      </c>
      <c r="H2060" s="50">
        <f>IFERROR(Table1[Re-process (Kg)]/Table1[Actual Production (Kg)], "")</f>
        <v>0</v>
      </c>
      <c r="I2060" s="49">
        <f>IFERROR(Table1[[#This Row],[Actual Production (Kg)]]-Table1[[#This Row],[Re-process (Kg)]], "")</f>
        <v>8586</v>
      </c>
      <c r="J2060" s="49">
        <v>22</v>
      </c>
      <c r="K2060" s="72">
        <v>2</v>
      </c>
      <c r="L2060" s="49">
        <f>IF(Table1[[#This Row],[Target Time (Hours)]]="","",Table1[[#This Row],[Target Time (Hours)]]-Table1[[#This Row],[Downtime (Hours)]])</f>
        <v>20</v>
      </c>
      <c r="M2060" s="49">
        <f>IFERROR(Table1[[#This Row],[Capacity (Kg)]]/Table1[[#This Row],[Target Time (Hours)]] * Table1[[#This Row],[Downtime (Hours)]], "")</f>
        <v>909.09090909090912</v>
      </c>
      <c r="N2060" s="50">
        <f>IFERROR(Table1[[#This Row],[Running Time (hr)]]/Table1[Target Time (Hours)], "")</f>
        <v>0.90909090909090906</v>
      </c>
      <c r="O2060" s="50">
        <f>IFERROR(Table1[[#This Row],[Actual Production (Kg)]]/Table1[Capacity (Kg)], "")</f>
        <v>0.85860000000000003</v>
      </c>
      <c r="P2060" s="50">
        <f>IFERROR(Table1[[#This Row],[Quality Pass Production]]/Table1[[#This Row],[Actual Production (Kg)]], "")</f>
        <v>1</v>
      </c>
      <c r="Q2060" s="50">
        <f>IFERROR(Table1[[#This Row],[Utilization %]]*Table1[[#This Row],[Efficiency %]]*Table1[[#This Row],[Quality %]], "")</f>
        <v>0.78054545454545454</v>
      </c>
      <c r="R2060" s="48" t="s">
        <v>557</v>
      </c>
    </row>
    <row r="2061" spans="1:18" x14ac:dyDescent="0.25">
      <c r="A2061" s="51">
        <v>46305</v>
      </c>
      <c r="B2061" s="52" t="s">
        <v>18</v>
      </c>
      <c r="C2061" s="52" t="s">
        <v>238</v>
      </c>
      <c r="D2061" s="52" t="s">
        <v>20</v>
      </c>
      <c r="E2061" s="53">
        <v>10344</v>
      </c>
      <c r="F2061" s="53">
        <v>10344</v>
      </c>
      <c r="G2061" s="53">
        <v>0</v>
      </c>
      <c r="H2061" s="57">
        <f>IFERROR(Table1[Re-process (Kg)]/Table1[Actual Production (Kg)], "")</f>
        <v>0</v>
      </c>
      <c r="I2061" s="53">
        <f>IFERROR(Table1[[#This Row],[Actual Production (Kg)]]-Table1[[#This Row],[Re-process (Kg)]], "")</f>
        <v>10344</v>
      </c>
      <c r="J2061" s="53"/>
      <c r="K2061" s="52"/>
      <c r="L2061" s="53" t="str">
        <f>IF(Table1[[#This Row],[Target Time (Hours)]]="","",Table1[[#This Row],[Target Time (Hours)]]-Table1[[#This Row],[Downtime (Hours)]])</f>
        <v/>
      </c>
      <c r="M2061" s="53" t="str">
        <f>IFERROR(Table1[[#This Row],[Capacity (Kg)]]/Table1[[#This Row],[Target Time (Hours)]] * Table1[[#This Row],[Downtime (Hours)]], "")</f>
        <v/>
      </c>
      <c r="N2061" s="57" t="str">
        <f>IFERROR(Table1[[#This Row],[Running Time (hr)]]/Table1[Target Time (Hours)], "")</f>
        <v/>
      </c>
      <c r="O2061" s="57">
        <f>IFERROR(Table1[[#This Row],[Actual Production (Kg)]]/Table1[Capacity (Kg)], "")</f>
        <v>1</v>
      </c>
      <c r="P2061" s="57">
        <f>IFERROR(Table1[[#This Row],[Quality Pass Production]]/Table1[[#This Row],[Actual Production (Kg)]], "")</f>
        <v>1</v>
      </c>
      <c r="Q2061" s="57" t="str">
        <f>IFERROR(Table1[[#This Row],[Utilization %]]*Table1[[#This Row],[Efficiency %]]*Table1[[#This Row],[Quality %]], "")</f>
        <v/>
      </c>
      <c r="R2061" s="52"/>
    </row>
    <row r="2062" spans="1:18" ht="30" customHeight="1" x14ac:dyDescent="0.25">
      <c r="A2062" s="47">
        <v>46305</v>
      </c>
      <c r="B2062" s="48" t="s">
        <v>18</v>
      </c>
      <c r="C2062" s="48" t="s">
        <v>22</v>
      </c>
      <c r="D2062" s="48" t="s">
        <v>23</v>
      </c>
      <c r="E2062" s="49">
        <v>5000</v>
      </c>
      <c r="F2062" s="76">
        <v>6179</v>
      </c>
      <c r="G2062" s="49">
        <v>0</v>
      </c>
      <c r="H2062" s="50">
        <f>IFERROR(Table1[Re-process (Kg)]/Table1[Actual Production (Kg)], "")</f>
        <v>0</v>
      </c>
      <c r="I2062" s="49">
        <f>IFERROR(Table1[[#This Row],[Actual Production (Kg)]]-Table1[[#This Row],[Re-process (Kg)]], "")</f>
        <v>6179</v>
      </c>
      <c r="J2062" s="49">
        <v>22</v>
      </c>
      <c r="K2062" s="72">
        <v>2.5</v>
      </c>
      <c r="L2062" s="49">
        <f>IF(Table1[[#This Row],[Target Time (Hours)]]="","",Table1[[#This Row],[Target Time (Hours)]]-Table1[[#This Row],[Downtime (Hours)]])</f>
        <v>19.5</v>
      </c>
      <c r="M2062" s="49">
        <f>IFERROR(Table1[[#This Row],[Capacity (Kg)]]/Table1[[#This Row],[Target Time (Hours)]] * Table1[[#This Row],[Downtime (Hours)]], "")</f>
        <v>568.18181818181824</v>
      </c>
      <c r="N2062" s="50">
        <f>IFERROR(Table1[[#This Row],[Running Time (hr)]]/Table1[Target Time (Hours)], "")</f>
        <v>0.88636363636363635</v>
      </c>
      <c r="O2062" s="50">
        <f>IFERROR(Table1[[#This Row],[Actual Production (Kg)]]/Table1[Capacity (Kg)], "")</f>
        <v>1.2358</v>
      </c>
      <c r="P2062" s="50">
        <f>IFERROR(Table1[[#This Row],[Quality Pass Production]]/Table1[[#This Row],[Actual Production (Kg)]], "")</f>
        <v>1</v>
      </c>
      <c r="Q2062" s="50">
        <f>IFERROR(Table1[[#This Row],[Utilization %]]*Table1[[#This Row],[Efficiency %]]*Table1[[#This Row],[Quality %]], "")</f>
        <v>1.0953681818181817</v>
      </c>
      <c r="R2062" s="48" t="s">
        <v>444</v>
      </c>
    </row>
    <row r="2063" spans="1:18" x14ac:dyDescent="0.25">
      <c r="A2063" s="47">
        <v>46305</v>
      </c>
      <c r="B2063" s="48" t="s">
        <v>18</v>
      </c>
      <c r="C2063" s="48" t="s">
        <v>22</v>
      </c>
      <c r="D2063" s="48" t="s">
        <v>25</v>
      </c>
      <c r="E2063" s="49">
        <v>4000</v>
      </c>
      <c r="F2063" s="76">
        <v>1675</v>
      </c>
      <c r="G2063" s="49">
        <v>0</v>
      </c>
      <c r="H2063" s="50">
        <f>IFERROR(Table1[Re-process (Kg)]/Table1[Actual Production (Kg)], "")</f>
        <v>0</v>
      </c>
      <c r="I2063" s="49">
        <f>IFERROR(Table1[[#This Row],[Actual Production (Kg)]]-Table1[[#This Row],[Re-process (Kg)]], "")</f>
        <v>1675</v>
      </c>
      <c r="J2063" s="49"/>
      <c r="K2063" s="72"/>
      <c r="L2063" s="49" t="str">
        <f>IF(Table1[[#This Row],[Target Time (Hours)]]="","",Table1[[#This Row],[Target Time (Hours)]]-Table1[[#This Row],[Downtime (Hours)]])</f>
        <v/>
      </c>
      <c r="M2063" s="49" t="str">
        <f>IFERROR(Table1[[#This Row],[Capacity (Kg)]]/Table1[[#This Row],[Target Time (Hours)]] * Table1[[#This Row],[Downtime (Hours)]], "")</f>
        <v/>
      </c>
      <c r="N2063" s="50" t="str">
        <f>IFERROR(Table1[[#This Row],[Running Time (hr)]]/Table1[Target Time (Hours)], "")</f>
        <v/>
      </c>
      <c r="O2063" s="50">
        <f>IFERROR(Table1[[#This Row],[Actual Production (Kg)]]/Table1[Capacity (Kg)], "")</f>
        <v>0.41875000000000001</v>
      </c>
      <c r="P2063" s="50">
        <f>IFERROR(Table1[[#This Row],[Quality Pass Production]]/Table1[[#This Row],[Actual Production (Kg)]], "")</f>
        <v>1</v>
      </c>
      <c r="Q2063" s="50" t="str">
        <f>IFERROR(Table1[[#This Row],[Utilization %]]*Table1[[#This Row],[Efficiency %]]*Table1[[#This Row],[Quality %]], "")</f>
        <v/>
      </c>
    </row>
    <row r="2064" spans="1:18" x14ac:dyDescent="0.25">
      <c r="A2064" s="47">
        <v>46305</v>
      </c>
      <c r="B2064" s="48" t="s">
        <v>18</v>
      </c>
      <c r="C2064" s="48" t="s">
        <v>26</v>
      </c>
      <c r="D2064" s="48" t="s">
        <v>25</v>
      </c>
      <c r="E2064" s="49">
        <v>7000</v>
      </c>
      <c r="F2064" s="76">
        <v>6537</v>
      </c>
      <c r="G2064" s="49">
        <v>0</v>
      </c>
      <c r="H2064" s="50">
        <f>IFERROR(Table1[Re-process (Kg)]/Table1[Actual Production (Kg)], "")</f>
        <v>0</v>
      </c>
      <c r="I2064" s="49">
        <f>IFERROR(Table1[[#This Row],[Actual Production (Kg)]]-Table1[[#This Row],[Re-process (Kg)]], "")</f>
        <v>6537</v>
      </c>
      <c r="J2064" s="49">
        <v>22</v>
      </c>
      <c r="K2064" s="72">
        <v>3</v>
      </c>
      <c r="L2064" s="49">
        <f>IF(Table1[[#This Row],[Target Time (Hours)]]="","",Table1[[#This Row],[Target Time (Hours)]]-Table1[[#This Row],[Downtime (Hours)]])</f>
        <v>19</v>
      </c>
      <c r="M2064" s="49">
        <f>IFERROR(Table1[[#This Row],[Capacity (Kg)]]/Table1[[#This Row],[Target Time (Hours)]] * Table1[[#This Row],[Downtime (Hours)]], "")</f>
        <v>954.5454545454545</v>
      </c>
      <c r="N2064" s="50">
        <f>IFERROR(Table1[[#This Row],[Running Time (hr)]]/Table1[Target Time (Hours)], "")</f>
        <v>0.86363636363636365</v>
      </c>
      <c r="O2064" s="50">
        <f>IFERROR(Table1[[#This Row],[Actual Production (Kg)]]/Table1[Capacity (Kg)], "")</f>
        <v>0.93385714285714283</v>
      </c>
      <c r="P2064" s="50">
        <f>IFERROR(Table1[[#This Row],[Quality Pass Production]]/Table1[[#This Row],[Actual Production (Kg)]], "")</f>
        <v>1</v>
      </c>
      <c r="Q2064" s="50">
        <f>IFERROR(Table1[[#This Row],[Utilization %]]*Table1[[#This Row],[Efficiency %]]*Table1[[#This Row],[Quality %]], "")</f>
        <v>0.80651298701298701</v>
      </c>
      <c r="R2064" s="48" t="s">
        <v>558</v>
      </c>
    </row>
    <row r="2065" spans="1:18" ht="30" customHeight="1" x14ac:dyDescent="0.25">
      <c r="A2065" s="47">
        <v>46305</v>
      </c>
      <c r="B2065" s="48" t="s">
        <v>18</v>
      </c>
      <c r="C2065" s="48" t="s">
        <v>28</v>
      </c>
      <c r="D2065" s="48" t="s">
        <v>29</v>
      </c>
      <c r="E2065" s="49">
        <v>7800</v>
      </c>
      <c r="F2065" s="76">
        <v>7840</v>
      </c>
      <c r="G2065" s="49">
        <v>0</v>
      </c>
      <c r="H2065" s="50">
        <f>IFERROR(Table1[Re-process (Kg)]/Table1[Actual Production (Kg)], "")</f>
        <v>0</v>
      </c>
      <c r="I2065" s="49">
        <f>IFERROR(Table1[[#This Row],[Actual Production (Kg)]]-Table1[[#This Row],[Re-process (Kg)]], "")</f>
        <v>7840</v>
      </c>
      <c r="J2065" s="49">
        <v>22</v>
      </c>
      <c r="K2065" s="72"/>
      <c r="L2065" s="49">
        <f>IF(Table1[[#This Row],[Target Time (Hours)]]="","",Table1[[#This Row],[Target Time (Hours)]]-Table1[[#This Row],[Downtime (Hours)]])</f>
        <v>22</v>
      </c>
      <c r="M2065" s="49">
        <f>IFERROR(Table1[[#This Row],[Capacity (Kg)]]/Table1[[#This Row],[Target Time (Hours)]] * Table1[[#This Row],[Downtime (Hours)]], "")</f>
        <v>0</v>
      </c>
      <c r="N2065" s="50">
        <f>IFERROR(Table1[[#This Row],[Running Time (hr)]]/Table1[Target Time (Hours)], "")</f>
        <v>1</v>
      </c>
      <c r="O2065" s="50">
        <f>IFERROR(Table1[[#This Row],[Actual Production (Kg)]]/Table1[Capacity (Kg)], "")</f>
        <v>1.0051282051282051</v>
      </c>
      <c r="P2065" s="50">
        <f>IFERROR(Table1[[#This Row],[Quality Pass Production]]/Table1[[#This Row],[Actual Production (Kg)]], "")</f>
        <v>1</v>
      </c>
      <c r="Q2065" s="50">
        <f>IFERROR(Table1[[#This Row],[Utilization %]]*Table1[[#This Row],[Efficiency %]]*Table1[[#This Row],[Quality %]], "")</f>
        <v>1.0051282051282051</v>
      </c>
    </row>
    <row r="2066" spans="1:18" ht="30" customHeight="1" x14ac:dyDescent="0.25">
      <c r="A2066" s="51">
        <v>46305</v>
      </c>
      <c r="B2066" s="52" t="s">
        <v>18</v>
      </c>
      <c r="C2066" s="52" t="s">
        <v>135</v>
      </c>
      <c r="D2066" s="52" t="s">
        <v>29</v>
      </c>
      <c r="E2066" s="53"/>
      <c r="F2066" s="53"/>
      <c r="G2066" s="53"/>
      <c r="H2066" s="57" t="str">
        <f>IFERROR(Table1[Re-process (Kg)]/Table1[Actual Production (Kg)], "")</f>
        <v/>
      </c>
      <c r="I2066" s="53">
        <f>IFERROR(Table1[[#This Row],[Actual Production (Kg)]]-Table1[[#This Row],[Re-process (Kg)]], "")</f>
        <v>0</v>
      </c>
      <c r="J2066" s="53"/>
      <c r="K2066" s="52"/>
      <c r="L2066" s="53" t="str">
        <f>IF(Table1[[#This Row],[Target Time (Hours)]]="","",Table1[[#This Row],[Target Time (Hours)]]-Table1[[#This Row],[Downtime (Hours)]])</f>
        <v/>
      </c>
      <c r="M2066" s="53" t="str">
        <f>IFERROR(Table1[[#This Row],[Capacity (Kg)]]/Table1[[#This Row],[Target Time (Hours)]] * Table1[[#This Row],[Downtime (Hours)]], "")</f>
        <v/>
      </c>
      <c r="N2066" s="57" t="str">
        <f>IFERROR(Table1[[#This Row],[Running Time (hr)]]/Table1[Target Time (Hours)], "")</f>
        <v/>
      </c>
      <c r="O2066" s="57" t="str">
        <f>IFERROR(Table1[[#This Row],[Actual Production (Kg)]]/Table1[Capacity (Kg)], "")</f>
        <v/>
      </c>
      <c r="P2066" s="57" t="str">
        <f>IFERROR(Table1[[#This Row],[Quality Pass Production]]/Table1[[#This Row],[Actual Production (Kg)]], "")</f>
        <v/>
      </c>
      <c r="Q2066" s="57" t="str">
        <f>IFERROR(Table1[[#This Row],[Utilization %]]*Table1[[#This Row],[Efficiency %]]*Table1[[#This Row],[Quality %]], "")</f>
        <v/>
      </c>
      <c r="R2066" s="52"/>
    </row>
    <row r="2067" spans="1:18" ht="30" customHeight="1" x14ac:dyDescent="0.25">
      <c r="A2067" s="47">
        <v>46305</v>
      </c>
      <c r="B2067" s="48" t="s">
        <v>18</v>
      </c>
      <c r="C2067" s="48" t="s">
        <v>30</v>
      </c>
      <c r="D2067" s="48" t="s">
        <v>31</v>
      </c>
      <c r="E2067" s="49">
        <v>9000</v>
      </c>
      <c r="F2067" s="76">
        <v>7968</v>
      </c>
      <c r="G2067" s="49">
        <v>0</v>
      </c>
      <c r="H2067" s="50">
        <f>IFERROR(Table1[Re-process (Kg)]/Table1[Actual Production (Kg)], "")</f>
        <v>0</v>
      </c>
      <c r="I2067" s="49">
        <f>IFERROR(Table1[[#This Row],[Actual Production (Kg)]]-Table1[[#This Row],[Re-process (Kg)]], "")</f>
        <v>7968</v>
      </c>
      <c r="J2067" s="49">
        <v>22</v>
      </c>
      <c r="K2067" s="72"/>
      <c r="L2067" s="49">
        <f>IF(Table1[[#This Row],[Target Time (Hours)]]="","",Table1[[#This Row],[Target Time (Hours)]]-Table1[[#This Row],[Downtime (Hours)]])</f>
        <v>22</v>
      </c>
      <c r="M2067" s="49">
        <f>IFERROR(Table1[[#This Row],[Capacity (Kg)]]/Table1[[#This Row],[Target Time (Hours)]] * Table1[[#This Row],[Downtime (Hours)]], "")</f>
        <v>0</v>
      </c>
      <c r="N2067" s="50">
        <f>IFERROR(Table1[[#This Row],[Running Time (hr)]]/Table1[Target Time (Hours)], "")</f>
        <v>1</v>
      </c>
      <c r="O2067" s="50">
        <f>IFERROR(Table1[[#This Row],[Actual Production (Kg)]]/Table1[Capacity (Kg)], "")</f>
        <v>0.88533333333333331</v>
      </c>
      <c r="P2067" s="50">
        <f>IFERROR(Table1[[#This Row],[Quality Pass Production]]/Table1[[#This Row],[Actual Production (Kg)]], "")</f>
        <v>1</v>
      </c>
      <c r="Q2067" s="50">
        <f>IFERROR(Table1[[#This Row],[Utilization %]]*Table1[[#This Row],[Efficiency %]]*Table1[[#This Row],[Quality %]], "")</f>
        <v>0.88533333333333331</v>
      </c>
    </row>
    <row r="2068" spans="1:18" ht="30" customHeight="1" x14ac:dyDescent="0.25">
      <c r="A2068" s="51">
        <v>46305</v>
      </c>
      <c r="B2068" s="52" t="s">
        <v>18</v>
      </c>
      <c r="C2068" s="52" t="s">
        <v>32</v>
      </c>
      <c r="D2068" s="52" t="s">
        <v>31</v>
      </c>
      <c r="E2068" s="53"/>
      <c r="F2068" s="53"/>
      <c r="G2068" s="53"/>
      <c r="H2068" s="57" t="str">
        <f>IFERROR(Table1[Re-process (Kg)]/Table1[Actual Production (Kg)], "")</f>
        <v/>
      </c>
      <c r="I2068" s="53">
        <f>IFERROR(Table1[[#This Row],[Actual Production (Kg)]]-Table1[[#This Row],[Re-process (Kg)]], "")</f>
        <v>0</v>
      </c>
      <c r="J2068" s="53"/>
      <c r="K2068" s="52"/>
      <c r="L2068" s="53" t="str">
        <f>IF(Table1[[#This Row],[Target Time (Hours)]]="","",Table1[[#This Row],[Target Time (Hours)]]-Table1[[#This Row],[Downtime (Hours)]])</f>
        <v/>
      </c>
      <c r="M2068" s="53" t="str">
        <f>IFERROR(Table1[[#This Row],[Capacity (Kg)]]/Table1[[#This Row],[Target Time (Hours)]] * Table1[[#This Row],[Downtime (Hours)]], "")</f>
        <v/>
      </c>
      <c r="N2068" s="57" t="str">
        <f>IFERROR(Table1[[#This Row],[Running Time (hr)]]/Table1[Target Time (Hours)], "")</f>
        <v/>
      </c>
      <c r="O2068" s="57" t="str">
        <f>IFERROR(Table1[[#This Row],[Actual Production (Kg)]]/Table1[Capacity (Kg)], "")</f>
        <v/>
      </c>
      <c r="P2068" s="57" t="str">
        <f>IFERROR(Table1[[#This Row],[Quality Pass Production]]/Table1[[#This Row],[Actual Production (Kg)]], "")</f>
        <v/>
      </c>
      <c r="Q2068" s="57" t="str">
        <f>IFERROR(Table1[[#This Row],[Utilization %]]*Table1[[#This Row],[Efficiency %]]*Table1[[#This Row],[Quality %]], "")</f>
        <v/>
      </c>
      <c r="R2068" s="52"/>
    </row>
    <row r="2069" spans="1:18" ht="30" customHeight="1" x14ac:dyDescent="0.25">
      <c r="A2069" s="47">
        <v>46305</v>
      </c>
      <c r="B2069" s="48" t="s">
        <v>33</v>
      </c>
      <c r="C2069" s="48" t="s">
        <v>34</v>
      </c>
      <c r="D2069" s="48" t="s">
        <v>35</v>
      </c>
      <c r="E2069" s="49">
        <v>9000</v>
      </c>
      <c r="F2069" s="76">
        <v>6929</v>
      </c>
      <c r="G2069" s="49">
        <v>0</v>
      </c>
      <c r="H2069" s="50">
        <f>IFERROR(Table1[Re-process (Kg)]/Table1[Actual Production (Kg)], "")</f>
        <v>0</v>
      </c>
      <c r="I2069" s="49">
        <f>IFERROR(Table1[[#This Row],[Actual Production (Kg)]]-Table1[[#This Row],[Re-process (Kg)]], "")</f>
        <v>6929</v>
      </c>
      <c r="J2069" s="49">
        <v>22</v>
      </c>
      <c r="K2069" s="72"/>
      <c r="L2069" s="49">
        <f>IF(Table1[[#This Row],[Target Time (Hours)]]="","",Table1[[#This Row],[Target Time (Hours)]]-Table1[[#This Row],[Downtime (Hours)]])</f>
        <v>22</v>
      </c>
      <c r="M2069" s="49">
        <f>IFERROR(Table1[[#This Row],[Capacity (Kg)]]/Table1[[#This Row],[Target Time (Hours)]] * Table1[[#This Row],[Downtime (Hours)]], "")</f>
        <v>0</v>
      </c>
      <c r="N2069" s="50">
        <f>IFERROR(Table1[[#This Row],[Running Time (hr)]]/Table1[Target Time (Hours)], "")</f>
        <v>1</v>
      </c>
      <c r="O2069" s="50">
        <f>IFERROR(Table1[[#This Row],[Actual Production (Kg)]]/Table1[Capacity (Kg)], "")</f>
        <v>0.76988888888888884</v>
      </c>
      <c r="P2069" s="50">
        <f>IFERROR(Table1[[#This Row],[Quality Pass Production]]/Table1[[#This Row],[Actual Production (Kg)]], "")</f>
        <v>1</v>
      </c>
      <c r="Q2069" s="50">
        <f>IFERROR(Table1[[#This Row],[Utilization %]]*Table1[[#This Row],[Efficiency %]]*Table1[[#This Row],[Quality %]], "")</f>
        <v>0.76988888888888884</v>
      </c>
    </row>
    <row r="2070" spans="1:18" ht="45" customHeight="1" x14ac:dyDescent="0.25">
      <c r="A2070" s="47">
        <v>46305</v>
      </c>
      <c r="B2070" s="48" t="s">
        <v>33</v>
      </c>
      <c r="C2070" s="48" t="s">
        <v>36</v>
      </c>
      <c r="D2070" s="48" t="s">
        <v>37</v>
      </c>
      <c r="E2070" s="49">
        <v>8000</v>
      </c>
      <c r="F2070" s="76">
        <v>6433</v>
      </c>
      <c r="G2070" s="49">
        <v>0</v>
      </c>
      <c r="H2070" s="50">
        <f>IFERROR(Table1[Re-process (Kg)]/Table1[Actual Production (Kg)], "")</f>
        <v>0</v>
      </c>
      <c r="I2070" s="49">
        <f>IFERROR(Table1[[#This Row],[Actual Production (Kg)]]-Table1[[#This Row],[Re-process (Kg)]], "")</f>
        <v>6433</v>
      </c>
      <c r="J2070" s="49">
        <v>22</v>
      </c>
      <c r="K2070" s="72">
        <v>3</v>
      </c>
      <c r="L2070" s="49">
        <f>IF(Table1[[#This Row],[Target Time (Hours)]]="","",Table1[[#This Row],[Target Time (Hours)]]-Table1[[#This Row],[Downtime (Hours)]])</f>
        <v>19</v>
      </c>
      <c r="M2070" s="49">
        <f>IFERROR(Table1[[#This Row],[Capacity (Kg)]]/Table1[[#This Row],[Target Time (Hours)]] * Table1[[#This Row],[Downtime (Hours)]], "")</f>
        <v>1090.909090909091</v>
      </c>
      <c r="N2070" s="50">
        <f>IFERROR(Table1[[#This Row],[Running Time (hr)]]/Table1[Target Time (Hours)], "")</f>
        <v>0.86363636363636365</v>
      </c>
      <c r="O2070" s="50">
        <f>IFERROR(Table1[[#This Row],[Actual Production (Kg)]]/Table1[Capacity (Kg)], "")</f>
        <v>0.80412499999999998</v>
      </c>
      <c r="P2070" s="50">
        <f>IFERROR(Table1[[#This Row],[Quality Pass Production]]/Table1[[#This Row],[Actual Production (Kg)]], "")</f>
        <v>1</v>
      </c>
      <c r="Q2070" s="50">
        <f>IFERROR(Table1[[#This Row],[Utilization %]]*Table1[[#This Row],[Efficiency %]]*Table1[[#This Row],[Quality %]], "")</f>
        <v>0.69447159090909094</v>
      </c>
      <c r="R2070" s="48" t="s">
        <v>554</v>
      </c>
    </row>
    <row r="2071" spans="1:18" ht="45" customHeight="1" x14ac:dyDescent="0.25">
      <c r="A2071" s="47">
        <v>46305</v>
      </c>
      <c r="B2071" s="48" t="s">
        <v>33</v>
      </c>
      <c r="C2071" s="48" t="s">
        <v>39</v>
      </c>
      <c r="D2071" s="48" t="s">
        <v>31</v>
      </c>
      <c r="E2071" s="49">
        <v>6000</v>
      </c>
      <c r="F2071" s="76">
        <v>2524</v>
      </c>
      <c r="G2071" s="49">
        <v>0</v>
      </c>
      <c r="H2071" s="50">
        <f>IFERROR(Table1[Re-process (Kg)]/Table1[Actual Production (Kg)], "")</f>
        <v>0</v>
      </c>
      <c r="I2071" s="49">
        <f>IFERROR(Table1[[#This Row],[Actual Production (Kg)]]-Table1[[#This Row],[Re-process (Kg)]], "")</f>
        <v>2524</v>
      </c>
      <c r="J2071" s="49">
        <v>22</v>
      </c>
      <c r="K2071" s="72">
        <v>7</v>
      </c>
      <c r="L2071" s="49">
        <f>IF(Table1[[#This Row],[Target Time (Hours)]]="","",Table1[[#This Row],[Target Time (Hours)]]-Table1[[#This Row],[Downtime (Hours)]])</f>
        <v>15</v>
      </c>
      <c r="M2071" s="49">
        <f>IFERROR(Table1[[#This Row],[Capacity (Kg)]]/Table1[[#This Row],[Target Time (Hours)]] * Table1[[#This Row],[Downtime (Hours)]], "")</f>
        <v>1909.0909090909092</v>
      </c>
      <c r="N2071" s="50">
        <f>IFERROR(Table1[[#This Row],[Running Time (hr)]]/Table1[Target Time (Hours)], "")</f>
        <v>0.68181818181818177</v>
      </c>
      <c r="O2071" s="50">
        <f>IFERROR(Table1[[#This Row],[Actual Production (Kg)]]/Table1[Capacity (Kg)], "")</f>
        <v>0.42066666666666669</v>
      </c>
      <c r="P2071" s="50">
        <f>IFERROR(Table1[[#This Row],[Quality Pass Production]]/Table1[[#This Row],[Actual Production (Kg)]], "")</f>
        <v>1</v>
      </c>
      <c r="Q2071" s="50">
        <f>IFERROR(Table1[[#This Row],[Utilization %]]*Table1[[#This Row],[Efficiency %]]*Table1[[#This Row],[Quality %]], "")</f>
        <v>0.28681818181818181</v>
      </c>
      <c r="R2071" s="48" t="s">
        <v>514</v>
      </c>
    </row>
    <row r="2072" spans="1:18" ht="45" customHeight="1" x14ac:dyDescent="0.25">
      <c r="A2072" s="54">
        <v>46305</v>
      </c>
      <c r="B2072" s="55" t="s">
        <v>33</v>
      </c>
      <c r="C2072" s="55" t="s">
        <v>40</v>
      </c>
      <c r="D2072" s="55" t="s">
        <v>31</v>
      </c>
      <c r="E2072" s="56">
        <v>5000</v>
      </c>
      <c r="F2072" s="56">
        <v>3431</v>
      </c>
      <c r="G2072" s="56">
        <v>0</v>
      </c>
      <c r="H2072" s="58">
        <f>IFERROR(Table1[Re-process (Kg)]/Table1[Actual Production (Kg)], "")</f>
        <v>0</v>
      </c>
      <c r="I2072" s="56">
        <f>IFERROR(Table1[[#This Row],[Actual Production (Kg)]]-Table1[[#This Row],[Re-process (Kg)]], "")</f>
        <v>3431</v>
      </c>
      <c r="J2072" s="56">
        <v>22</v>
      </c>
      <c r="K2072" s="55"/>
      <c r="L2072" s="56">
        <f>IF(Table1[[#This Row],[Target Time (Hours)]]="","",Table1[[#This Row],[Target Time (Hours)]]-Table1[[#This Row],[Downtime (Hours)]])</f>
        <v>22</v>
      </c>
      <c r="M2072" s="56">
        <f>IFERROR(Table1[[#This Row],[Capacity (Kg)]]/Table1[[#This Row],[Target Time (Hours)]] * Table1[[#This Row],[Downtime (Hours)]], "")</f>
        <v>0</v>
      </c>
      <c r="N2072" s="58">
        <f>IFERROR(Table1[[#This Row],[Running Time (hr)]]/Table1[Target Time (Hours)], "")</f>
        <v>1</v>
      </c>
      <c r="O2072" s="58">
        <f>IFERROR(Table1[[#This Row],[Actual Production (Kg)]]/Table1[Capacity (Kg)], "")</f>
        <v>0.68620000000000003</v>
      </c>
      <c r="P2072" s="58">
        <f>IFERROR(Table1[[#This Row],[Quality Pass Production]]/Table1[[#This Row],[Actual Production (Kg)]], "")</f>
        <v>1</v>
      </c>
      <c r="Q2072" s="58">
        <f>IFERROR(Table1[[#This Row],[Utilization %]]*Table1[[#This Row],[Efficiency %]]*Table1[[#This Row],[Quality %]], "")</f>
        <v>0.68620000000000003</v>
      </c>
      <c r="R2072" s="55" t="s">
        <v>518</v>
      </c>
    </row>
    <row r="2073" spans="1:18" ht="30" customHeight="1" x14ac:dyDescent="0.25">
      <c r="A2073" s="47">
        <v>46306</v>
      </c>
      <c r="B2073" s="48" t="s">
        <v>18</v>
      </c>
      <c r="C2073" s="48" t="s">
        <v>19</v>
      </c>
      <c r="D2073" s="48" t="s">
        <v>20</v>
      </c>
      <c r="E2073" s="49">
        <v>10000</v>
      </c>
      <c r="F2073" s="76">
        <v>8322</v>
      </c>
      <c r="G2073" s="49">
        <v>0</v>
      </c>
      <c r="H2073" s="50">
        <f>IFERROR(Table1[Re-process (Kg)]/Table1[Actual Production (Kg)], "")</f>
        <v>0</v>
      </c>
      <c r="I2073" s="49">
        <f>IFERROR(Table1[[#This Row],[Actual Production (Kg)]]-Table1[[#This Row],[Re-process (Kg)]], "")</f>
        <v>8322</v>
      </c>
      <c r="J2073" s="49">
        <v>22</v>
      </c>
      <c r="K2073" s="72"/>
      <c r="L2073" s="49">
        <f>IF(Table1[[#This Row],[Target Time (Hours)]]="","",Table1[[#This Row],[Target Time (Hours)]]-Table1[[#This Row],[Downtime (Hours)]])</f>
        <v>22</v>
      </c>
      <c r="M2073" s="49">
        <f>IFERROR(Table1[[#This Row],[Capacity (Kg)]]/Table1[[#This Row],[Target Time (Hours)]] * Table1[[#This Row],[Downtime (Hours)]], "")</f>
        <v>0</v>
      </c>
      <c r="N2073" s="50">
        <f>IFERROR(Table1[[#This Row],[Running Time (hr)]]/Table1[Target Time (Hours)], "")</f>
        <v>1</v>
      </c>
      <c r="O2073" s="50">
        <f>IFERROR(Table1[[#This Row],[Actual Production (Kg)]]/Table1[Capacity (Kg)], "")</f>
        <v>0.83220000000000005</v>
      </c>
      <c r="P2073" s="50">
        <f>IFERROR(Table1[[#This Row],[Quality Pass Production]]/Table1[[#This Row],[Actual Production (Kg)]], "")</f>
        <v>1</v>
      </c>
      <c r="Q2073" s="50">
        <f>IFERROR(Table1[[#This Row],[Utilization %]]*Table1[[#This Row],[Efficiency %]]*Table1[[#This Row],[Quality %]], "")</f>
        <v>0.83220000000000005</v>
      </c>
    </row>
    <row r="2074" spans="1:18" x14ac:dyDescent="0.25">
      <c r="A2074" s="51">
        <v>46306</v>
      </c>
      <c r="B2074" s="52" t="s">
        <v>18</v>
      </c>
      <c r="C2074" s="52" t="s">
        <v>238</v>
      </c>
      <c r="D2074" s="52" t="s">
        <v>20</v>
      </c>
      <c r="E2074" s="53">
        <v>10768</v>
      </c>
      <c r="F2074" s="53">
        <v>10768</v>
      </c>
      <c r="G2074" s="53">
        <v>0</v>
      </c>
      <c r="H2074" s="57">
        <f>IFERROR(Table1[Re-process (Kg)]/Table1[Actual Production (Kg)], "")</f>
        <v>0</v>
      </c>
      <c r="I2074" s="53">
        <f>IFERROR(Table1[[#This Row],[Actual Production (Kg)]]-Table1[[#This Row],[Re-process (Kg)]], "")</f>
        <v>10768</v>
      </c>
      <c r="J2074" s="53"/>
      <c r="K2074" s="52"/>
      <c r="L2074" s="53" t="str">
        <f>IF(Table1[[#This Row],[Target Time (Hours)]]="","",Table1[[#This Row],[Target Time (Hours)]]-Table1[[#This Row],[Downtime (Hours)]])</f>
        <v/>
      </c>
      <c r="M2074" s="53" t="str">
        <f>IFERROR(Table1[[#This Row],[Capacity (Kg)]]/Table1[[#This Row],[Target Time (Hours)]] * Table1[[#This Row],[Downtime (Hours)]], "")</f>
        <v/>
      </c>
      <c r="N2074" s="57" t="str">
        <f>IFERROR(Table1[[#This Row],[Running Time (hr)]]/Table1[Target Time (Hours)], "")</f>
        <v/>
      </c>
      <c r="O2074" s="57">
        <f>IFERROR(Table1[[#This Row],[Actual Production (Kg)]]/Table1[Capacity (Kg)], "")</f>
        <v>1</v>
      </c>
      <c r="P2074" s="57">
        <f>IFERROR(Table1[[#This Row],[Quality Pass Production]]/Table1[[#This Row],[Actual Production (Kg)]], "")</f>
        <v>1</v>
      </c>
      <c r="Q2074" s="57" t="str">
        <f>IFERROR(Table1[[#This Row],[Utilization %]]*Table1[[#This Row],[Efficiency %]]*Table1[[#This Row],[Quality %]], "")</f>
        <v/>
      </c>
      <c r="R2074" s="52"/>
    </row>
    <row r="2075" spans="1:18" x14ac:dyDescent="0.25">
      <c r="A2075" s="47">
        <v>46306</v>
      </c>
      <c r="B2075" s="48" t="s">
        <v>18</v>
      </c>
      <c r="C2075" s="48" t="s">
        <v>22</v>
      </c>
      <c r="D2075" s="48" t="s">
        <v>23</v>
      </c>
      <c r="E2075" s="49">
        <v>5000</v>
      </c>
      <c r="F2075" s="76">
        <v>6235</v>
      </c>
      <c r="G2075" s="49">
        <v>0</v>
      </c>
      <c r="H2075" s="50">
        <f>IFERROR(Table1[Re-process (Kg)]/Table1[Actual Production (Kg)], "")</f>
        <v>0</v>
      </c>
      <c r="I2075" s="49">
        <f>IFERROR(Table1[[#This Row],[Actual Production (Kg)]]-Table1[[#This Row],[Re-process (Kg)]], "")</f>
        <v>6235</v>
      </c>
      <c r="J2075" s="49">
        <v>22</v>
      </c>
      <c r="K2075" s="72"/>
      <c r="L2075" s="49">
        <f>IF(Table1[[#This Row],[Target Time (Hours)]]="","",Table1[[#This Row],[Target Time (Hours)]]-Table1[[#This Row],[Downtime (Hours)]])</f>
        <v>22</v>
      </c>
      <c r="M2075" s="49">
        <f>IFERROR(Table1[[#This Row],[Capacity (Kg)]]/Table1[[#This Row],[Target Time (Hours)]] * Table1[[#This Row],[Downtime (Hours)]], "")</f>
        <v>0</v>
      </c>
      <c r="N2075" s="50">
        <f>IFERROR(Table1[[#This Row],[Running Time (hr)]]/Table1[Target Time (Hours)], "")</f>
        <v>1</v>
      </c>
      <c r="O2075" s="50">
        <f>IFERROR(Table1[[#This Row],[Actual Production (Kg)]]/Table1[Capacity (Kg)], "")</f>
        <v>1.2470000000000001</v>
      </c>
      <c r="P2075" s="50">
        <f>IFERROR(Table1[[#This Row],[Quality Pass Production]]/Table1[[#This Row],[Actual Production (Kg)]], "")</f>
        <v>1</v>
      </c>
      <c r="Q2075" s="50">
        <f>IFERROR(Table1[[#This Row],[Utilization %]]*Table1[[#This Row],[Efficiency %]]*Table1[[#This Row],[Quality %]], "")</f>
        <v>1.2470000000000001</v>
      </c>
    </row>
    <row r="2076" spans="1:18" x14ac:dyDescent="0.25">
      <c r="A2076" s="47">
        <v>46306</v>
      </c>
      <c r="B2076" s="48" t="s">
        <v>18</v>
      </c>
      <c r="C2076" s="48" t="s">
        <v>22</v>
      </c>
      <c r="D2076" s="48" t="s">
        <v>25</v>
      </c>
      <c r="E2076" s="49">
        <v>4000</v>
      </c>
      <c r="F2076" s="76">
        <v>3189</v>
      </c>
      <c r="G2076" s="49">
        <v>0</v>
      </c>
      <c r="H2076" s="50">
        <f>IFERROR(Table1[Re-process (Kg)]/Table1[Actual Production (Kg)], "")</f>
        <v>0</v>
      </c>
      <c r="I2076" s="49">
        <f>IFERROR(Table1[[#This Row],[Actual Production (Kg)]]-Table1[[#This Row],[Re-process (Kg)]], "")</f>
        <v>3189</v>
      </c>
      <c r="J2076" s="49"/>
      <c r="K2076" s="72"/>
      <c r="L2076" s="49" t="str">
        <f>IF(Table1[[#This Row],[Target Time (Hours)]]="","",Table1[[#This Row],[Target Time (Hours)]]-Table1[[#This Row],[Downtime (Hours)]])</f>
        <v/>
      </c>
      <c r="M2076" s="49" t="str">
        <f>IFERROR(Table1[[#This Row],[Capacity (Kg)]]/Table1[[#This Row],[Target Time (Hours)]] * Table1[[#This Row],[Downtime (Hours)]], "")</f>
        <v/>
      </c>
      <c r="N2076" s="50" t="str">
        <f>IFERROR(Table1[[#This Row],[Running Time (hr)]]/Table1[Target Time (Hours)], "")</f>
        <v/>
      </c>
      <c r="O2076" s="50">
        <f>IFERROR(Table1[[#This Row],[Actual Production (Kg)]]/Table1[Capacity (Kg)], "")</f>
        <v>0.79725000000000001</v>
      </c>
      <c r="P2076" s="50">
        <f>IFERROR(Table1[[#This Row],[Quality Pass Production]]/Table1[[#This Row],[Actual Production (Kg)]], "")</f>
        <v>1</v>
      </c>
      <c r="Q2076" s="50" t="str">
        <f>IFERROR(Table1[[#This Row],[Utilization %]]*Table1[[#This Row],[Efficiency %]]*Table1[[#This Row],[Quality %]], "")</f>
        <v/>
      </c>
    </row>
    <row r="2077" spans="1:18" x14ac:dyDescent="0.25">
      <c r="A2077" s="47">
        <v>46306</v>
      </c>
      <c r="B2077" s="48" t="s">
        <v>18</v>
      </c>
      <c r="C2077" s="48" t="s">
        <v>26</v>
      </c>
      <c r="D2077" s="48" t="s">
        <v>25</v>
      </c>
      <c r="E2077" s="49">
        <v>7000</v>
      </c>
      <c r="F2077" s="76">
        <v>6636</v>
      </c>
      <c r="G2077" s="49">
        <v>0</v>
      </c>
      <c r="H2077" s="50">
        <f>IFERROR(Table1[Re-process (Kg)]/Table1[Actual Production (Kg)], "")</f>
        <v>0</v>
      </c>
      <c r="I2077" s="49">
        <f>IFERROR(Table1[[#This Row],[Actual Production (Kg)]]-Table1[[#This Row],[Re-process (Kg)]], "")</f>
        <v>6636</v>
      </c>
      <c r="J2077" s="49">
        <v>22</v>
      </c>
      <c r="K2077" s="72"/>
      <c r="L2077" s="49">
        <f>IF(Table1[[#This Row],[Target Time (Hours)]]="","",Table1[[#This Row],[Target Time (Hours)]]-Table1[[#This Row],[Downtime (Hours)]])</f>
        <v>22</v>
      </c>
      <c r="M2077" s="49">
        <f>IFERROR(Table1[[#This Row],[Capacity (Kg)]]/Table1[[#This Row],[Target Time (Hours)]] * Table1[[#This Row],[Downtime (Hours)]], "")</f>
        <v>0</v>
      </c>
      <c r="N2077" s="50">
        <f>IFERROR(Table1[[#This Row],[Running Time (hr)]]/Table1[Target Time (Hours)], "")</f>
        <v>1</v>
      </c>
      <c r="O2077" s="50">
        <f>IFERROR(Table1[[#This Row],[Actual Production (Kg)]]/Table1[Capacity (Kg)], "")</f>
        <v>0.94799999999999995</v>
      </c>
      <c r="P2077" s="50">
        <f>IFERROR(Table1[[#This Row],[Quality Pass Production]]/Table1[[#This Row],[Actual Production (Kg)]], "")</f>
        <v>1</v>
      </c>
      <c r="Q2077" s="50">
        <f>IFERROR(Table1[[#This Row],[Utilization %]]*Table1[[#This Row],[Efficiency %]]*Table1[[#This Row],[Quality %]], "")</f>
        <v>0.94799999999999995</v>
      </c>
    </row>
    <row r="2078" spans="1:18" ht="30" customHeight="1" x14ac:dyDescent="0.25">
      <c r="A2078" s="47">
        <v>46306</v>
      </c>
      <c r="B2078" s="48" t="s">
        <v>18</v>
      </c>
      <c r="C2078" s="48" t="s">
        <v>28</v>
      </c>
      <c r="D2078" s="48" t="s">
        <v>29</v>
      </c>
      <c r="E2078" s="49">
        <v>7800</v>
      </c>
      <c r="F2078" s="76">
        <v>8770</v>
      </c>
      <c r="G2078" s="49">
        <v>0</v>
      </c>
      <c r="H2078" s="50">
        <f>IFERROR(Table1[Re-process (Kg)]/Table1[Actual Production (Kg)], "")</f>
        <v>0</v>
      </c>
      <c r="I2078" s="49">
        <f>IFERROR(Table1[[#This Row],[Actual Production (Kg)]]-Table1[[#This Row],[Re-process (Kg)]], "")</f>
        <v>8770</v>
      </c>
      <c r="J2078" s="49">
        <v>22</v>
      </c>
      <c r="K2078" s="72"/>
      <c r="L2078" s="49">
        <f>IF(Table1[[#This Row],[Target Time (Hours)]]="","",Table1[[#This Row],[Target Time (Hours)]]-Table1[[#This Row],[Downtime (Hours)]])</f>
        <v>22</v>
      </c>
      <c r="M2078" s="49">
        <f>IFERROR(Table1[[#This Row],[Capacity (Kg)]]/Table1[[#This Row],[Target Time (Hours)]] * Table1[[#This Row],[Downtime (Hours)]], "")</f>
        <v>0</v>
      </c>
      <c r="N2078" s="50">
        <f>IFERROR(Table1[[#This Row],[Running Time (hr)]]/Table1[Target Time (Hours)], "")</f>
        <v>1</v>
      </c>
      <c r="O2078" s="50">
        <f>IFERROR(Table1[[#This Row],[Actual Production (Kg)]]/Table1[Capacity (Kg)], "")</f>
        <v>1.1243589743589744</v>
      </c>
      <c r="P2078" s="50">
        <f>IFERROR(Table1[[#This Row],[Quality Pass Production]]/Table1[[#This Row],[Actual Production (Kg)]], "")</f>
        <v>1</v>
      </c>
      <c r="Q2078" s="50">
        <f>IFERROR(Table1[[#This Row],[Utilization %]]*Table1[[#This Row],[Efficiency %]]*Table1[[#This Row],[Quality %]], "")</f>
        <v>1.1243589743589744</v>
      </c>
    </row>
    <row r="2079" spans="1:18" ht="30" customHeight="1" x14ac:dyDescent="0.25">
      <c r="A2079" s="51">
        <v>46306</v>
      </c>
      <c r="B2079" s="52" t="s">
        <v>18</v>
      </c>
      <c r="C2079" s="52" t="s">
        <v>135</v>
      </c>
      <c r="D2079" s="52" t="s">
        <v>29</v>
      </c>
      <c r="E2079" s="53"/>
      <c r="F2079" s="53"/>
      <c r="G2079" s="53"/>
      <c r="H2079" s="57" t="str">
        <f>IFERROR(Table1[Re-process (Kg)]/Table1[Actual Production (Kg)], "")</f>
        <v/>
      </c>
      <c r="I2079" s="53">
        <f>IFERROR(Table1[[#This Row],[Actual Production (Kg)]]-Table1[[#This Row],[Re-process (Kg)]], "")</f>
        <v>0</v>
      </c>
      <c r="J2079" s="53"/>
      <c r="K2079" s="52"/>
      <c r="L2079" s="53" t="str">
        <f>IF(Table1[[#This Row],[Target Time (Hours)]]="","",Table1[[#This Row],[Target Time (Hours)]]-Table1[[#This Row],[Downtime (Hours)]])</f>
        <v/>
      </c>
      <c r="M2079" s="53" t="str">
        <f>IFERROR(Table1[[#This Row],[Capacity (Kg)]]/Table1[[#This Row],[Target Time (Hours)]] * Table1[[#This Row],[Downtime (Hours)]], "")</f>
        <v/>
      </c>
      <c r="N2079" s="57" t="str">
        <f>IFERROR(Table1[[#This Row],[Running Time (hr)]]/Table1[Target Time (Hours)], "")</f>
        <v/>
      </c>
      <c r="O2079" s="57" t="str">
        <f>IFERROR(Table1[[#This Row],[Actual Production (Kg)]]/Table1[Capacity (Kg)], "")</f>
        <v/>
      </c>
      <c r="P2079" s="57" t="str">
        <f>IFERROR(Table1[[#This Row],[Quality Pass Production]]/Table1[[#This Row],[Actual Production (Kg)]], "")</f>
        <v/>
      </c>
      <c r="Q2079" s="57" t="str">
        <f>IFERROR(Table1[[#This Row],[Utilization %]]*Table1[[#This Row],[Efficiency %]]*Table1[[#This Row],[Quality %]], "")</f>
        <v/>
      </c>
      <c r="R2079" s="52"/>
    </row>
    <row r="2080" spans="1:18" ht="30" customHeight="1" x14ac:dyDescent="0.25">
      <c r="A2080" s="47">
        <v>46306</v>
      </c>
      <c r="B2080" s="48" t="s">
        <v>18</v>
      </c>
      <c r="C2080" s="48" t="s">
        <v>30</v>
      </c>
      <c r="D2080" s="48" t="s">
        <v>31</v>
      </c>
      <c r="E2080" s="49">
        <v>9000</v>
      </c>
      <c r="F2080" s="76">
        <v>6845</v>
      </c>
      <c r="G2080" s="49">
        <v>0</v>
      </c>
      <c r="H2080" s="50">
        <f>IFERROR(Table1[Re-process (Kg)]/Table1[Actual Production (Kg)], "")</f>
        <v>0</v>
      </c>
      <c r="I2080" s="49">
        <f>IFERROR(Table1[[#This Row],[Actual Production (Kg)]]-Table1[[#This Row],[Re-process (Kg)]], "")</f>
        <v>6845</v>
      </c>
      <c r="J2080" s="49">
        <v>22</v>
      </c>
      <c r="K2080" s="72">
        <v>2.17</v>
      </c>
      <c r="L2080" s="49">
        <f>IF(Table1[[#This Row],[Target Time (Hours)]]="","",Table1[[#This Row],[Target Time (Hours)]]-Table1[[#This Row],[Downtime (Hours)]])</f>
        <v>19.829999999999998</v>
      </c>
      <c r="M2080" s="49">
        <f>IFERROR(Table1[[#This Row],[Capacity (Kg)]]/Table1[[#This Row],[Target Time (Hours)]] * Table1[[#This Row],[Downtime (Hours)]], "")</f>
        <v>887.72727272727263</v>
      </c>
      <c r="N2080" s="50">
        <f>IFERROR(Table1[[#This Row],[Running Time (hr)]]/Table1[Target Time (Hours)], "")</f>
        <v>0.90136363636363626</v>
      </c>
      <c r="O2080" s="50">
        <f>IFERROR(Table1[[#This Row],[Actual Production (Kg)]]/Table1[Capacity (Kg)], "")</f>
        <v>0.76055555555555554</v>
      </c>
      <c r="P2080" s="50">
        <f>IFERROR(Table1[[#This Row],[Quality Pass Production]]/Table1[[#This Row],[Actual Production (Kg)]], "")</f>
        <v>1</v>
      </c>
      <c r="Q2080" s="50">
        <f>IFERROR(Table1[[#This Row],[Utilization %]]*Table1[[#This Row],[Efficiency %]]*Table1[[#This Row],[Quality %]], "")</f>
        <v>0.68553712121212107</v>
      </c>
      <c r="R2080" s="48" t="s">
        <v>559</v>
      </c>
    </row>
    <row r="2081" spans="1:18" ht="30" customHeight="1" x14ac:dyDescent="0.25">
      <c r="A2081" s="51">
        <v>46306</v>
      </c>
      <c r="B2081" s="52" t="s">
        <v>18</v>
      </c>
      <c r="C2081" s="52" t="s">
        <v>32</v>
      </c>
      <c r="D2081" s="52" t="s">
        <v>31</v>
      </c>
      <c r="E2081" s="53"/>
      <c r="F2081" s="53"/>
      <c r="G2081" s="53"/>
      <c r="H2081" s="57" t="str">
        <f>IFERROR(Table1[Re-process (Kg)]/Table1[Actual Production (Kg)], "")</f>
        <v/>
      </c>
      <c r="I2081" s="53">
        <f>IFERROR(Table1[[#This Row],[Actual Production (Kg)]]-Table1[[#This Row],[Re-process (Kg)]], "")</f>
        <v>0</v>
      </c>
      <c r="J2081" s="53"/>
      <c r="K2081" s="52"/>
      <c r="L2081" s="53" t="str">
        <f>IF(Table1[[#This Row],[Target Time (Hours)]]="","",Table1[[#This Row],[Target Time (Hours)]]-Table1[[#This Row],[Downtime (Hours)]])</f>
        <v/>
      </c>
      <c r="M2081" s="53" t="str">
        <f>IFERROR(Table1[[#This Row],[Capacity (Kg)]]/Table1[[#This Row],[Target Time (Hours)]] * Table1[[#This Row],[Downtime (Hours)]], "")</f>
        <v/>
      </c>
      <c r="N2081" s="57" t="str">
        <f>IFERROR(Table1[[#This Row],[Running Time (hr)]]/Table1[Target Time (Hours)], "")</f>
        <v/>
      </c>
      <c r="O2081" s="57" t="str">
        <f>IFERROR(Table1[[#This Row],[Actual Production (Kg)]]/Table1[Capacity (Kg)], "")</f>
        <v/>
      </c>
      <c r="P2081" s="57" t="str">
        <f>IFERROR(Table1[[#This Row],[Quality Pass Production]]/Table1[[#This Row],[Actual Production (Kg)]], "")</f>
        <v/>
      </c>
      <c r="Q2081" s="57" t="str">
        <f>IFERROR(Table1[[#This Row],[Utilization %]]*Table1[[#This Row],[Efficiency %]]*Table1[[#This Row],[Quality %]], "")</f>
        <v/>
      </c>
      <c r="R2081" s="52"/>
    </row>
    <row r="2082" spans="1:18" ht="30" customHeight="1" x14ac:dyDescent="0.25">
      <c r="A2082" s="47">
        <v>46306</v>
      </c>
      <c r="B2082" s="48" t="s">
        <v>33</v>
      </c>
      <c r="C2082" s="48" t="s">
        <v>34</v>
      </c>
      <c r="D2082" s="48" t="s">
        <v>35</v>
      </c>
      <c r="E2082" s="49">
        <v>9000</v>
      </c>
      <c r="F2082" s="76">
        <v>6111</v>
      </c>
      <c r="G2082" s="49">
        <v>0</v>
      </c>
      <c r="H2082" s="50">
        <f>IFERROR(Table1[Re-process (Kg)]/Table1[Actual Production (Kg)], "")</f>
        <v>0</v>
      </c>
      <c r="I2082" s="49">
        <f>IFERROR(Table1[[#This Row],[Actual Production (Kg)]]-Table1[[#This Row],[Re-process (Kg)]], "")</f>
        <v>6111</v>
      </c>
      <c r="J2082" s="49">
        <v>22</v>
      </c>
      <c r="K2082" s="72"/>
      <c r="L2082" s="49">
        <f>IF(Table1[[#This Row],[Target Time (Hours)]]="","",Table1[[#This Row],[Target Time (Hours)]]-Table1[[#This Row],[Downtime (Hours)]])</f>
        <v>22</v>
      </c>
      <c r="M2082" s="49">
        <f>IFERROR(Table1[[#This Row],[Capacity (Kg)]]/Table1[[#This Row],[Target Time (Hours)]] * Table1[[#This Row],[Downtime (Hours)]], "")</f>
        <v>0</v>
      </c>
      <c r="N2082" s="50">
        <f>IFERROR(Table1[[#This Row],[Running Time (hr)]]/Table1[Target Time (Hours)], "")</f>
        <v>1</v>
      </c>
      <c r="O2082" s="50">
        <f>IFERROR(Table1[[#This Row],[Actual Production (Kg)]]/Table1[Capacity (Kg)], "")</f>
        <v>0.67900000000000005</v>
      </c>
      <c r="P2082" s="50">
        <f>IFERROR(Table1[[#This Row],[Quality Pass Production]]/Table1[[#This Row],[Actual Production (Kg)]], "")</f>
        <v>1</v>
      </c>
      <c r="Q2082" s="50">
        <f>IFERROR(Table1[[#This Row],[Utilization %]]*Table1[[#This Row],[Efficiency %]]*Table1[[#This Row],[Quality %]], "")</f>
        <v>0.67900000000000005</v>
      </c>
    </row>
    <row r="2083" spans="1:18" ht="45" customHeight="1" x14ac:dyDescent="0.25">
      <c r="A2083" s="47">
        <v>46306</v>
      </c>
      <c r="B2083" s="48" t="s">
        <v>33</v>
      </c>
      <c r="C2083" s="48" t="s">
        <v>36</v>
      </c>
      <c r="D2083" s="48" t="s">
        <v>37</v>
      </c>
      <c r="E2083" s="49">
        <v>8000</v>
      </c>
      <c r="F2083" s="76">
        <v>6627</v>
      </c>
      <c r="G2083" s="49">
        <v>0</v>
      </c>
      <c r="H2083" s="50">
        <f>IFERROR(Table1[Re-process (Kg)]/Table1[Actual Production (Kg)], "")</f>
        <v>0</v>
      </c>
      <c r="I2083" s="49">
        <f>IFERROR(Table1[[#This Row],[Actual Production (Kg)]]-Table1[[#This Row],[Re-process (Kg)]], "")</f>
        <v>6627</v>
      </c>
      <c r="J2083" s="49">
        <v>22</v>
      </c>
      <c r="K2083" s="72">
        <v>1.33</v>
      </c>
      <c r="L2083" s="49">
        <f>IF(Table1[[#This Row],[Target Time (Hours)]]="","",Table1[[#This Row],[Target Time (Hours)]]-Table1[[#This Row],[Downtime (Hours)]])</f>
        <v>20.67</v>
      </c>
      <c r="M2083" s="49">
        <f>IFERROR(Table1[[#This Row],[Capacity (Kg)]]/Table1[[#This Row],[Target Time (Hours)]] * Table1[[#This Row],[Downtime (Hours)]], "")</f>
        <v>483.63636363636363</v>
      </c>
      <c r="N2083" s="50">
        <f>IFERROR(Table1[[#This Row],[Running Time (hr)]]/Table1[Target Time (Hours)], "")</f>
        <v>0.93954545454545457</v>
      </c>
      <c r="O2083" s="50">
        <f>IFERROR(Table1[[#This Row],[Actual Production (Kg)]]/Table1[Capacity (Kg)], "")</f>
        <v>0.82837499999999997</v>
      </c>
      <c r="P2083" s="50">
        <f>IFERROR(Table1[[#This Row],[Quality Pass Production]]/Table1[[#This Row],[Actual Production (Kg)]], "")</f>
        <v>1</v>
      </c>
      <c r="Q2083" s="50">
        <f>IFERROR(Table1[[#This Row],[Utilization %]]*Table1[[#This Row],[Efficiency %]]*Table1[[#This Row],[Quality %]], "")</f>
        <v>0.77829596590909089</v>
      </c>
      <c r="R2083" s="48" t="s">
        <v>560</v>
      </c>
    </row>
    <row r="2084" spans="1:18" ht="45" customHeight="1" x14ac:dyDescent="0.25">
      <c r="A2084" s="47">
        <v>46306</v>
      </c>
      <c r="B2084" s="48" t="s">
        <v>33</v>
      </c>
      <c r="C2084" s="48" t="s">
        <v>39</v>
      </c>
      <c r="D2084" s="48" t="s">
        <v>31</v>
      </c>
      <c r="E2084" s="49">
        <v>6000</v>
      </c>
      <c r="F2084" s="76">
        <v>2533</v>
      </c>
      <c r="G2084" s="49">
        <v>0</v>
      </c>
      <c r="H2084" s="50">
        <f>IFERROR(Table1[Re-process (Kg)]/Table1[Actual Production (Kg)], "")</f>
        <v>0</v>
      </c>
      <c r="I2084" s="49">
        <f>IFERROR(Table1[[#This Row],[Actual Production (Kg)]]-Table1[[#This Row],[Re-process (Kg)]], "")</f>
        <v>2533</v>
      </c>
      <c r="J2084" s="49">
        <v>22</v>
      </c>
      <c r="K2084" s="72">
        <v>6</v>
      </c>
      <c r="L2084" s="49">
        <f>IF(Table1[[#This Row],[Target Time (Hours)]]="","",Table1[[#This Row],[Target Time (Hours)]]-Table1[[#This Row],[Downtime (Hours)]])</f>
        <v>16</v>
      </c>
      <c r="M2084" s="49">
        <f>IFERROR(Table1[[#This Row],[Capacity (Kg)]]/Table1[[#This Row],[Target Time (Hours)]] * Table1[[#This Row],[Downtime (Hours)]], "")</f>
        <v>1636.3636363636365</v>
      </c>
      <c r="N2084" s="50">
        <f>IFERROR(Table1[[#This Row],[Running Time (hr)]]/Table1[Target Time (Hours)], "")</f>
        <v>0.72727272727272729</v>
      </c>
      <c r="O2084" s="50">
        <f>IFERROR(Table1[[#This Row],[Actual Production (Kg)]]/Table1[Capacity (Kg)], "")</f>
        <v>0.42216666666666669</v>
      </c>
      <c r="P2084" s="50">
        <f>IFERROR(Table1[[#This Row],[Quality Pass Production]]/Table1[[#This Row],[Actual Production (Kg)]], "")</f>
        <v>1</v>
      </c>
      <c r="Q2084" s="50">
        <f>IFERROR(Table1[[#This Row],[Utilization %]]*Table1[[#This Row],[Efficiency %]]*Table1[[#This Row],[Quality %]], "")</f>
        <v>0.30703030303030304</v>
      </c>
      <c r="R2084" s="48" t="s">
        <v>561</v>
      </c>
    </row>
    <row r="2085" spans="1:18" ht="45" customHeight="1" x14ac:dyDescent="0.25">
      <c r="A2085" s="54">
        <v>46306</v>
      </c>
      <c r="B2085" s="55" t="s">
        <v>33</v>
      </c>
      <c r="C2085" s="55" t="s">
        <v>40</v>
      </c>
      <c r="D2085" s="55" t="s">
        <v>31</v>
      </c>
      <c r="E2085" s="56">
        <v>5000</v>
      </c>
      <c r="F2085" s="56">
        <v>3584</v>
      </c>
      <c r="G2085" s="56">
        <v>0</v>
      </c>
      <c r="H2085" s="58">
        <f>IFERROR(Table1[Re-process (Kg)]/Table1[Actual Production (Kg)], "")</f>
        <v>0</v>
      </c>
      <c r="I2085" s="56">
        <f>IFERROR(Table1[[#This Row],[Actual Production (Kg)]]-Table1[[#This Row],[Re-process (Kg)]], "")</f>
        <v>3584</v>
      </c>
      <c r="J2085" s="56">
        <v>22</v>
      </c>
      <c r="K2085" s="55"/>
      <c r="L2085" s="56">
        <f>IF(Table1[[#This Row],[Target Time (Hours)]]="","",Table1[[#This Row],[Target Time (Hours)]]-Table1[[#This Row],[Downtime (Hours)]])</f>
        <v>22</v>
      </c>
      <c r="M2085" s="56">
        <f>IFERROR(Table1[[#This Row],[Capacity (Kg)]]/Table1[[#This Row],[Target Time (Hours)]] * Table1[[#This Row],[Downtime (Hours)]], "")</f>
        <v>0</v>
      </c>
      <c r="N2085" s="58">
        <f>IFERROR(Table1[[#This Row],[Running Time (hr)]]/Table1[Target Time (Hours)], "")</f>
        <v>1</v>
      </c>
      <c r="O2085" s="58">
        <f>IFERROR(Table1[[#This Row],[Actual Production (Kg)]]/Table1[Capacity (Kg)], "")</f>
        <v>0.71679999999999999</v>
      </c>
      <c r="P2085" s="58">
        <f>IFERROR(Table1[[#This Row],[Quality Pass Production]]/Table1[[#This Row],[Actual Production (Kg)]], "")</f>
        <v>1</v>
      </c>
      <c r="Q2085" s="58">
        <f>IFERROR(Table1[[#This Row],[Utilization %]]*Table1[[#This Row],[Efficiency %]]*Table1[[#This Row],[Quality %]], "")</f>
        <v>0.71679999999999999</v>
      </c>
      <c r="R2085" s="55" t="s">
        <v>518</v>
      </c>
    </row>
    <row r="2086" spans="1:18" ht="30" customHeight="1" x14ac:dyDescent="0.25">
      <c r="A2086" s="47">
        <v>46307</v>
      </c>
      <c r="B2086" s="48" t="s">
        <v>18</v>
      </c>
      <c r="C2086" s="48" t="s">
        <v>19</v>
      </c>
      <c r="D2086" s="48" t="s">
        <v>20</v>
      </c>
      <c r="E2086" s="49">
        <v>10000</v>
      </c>
      <c r="F2086" s="76">
        <v>8542</v>
      </c>
      <c r="G2086" s="49">
        <v>0</v>
      </c>
      <c r="H2086" s="50">
        <f>IFERROR(Table1[Re-process (Kg)]/Table1[Actual Production (Kg)], "")</f>
        <v>0</v>
      </c>
      <c r="I2086" s="49">
        <f>IFERROR(Table1[[#This Row],[Actual Production (Kg)]]-Table1[[#This Row],[Re-process (Kg)]], "")</f>
        <v>8542</v>
      </c>
      <c r="J2086" s="49">
        <v>22</v>
      </c>
      <c r="K2086" s="72"/>
      <c r="L2086" s="49">
        <f>IF(Table1[[#This Row],[Target Time (Hours)]]="","",Table1[[#This Row],[Target Time (Hours)]]-Table1[[#This Row],[Downtime (Hours)]])</f>
        <v>22</v>
      </c>
      <c r="M2086" s="49">
        <f>IFERROR(Table1[[#This Row],[Capacity (Kg)]]/Table1[[#This Row],[Target Time (Hours)]] * Table1[[#This Row],[Downtime (Hours)]], "")</f>
        <v>0</v>
      </c>
      <c r="N2086" s="50">
        <f>IFERROR(Table1[[#This Row],[Running Time (hr)]]/Table1[Target Time (Hours)], "")</f>
        <v>1</v>
      </c>
      <c r="O2086" s="50">
        <f>IFERROR(Table1[[#This Row],[Actual Production (Kg)]]/Table1[Capacity (Kg)], "")</f>
        <v>0.85419999999999996</v>
      </c>
      <c r="P2086" s="50">
        <f>IFERROR(Table1[[#This Row],[Quality Pass Production]]/Table1[[#This Row],[Actual Production (Kg)]], "")</f>
        <v>1</v>
      </c>
      <c r="Q2086" s="50">
        <f>IFERROR(Table1[[#This Row],[Utilization %]]*Table1[[#This Row],[Efficiency %]]*Table1[[#This Row],[Quality %]], "")</f>
        <v>0.85419999999999996</v>
      </c>
    </row>
    <row r="2087" spans="1:18" x14ac:dyDescent="0.25">
      <c r="A2087" s="51">
        <v>46307</v>
      </c>
      <c r="B2087" s="52" t="s">
        <v>18</v>
      </c>
      <c r="C2087" s="52" t="s">
        <v>238</v>
      </c>
      <c r="D2087" s="52" t="s">
        <v>20</v>
      </c>
      <c r="E2087" s="53">
        <v>10371</v>
      </c>
      <c r="F2087" s="53">
        <v>10371</v>
      </c>
      <c r="G2087" s="53">
        <v>0</v>
      </c>
      <c r="H2087" s="57">
        <f>IFERROR(Table1[Re-process (Kg)]/Table1[Actual Production (Kg)], "")</f>
        <v>0</v>
      </c>
      <c r="I2087" s="53">
        <f>IFERROR(Table1[[#This Row],[Actual Production (Kg)]]-Table1[[#This Row],[Re-process (Kg)]], "")</f>
        <v>10371</v>
      </c>
      <c r="J2087" s="53"/>
      <c r="K2087" s="52"/>
      <c r="L2087" s="53" t="str">
        <f>IF(Table1[[#This Row],[Target Time (Hours)]]="","",Table1[[#This Row],[Target Time (Hours)]]-Table1[[#This Row],[Downtime (Hours)]])</f>
        <v/>
      </c>
      <c r="M2087" s="53" t="str">
        <f>IFERROR(Table1[[#This Row],[Capacity (Kg)]]/Table1[[#This Row],[Target Time (Hours)]] * Table1[[#This Row],[Downtime (Hours)]], "")</f>
        <v/>
      </c>
      <c r="N2087" s="57" t="str">
        <f>IFERROR(Table1[[#This Row],[Running Time (hr)]]/Table1[Target Time (Hours)], "")</f>
        <v/>
      </c>
      <c r="O2087" s="57">
        <f>IFERROR(Table1[[#This Row],[Actual Production (Kg)]]/Table1[Capacity (Kg)], "")</f>
        <v>1</v>
      </c>
      <c r="P2087" s="57">
        <f>IFERROR(Table1[[#This Row],[Quality Pass Production]]/Table1[[#This Row],[Actual Production (Kg)]], "")</f>
        <v>1</v>
      </c>
      <c r="Q2087" s="57" t="str">
        <f>IFERROR(Table1[[#This Row],[Utilization %]]*Table1[[#This Row],[Efficiency %]]*Table1[[#This Row],[Quality %]], "")</f>
        <v/>
      </c>
      <c r="R2087" s="52"/>
    </row>
    <row r="2088" spans="1:18" x14ac:dyDescent="0.25">
      <c r="A2088" s="47">
        <v>46307</v>
      </c>
      <c r="B2088" s="48" t="s">
        <v>18</v>
      </c>
      <c r="C2088" s="48" t="s">
        <v>22</v>
      </c>
      <c r="D2088" s="48" t="s">
        <v>23</v>
      </c>
      <c r="E2088" s="49">
        <v>5000</v>
      </c>
      <c r="F2088" s="76">
        <v>5540</v>
      </c>
      <c r="G2088" s="49">
        <v>0</v>
      </c>
      <c r="H2088" s="50">
        <f>IFERROR(Table1[Re-process (Kg)]/Table1[Actual Production (Kg)], "")</f>
        <v>0</v>
      </c>
      <c r="I2088" s="49">
        <f>IFERROR(Table1[[#This Row],[Actual Production (Kg)]]-Table1[[#This Row],[Re-process (Kg)]], "")</f>
        <v>5540</v>
      </c>
      <c r="J2088" s="49">
        <v>22</v>
      </c>
      <c r="K2088" s="72"/>
      <c r="L2088" s="49">
        <f>IF(Table1[[#This Row],[Target Time (Hours)]]="","",Table1[[#This Row],[Target Time (Hours)]]-Table1[[#This Row],[Downtime (Hours)]])</f>
        <v>22</v>
      </c>
      <c r="M2088" s="49">
        <f>IFERROR(Table1[[#This Row],[Capacity (Kg)]]/Table1[[#This Row],[Target Time (Hours)]] * Table1[[#This Row],[Downtime (Hours)]], "")</f>
        <v>0</v>
      </c>
      <c r="N2088" s="50">
        <f>IFERROR(Table1[[#This Row],[Running Time (hr)]]/Table1[Target Time (Hours)], "")</f>
        <v>1</v>
      </c>
      <c r="O2088" s="50">
        <f>IFERROR(Table1[[#This Row],[Actual Production (Kg)]]/Table1[Capacity (Kg)], "")</f>
        <v>1.1080000000000001</v>
      </c>
      <c r="P2088" s="50">
        <f>IFERROR(Table1[[#This Row],[Quality Pass Production]]/Table1[[#This Row],[Actual Production (Kg)]], "")</f>
        <v>1</v>
      </c>
      <c r="Q2088" s="50">
        <f>IFERROR(Table1[[#This Row],[Utilization %]]*Table1[[#This Row],[Efficiency %]]*Table1[[#This Row],[Quality %]], "")</f>
        <v>1.1080000000000001</v>
      </c>
    </row>
    <row r="2089" spans="1:18" x14ac:dyDescent="0.25">
      <c r="A2089" s="47">
        <v>46307</v>
      </c>
      <c r="B2089" s="48" t="s">
        <v>18</v>
      </c>
      <c r="C2089" s="48" t="s">
        <v>22</v>
      </c>
      <c r="D2089" s="48" t="s">
        <v>25</v>
      </c>
      <c r="E2089" s="49">
        <v>4000</v>
      </c>
      <c r="F2089" s="76">
        <v>4093</v>
      </c>
      <c r="G2089" s="49">
        <v>0</v>
      </c>
      <c r="H2089" s="50">
        <f>IFERROR(Table1[Re-process (Kg)]/Table1[Actual Production (Kg)], "")</f>
        <v>0</v>
      </c>
      <c r="I2089" s="49">
        <f>IFERROR(Table1[[#This Row],[Actual Production (Kg)]]-Table1[[#This Row],[Re-process (Kg)]], "")</f>
        <v>4093</v>
      </c>
      <c r="J2089" s="49"/>
      <c r="K2089" s="72"/>
      <c r="L2089" s="49" t="str">
        <f>IF(Table1[[#This Row],[Target Time (Hours)]]="","",Table1[[#This Row],[Target Time (Hours)]]-Table1[[#This Row],[Downtime (Hours)]])</f>
        <v/>
      </c>
      <c r="M2089" s="49" t="str">
        <f>IFERROR(Table1[[#This Row],[Capacity (Kg)]]/Table1[[#This Row],[Target Time (Hours)]] * Table1[[#This Row],[Downtime (Hours)]], "")</f>
        <v/>
      </c>
      <c r="N2089" s="50" t="str">
        <f>IFERROR(Table1[[#This Row],[Running Time (hr)]]/Table1[Target Time (Hours)], "")</f>
        <v/>
      </c>
      <c r="O2089" s="50">
        <f>IFERROR(Table1[[#This Row],[Actual Production (Kg)]]/Table1[Capacity (Kg)], "")</f>
        <v>1.02325</v>
      </c>
      <c r="P2089" s="50">
        <f>IFERROR(Table1[[#This Row],[Quality Pass Production]]/Table1[[#This Row],[Actual Production (Kg)]], "")</f>
        <v>1</v>
      </c>
      <c r="Q2089" s="50" t="str">
        <f>IFERROR(Table1[[#This Row],[Utilization %]]*Table1[[#This Row],[Efficiency %]]*Table1[[#This Row],[Quality %]], "")</f>
        <v/>
      </c>
    </row>
    <row r="2090" spans="1:18" x14ac:dyDescent="0.25">
      <c r="A2090" s="47">
        <v>46307</v>
      </c>
      <c r="B2090" s="48" t="s">
        <v>18</v>
      </c>
      <c r="C2090" s="48" t="s">
        <v>26</v>
      </c>
      <c r="D2090" s="48" t="s">
        <v>25</v>
      </c>
      <c r="E2090" s="49">
        <v>7000</v>
      </c>
      <c r="F2090" s="76">
        <v>7292</v>
      </c>
      <c r="G2090" s="49">
        <v>0</v>
      </c>
      <c r="H2090" s="50">
        <f>IFERROR(Table1[Re-process (Kg)]/Table1[Actual Production (Kg)], "")</f>
        <v>0</v>
      </c>
      <c r="I2090" s="49">
        <f>IFERROR(Table1[[#This Row],[Actual Production (Kg)]]-Table1[[#This Row],[Re-process (Kg)]], "")</f>
        <v>7292</v>
      </c>
      <c r="J2090" s="49">
        <v>22</v>
      </c>
      <c r="K2090" s="72"/>
      <c r="L2090" s="49">
        <f>IF(Table1[[#This Row],[Target Time (Hours)]]="","",Table1[[#This Row],[Target Time (Hours)]]-Table1[[#This Row],[Downtime (Hours)]])</f>
        <v>22</v>
      </c>
      <c r="M2090" s="49">
        <f>IFERROR(Table1[[#This Row],[Capacity (Kg)]]/Table1[[#This Row],[Target Time (Hours)]] * Table1[[#This Row],[Downtime (Hours)]], "")</f>
        <v>0</v>
      </c>
      <c r="N2090" s="50">
        <f>IFERROR(Table1[[#This Row],[Running Time (hr)]]/Table1[Target Time (Hours)], "")</f>
        <v>1</v>
      </c>
      <c r="O2090" s="50">
        <f>IFERROR(Table1[[#This Row],[Actual Production (Kg)]]/Table1[Capacity (Kg)], "")</f>
        <v>1.0417142857142858</v>
      </c>
      <c r="P2090" s="50">
        <f>IFERROR(Table1[[#This Row],[Quality Pass Production]]/Table1[[#This Row],[Actual Production (Kg)]], "")</f>
        <v>1</v>
      </c>
      <c r="Q2090" s="50">
        <f>IFERROR(Table1[[#This Row],[Utilization %]]*Table1[[#This Row],[Efficiency %]]*Table1[[#This Row],[Quality %]], "")</f>
        <v>1.0417142857142858</v>
      </c>
    </row>
    <row r="2091" spans="1:18" ht="30" customHeight="1" x14ac:dyDescent="0.25">
      <c r="A2091" s="47">
        <v>46307</v>
      </c>
      <c r="B2091" s="48" t="s">
        <v>18</v>
      </c>
      <c r="C2091" s="48" t="s">
        <v>28</v>
      </c>
      <c r="D2091" s="48" t="s">
        <v>29</v>
      </c>
      <c r="E2091" s="49">
        <v>7800</v>
      </c>
      <c r="F2091" s="76">
        <v>7846</v>
      </c>
      <c r="G2091" s="49">
        <v>0</v>
      </c>
      <c r="H2091" s="50">
        <f>IFERROR(Table1[Re-process (Kg)]/Table1[Actual Production (Kg)], "")</f>
        <v>0</v>
      </c>
      <c r="I2091" s="49">
        <f>IFERROR(Table1[[#This Row],[Actual Production (Kg)]]-Table1[[#This Row],[Re-process (Kg)]], "")</f>
        <v>7846</v>
      </c>
      <c r="J2091" s="49">
        <v>22</v>
      </c>
      <c r="K2091" s="72"/>
      <c r="L2091" s="49">
        <f>IF(Table1[[#This Row],[Target Time (Hours)]]="","",Table1[[#This Row],[Target Time (Hours)]]-Table1[[#This Row],[Downtime (Hours)]])</f>
        <v>22</v>
      </c>
      <c r="M2091" s="49">
        <f>IFERROR(Table1[[#This Row],[Capacity (Kg)]]/Table1[[#This Row],[Target Time (Hours)]] * Table1[[#This Row],[Downtime (Hours)]], "")</f>
        <v>0</v>
      </c>
      <c r="N2091" s="50">
        <f>IFERROR(Table1[[#This Row],[Running Time (hr)]]/Table1[Target Time (Hours)], "")</f>
        <v>1</v>
      </c>
      <c r="O2091" s="50">
        <f>IFERROR(Table1[[#This Row],[Actual Production (Kg)]]/Table1[Capacity (Kg)], "")</f>
        <v>1.005897435897436</v>
      </c>
      <c r="P2091" s="50">
        <f>IFERROR(Table1[[#This Row],[Quality Pass Production]]/Table1[[#This Row],[Actual Production (Kg)]], "")</f>
        <v>1</v>
      </c>
      <c r="Q2091" s="50">
        <f>IFERROR(Table1[[#This Row],[Utilization %]]*Table1[[#This Row],[Efficiency %]]*Table1[[#This Row],[Quality %]], "")</f>
        <v>1.005897435897436</v>
      </c>
    </row>
    <row r="2092" spans="1:18" ht="30" customHeight="1" x14ac:dyDescent="0.25">
      <c r="A2092" s="51">
        <v>46307</v>
      </c>
      <c r="B2092" s="52" t="s">
        <v>18</v>
      </c>
      <c r="C2092" s="52" t="s">
        <v>135</v>
      </c>
      <c r="D2092" s="52" t="s">
        <v>29</v>
      </c>
      <c r="E2092" s="53"/>
      <c r="F2092" s="53"/>
      <c r="G2092" s="53"/>
      <c r="H2092" s="57" t="str">
        <f>IFERROR(Table1[Re-process (Kg)]/Table1[Actual Production (Kg)], "")</f>
        <v/>
      </c>
      <c r="I2092" s="53">
        <f>IFERROR(Table1[[#This Row],[Actual Production (Kg)]]-Table1[[#This Row],[Re-process (Kg)]], "")</f>
        <v>0</v>
      </c>
      <c r="J2092" s="53"/>
      <c r="K2092" s="52"/>
      <c r="L2092" s="53" t="str">
        <f>IF(Table1[[#This Row],[Target Time (Hours)]]="","",Table1[[#This Row],[Target Time (Hours)]]-Table1[[#This Row],[Downtime (Hours)]])</f>
        <v/>
      </c>
      <c r="M2092" s="53" t="str">
        <f>IFERROR(Table1[[#This Row],[Capacity (Kg)]]/Table1[[#This Row],[Target Time (Hours)]] * Table1[[#This Row],[Downtime (Hours)]], "")</f>
        <v/>
      </c>
      <c r="N2092" s="57" t="str">
        <f>IFERROR(Table1[[#This Row],[Running Time (hr)]]/Table1[Target Time (Hours)], "")</f>
        <v/>
      </c>
      <c r="O2092" s="57" t="str">
        <f>IFERROR(Table1[[#This Row],[Actual Production (Kg)]]/Table1[Capacity (Kg)], "")</f>
        <v/>
      </c>
      <c r="P2092" s="57" t="str">
        <f>IFERROR(Table1[[#This Row],[Quality Pass Production]]/Table1[[#This Row],[Actual Production (Kg)]], "")</f>
        <v/>
      </c>
      <c r="Q2092" s="57" t="str">
        <f>IFERROR(Table1[[#This Row],[Utilization %]]*Table1[[#This Row],[Efficiency %]]*Table1[[#This Row],[Quality %]], "")</f>
        <v/>
      </c>
      <c r="R2092" s="52"/>
    </row>
    <row r="2093" spans="1:18" ht="30" customHeight="1" x14ac:dyDescent="0.25">
      <c r="A2093" s="47">
        <v>46307</v>
      </c>
      <c r="B2093" s="48" t="s">
        <v>18</v>
      </c>
      <c r="C2093" s="48" t="s">
        <v>30</v>
      </c>
      <c r="D2093" s="48" t="s">
        <v>31</v>
      </c>
      <c r="E2093" s="49">
        <v>9000</v>
      </c>
      <c r="F2093" s="76">
        <v>8531</v>
      </c>
      <c r="G2093" s="49">
        <v>0</v>
      </c>
      <c r="H2093" s="50">
        <f>IFERROR(Table1[Re-process (Kg)]/Table1[Actual Production (Kg)], "")</f>
        <v>0</v>
      </c>
      <c r="I2093" s="49">
        <f>IFERROR(Table1[[#This Row],[Actual Production (Kg)]]-Table1[[#This Row],[Re-process (Kg)]], "")</f>
        <v>8531</v>
      </c>
      <c r="J2093" s="49">
        <v>22</v>
      </c>
      <c r="K2093" s="72"/>
      <c r="L2093" s="49">
        <f>IF(Table1[[#This Row],[Target Time (Hours)]]="","",Table1[[#This Row],[Target Time (Hours)]]-Table1[[#This Row],[Downtime (Hours)]])</f>
        <v>22</v>
      </c>
      <c r="M2093" s="49">
        <f>IFERROR(Table1[[#This Row],[Capacity (Kg)]]/Table1[[#This Row],[Target Time (Hours)]] * Table1[[#This Row],[Downtime (Hours)]], "")</f>
        <v>0</v>
      </c>
      <c r="N2093" s="50">
        <f>IFERROR(Table1[[#This Row],[Running Time (hr)]]/Table1[Target Time (Hours)], "")</f>
        <v>1</v>
      </c>
      <c r="O2093" s="50">
        <f>IFERROR(Table1[[#This Row],[Actual Production (Kg)]]/Table1[Capacity (Kg)], "")</f>
        <v>0.94788888888888889</v>
      </c>
      <c r="P2093" s="50">
        <f>IFERROR(Table1[[#This Row],[Quality Pass Production]]/Table1[[#This Row],[Actual Production (Kg)]], "")</f>
        <v>1</v>
      </c>
      <c r="Q2093" s="50">
        <f>IFERROR(Table1[[#This Row],[Utilization %]]*Table1[[#This Row],[Efficiency %]]*Table1[[#This Row],[Quality %]], "")</f>
        <v>0.94788888888888889</v>
      </c>
    </row>
    <row r="2094" spans="1:18" ht="30" customHeight="1" x14ac:dyDescent="0.25">
      <c r="A2094" s="51">
        <v>46307</v>
      </c>
      <c r="B2094" s="52" t="s">
        <v>18</v>
      </c>
      <c r="C2094" s="52" t="s">
        <v>32</v>
      </c>
      <c r="D2094" s="52" t="s">
        <v>31</v>
      </c>
      <c r="E2094" s="53"/>
      <c r="F2094" s="53"/>
      <c r="G2094" s="53"/>
      <c r="H2094" s="57" t="str">
        <f>IFERROR(Table1[Re-process (Kg)]/Table1[Actual Production (Kg)], "")</f>
        <v/>
      </c>
      <c r="I2094" s="53">
        <f>IFERROR(Table1[[#This Row],[Actual Production (Kg)]]-Table1[[#This Row],[Re-process (Kg)]], "")</f>
        <v>0</v>
      </c>
      <c r="J2094" s="53"/>
      <c r="K2094" s="52"/>
      <c r="L2094" s="53" t="str">
        <f>IF(Table1[[#This Row],[Target Time (Hours)]]="","",Table1[[#This Row],[Target Time (Hours)]]-Table1[[#This Row],[Downtime (Hours)]])</f>
        <v/>
      </c>
      <c r="M2094" s="53" t="str">
        <f>IFERROR(Table1[[#This Row],[Capacity (Kg)]]/Table1[[#This Row],[Target Time (Hours)]] * Table1[[#This Row],[Downtime (Hours)]], "")</f>
        <v/>
      </c>
      <c r="N2094" s="57" t="str">
        <f>IFERROR(Table1[[#This Row],[Running Time (hr)]]/Table1[Target Time (Hours)], "")</f>
        <v/>
      </c>
      <c r="O2094" s="57" t="str">
        <f>IFERROR(Table1[[#This Row],[Actual Production (Kg)]]/Table1[Capacity (Kg)], "")</f>
        <v/>
      </c>
      <c r="P2094" s="57" t="str">
        <f>IFERROR(Table1[[#This Row],[Quality Pass Production]]/Table1[[#This Row],[Actual Production (Kg)]], "")</f>
        <v/>
      </c>
      <c r="Q2094" s="57" t="str">
        <f>IFERROR(Table1[[#This Row],[Utilization %]]*Table1[[#This Row],[Efficiency %]]*Table1[[#This Row],[Quality %]], "")</f>
        <v/>
      </c>
      <c r="R2094" s="52"/>
    </row>
    <row r="2095" spans="1:18" ht="30" customHeight="1" x14ac:dyDescent="0.25">
      <c r="A2095" s="47">
        <v>46307</v>
      </c>
      <c r="B2095" s="48" t="s">
        <v>33</v>
      </c>
      <c r="C2095" s="48" t="s">
        <v>34</v>
      </c>
      <c r="D2095" s="48" t="s">
        <v>35</v>
      </c>
      <c r="E2095" s="49">
        <v>9000</v>
      </c>
      <c r="F2095" s="76">
        <v>5049</v>
      </c>
      <c r="G2095" s="49">
        <v>0</v>
      </c>
      <c r="H2095" s="50">
        <f>IFERROR(Table1[Re-process (Kg)]/Table1[Actual Production (Kg)], "")</f>
        <v>0</v>
      </c>
      <c r="I2095" s="49">
        <f>IFERROR(Table1[[#This Row],[Actual Production (Kg)]]-Table1[[#This Row],[Re-process (Kg)]], "")</f>
        <v>5049</v>
      </c>
      <c r="J2095" s="49">
        <v>22</v>
      </c>
      <c r="K2095" s="72"/>
      <c r="L2095" s="49">
        <f>IF(Table1[[#This Row],[Target Time (Hours)]]="","",Table1[[#This Row],[Target Time (Hours)]]-Table1[[#This Row],[Downtime (Hours)]])</f>
        <v>22</v>
      </c>
      <c r="M2095" s="49">
        <f>IFERROR(Table1[[#This Row],[Capacity (Kg)]]/Table1[[#This Row],[Target Time (Hours)]] * Table1[[#This Row],[Downtime (Hours)]], "")</f>
        <v>0</v>
      </c>
      <c r="N2095" s="50">
        <f>IFERROR(Table1[[#This Row],[Running Time (hr)]]/Table1[Target Time (Hours)], "")</f>
        <v>1</v>
      </c>
      <c r="O2095" s="50">
        <f>IFERROR(Table1[[#This Row],[Actual Production (Kg)]]/Table1[Capacity (Kg)], "")</f>
        <v>0.56100000000000005</v>
      </c>
      <c r="P2095" s="50">
        <f>IFERROR(Table1[[#This Row],[Quality Pass Production]]/Table1[[#This Row],[Actual Production (Kg)]], "")</f>
        <v>1</v>
      </c>
      <c r="Q2095" s="50">
        <f>IFERROR(Table1[[#This Row],[Utilization %]]*Table1[[#This Row],[Efficiency %]]*Table1[[#This Row],[Quality %]], "")</f>
        <v>0.56100000000000005</v>
      </c>
    </row>
    <row r="2096" spans="1:18" ht="45" customHeight="1" x14ac:dyDescent="0.25">
      <c r="A2096" s="47">
        <v>46307</v>
      </c>
      <c r="B2096" s="48" t="s">
        <v>33</v>
      </c>
      <c r="C2096" s="48" t="s">
        <v>36</v>
      </c>
      <c r="D2096" s="48" t="s">
        <v>37</v>
      </c>
      <c r="E2096" s="49">
        <v>8000</v>
      </c>
      <c r="F2096" s="76">
        <v>5054</v>
      </c>
      <c r="G2096" s="49">
        <v>0</v>
      </c>
      <c r="H2096" s="50">
        <f>IFERROR(Table1[Re-process (Kg)]/Table1[Actual Production (Kg)], "")</f>
        <v>0</v>
      </c>
      <c r="I2096" s="49">
        <f>IFERROR(Table1[[#This Row],[Actual Production (Kg)]]-Table1[[#This Row],[Re-process (Kg)]], "")</f>
        <v>5054</v>
      </c>
      <c r="J2096" s="49">
        <v>22</v>
      </c>
      <c r="K2096" s="72">
        <v>3.33</v>
      </c>
      <c r="L2096" s="49">
        <f>IF(Table1[[#This Row],[Target Time (Hours)]]="","",Table1[[#This Row],[Target Time (Hours)]]-Table1[[#This Row],[Downtime (Hours)]])</f>
        <v>18.670000000000002</v>
      </c>
      <c r="M2096" s="49">
        <f>IFERROR(Table1[[#This Row],[Capacity (Kg)]]/Table1[[#This Row],[Target Time (Hours)]] * Table1[[#This Row],[Downtime (Hours)]], "")</f>
        <v>1210.909090909091</v>
      </c>
      <c r="N2096" s="50">
        <f>IFERROR(Table1[[#This Row],[Running Time (hr)]]/Table1[Target Time (Hours)], "")</f>
        <v>0.84863636363636374</v>
      </c>
      <c r="O2096" s="50">
        <f>IFERROR(Table1[[#This Row],[Actual Production (Kg)]]/Table1[Capacity (Kg)], "")</f>
        <v>0.63175000000000003</v>
      </c>
      <c r="P2096" s="50">
        <f>IFERROR(Table1[[#This Row],[Quality Pass Production]]/Table1[[#This Row],[Actual Production (Kg)]], "")</f>
        <v>1</v>
      </c>
      <c r="Q2096" s="50">
        <f>IFERROR(Table1[[#This Row],[Utilization %]]*Table1[[#This Row],[Efficiency %]]*Table1[[#This Row],[Quality %]], "")</f>
        <v>0.53612602272727283</v>
      </c>
      <c r="R2096" s="48" t="s">
        <v>562</v>
      </c>
    </row>
    <row r="2097" spans="1:18" ht="45" customHeight="1" x14ac:dyDescent="0.25">
      <c r="A2097" s="47">
        <v>46307</v>
      </c>
      <c r="B2097" s="48" t="s">
        <v>33</v>
      </c>
      <c r="C2097" s="48" t="s">
        <v>39</v>
      </c>
      <c r="D2097" s="48" t="s">
        <v>31</v>
      </c>
      <c r="E2097" s="49">
        <v>6000</v>
      </c>
      <c r="F2097" s="76">
        <v>2320</v>
      </c>
      <c r="G2097" s="49">
        <v>0</v>
      </c>
      <c r="H2097" s="50">
        <f>IFERROR(Table1[Re-process (Kg)]/Table1[Actual Production (Kg)], "")</f>
        <v>0</v>
      </c>
      <c r="I2097" s="49">
        <f>IFERROR(Table1[[#This Row],[Actual Production (Kg)]]-Table1[[#This Row],[Re-process (Kg)]], "")</f>
        <v>2320</v>
      </c>
      <c r="J2097" s="49">
        <v>22</v>
      </c>
      <c r="K2097" s="72">
        <v>2</v>
      </c>
      <c r="L2097" s="49">
        <f>IF(Table1[[#This Row],[Target Time (Hours)]]="","",Table1[[#This Row],[Target Time (Hours)]]-Table1[[#This Row],[Downtime (Hours)]])</f>
        <v>20</v>
      </c>
      <c r="M2097" s="49">
        <f>IFERROR(Table1[[#This Row],[Capacity (Kg)]]/Table1[[#This Row],[Target Time (Hours)]] * Table1[[#This Row],[Downtime (Hours)]], "")</f>
        <v>545.4545454545455</v>
      </c>
      <c r="N2097" s="50">
        <f>IFERROR(Table1[[#This Row],[Running Time (hr)]]/Table1[Target Time (Hours)], "")</f>
        <v>0.90909090909090906</v>
      </c>
      <c r="O2097" s="50">
        <f>IFERROR(Table1[[#This Row],[Actual Production (Kg)]]/Table1[Capacity (Kg)], "")</f>
        <v>0.38666666666666666</v>
      </c>
      <c r="P2097" s="50">
        <f>IFERROR(Table1[[#This Row],[Quality Pass Production]]/Table1[[#This Row],[Actual Production (Kg)]], "")</f>
        <v>1</v>
      </c>
      <c r="Q2097" s="50">
        <f>IFERROR(Table1[[#This Row],[Utilization %]]*Table1[[#This Row],[Efficiency %]]*Table1[[#This Row],[Quality %]], "")</f>
        <v>0.3515151515151515</v>
      </c>
      <c r="R2097" s="48" t="s">
        <v>551</v>
      </c>
    </row>
    <row r="2098" spans="1:18" ht="45" customHeight="1" x14ac:dyDescent="0.25">
      <c r="A2098" s="54">
        <v>46307</v>
      </c>
      <c r="B2098" s="55" t="s">
        <v>33</v>
      </c>
      <c r="C2098" s="55" t="s">
        <v>40</v>
      </c>
      <c r="D2098" s="55" t="s">
        <v>31</v>
      </c>
      <c r="E2098" s="56">
        <v>5000</v>
      </c>
      <c r="F2098" s="56">
        <v>2577</v>
      </c>
      <c r="G2098" s="56">
        <v>0</v>
      </c>
      <c r="H2098" s="58">
        <f>IFERROR(Table1[Re-process (Kg)]/Table1[Actual Production (Kg)], "")</f>
        <v>0</v>
      </c>
      <c r="I2098" s="56">
        <f>IFERROR(Table1[[#This Row],[Actual Production (Kg)]]-Table1[[#This Row],[Re-process (Kg)]], "")</f>
        <v>2577</v>
      </c>
      <c r="J2098" s="56">
        <v>22</v>
      </c>
      <c r="K2098" s="55"/>
      <c r="L2098" s="56">
        <f>IF(Table1[[#This Row],[Target Time (Hours)]]="","",Table1[[#This Row],[Target Time (Hours)]]-Table1[[#This Row],[Downtime (Hours)]])</f>
        <v>22</v>
      </c>
      <c r="M2098" s="56">
        <f>IFERROR(Table1[[#This Row],[Capacity (Kg)]]/Table1[[#This Row],[Target Time (Hours)]] * Table1[[#This Row],[Downtime (Hours)]], "")</f>
        <v>0</v>
      </c>
      <c r="N2098" s="58">
        <f>IFERROR(Table1[[#This Row],[Running Time (hr)]]/Table1[Target Time (Hours)], "")</f>
        <v>1</v>
      </c>
      <c r="O2098" s="58">
        <f>IFERROR(Table1[[#This Row],[Actual Production (Kg)]]/Table1[Capacity (Kg)], "")</f>
        <v>0.51539999999999997</v>
      </c>
      <c r="P2098" s="58">
        <f>IFERROR(Table1[[#This Row],[Quality Pass Production]]/Table1[[#This Row],[Actual Production (Kg)]], "")</f>
        <v>1</v>
      </c>
      <c r="Q2098" s="58">
        <f>IFERROR(Table1[[#This Row],[Utilization %]]*Table1[[#This Row],[Efficiency %]]*Table1[[#This Row],[Quality %]], "")</f>
        <v>0.51539999999999997</v>
      </c>
      <c r="R2098" s="55" t="s">
        <v>518</v>
      </c>
    </row>
    <row r="2099" spans="1:18" ht="30" customHeight="1" x14ac:dyDescent="0.25">
      <c r="A2099" s="47">
        <v>46308</v>
      </c>
      <c r="B2099" s="48" t="s">
        <v>18</v>
      </c>
      <c r="C2099" s="48" t="s">
        <v>19</v>
      </c>
      <c r="D2099" s="48" t="s">
        <v>20</v>
      </c>
      <c r="E2099" s="49">
        <v>10000</v>
      </c>
      <c r="F2099" s="76">
        <v>9547</v>
      </c>
      <c r="G2099" s="49">
        <v>0</v>
      </c>
      <c r="H2099" s="50">
        <f>IFERROR(Table1[Re-process (Kg)]/Table1[Actual Production (Kg)], "")</f>
        <v>0</v>
      </c>
      <c r="I2099" s="49">
        <f>IFERROR(Table1[[#This Row],[Actual Production (Kg)]]-Table1[[#This Row],[Re-process (Kg)]], "")</f>
        <v>9547</v>
      </c>
      <c r="J2099" s="49">
        <v>22</v>
      </c>
      <c r="K2099" s="72"/>
      <c r="L2099" s="49">
        <f>IF(Table1[[#This Row],[Target Time (Hours)]]="","",Table1[[#This Row],[Target Time (Hours)]]-Table1[[#This Row],[Downtime (Hours)]])</f>
        <v>22</v>
      </c>
      <c r="M2099" s="49">
        <f>IFERROR(Table1[[#This Row],[Capacity (Kg)]]/Table1[[#This Row],[Target Time (Hours)]] * Table1[[#This Row],[Downtime (Hours)]], "")</f>
        <v>0</v>
      </c>
      <c r="N2099" s="50">
        <f>IFERROR(Table1[[#This Row],[Running Time (hr)]]/Table1[Target Time (Hours)], "")</f>
        <v>1</v>
      </c>
      <c r="O2099" s="50">
        <f>IFERROR(Table1[[#This Row],[Actual Production (Kg)]]/Table1[Capacity (Kg)], "")</f>
        <v>0.95469999999999999</v>
      </c>
      <c r="P2099" s="50">
        <f>IFERROR(Table1[[#This Row],[Quality Pass Production]]/Table1[[#This Row],[Actual Production (Kg)]], "")</f>
        <v>1</v>
      </c>
      <c r="Q2099" s="50">
        <f>IFERROR(Table1[[#This Row],[Utilization %]]*Table1[[#This Row],[Efficiency %]]*Table1[[#This Row],[Quality %]], "")</f>
        <v>0.95469999999999999</v>
      </c>
    </row>
    <row r="2100" spans="1:18" x14ac:dyDescent="0.25">
      <c r="A2100" s="51">
        <v>46308</v>
      </c>
      <c r="B2100" s="52" t="s">
        <v>18</v>
      </c>
      <c r="C2100" s="52" t="s">
        <v>238</v>
      </c>
      <c r="D2100" s="52" t="s">
        <v>20</v>
      </c>
      <c r="E2100" s="53">
        <v>11917</v>
      </c>
      <c r="F2100" s="53">
        <v>11917</v>
      </c>
      <c r="G2100" s="53">
        <v>0</v>
      </c>
      <c r="H2100" s="57">
        <f>IFERROR(Table1[Re-process (Kg)]/Table1[Actual Production (Kg)], "")</f>
        <v>0</v>
      </c>
      <c r="I2100" s="53">
        <f>IFERROR(Table1[[#This Row],[Actual Production (Kg)]]-Table1[[#This Row],[Re-process (Kg)]], "")</f>
        <v>11917</v>
      </c>
      <c r="J2100" s="53"/>
      <c r="K2100" s="52"/>
      <c r="L2100" s="53" t="str">
        <f>IF(Table1[[#This Row],[Target Time (Hours)]]="","",Table1[[#This Row],[Target Time (Hours)]]-Table1[[#This Row],[Downtime (Hours)]])</f>
        <v/>
      </c>
      <c r="M2100" s="53" t="str">
        <f>IFERROR(Table1[[#This Row],[Capacity (Kg)]]/Table1[[#This Row],[Target Time (Hours)]] * Table1[[#This Row],[Downtime (Hours)]], "")</f>
        <v/>
      </c>
      <c r="N2100" s="57" t="str">
        <f>IFERROR(Table1[[#This Row],[Running Time (hr)]]/Table1[Target Time (Hours)], "")</f>
        <v/>
      </c>
      <c r="O2100" s="57">
        <f>IFERROR(Table1[[#This Row],[Actual Production (Kg)]]/Table1[Capacity (Kg)], "")</f>
        <v>1</v>
      </c>
      <c r="P2100" s="57">
        <f>IFERROR(Table1[[#This Row],[Quality Pass Production]]/Table1[[#This Row],[Actual Production (Kg)]], "")</f>
        <v>1</v>
      </c>
      <c r="Q2100" s="57" t="str">
        <f>IFERROR(Table1[[#This Row],[Utilization %]]*Table1[[#This Row],[Efficiency %]]*Table1[[#This Row],[Quality %]], "")</f>
        <v/>
      </c>
      <c r="R2100" s="52"/>
    </row>
    <row r="2101" spans="1:18" x14ac:dyDescent="0.25">
      <c r="A2101" s="47">
        <v>46308</v>
      </c>
      <c r="B2101" s="48" t="s">
        <v>18</v>
      </c>
      <c r="C2101" s="48" t="s">
        <v>22</v>
      </c>
      <c r="D2101" s="48" t="s">
        <v>23</v>
      </c>
      <c r="E2101" s="49">
        <v>5000</v>
      </c>
      <c r="F2101" s="76">
        <v>4169</v>
      </c>
      <c r="G2101" s="49">
        <v>0</v>
      </c>
      <c r="H2101" s="50">
        <f>IFERROR(Table1[Re-process (Kg)]/Table1[Actual Production (Kg)], "")</f>
        <v>0</v>
      </c>
      <c r="I2101" s="49">
        <f>IFERROR(Table1[[#This Row],[Actual Production (Kg)]]-Table1[[#This Row],[Re-process (Kg)]], "")</f>
        <v>4169</v>
      </c>
      <c r="J2101" s="49">
        <v>22</v>
      </c>
      <c r="K2101" s="72"/>
      <c r="L2101" s="49">
        <f>IF(Table1[[#This Row],[Target Time (Hours)]]="","",Table1[[#This Row],[Target Time (Hours)]]-Table1[[#This Row],[Downtime (Hours)]])</f>
        <v>22</v>
      </c>
      <c r="M2101" s="49">
        <f>IFERROR(Table1[[#This Row],[Capacity (Kg)]]/Table1[[#This Row],[Target Time (Hours)]] * Table1[[#This Row],[Downtime (Hours)]], "")</f>
        <v>0</v>
      </c>
      <c r="N2101" s="50">
        <f>IFERROR(Table1[[#This Row],[Running Time (hr)]]/Table1[Target Time (Hours)], "")</f>
        <v>1</v>
      </c>
      <c r="O2101" s="50">
        <f>IFERROR(Table1[[#This Row],[Actual Production (Kg)]]/Table1[Capacity (Kg)], "")</f>
        <v>0.83379999999999999</v>
      </c>
      <c r="P2101" s="50">
        <f>IFERROR(Table1[[#This Row],[Quality Pass Production]]/Table1[[#This Row],[Actual Production (Kg)]], "")</f>
        <v>1</v>
      </c>
      <c r="Q2101" s="50">
        <f>IFERROR(Table1[[#This Row],[Utilization %]]*Table1[[#This Row],[Efficiency %]]*Table1[[#This Row],[Quality %]], "")</f>
        <v>0.83379999999999999</v>
      </c>
    </row>
    <row r="2102" spans="1:18" x14ac:dyDescent="0.25">
      <c r="A2102" s="47">
        <v>46308</v>
      </c>
      <c r="B2102" s="48" t="s">
        <v>18</v>
      </c>
      <c r="C2102" s="48" t="s">
        <v>22</v>
      </c>
      <c r="D2102" s="48" t="s">
        <v>25</v>
      </c>
      <c r="E2102" s="49">
        <v>4000</v>
      </c>
      <c r="F2102" s="76">
        <v>6088</v>
      </c>
      <c r="G2102" s="49">
        <v>0</v>
      </c>
      <c r="H2102" s="50">
        <f>IFERROR(Table1[Re-process (Kg)]/Table1[Actual Production (Kg)], "")</f>
        <v>0</v>
      </c>
      <c r="I2102" s="49">
        <f>IFERROR(Table1[[#This Row],[Actual Production (Kg)]]-Table1[[#This Row],[Re-process (Kg)]], "")</f>
        <v>6088</v>
      </c>
      <c r="J2102" s="49"/>
      <c r="K2102" s="72"/>
      <c r="L2102" s="49" t="str">
        <f>IF(Table1[[#This Row],[Target Time (Hours)]]="","",Table1[[#This Row],[Target Time (Hours)]]-Table1[[#This Row],[Downtime (Hours)]])</f>
        <v/>
      </c>
      <c r="M2102" s="49" t="str">
        <f>IFERROR(Table1[[#This Row],[Capacity (Kg)]]/Table1[[#This Row],[Target Time (Hours)]] * Table1[[#This Row],[Downtime (Hours)]], "")</f>
        <v/>
      </c>
      <c r="N2102" s="50" t="str">
        <f>IFERROR(Table1[[#This Row],[Running Time (hr)]]/Table1[Target Time (Hours)], "")</f>
        <v/>
      </c>
      <c r="O2102" s="50">
        <f>IFERROR(Table1[[#This Row],[Actual Production (Kg)]]/Table1[Capacity (Kg)], "")</f>
        <v>1.522</v>
      </c>
      <c r="P2102" s="50">
        <f>IFERROR(Table1[[#This Row],[Quality Pass Production]]/Table1[[#This Row],[Actual Production (Kg)]], "")</f>
        <v>1</v>
      </c>
      <c r="Q2102" s="50" t="str">
        <f>IFERROR(Table1[[#This Row],[Utilization %]]*Table1[[#This Row],[Efficiency %]]*Table1[[#This Row],[Quality %]], "")</f>
        <v/>
      </c>
    </row>
    <row r="2103" spans="1:18" x14ac:dyDescent="0.25">
      <c r="A2103" s="47">
        <v>46308</v>
      </c>
      <c r="B2103" s="48" t="s">
        <v>18</v>
      </c>
      <c r="C2103" s="48" t="s">
        <v>26</v>
      </c>
      <c r="D2103" s="48" t="s">
        <v>25</v>
      </c>
      <c r="E2103" s="49">
        <v>7000</v>
      </c>
      <c r="F2103" s="76">
        <v>7543</v>
      </c>
      <c r="G2103" s="49">
        <v>0</v>
      </c>
      <c r="H2103" s="50">
        <f>IFERROR(Table1[Re-process (Kg)]/Table1[Actual Production (Kg)], "")</f>
        <v>0</v>
      </c>
      <c r="I2103" s="49">
        <f>IFERROR(Table1[[#This Row],[Actual Production (Kg)]]-Table1[[#This Row],[Re-process (Kg)]], "")</f>
        <v>7543</v>
      </c>
      <c r="J2103" s="49">
        <v>22</v>
      </c>
      <c r="K2103" s="72"/>
      <c r="L2103" s="49">
        <f>IF(Table1[[#This Row],[Target Time (Hours)]]="","",Table1[[#This Row],[Target Time (Hours)]]-Table1[[#This Row],[Downtime (Hours)]])</f>
        <v>22</v>
      </c>
      <c r="M2103" s="49">
        <f>IFERROR(Table1[[#This Row],[Capacity (Kg)]]/Table1[[#This Row],[Target Time (Hours)]] * Table1[[#This Row],[Downtime (Hours)]], "")</f>
        <v>0</v>
      </c>
      <c r="N2103" s="50">
        <f>IFERROR(Table1[[#This Row],[Running Time (hr)]]/Table1[Target Time (Hours)], "")</f>
        <v>1</v>
      </c>
      <c r="O2103" s="50">
        <f>IFERROR(Table1[[#This Row],[Actual Production (Kg)]]/Table1[Capacity (Kg)], "")</f>
        <v>1.0775714285714286</v>
      </c>
      <c r="P2103" s="50">
        <f>IFERROR(Table1[[#This Row],[Quality Pass Production]]/Table1[[#This Row],[Actual Production (Kg)]], "")</f>
        <v>1</v>
      </c>
      <c r="Q2103" s="50">
        <f>IFERROR(Table1[[#This Row],[Utilization %]]*Table1[[#This Row],[Efficiency %]]*Table1[[#This Row],[Quality %]], "")</f>
        <v>1.0775714285714286</v>
      </c>
    </row>
    <row r="2104" spans="1:18" ht="30" customHeight="1" x14ac:dyDescent="0.25">
      <c r="A2104" s="47">
        <v>46308</v>
      </c>
      <c r="B2104" s="48" t="s">
        <v>18</v>
      </c>
      <c r="C2104" s="48" t="s">
        <v>28</v>
      </c>
      <c r="D2104" s="48" t="s">
        <v>29</v>
      </c>
      <c r="E2104" s="49">
        <v>7800</v>
      </c>
      <c r="F2104" s="76">
        <v>5992</v>
      </c>
      <c r="G2104" s="49">
        <v>0</v>
      </c>
      <c r="H2104" s="50">
        <f>IFERROR(Table1[Re-process (Kg)]/Table1[Actual Production (Kg)], "")</f>
        <v>0</v>
      </c>
      <c r="I2104" s="49">
        <f>IFERROR(Table1[[#This Row],[Actual Production (Kg)]]-Table1[[#This Row],[Re-process (Kg)]], "")</f>
        <v>5992</v>
      </c>
      <c r="J2104" s="49">
        <v>22</v>
      </c>
      <c r="K2104" s="72">
        <v>6</v>
      </c>
      <c r="L2104" s="49">
        <f>IF(Table1[[#This Row],[Target Time (Hours)]]="","",Table1[[#This Row],[Target Time (Hours)]]-Table1[[#This Row],[Downtime (Hours)]])</f>
        <v>16</v>
      </c>
      <c r="M2104" s="49">
        <f>IFERROR(Table1[[#This Row],[Capacity (Kg)]]/Table1[[#This Row],[Target Time (Hours)]] * Table1[[#This Row],[Downtime (Hours)]], "")</f>
        <v>2127.2727272727275</v>
      </c>
      <c r="N2104" s="50">
        <f>IFERROR(Table1[[#This Row],[Running Time (hr)]]/Table1[Target Time (Hours)], "")</f>
        <v>0.72727272727272729</v>
      </c>
      <c r="O2104" s="50">
        <f>IFERROR(Table1[[#This Row],[Actual Production (Kg)]]/Table1[Capacity (Kg)], "")</f>
        <v>0.76820512820512821</v>
      </c>
      <c r="P2104" s="50">
        <f>IFERROR(Table1[[#This Row],[Quality Pass Production]]/Table1[[#This Row],[Actual Production (Kg)]], "")</f>
        <v>1</v>
      </c>
      <c r="Q2104" s="50">
        <f>IFERROR(Table1[[#This Row],[Utilization %]]*Table1[[#This Row],[Efficiency %]]*Table1[[#This Row],[Quality %]], "")</f>
        <v>0.55869463869463876</v>
      </c>
      <c r="R2104" s="48" t="s">
        <v>446</v>
      </c>
    </row>
    <row r="2105" spans="1:18" ht="30" customHeight="1" x14ac:dyDescent="0.25">
      <c r="A2105" s="51">
        <v>46308</v>
      </c>
      <c r="B2105" s="52" t="s">
        <v>18</v>
      </c>
      <c r="C2105" s="52" t="s">
        <v>135</v>
      </c>
      <c r="D2105" s="52" t="s">
        <v>29</v>
      </c>
      <c r="E2105" s="53"/>
      <c r="F2105" s="53"/>
      <c r="G2105" s="53"/>
      <c r="H2105" s="57" t="str">
        <f>IFERROR(Table1[Re-process (Kg)]/Table1[Actual Production (Kg)], "")</f>
        <v/>
      </c>
      <c r="I2105" s="53">
        <f>IFERROR(Table1[[#This Row],[Actual Production (Kg)]]-Table1[[#This Row],[Re-process (Kg)]], "")</f>
        <v>0</v>
      </c>
      <c r="J2105" s="53"/>
      <c r="K2105" s="52"/>
      <c r="L2105" s="53" t="str">
        <f>IF(Table1[[#This Row],[Target Time (Hours)]]="","",Table1[[#This Row],[Target Time (Hours)]]-Table1[[#This Row],[Downtime (Hours)]])</f>
        <v/>
      </c>
      <c r="M2105" s="53" t="str">
        <f>IFERROR(Table1[[#This Row],[Capacity (Kg)]]/Table1[[#This Row],[Target Time (Hours)]] * Table1[[#This Row],[Downtime (Hours)]], "")</f>
        <v/>
      </c>
      <c r="N2105" s="57" t="str">
        <f>IFERROR(Table1[[#This Row],[Running Time (hr)]]/Table1[Target Time (Hours)], "")</f>
        <v/>
      </c>
      <c r="O2105" s="57" t="str">
        <f>IFERROR(Table1[[#This Row],[Actual Production (Kg)]]/Table1[Capacity (Kg)], "")</f>
        <v/>
      </c>
      <c r="P2105" s="57" t="str">
        <f>IFERROR(Table1[[#This Row],[Quality Pass Production]]/Table1[[#This Row],[Actual Production (Kg)]], "")</f>
        <v/>
      </c>
      <c r="Q2105" s="57" t="str">
        <f>IFERROR(Table1[[#This Row],[Utilization %]]*Table1[[#This Row],[Efficiency %]]*Table1[[#This Row],[Quality %]], "")</f>
        <v/>
      </c>
      <c r="R2105" s="52"/>
    </row>
    <row r="2106" spans="1:18" ht="30" customHeight="1" x14ac:dyDescent="0.25">
      <c r="A2106" s="47">
        <v>46308</v>
      </c>
      <c r="B2106" s="48" t="s">
        <v>18</v>
      </c>
      <c r="C2106" s="48" t="s">
        <v>30</v>
      </c>
      <c r="D2106" s="48" t="s">
        <v>31</v>
      </c>
      <c r="E2106" s="49">
        <v>9000</v>
      </c>
      <c r="F2106" s="76">
        <v>8569</v>
      </c>
      <c r="G2106" s="49">
        <v>0</v>
      </c>
      <c r="H2106" s="50">
        <f>IFERROR(Table1[Re-process (Kg)]/Table1[Actual Production (Kg)], "")</f>
        <v>0</v>
      </c>
      <c r="I2106" s="49">
        <f>IFERROR(Table1[[#This Row],[Actual Production (Kg)]]-Table1[[#This Row],[Re-process (Kg)]], "")</f>
        <v>8569</v>
      </c>
      <c r="J2106" s="49">
        <v>22</v>
      </c>
      <c r="K2106" s="72"/>
      <c r="L2106" s="49">
        <f>IF(Table1[[#This Row],[Target Time (Hours)]]="","",Table1[[#This Row],[Target Time (Hours)]]-Table1[[#This Row],[Downtime (Hours)]])</f>
        <v>22</v>
      </c>
      <c r="M2106" s="49">
        <f>IFERROR(Table1[[#This Row],[Capacity (Kg)]]/Table1[[#This Row],[Target Time (Hours)]] * Table1[[#This Row],[Downtime (Hours)]], "")</f>
        <v>0</v>
      </c>
      <c r="N2106" s="50">
        <f>IFERROR(Table1[[#This Row],[Running Time (hr)]]/Table1[Target Time (Hours)], "")</f>
        <v>1</v>
      </c>
      <c r="O2106" s="50">
        <f>IFERROR(Table1[[#This Row],[Actual Production (Kg)]]/Table1[Capacity (Kg)], "")</f>
        <v>0.95211111111111113</v>
      </c>
      <c r="P2106" s="50">
        <f>IFERROR(Table1[[#This Row],[Quality Pass Production]]/Table1[[#This Row],[Actual Production (Kg)]], "")</f>
        <v>1</v>
      </c>
      <c r="Q2106" s="50">
        <f>IFERROR(Table1[[#This Row],[Utilization %]]*Table1[[#This Row],[Efficiency %]]*Table1[[#This Row],[Quality %]], "")</f>
        <v>0.95211111111111113</v>
      </c>
    </row>
    <row r="2107" spans="1:18" ht="30" customHeight="1" x14ac:dyDescent="0.25">
      <c r="A2107" s="51">
        <v>46308</v>
      </c>
      <c r="B2107" s="52" t="s">
        <v>18</v>
      </c>
      <c r="C2107" s="52" t="s">
        <v>32</v>
      </c>
      <c r="D2107" s="52" t="s">
        <v>31</v>
      </c>
      <c r="E2107" s="53">
        <v>2500</v>
      </c>
      <c r="F2107" s="53">
        <v>635</v>
      </c>
      <c r="G2107" s="53">
        <v>0</v>
      </c>
      <c r="H2107" s="57">
        <f>IFERROR(Table1[Re-process (Kg)]/Table1[Actual Production (Kg)], "")</f>
        <v>0</v>
      </c>
      <c r="I2107" s="53">
        <f>IFERROR(Table1[[#This Row],[Actual Production (Kg)]]-Table1[[#This Row],[Re-process (Kg)]], "")</f>
        <v>635</v>
      </c>
      <c r="J2107" s="53"/>
      <c r="K2107" s="52"/>
      <c r="L2107" s="53" t="str">
        <f>IF(Table1[[#This Row],[Target Time (Hours)]]="","",Table1[[#This Row],[Target Time (Hours)]]-Table1[[#This Row],[Downtime (Hours)]])</f>
        <v/>
      </c>
      <c r="M2107" s="53" t="str">
        <f>IFERROR(Table1[[#This Row],[Capacity (Kg)]]/Table1[[#This Row],[Target Time (Hours)]] * Table1[[#This Row],[Downtime (Hours)]], "")</f>
        <v/>
      </c>
      <c r="N2107" s="57" t="str">
        <f>IFERROR(Table1[[#This Row],[Running Time (hr)]]/Table1[Target Time (Hours)], "")</f>
        <v/>
      </c>
      <c r="O2107" s="57">
        <f>IFERROR(Table1[[#This Row],[Actual Production (Kg)]]/Table1[Capacity (Kg)], "")</f>
        <v>0.254</v>
      </c>
      <c r="P2107" s="57">
        <f>IFERROR(Table1[[#This Row],[Quality Pass Production]]/Table1[[#This Row],[Actual Production (Kg)]], "")</f>
        <v>1</v>
      </c>
      <c r="Q2107" s="57" t="str">
        <f>IFERROR(Table1[[#This Row],[Utilization %]]*Table1[[#This Row],[Efficiency %]]*Table1[[#This Row],[Quality %]], "")</f>
        <v/>
      </c>
      <c r="R2107" s="52"/>
    </row>
    <row r="2108" spans="1:18" ht="30" customHeight="1" x14ac:dyDescent="0.25">
      <c r="A2108" s="47">
        <v>46308</v>
      </c>
      <c r="B2108" s="48" t="s">
        <v>33</v>
      </c>
      <c r="C2108" s="48" t="s">
        <v>34</v>
      </c>
      <c r="D2108" s="48" t="s">
        <v>35</v>
      </c>
      <c r="E2108" s="49">
        <v>9000</v>
      </c>
      <c r="F2108" s="76">
        <v>4408</v>
      </c>
      <c r="G2108" s="49">
        <v>0</v>
      </c>
      <c r="H2108" s="50">
        <f>IFERROR(Table1[Re-process (Kg)]/Table1[Actual Production (Kg)], "")</f>
        <v>0</v>
      </c>
      <c r="I2108" s="49">
        <f>IFERROR(Table1[[#This Row],[Actual Production (Kg)]]-Table1[[#This Row],[Re-process (Kg)]], "")</f>
        <v>4408</v>
      </c>
      <c r="J2108" s="49">
        <v>22</v>
      </c>
      <c r="K2108" s="72"/>
      <c r="L2108" s="49">
        <f>IF(Table1[[#This Row],[Target Time (Hours)]]="","",Table1[[#This Row],[Target Time (Hours)]]-Table1[[#This Row],[Downtime (Hours)]])</f>
        <v>22</v>
      </c>
      <c r="M2108" s="49">
        <f>IFERROR(Table1[[#This Row],[Capacity (Kg)]]/Table1[[#This Row],[Target Time (Hours)]] * Table1[[#This Row],[Downtime (Hours)]], "")</f>
        <v>0</v>
      </c>
      <c r="N2108" s="50">
        <f>IFERROR(Table1[[#This Row],[Running Time (hr)]]/Table1[Target Time (Hours)], "")</f>
        <v>1</v>
      </c>
      <c r="O2108" s="50">
        <f>IFERROR(Table1[[#This Row],[Actual Production (Kg)]]/Table1[Capacity (Kg)], "")</f>
        <v>0.48977777777777776</v>
      </c>
      <c r="P2108" s="50">
        <f>IFERROR(Table1[[#This Row],[Quality Pass Production]]/Table1[[#This Row],[Actual Production (Kg)]], "")</f>
        <v>1</v>
      </c>
      <c r="Q2108" s="50">
        <f>IFERROR(Table1[[#This Row],[Utilization %]]*Table1[[#This Row],[Efficiency %]]*Table1[[#This Row],[Quality %]], "")</f>
        <v>0.48977777777777776</v>
      </c>
    </row>
    <row r="2109" spans="1:18" ht="45" customHeight="1" x14ac:dyDescent="0.25">
      <c r="A2109" s="47">
        <v>46308</v>
      </c>
      <c r="B2109" s="48" t="s">
        <v>33</v>
      </c>
      <c r="C2109" s="48" t="s">
        <v>36</v>
      </c>
      <c r="D2109" s="48" t="s">
        <v>37</v>
      </c>
      <c r="E2109" s="49">
        <v>8000</v>
      </c>
      <c r="F2109" s="76">
        <v>4607</v>
      </c>
      <c r="G2109" s="49">
        <v>0</v>
      </c>
      <c r="H2109" s="50">
        <f>IFERROR(Table1[Re-process (Kg)]/Table1[Actual Production (Kg)], "")</f>
        <v>0</v>
      </c>
      <c r="I2109" s="49">
        <f>IFERROR(Table1[[#This Row],[Actual Production (Kg)]]-Table1[[#This Row],[Re-process (Kg)]], "")</f>
        <v>4607</v>
      </c>
      <c r="J2109" s="49">
        <v>22</v>
      </c>
      <c r="K2109" s="72">
        <v>3.33</v>
      </c>
      <c r="L2109" s="49">
        <f>IF(Table1[[#This Row],[Target Time (Hours)]]="","",Table1[[#This Row],[Target Time (Hours)]]-Table1[[#This Row],[Downtime (Hours)]])</f>
        <v>18.670000000000002</v>
      </c>
      <c r="M2109" s="49">
        <f>IFERROR(Table1[[#This Row],[Capacity (Kg)]]/Table1[[#This Row],[Target Time (Hours)]] * Table1[[#This Row],[Downtime (Hours)]], "")</f>
        <v>1210.909090909091</v>
      </c>
      <c r="N2109" s="50">
        <f>IFERROR(Table1[[#This Row],[Running Time (hr)]]/Table1[Target Time (Hours)], "")</f>
        <v>0.84863636363636374</v>
      </c>
      <c r="O2109" s="50">
        <f>IFERROR(Table1[[#This Row],[Actual Production (Kg)]]/Table1[Capacity (Kg)], "")</f>
        <v>0.57587500000000003</v>
      </c>
      <c r="P2109" s="50">
        <f>IFERROR(Table1[[#This Row],[Quality Pass Production]]/Table1[[#This Row],[Actual Production (Kg)]], "")</f>
        <v>1</v>
      </c>
      <c r="Q2109" s="50">
        <f>IFERROR(Table1[[#This Row],[Utilization %]]*Table1[[#This Row],[Efficiency %]]*Table1[[#This Row],[Quality %]], "")</f>
        <v>0.48870846590909101</v>
      </c>
      <c r="R2109" s="48" t="s">
        <v>562</v>
      </c>
    </row>
    <row r="2110" spans="1:18" ht="45" customHeight="1" x14ac:dyDescent="0.25">
      <c r="A2110" s="47">
        <v>46308</v>
      </c>
      <c r="B2110" s="48" t="s">
        <v>33</v>
      </c>
      <c r="C2110" s="48" t="s">
        <v>39</v>
      </c>
      <c r="D2110" s="48" t="s">
        <v>31</v>
      </c>
      <c r="E2110" s="49">
        <v>6000</v>
      </c>
      <c r="F2110" s="76">
        <v>1583</v>
      </c>
      <c r="G2110" s="49">
        <v>0</v>
      </c>
      <c r="H2110" s="50">
        <f>IFERROR(Table1[Re-process (Kg)]/Table1[Actual Production (Kg)], "")</f>
        <v>0</v>
      </c>
      <c r="I2110" s="49">
        <f>IFERROR(Table1[[#This Row],[Actual Production (Kg)]]-Table1[[#This Row],[Re-process (Kg)]], "")</f>
        <v>1583</v>
      </c>
      <c r="J2110" s="49">
        <v>22</v>
      </c>
      <c r="K2110" s="72">
        <v>8</v>
      </c>
      <c r="L2110" s="49">
        <f>IF(Table1[[#This Row],[Target Time (Hours)]]="","",Table1[[#This Row],[Target Time (Hours)]]-Table1[[#This Row],[Downtime (Hours)]])</f>
        <v>14</v>
      </c>
      <c r="M2110" s="49">
        <f>IFERROR(Table1[[#This Row],[Capacity (Kg)]]/Table1[[#This Row],[Target Time (Hours)]] * Table1[[#This Row],[Downtime (Hours)]], "")</f>
        <v>2181.818181818182</v>
      </c>
      <c r="N2110" s="50">
        <f>IFERROR(Table1[[#This Row],[Running Time (hr)]]/Table1[Target Time (Hours)], "")</f>
        <v>0.63636363636363635</v>
      </c>
      <c r="O2110" s="50">
        <f>IFERROR(Table1[[#This Row],[Actual Production (Kg)]]/Table1[Capacity (Kg)], "")</f>
        <v>0.26383333333333331</v>
      </c>
      <c r="P2110" s="50">
        <f>IFERROR(Table1[[#This Row],[Quality Pass Production]]/Table1[[#This Row],[Actual Production (Kg)]], "")</f>
        <v>1</v>
      </c>
      <c r="Q2110" s="50">
        <f>IFERROR(Table1[[#This Row],[Utilization %]]*Table1[[#This Row],[Efficiency %]]*Table1[[#This Row],[Quality %]], "")</f>
        <v>0.16789393939393937</v>
      </c>
      <c r="R2110" s="48" t="s">
        <v>563</v>
      </c>
    </row>
    <row r="2111" spans="1:18" ht="45" customHeight="1" x14ac:dyDescent="0.25">
      <c r="A2111" s="54">
        <v>46308</v>
      </c>
      <c r="B2111" s="55" t="s">
        <v>33</v>
      </c>
      <c r="C2111" s="55" t="s">
        <v>40</v>
      </c>
      <c r="D2111" s="55" t="s">
        <v>31</v>
      </c>
      <c r="E2111" s="56">
        <v>5000</v>
      </c>
      <c r="F2111" s="56">
        <v>2270</v>
      </c>
      <c r="G2111" s="56">
        <v>0</v>
      </c>
      <c r="H2111" s="58">
        <f>IFERROR(Table1[Re-process (Kg)]/Table1[Actual Production (Kg)], "")</f>
        <v>0</v>
      </c>
      <c r="I2111" s="56">
        <f>IFERROR(Table1[[#This Row],[Actual Production (Kg)]]-Table1[[#This Row],[Re-process (Kg)]], "")</f>
        <v>2270</v>
      </c>
      <c r="J2111" s="56">
        <v>22</v>
      </c>
      <c r="K2111" s="55">
        <v>2</v>
      </c>
      <c r="L2111" s="56">
        <f>IF(Table1[[#This Row],[Target Time (Hours)]]="","",Table1[[#This Row],[Target Time (Hours)]]-Table1[[#This Row],[Downtime (Hours)]])</f>
        <v>20</v>
      </c>
      <c r="M2111" s="56">
        <f>IFERROR(Table1[[#This Row],[Capacity (Kg)]]/Table1[[#This Row],[Target Time (Hours)]] * Table1[[#This Row],[Downtime (Hours)]], "")</f>
        <v>454.54545454545456</v>
      </c>
      <c r="N2111" s="58">
        <f>IFERROR(Table1[[#This Row],[Running Time (hr)]]/Table1[Target Time (Hours)], "")</f>
        <v>0.90909090909090906</v>
      </c>
      <c r="O2111" s="58">
        <f>IFERROR(Table1[[#This Row],[Actual Production (Kg)]]/Table1[Capacity (Kg)], "")</f>
        <v>0.45400000000000001</v>
      </c>
      <c r="P2111" s="58">
        <f>IFERROR(Table1[[#This Row],[Quality Pass Production]]/Table1[[#This Row],[Actual Production (Kg)]], "")</f>
        <v>1</v>
      </c>
      <c r="Q2111" s="58">
        <f>IFERROR(Table1[[#This Row],[Utilization %]]*Table1[[#This Row],[Efficiency %]]*Table1[[#This Row],[Quality %]], "")</f>
        <v>0.41272727272727272</v>
      </c>
      <c r="R2111" s="55" t="s">
        <v>551</v>
      </c>
    </row>
    <row r="2112" spans="1:18" ht="30" customHeight="1" x14ac:dyDescent="0.25">
      <c r="A2112" s="47">
        <v>46309</v>
      </c>
      <c r="B2112" s="48" t="s">
        <v>18</v>
      </c>
      <c r="C2112" s="48" t="s">
        <v>19</v>
      </c>
      <c r="D2112" s="48" t="s">
        <v>20</v>
      </c>
      <c r="E2112" s="49">
        <v>10000</v>
      </c>
      <c r="F2112" s="76">
        <v>8861</v>
      </c>
      <c r="G2112" s="49">
        <v>0</v>
      </c>
      <c r="H2112" s="50">
        <f>IFERROR(Table1[Re-process (Kg)]/Table1[Actual Production (Kg)], "")</f>
        <v>0</v>
      </c>
      <c r="I2112" s="49">
        <f>IFERROR(Table1[[#This Row],[Actual Production (Kg)]]-Table1[[#This Row],[Re-process (Kg)]], "")</f>
        <v>8861</v>
      </c>
      <c r="J2112" s="49">
        <v>22</v>
      </c>
      <c r="K2112" s="72"/>
      <c r="L2112" s="49">
        <f>IF(Table1[[#This Row],[Target Time (Hours)]]="","",Table1[[#This Row],[Target Time (Hours)]]-Table1[[#This Row],[Downtime (Hours)]])</f>
        <v>22</v>
      </c>
      <c r="M2112" s="49">
        <f>IFERROR(Table1[[#This Row],[Capacity (Kg)]]/Table1[[#This Row],[Target Time (Hours)]] * Table1[[#This Row],[Downtime (Hours)]], "")</f>
        <v>0</v>
      </c>
      <c r="N2112" s="50">
        <f>IFERROR(Table1[[#This Row],[Running Time (hr)]]/Table1[Target Time (Hours)], "")</f>
        <v>1</v>
      </c>
      <c r="O2112" s="50">
        <f>IFERROR(Table1[[#This Row],[Actual Production (Kg)]]/Table1[Capacity (Kg)], "")</f>
        <v>0.8861</v>
      </c>
      <c r="P2112" s="50">
        <f>IFERROR(Table1[[#This Row],[Quality Pass Production]]/Table1[[#This Row],[Actual Production (Kg)]], "")</f>
        <v>1</v>
      </c>
      <c r="Q2112" s="50">
        <f>IFERROR(Table1[[#This Row],[Utilization %]]*Table1[[#This Row],[Efficiency %]]*Table1[[#This Row],[Quality %]], "")</f>
        <v>0.8861</v>
      </c>
    </row>
    <row r="2113" spans="1:18" x14ac:dyDescent="0.25">
      <c r="A2113" s="51">
        <v>46309</v>
      </c>
      <c r="B2113" s="52" t="s">
        <v>18</v>
      </c>
      <c r="C2113" s="52" t="s">
        <v>238</v>
      </c>
      <c r="D2113" s="52" t="s">
        <v>20</v>
      </c>
      <c r="E2113" s="53">
        <v>9879</v>
      </c>
      <c r="F2113" s="53">
        <v>9879</v>
      </c>
      <c r="G2113" s="53">
        <v>0</v>
      </c>
      <c r="H2113" s="57">
        <f>IFERROR(Table1[Re-process (Kg)]/Table1[Actual Production (Kg)], "")</f>
        <v>0</v>
      </c>
      <c r="I2113" s="53">
        <f>IFERROR(Table1[[#This Row],[Actual Production (Kg)]]-Table1[[#This Row],[Re-process (Kg)]], "")</f>
        <v>9879</v>
      </c>
      <c r="J2113" s="53"/>
      <c r="K2113" s="52"/>
      <c r="L2113" s="53" t="str">
        <f>IF(Table1[[#This Row],[Target Time (Hours)]]="","",Table1[[#This Row],[Target Time (Hours)]]-Table1[[#This Row],[Downtime (Hours)]])</f>
        <v/>
      </c>
      <c r="M2113" s="53" t="str">
        <f>IFERROR(Table1[[#This Row],[Capacity (Kg)]]/Table1[[#This Row],[Target Time (Hours)]] * Table1[[#This Row],[Downtime (Hours)]], "")</f>
        <v/>
      </c>
      <c r="N2113" s="57" t="str">
        <f>IFERROR(Table1[[#This Row],[Running Time (hr)]]/Table1[Target Time (Hours)], "")</f>
        <v/>
      </c>
      <c r="O2113" s="57">
        <f>IFERROR(Table1[[#This Row],[Actual Production (Kg)]]/Table1[Capacity (Kg)], "")</f>
        <v>1</v>
      </c>
      <c r="P2113" s="57">
        <f>IFERROR(Table1[[#This Row],[Quality Pass Production]]/Table1[[#This Row],[Actual Production (Kg)]], "")</f>
        <v>1</v>
      </c>
      <c r="Q2113" s="57" t="str">
        <f>IFERROR(Table1[[#This Row],[Utilization %]]*Table1[[#This Row],[Efficiency %]]*Table1[[#This Row],[Quality %]], "")</f>
        <v/>
      </c>
      <c r="R2113" s="52"/>
    </row>
    <row r="2114" spans="1:18" x14ac:dyDescent="0.25">
      <c r="A2114" s="47">
        <v>46309</v>
      </c>
      <c r="B2114" s="48" t="s">
        <v>18</v>
      </c>
      <c r="C2114" s="48" t="s">
        <v>22</v>
      </c>
      <c r="D2114" s="48" t="s">
        <v>23</v>
      </c>
      <c r="E2114" s="49">
        <v>5000</v>
      </c>
      <c r="F2114" s="76">
        <v>5930</v>
      </c>
      <c r="G2114" s="49">
        <v>0</v>
      </c>
      <c r="H2114" s="50">
        <f>IFERROR(Table1[Re-process (Kg)]/Table1[Actual Production (Kg)], "")</f>
        <v>0</v>
      </c>
      <c r="I2114" s="49">
        <f>IFERROR(Table1[[#This Row],[Actual Production (Kg)]]-Table1[[#This Row],[Re-process (Kg)]], "")</f>
        <v>5930</v>
      </c>
      <c r="J2114" s="49">
        <v>22</v>
      </c>
      <c r="K2114" s="72"/>
      <c r="L2114" s="49">
        <f>IF(Table1[[#This Row],[Target Time (Hours)]]="","",Table1[[#This Row],[Target Time (Hours)]]-Table1[[#This Row],[Downtime (Hours)]])</f>
        <v>22</v>
      </c>
      <c r="M2114" s="49">
        <f>IFERROR(Table1[[#This Row],[Capacity (Kg)]]/Table1[[#This Row],[Target Time (Hours)]] * Table1[[#This Row],[Downtime (Hours)]], "")</f>
        <v>0</v>
      </c>
      <c r="N2114" s="50">
        <f>IFERROR(Table1[[#This Row],[Running Time (hr)]]/Table1[Target Time (Hours)], "")</f>
        <v>1</v>
      </c>
      <c r="O2114" s="50">
        <f>IFERROR(Table1[[#This Row],[Actual Production (Kg)]]/Table1[Capacity (Kg)], "")</f>
        <v>1.1859999999999999</v>
      </c>
      <c r="P2114" s="50">
        <f>IFERROR(Table1[[#This Row],[Quality Pass Production]]/Table1[[#This Row],[Actual Production (Kg)]], "")</f>
        <v>1</v>
      </c>
      <c r="Q2114" s="50">
        <f>IFERROR(Table1[[#This Row],[Utilization %]]*Table1[[#This Row],[Efficiency %]]*Table1[[#This Row],[Quality %]], "")</f>
        <v>1.1859999999999999</v>
      </c>
    </row>
    <row r="2115" spans="1:18" x14ac:dyDescent="0.25">
      <c r="A2115" s="47">
        <v>46309</v>
      </c>
      <c r="B2115" s="48" t="s">
        <v>18</v>
      </c>
      <c r="C2115" s="48" t="s">
        <v>22</v>
      </c>
      <c r="D2115" s="48" t="s">
        <v>25</v>
      </c>
      <c r="E2115" s="49">
        <v>4000</v>
      </c>
      <c r="F2115" s="76">
        <v>3412</v>
      </c>
      <c r="G2115" s="49">
        <v>0</v>
      </c>
      <c r="H2115" s="50">
        <f>IFERROR(Table1[Re-process (Kg)]/Table1[Actual Production (Kg)], "")</f>
        <v>0</v>
      </c>
      <c r="I2115" s="49">
        <f>IFERROR(Table1[[#This Row],[Actual Production (Kg)]]-Table1[[#This Row],[Re-process (Kg)]], "")</f>
        <v>3412</v>
      </c>
      <c r="J2115" s="49"/>
      <c r="K2115" s="72"/>
      <c r="L2115" s="49" t="str">
        <f>IF(Table1[[#This Row],[Target Time (Hours)]]="","",Table1[[#This Row],[Target Time (Hours)]]-Table1[[#This Row],[Downtime (Hours)]])</f>
        <v/>
      </c>
      <c r="M2115" s="49" t="str">
        <f>IFERROR(Table1[[#This Row],[Capacity (Kg)]]/Table1[[#This Row],[Target Time (Hours)]] * Table1[[#This Row],[Downtime (Hours)]], "")</f>
        <v/>
      </c>
      <c r="N2115" s="50" t="str">
        <f>IFERROR(Table1[[#This Row],[Running Time (hr)]]/Table1[Target Time (Hours)], "")</f>
        <v/>
      </c>
      <c r="O2115" s="50">
        <f>IFERROR(Table1[[#This Row],[Actual Production (Kg)]]/Table1[Capacity (Kg)], "")</f>
        <v>0.85299999999999998</v>
      </c>
      <c r="P2115" s="50">
        <f>IFERROR(Table1[[#This Row],[Quality Pass Production]]/Table1[[#This Row],[Actual Production (Kg)]], "")</f>
        <v>1</v>
      </c>
      <c r="Q2115" s="50" t="str">
        <f>IFERROR(Table1[[#This Row],[Utilization %]]*Table1[[#This Row],[Efficiency %]]*Table1[[#This Row],[Quality %]], "")</f>
        <v/>
      </c>
    </row>
    <row r="2116" spans="1:18" x14ac:dyDescent="0.25">
      <c r="A2116" s="47">
        <v>46309</v>
      </c>
      <c r="B2116" s="48" t="s">
        <v>18</v>
      </c>
      <c r="C2116" s="48" t="s">
        <v>26</v>
      </c>
      <c r="D2116" s="48" t="s">
        <v>25</v>
      </c>
      <c r="E2116" s="49">
        <v>7000</v>
      </c>
      <c r="F2116" s="76">
        <v>7233</v>
      </c>
      <c r="G2116" s="49">
        <v>0</v>
      </c>
      <c r="H2116" s="50">
        <f>IFERROR(Table1[Re-process (Kg)]/Table1[Actual Production (Kg)], "")</f>
        <v>0</v>
      </c>
      <c r="I2116" s="49">
        <f>IFERROR(Table1[[#This Row],[Actual Production (Kg)]]-Table1[[#This Row],[Re-process (Kg)]], "")</f>
        <v>7233</v>
      </c>
      <c r="J2116" s="49">
        <v>22</v>
      </c>
      <c r="K2116" s="72"/>
      <c r="L2116" s="49">
        <f>IF(Table1[[#This Row],[Target Time (Hours)]]="","",Table1[[#This Row],[Target Time (Hours)]]-Table1[[#This Row],[Downtime (Hours)]])</f>
        <v>22</v>
      </c>
      <c r="M2116" s="49">
        <f>IFERROR(Table1[[#This Row],[Capacity (Kg)]]/Table1[[#This Row],[Target Time (Hours)]] * Table1[[#This Row],[Downtime (Hours)]], "")</f>
        <v>0</v>
      </c>
      <c r="N2116" s="50">
        <f>IFERROR(Table1[[#This Row],[Running Time (hr)]]/Table1[Target Time (Hours)], "")</f>
        <v>1</v>
      </c>
      <c r="O2116" s="50">
        <f>IFERROR(Table1[[#This Row],[Actual Production (Kg)]]/Table1[Capacity (Kg)], "")</f>
        <v>1.0332857142857144</v>
      </c>
      <c r="P2116" s="50">
        <f>IFERROR(Table1[[#This Row],[Quality Pass Production]]/Table1[[#This Row],[Actual Production (Kg)]], "")</f>
        <v>1</v>
      </c>
      <c r="Q2116" s="50">
        <f>IFERROR(Table1[[#This Row],[Utilization %]]*Table1[[#This Row],[Efficiency %]]*Table1[[#This Row],[Quality %]], "")</f>
        <v>1.0332857142857144</v>
      </c>
    </row>
    <row r="2117" spans="1:18" ht="30" customHeight="1" x14ac:dyDescent="0.25">
      <c r="A2117" s="47">
        <v>46309</v>
      </c>
      <c r="B2117" s="48" t="s">
        <v>18</v>
      </c>
      <c r="C2117" s="48" t="s">
        <v>28</v>
      </c>
      <c r="D2117" s="48" t="s">
        <v>29</v>
      </c>
      <c r="E2117" s="49">
        <v>7800</v>
      </c>
      <c r="F2117" s="76">
        <v>6455</v>
      </c>
      <c r="G2117" s="49">
        <v>0</v>
      </c>
      <c r="H2117" s="50">
        <f>IFERROR(Table1[Re-process (Kg)]/Table1[Actual Production (Kg)], "")</f>
        <v>0</v>
      </c>
      <c r="I2117" s="49">
        <f>IFERROR(Table1[[#This Row],[Actual Production (Kg)]]-Table1[[#This Row],[Re-process (Kg)]], "")</f>
        <v>6455</v>
      </c>
      <c r="J2117" s="49">
        <v>22</v>
      </c>
      <c r="K2117" s="72">
        <v>5</v>
      </c>
      <c r="L2117" s="49">
        <f>IF(Table1[[#This Row],[Target Time (Hours)]]="","",Table1[[#This Row],[Target Time (Hours)]]-Table1[[#This Row],[Downtime (Hours)]])</f>
        <v>17</v>
      </c>
      <c r="M2117" s="49">
        <f>IFERROR(Table1[[#This Row],[Capacity (Kg)]]/Table1[[#This Row],[Target Time (Hours)]] * Table1[[#This Row],[Downtime (Hours)]], "")</f>
        <v>1772.7272727272727</v>
      </c>
      <c r="N2117" s="50">
        <f>IFERROR(Table1[[#This Row],[Running Time (hr)]]/Table1[Target Time (Hours)], "")</f>
        <v>0.77272727272727271</v>
      </c>
      <c r="O2117" s="50">
        <f>IFERROR(Table1[[#This Row],[Actual Production (Kg)]]/Table1[Capacity (Kg)], "")</f>
        <v>0.82756410256410251</v>
      </c>
      <c r="P2117" s="50">
        <f>IFERROR(Table1[[#This Row],[Quality Pass Production]]/Table1[[#This Row],[Actual Production (Kg)]], "")</f>
        <v>1</v>
      </c>
      <c r="Q2117" s="50">
        <f>IFERROR(Table1[[#This Row],[Utilization %]]*Table1[[#This Row],[Efficiency %]]*Table1[[#This Row],[Quality %]], "")</f>
        <v>0.63948135198135192</v>
      </c>
      <c r="R2117" s="48" t="s">
        <v>519</v>
      </c>
    </row>
    <row r="2118" spans="1:18" ht="30" customHeight="1" x14ac:dyDescent="0.25">
      <c r="A2118" s="51">
        <v>46309</v>
      </c>
      <c r="B2118" s="52" t="s">
        <v>18</v>
      </c>
      <c r="C2118" s="52" t="s">
        <v>135</v>
      </c>
      <c r="D2118" s="52" t="s">
        <v>29</v>
      </c>
      <c r="E2118" s="53"/>
      <c r="F2118" s="53"/>
      <c r="G2118" s="53"/>
      <c r="H2118" s="57" t="str">
        <f>IFERROR(Table1[Re-process (Kg)]/Table1[Actual Production (Kg)], "")</f>
        <v/>
      </c>
      <c r="I2118" s="53">
        <f>IFERROR(Table1[[#This Row],[Actual Production (Kg)]]-Table1[[#This Row],[Re-process (Kg)]], "")</f>
        <v>0</v>
      </c>
      <c r="J2118" s="53"/>
      <c r="K2118" s="52"/>
      <c r="L2118" s="53" t="str">
        <f>IF(Table1[[#This Row],[Target Time (Hours)]]="","",Table1[[#This Row],[Target Time (Hours)]]-Table1[[#This Row],[Downtime (Hours)]])</f>
        <v/>
      </c>
      <c r="M2118" s="53" t="str">
        <f>IFERROR(Table1[[#This Row],[Capacity (Kg)]]/Table1[[#This Row],[Target Time (Hours)]] * Table1[[#This Row],[Downtime (Hours)]], "")</f>
        <v/>
      </c>
      <c r="N2118" s="57" t="str">
        <f>IFERROR(Table1[[#This Row],[Running Time (hr)]]/Table1[Target Time (Hours)], "")</f>
        <v/>
      </c>
      <c r="O2118" s="57" t="str">
        <f>IFERROR(Table1[[#This Row],[Actual Production (Kg)]]/Table1[Capacity (Kg)], "")</f>
        <v/>
      </c>
      <c r="P2118" s="57" t="str">
        <f>IFERROR(Table1[[#This Row],[Quality Pass Production]]/Table1[[#This Row],[Actual Production (Kg)]], "")</f>
        <v/>
      </c>
      <c r="Q2118" s="57" t="str">
        <f>IFERROR(Table1[[#This Row],[Utilization %]]*Table1[[#This Row],[Efficiency %]]*Table1[[#This Row],[Quality %]], "")</f>
        <v/>
      </c>
      <c r="R2118" s="52"/>
    </row>
    <row r="2119" spans="1:18" ht="30" customHeight="1" x14ac:dyDescent="0.25">
      <c r="A2119" s="47">
        <v>46309</v>
      </c>
      <c r="B2119" s="48" t="s">
        <v>18</v>
      </c>
      <c r="C2119" s="48" t="s">
        <v>30</v>
      </c>
      <c r="D2119" s="48" t="s">
        <v>31</v>
      </c>
      <c r="E2119" s="49">
        <v>9000</v>
      </c>
      <c r="F2119" s="76">
        <v>8602</v>
      </c>
      <c r="G2119" s="49">
        <v>0</v>
      </c>
      <c r="H2119" s="50">
        <f>IFERROR(Table1[Re-process (Kg)]/Table1[Actual Production (Kg)], "")</f>
        <v>0</v>
      </c>
      <c r="I2119" s="49">
        <f>IFERROR(Table1[[#This Row],[Actual Production (Kg)]]-Table1[[#This Row],[Re-process (Kg)]], "")</f>
        <v>8602</v>
      </c>
      <c r="J2119" s="49">
        <v>22</v>
      </c>
      <c r="K2119" s="72"/>
      <c r="L2119" s="49">
        <f>IF(Table1[[#This Row],[Target Time (Hours)]]="","",Table1[[#This Row],[Target Time (Hours)]]-Table1[[#This Row],[Downtime (Hours)]])</f>
        <v>22</v>
      </c>
      <c r="M2119" s="49">
        <f>IFERROR(Table1[[#This Row],[Capacity (Kg)]]/Table1[[#This Row],[Target Time (Hours)]] * Table1[[#This Row],[Downtime (Hours)]], "")</f>
        <v>0</v>
      </c>
      <c r="N2119" s="50">
        <f>IFERROR(Table1[[#This Row],[Running Time (hr)]]/Table1[Target Time (Hours)], "")</f>
        <v>1</v>
      </c>
      <c r="O2119" s="50">
        <f>IFERROR(Table1[[#This Row],[Actual Production (Kg)]]/Table1[Capacity (Kg)], "")</f>
        <v>0.95577777777777773</v>
      </c>
      <c r="P2119" s="50">
        <f>IFERROR(Table1[[#This Row],[Quality Pass Production]]/Table1[[#This Row],[Actual Production (Kg)]], "")</f>
        <v>1</v>
      </c>
      <c r="Q2119" s="50">
        <f>IFERROR(Table1[[#This Row],[Utilization %]]*Table1[[#This Row],[Efficiency %]]*Table1[[#This Row],[Quality %]], "")</f>
        <v>0.95577777777777773</v>
      </c>
    </row>
    <row r="2120" spans="1:18" ht="30" customHeight="1" x14ac:dyDescent="0.25">
      <c r="A2120" s="51">
        <v>46309</v>
      </c>
      <c r="B2120" s="52" t="s">
        <v>18</v>
      </c>
      <c r="C2120" s="52" t="s">
        <v>32</v>
      </c>
      <c r="D2120" s="52" t="s">
        <v>31</v>
      </c>
      <c r="E2120" s="53">
        <v>2500</v>
      </c>
      <c r="F2120" s="53">
        <v>849</v>
      </c>
      <c r="G2120" s="53">
        <v>0</v>
      </c>
      <c r="H2120" s="57">
        <f>IFERROR(Table1[Re-process (Kg)]/Table1[Actual Production (Kg)], "")</f>
        <v>0</v>
      </c>
      <c r="I2120" s="53">
        <f>IFERROR(Table1[[#This Row],[Actual Production (Kg)]]-Table1[[#This Row],[Re-process (Kg)]], "")</f>
        <v>849</v>
      </c>
      <c r="J2120" s="53"/>
      <c r="K2120" s="52"/>
      <c r="L2120" s="53" t="str">
        <f>IF(Table1[[#This Row],[Target Time (Hours)]]="","",Table1[[#This Row],[Target Time (Hours)]]-Table1[[#This Row],[Downtime (Hours)]])</f>
        <v/>
      </c>
      <c r="M2120" s="53" t="str">
        <f>IFERROR(Table1[[#This Row],[Capacity (Kg)]]/Table1[[#This Row],[Target Time (Hours)]] * Table1[[#This Row],[Downtime (Hours)]], "")</f>
        <v/>
      </c>
      <c r="N2120" s="57" t="str">
        <f>IFERROR(Table1[[#This Row],[Running Time (hr)]]/Table1[Target Time (Hours)], "")</f>
        <v/>
      </c>
      <c r="O2120" s="57">
        <f>IFERROR(Table1[[#This Row],[Actual Production (Kg)]]/Table1[Capacity (Kg)], "")</f>
        <v>0.33960000000000001</v>
      </c>
      <c r="P2120" s="57">
        <f>IFERROR(Table1[[#This Row],[Quality Pass Production]]/Table1[[#This Row],[Actual Production (Kg)]], "")</f>
        <v>1</v>
      </c>
      <c r="Q2120" s="57" t="str">
        <f>IFERROR(Table1[[#This Row],[Utilization %]]*Table1[[#This Row],[Efficiency %]]*Table1[[#This Row],[Quality %]], "")</f>
        <v/>
      </c>
      <c r="R2120" s="52"/>
    </row>
    <row r="2121" spans="1:18" ht="30" customHeight="1" x14ac:dyDescent="0.25">
      <c r="A2121" s="47">
        <v>46309</v>
      </c>
      <c r="B2121" s="48" t="s">
        <v>33</v>
      </c>
      <c r="C2121" s="48" t="s">
        <v>34</v>
      </c>
      <c r="D2121" s="48" t="s">
        <v>35</v>
      </c>
      <c r="E2121" s="49">
        <v>9000</v>
      </c>
      <c r="F2121" s="76">
        <v>6240</v>
      </c>
      <c r="G2121" s="49">
        <v>0</v>
      </c>
      <c r="H2121" s="50">
        <f>IFERROR(Table1[Re-process (Kg)]/Table1[Actual Production (Kg)], "")</f>
        <v>0</v>
      </c>
      <c r="I2121" s="49">
        <f>IFERROR(Table1[[#This Row],[Actual Production (Kg)]]-Table1[[#This Row],[Re-process (Kg)]], "")</f>
        <v>6240</v>
      </c>
      <c r="J2121" s="49">
        <v>22</v>
      </c>
      <c r="K2121" s="72"/>
      <c r="L2121" s="49">
        <f>IF(Table1[[#This Row],[Target Time (Hours)]]="","",Table1[[#This Row],[Target Time (Hours)]]-Table1[[#This Row],[Downtime (Hours)]])</f>
        <v>22</v>
      </c>
      <c r="M2121" s="49">
        <f>IFERROR(Table1[[#This Row],[Capacity (Kg)]]/Table1[[#This Row],[Target Time (Hours)]] * Table1[[#This Row],[Downtime (Hours)]], "")</f>
        <v>0</v>
      </c>
      <c r="N2121" s="50">
        <f>IFERROR(Table1[[#This Row],[Running Time (hr)]]/Table1[Target Time (Hours)], "")</f>
        <v>1</v>
      </c>
      <c r="O2121" s="50">
        <f>IFERROR(Table1[[#This Row],[Actual Production (Kg)]]/Table1[Capacity (Kg)], "")</f>
        <v>0.69333333333333336</v>
      </c>
      <c r="P2121" s="50">
        <f>IFERROR(Table1[[#This Row],[Quality Pass Production]]/Table1[[#This Row],[Actual Production (Kg)]], "")</f>
        <v>1</v>
      </c>
      <c r="Q2121" s="50">
        <f>IFERROR(Table1[[#This Row],[Utilization %]]*Table1[[#This Row],[Efficiency %]]*Table1[[#This Row],[Quality %]], "")</f>
        <v>0.69333333333333336</v>
      </c>
    </row>
    <row r="2122" spans="1:18" ht="45" customHeight="1" x14ac:dyDescent="0.25">
      <c r="A2122" s="47">
        <v>46309</v>
      </c>
      <c r="B2122" s="48" t="s">
        <v>33</v>
      </c>
      <c r="C2122" s="48" t="s">
        <v>36</v>
      </c>
      <c r="D2122" s="48" t="s">
        <v>37</v>
      </c>
      <c r="E2122" s="49">
        <v>8000</v>
      </c>
      <c r="F2122" s="76">
        <v>5991</v>
      </c>
      <c r="G2122" s="49">
        <v>0</v>
      </c>
      <c r="H2122" s="50">
        <f>IFERROR(Table1[Re-process (Kg)]/Table1[Actual Production (Kg)], "")</f>
        <v>0</v>
      </c>
      <c r="I2122" s="49">
        <f>IFERROR(Table1[[#This Row],[Actual Production (Kg)]]-Table1[[#This Row],[Re-process (Kg)]], "")</f>
        <v>5991</v>
      </c>
      <c r="J2122" s="49">
        <v>22</v>
      </c>
      <c r="K2122" s="72">
        <v>1.33</v>
      </c>
      <c r="L2122" s="49">
        <f>IF(Table1[[#This Row],[Target Time (Hours)]]="","",Table1[[#This Row],[Target Time (Hours)]]-Table1[[#This Row],[Downtime (Hours)]])</f>
        <v>20.67</v>
      </c>
      <c r="M2122" s="49">
        <f>IFERROR(Table1[[#This Row],[Capacity (Kg)]]/Table1[[#This Row],[Target Time (Hours)]] * Table1[[#This Row],[Downtime (Hours)]], "")</f>
        <v>483.63636363636363</v>
      </c>
      <c r="N2122" s="50">
        <f>IFERROR(Table1[[#This Row],[Running Time (hr)]]/Table1[Target Time (Hours)], "")</f>
        <v>0.93954545454545457</v>
      </c>
      <c r="O2122" s="50">
        <f>IFERROR(Table1[[#This Row],[Actual Production (Kg)]]/Table1[Capacity (Kg)], "")</f>
        <v>0.74887499999999996</v>
      </c>
      <c r="P2122" s="50">
        <f>IFERROR(Table1[[#This Row],[Quality Pass Production]]/Table1[[#This Row],[Actual Production (Kg)]], "")</f>
        <v>1</v>
      </c>
      <c r="Q2122" s="50">
        <f>IFERROR(Table1[[#This Row],[Utilization %]]*Table1[[#This Row],[Efficiency %]]*Table1[[#This Row],[Quality %]], "")</f>
        <v>0.70360210227272724</v>
      </c>
      <c r="R2122" s="48" t="s">
        <v>564</v>
      </c>
    </row>
    <row r="2123" spans="1:18" ht="45" customHeight="1" x14ac:dyDescent="0.25">
      <c r="A2123" s="47">
        <v>46309</v>
      </c>
      <c r="B2123" s="48" t="s">
        <v>33</v>
      </c>
      <c r="C2123" s="48" t="s">
        <v>39</v>
      </c>
      <c r="D2123" s="48" t="s">
        <v>31</v>
      </c>
      <c r="E2123" s="49">
        <v>6000</v>
      </c>
      <c r="F2123" s="76">
        <v>2499</v>
      </c>
      <c r="G2123" s="49">
        <v>0</v>
      </c>
      <c r="H2123" s="50">
        <f>IFERROR(Table1[Re-process (Kg)]/Table1[Actual Production (Kg)], "")</f>
        <v>0</v>
      </c>
      <c r="I2123" s="49">
        <f>IFERROR(Table1[[#This Row],[Actual Production (Kg)]]-Table1[[#This Row],[Re-process (Kg)]], "")</f>
        <v>2499</v>
      </c>
      <c r="J2123" s="49">
        <v>22</v>
      </c>
      <c r="K2123" s="72">
        <v>3</v>
      </c>
      <c r="L2123" s="49">
        <f>IF(Table1[[#This Row],[Target Time (Hours)]]="","",Table1[[#This Row],[Target Time (Hours)]]-Table1[[#This Row],[Downtime (Hours)]])</f>
        <v>19</v>
      </c>
      <c r="M2123" s="49">
        <f>IFERROR(Table1[[#This Row],[Capacity (Kg)]]/Table1[[#This Row],[Target Time (Hours)]] * Table1[[#This Row],[Downtime (Hours)]], "")</f>
        <v>818.18181818181824</v>
      </c>
      <c r="N2123" s="50">
        <f>IFERROR(Table1[[#This Row],[Running Time (hr)]]/Table1[Target Time (Hours)], "")</f>
        <v>0.86363636363636365</v>
      </c>
      <c r="O2123" s="50">
        <f>IFERROR(Table1[[#This Row],[Actual Production (Kg)]]/Table1[Capacity (Kg)], "")</f>
        <v>0.41649999999999998</v>
      </c>
      <c r="P2123" s="50">
        <f>IFERROR(Table1[[#This Row],[Quality Pass Production]]/Table1[[#This Row],[Actual Production (Kg)]], "")</f>
        <v>1</v>
      </c>
      <c r="Q2123" s="50">
        <f>IFERROR(Table1[[#This Row],[Utilization %]]*Table1[[#This Row],[Efficiency %]]*Table1[[#This Row],[Quality %]], "")</f>
        <v>0.35970454545454544</v>
      </c>
      <c r="R2123" s="48" t="s">
        <v>565</v>
      </c>
    </row>
    <row r="2124" spans="1:18" ht="45" customHeight="1" x14ac:dyDescent="0.25">
      <c r="A2124" s="54">
        <v>46309</v>
      </c>
      <c r="B2124" s="55" t="s">
        <v>33</v>
      </c>
      <c r="C2124" s="55" t="s">
        <v>40</v>
      </c>
      <c r="D2124" s="55" t="s">
        <v>31</v>
      </c>
      <c r="E2124" s="56">
        <v>5000</v>
      </c>
      <c r="F2124" s="56">
        <v>3440</v>
      </c>
      <c r="G2124" s="56">
        <v>0</v>
      </c>
      <c r="H2124" s="58">
        <f>IFERROR(Table1[Re-process (Kg)]/Table1[Actual Production (Kg)], "")</f>
        <v>0</v>
      </c>
      <c r="I2124" s="56">
        <f>IFERROR(Table1[[#This Row],[Actual Production (Kg)]]-Table1[[#This Row],[Re-process (Kg)]], "")</f>
        <v>3440</v>
      </c>
      <c r="J2124" s="56">
        <v>22</v>
      </c>
      <c r="K2124" s="55">
        <v>2</v>
      </c>
      <c r="L2124" s="56">
        <f>IF(Table1[[#This Row],[Target Time (Hours)]]="","",Table1[[#This Row],[Target Time (Hours)]]-Table1[[#This Row],[Downtime (Hours)]])</f>
        <v>20</v>
      </c>
      <c r="M2124" s="56">
        <f>IFERROR(Table1[[#This Row],[Capacity (Kg)]]/Table1[[#This Row],[Target Time (Hours)]] * Table1[[#This Row],[Downtime (Hours)]], "")</f>
        <v>454.54545454545456</v>
      </c>
      <c r="N2124" s="58">
        <f>IFERROR(Table1[[#This Row],[Running Time (hr)]]/Table1[Target Time (Hours)], "")</f>
        <v>0.90909090909090906</v>
      </c>
      <c r="O2124" s="58">
        <f>IFERROR(Table1[[#This Row],[Actual Production (Kg)]]/Table1[Capacity (Kg)], "")</f>
        <v>0.68799999999999994</v>
      </c>
      <c r="P2124" s="58">
        <f>IFERROR(Table1[[#This Row],[Quality Pass Production]]/Table1[[#This Row],[Actual Production (Kg)]], "")</f>
        <v>1</v>
      </c>
      <c r="Q2124" s="58">
        <f>IFERROR(Table1[[#This Row],[Utilization %]]*Table1[[#This Row],[Efficiency %]]*Table1[[#This Row],[Quality %]], "")</f>
        <v>0.62545454545454537</v>
      </c>
      <c r="R2124" s="55" t="s">
        <v>551</v>
      </c>
    </row>
    <row r="2125" spans="1:18" ht="30" customHeight="1" x14ac:dyDescent="0.25">
      <c r="A2125" s="47">
        <v>46310</v>
      </c>
      <c r="B2125" s="48" t="s">
        <v>18</v>
      </c>
      <c r="C2125" s="48" t="s">
        <v>19</v>
      </c>
      <c r="D2125" s="48" t="s">
        <v>20</v>
      </c>
      <c r="E2125" s="49">
        <v>10000</v>
      </c>
      <c r="F2125" s="76">
        <v>9646</v>
      </c>
      <c r="G2125" s="49">
        <v>0</v>
      </c>
      <c r="H2125" s="50">
        <f>IFERROR(Table1[Re-process (Kg)]/Table1[Actual Production (Kg)], "")</f>
        <v>0</v>
      </c>
      <c r="I2125" s="49">
        <f>IFERROR(Table1[[#This Row],[Actual Production (Kg)]]-Table1[[#This Row],[Re-process (Kg)]], "")</f>
        <v>9646</v>
      </c>
      <c r="J2125" s="49">
        <v>22</v>
      </c>
      <c r="K2125" s="72"/>
      <c r="L2125" s="49">
        <f>IF(Table1[[#This Row],[Target Time (Hours)]]="","",Table1[[#This Row],[Target Time (Hours)]]-Table1[[#This Row],[Downtime (Hours)]])</f>
        <v>22</v>
      </c>
      <c r="M2125" s="49">
        <f>IFERROR(Table1[[#This Row],[Capacity (Kg)]]/Table1[[#This Row],[Target Time (Hours)]] * Table1[[#This Row],[Downtime (Hours)]], "")</f>
        <v>0</v>
      </c>
      <c r="N2125" s="50">
        <f>IFERROR(Table1[[#This Row],[Running Time (hr)]]/Table1[Target Time (Hours)], "")</f>
        <v>1</v>
      </c>
      <c r="O2125" s="50">
        <f>IFERROR(Table1[[#This Row],[Actual Production (Kg)]]/Table1[Capacity (Kg)], "")</f>
        <v>0.96460000000000001</v>
      </c>
      <c r="P2125" s="50">
        <f>IFERROR(Table1[[#This Row],[Quality Pass Production]]/Table1[[#This Row],[Actual Production (Kg)]], "")</f>
        <v>1</v>
      </c>
      <c r="Q2125" s="50">
        <f>IFERROR(Table1[[#This Row],[Utilization %]]*Table1[[#This Row],[Efficiency %]]*Table1[[#This Row],[Quality %]], "")</f>
        <v>0.96460000000000001</v>
      </c>
    </row>
    <row r="2126" spans="1:18" x14ac:dyDescent="0.25">
      <c r="A2126" s="51">
        <v>46310</v>
      </c>
      <c r="B2126" s="52" t="s">
        <v>18</v>
      </c>
      <c r="C2126" s="52" t="s">
        <v>238</v>
      </c>
      <c r="D2126" s="52" t="s">
        <v>20</v>
      </c>
      <c r="E2126" s="53">
        <v>9931</v>
      </c>
      <c r="F2126" s="53">
        <v>9931</v>
      </c>
      <c r="G2126" s="53">
        <v>0</v>
      </c>
      <c r="H2126" s="57">
        <f>IFERROR(Table1[Re-process (Kg)]/Table1[Actual Production (Kg)], "")</f>
        <v>0</v>
      </c>
      <c r="I2126" s="53">
        <f>IFERROR(Table1[[#This Row],[Actual Production (Kg)]]-Table1[[#This Row],[Re-process (Kg)]], "")</f>
        <v>9931</v>
      </c>
      <c r="J2126" s="53"/>
      <c r="K2126" s="52"/>
      <c r="L2126" s="53" t="str">
        <f>IF(Table1[[#This Row],[Target Time (Hours)]]="","",Table1[[#This Row],[Target Time (Hours)]]-Table1[[#This Row],[Downtime (Hours)]])</f>
        <v/>
      </c>
      <c r="M2126" s="53" t="str">
        <f>IFERROR(Table1[[#This Row],[Capacity (Kg)]]/Table1[[#This Row],[Target Time (Hours)]] * Table1[[#This Row],[Downtime (Hours)]], "")</f>
        <v/>
      </c>
      <c r="N2126" s="57" t="str">
        <f>IFERROR(Table1[[#This Row],[Running Time (hr)]]/Table1[Target Time (Hours)], "")</f>
        <v/>
      </c>
      <c r="O2126" s="57">
        <f>IFERROR(Table1[[#This Row],[Actual Production (Kg)]]/Table1[Capacity (Kg)], "")</f>
        <v>1</v>
      </c>
      <c r="P2126" s="57">
        <f>IFERROR(Table1[[#This Row],[Quality Pass Production]]/Table1[[#This Row],[Actual Production (Kg)]], "")</f>
        <v>1</v>
      </c>
      <c r="Q2126" s="57" t="str">
        <f>IFERROR(Table1[[#This Row],[Utilization %]]*Table1[[#This Row],[Efficiency %]]*Table1[[#This Row],[Quality %]], "")</f>
        <v/>
      </c>
      <c r="R2126" s="52"/>
    </row>
    <row r="2127" spans="1:18" x14ac:dyDescent="0.25">
      <c r="A2127" s="47">
        <v>46310</v>
      </c>
      <c r="B2127" s="48" t="s">
        <v>18</v>
      </c>
      <c r="C2127" s="48" t="s">
        <v>22</v>
      </c>
      <c r="D2127" s="48" t="s">
        <v>23</v>
      </c>
      <c r="E2127" s="49">
        <v>5000</v>
      </c>
      <c r="F2127" s="76">
        <v>2517</v>
      </c>
      <c r="G2127" s="49">
        <v>0</v>
      </c>
      <c r="H2127" s="50">
        <f>IFERROR(Table1[Re-process (Kg)]/Table1[Actual Production (Kg)], "")</f>
        <v>0</v>
      </c>
      <c r="I2127" s="49">
        <f>IFERROR(Table1[[#This Row],[Actual Production (Kg)]]-Table1[[#This Row],[Re-process (Kg)]], "")</f>
        <v>2517</v>
      </c>
      <c r="J2127" s="49">
        <v>22</v>
      </c>
      <c r="K2127" s="72"/>
      <c r="L2127" s="49">
        <f>IF(Table1[[#This Row],[Target Time (Hours)]]="","",Table1[[#This Row],[Target Time (Hours)]]-Table1[[#This Row],[Downtime (Hours)]])</f>
        <v>22</v>
      </c>
      <c r="M2127" s="49">
        <f>IFERROR(Table1[[#This Row],[Capacity (Kg)]]/Table1[[#This Row],[Target Time (Hours)]] * Table1[[#This Row],[Downtime (Hours)]], "")</f>
        <v>0</v>
      </c>
      <c r="N2127" s="50">
        <f>IFERROR(Table1[[#This Row],[Running Time (hr)]]/Table1[Target Time (Hours)], "")</f>
        <v>1</v>
      </c>
      <c r="O2127" s="50">
        <f>IFERROR(Table1[[#This Row],[Actual Production (Kg)]]/Table1[Capacity (Kg)], "")</f>
        <v>0.50339999999999996</v>
      </c>
      <c r="P2127" s="50">
        <f>IFERROR(Table1[[#This Row],[Quality Pass Production]]/Table1[[#This Row],[Actual Production (Kg)]], "")</f>
        <v>1</v>
      </c>
      <c r="Q2127" s="50">
        <f>IFERROR(Table1[[#This Row],[Utilization %]]*Table1[[#This Row],[Efficiency %]]*Table1[[#This Row],[Quality %]], "")</f>
        <v>0.50339999999999996</v>
      </c>
    </row>
    <row r="2128" spans="1:18" x14ac:dyDescent="0.25">
      <c r="A2128" s="47">
        <v>46310</v>
      </c>
      <c r="B2128" s="48" t="s">
        <v>18</v>
      </c>
      <c r="C2128" s="48" t="s">
        <v>22</v>
      </c>
      <c r="D2128" s="48" t="s">
        <v>25</v>
      </c>
      <c r="E2128" s="49">
        <v>4000</v>
      </c>
      <c r="F2128" s="76">
        <v>8642</v>
      </c>
      <c r="G2128" s="49">
        <v>0</v>
      </c>
      <c r="H2128" s="50">
        <f>IFERROR(Table1[Re-process (Kg)]/Table1[Actual Production (Kg)], "")</f>
        <v>0</v>
      </c>
      <c r="I2128" s="49">
        <f>IFERROR(Table1[[#This Row],[Actual Production (Kg)]]-Table1[[#This Row],[Re-process (Kg)]], "")</f>
        <v>8642</v>
      </c>
      <c r="J2128" s="49"/>
      <c r="K2128" s="72"/>
      <c r="L2128" s="49" t="str">
        <f>IF(Table1[[#This Row],[Target Time (Hours)]]="","",Table1[[#This Row],[Target Time (Hours)]]-Table1[[#This Row],[Downtime (Hours)]])</f>
        <v/>
      </c>
      <c r="M2128" s="49" t="str">
        <f>IFERROR(Table1[[#This Row],[Capacity (Kg)]]/Table1[[#This Row],[Target Time (Hours)]] * Table1[[#This Row],[Downtime (Hours)]], "")</f>
        <v/>
      </c>
      <c r="N2128" s="50" t="str">
        <f>IFERROR(Table1[[#This Row],[Running Time (hr)]]/Table1[Target Time (Hours)], "")</f>
        <v/>
      </c>
      <c r="O2128" s="50">
        <f>IFERROR(Table1[[#This Row],[Actual Production (Kg)]]/Table1[Capacity (Kg)], "")</f>
        <v>2.1604999999999999</v>
      </c>
      <c r="P2128" s="50">
        <f>IFERROR(Table1[[#This Row],[Quality Pass Production]]/Table1[[#This Row],[Actual Production (Kg)]], "")</f>
        <v>1</v>
      </c>
      <c r="Q2128" s="50" t="str">
        <f>IFERROR(Table1[[#This Row],[Utilization %]]*Table1[[#This Row],[Efficiency %]]*Table1[[#This Row],[Quality %]], "")</f>
        <v/>
      </c>
    </row>
    <row r="2129" spans="1:18" x14ac:dyDescent="0.25">
      <c r="A2129" s="47">
        <v>46310</v>
      </c>
      <c r="B2129" s="48" t="s">
        <v>18</v>
      </c>
      <c r="C2129" s="48" t="s">
        <v>26</v>
      </c>
      <c r="D2129" s="48" t="s">
        <v>25</v>
      </c>
      <c r="E2129" s="49">
        <v>7000</v>
      </c>
      <c r="F2129" s="76">
        <v>7301</v>
      </c>
      <c r="G2129" s="49">
        <v>0</v>
      </c>
      <c r="H2129" s="50">
        <f>IFERROR(Table1[Re-process (Kg)]/Table1[Actual Production (Kg)], "")</f>
        <v>0</v>
      </c>
      <c r="I2129" s="49">
        <f>IFERROR(Table1[[#This Row],[Actual Production (Kg)]]-Table1[[#This Row],[Re-process (Kg)]], "")</f>
        <v>7301</v>
      </c>
      <c r="J2129" s="49">
        <v>22</v>
      </c>
      <c r="K2129" s="72"/>
      <c r="L2129" s="49">
        <f>IF(Table1[[#This Row],[Target Time (Hours)]]="","",Table1[[#This Row],[Target Time (Hours)]]-Table1[[#This Row],[Downtime (Hours)]])</f>
        <v>22</v>
      </c>
      <c r="M2129" s="49">
        <f>IFERROR(Table1[[#This Row],[Capacity (Kg)]]/Table1[[#This Row],[Target Time (Hours)]] * Table1[[#This Row],[Downtime (Hours)]], "")</f>
        <v>0</v>
      </c>
      <c r="N2129" s="50">
        <f>IFERROR(Table1[[#This Row],[Running Time (hr)]]/Table1[Target Time (Hours)], "")</f>
        <v>1</v>
      </c>
      <c r="O2129" s="50">
        <f>IFERROR(Table1[[#This Row],[Actual Production (Kg)]]/Table1[Capacity (Kg)], "")</f>
        <v>1.0429999999999999</v>
      </c>
      <c r="P2129" s="50">
        <f>IFERROR(Table1[[#This Row],[Quality Pass Production]]/Table1[[#This Row],[Actual Production (Kg)]], "")</f>
        <v>1</v>
      </c>
      <c r="Q2129" s="50">
        <f>IFERROR(Table1[[#This Row],[Utilization %]]*Table1[[#This Row],[Efficiency %]]*Table1[[#This Row],[Quality %]], "")</f>
        <v>1.0429999999999999</v>
      </c>
    </row>
    <row r="2130" spans="1:18" ht="30" customHeight="1" x14ac:dyDescent="0.25">
      <c r="A2130" s="47">
        <v>46310</v>
      </c>
      <c r="B2130" s="48" t="s">
        <v>18</v>
      </c>
      <c r="C2130" s="48" t="s">
        <v>28</v>
      </c>
      <c r="D2130" s="48" t="s">
        <v>29</v>
      </c>
      <c r="E2130" s="49">
        <v>7800</v>
      </c>
      <c r="F2130" s="76">
        <v>3442</v>
      </c>
      <c r="G2130" s="49">
        <v>0</v>
      </c>
      <c r="H2130" s="50">
        <f>IFERROR(Table1[Re-process (Kg)]/Table1[Actual Production (Kg)], "")</f>
        <v>0</v>
      </c>
      <c r="I2130" s="49">
        <f>IFERROR(Table1[[#This Row],[Actual Production (Kg)]]-Table1[[#This Row],[Re-process (Kg)]], "")</f>
        <v>3442</v>
      </c>
      <c r="J2130" s="49">
        <v>22</v>
      </c>
      <c r="K2130" s="72">
        <v>7.5</v>
      </c>
      <c r="L2130" s="49">
        <f>IF(Table1[[#This Row],[Target Time (Hours)]]="","",Table1[[#This Row],[Target Time (Hours)]]-Table1[[#This Row],[Downtime (Hours)]])</f>
        <v>14.5</v>
      </c>
      <c r="M2130" s="49">
        <f>IFERROR(Table1[[#This Row],[Capacity (Kg)]]/Table1[[#This Row],[Target Time (Hours)]] * Table1[[#This Row],[Downtime (Hours)]], "")</f>
        <v>2659.090909090909</v>
      </c>
      <c r="N2130" s="50">
        <f>IFERROR(Table1[[#This Row],[Running Time (hr)]]/Table1[Target Time (Hours)], "")</f>
        <v>0.65909090909090906</v>
      </c>
      <c r="O2130" s="50">
        <f>IFERROR(Table1[[#This Row],[Actual Production (Kg)]]/Table1[Capacity (Kg)], "")</f>
        <v>0.44128205128205128</v>
      </c>
      <c r="P2130" s="50">
        <f>IFERROR(Table1[[#This Row],[Quality Pass Production]]/Table1[[#This Row],[Actual Production (Kg)]], "")</f>
        <v>1</v>
      </c>
      <c r="Q2130" s="50">
        <f>IFERROR(Table1[[#This Row],[Utilization %]]*Table1[[#This Row],[Efficiency %]]*Table1[[#This Row],[Quality %]], "")</f>
        <v>0.29084498834498834</v>
      </c>
      <c r="R2130" s="48" t="s">
        <v>566</v>
      </c>
    </row>
    <row r="2131" spans="1:18" ht="30" customHeight="1" x14ac:dyDescent="0.25">
      <c r="A2131" s="51">
        <v>46310</v>
      </c>
      <c r="B2131" s="52" t="s">
        <v>18</v>
      </c>
      <c r="C2131" s="52" t="s">
        <v>135</v>
      </c>
      <c r="D2131" s="52" t="s">
        <v>29</v>
      </c>
      <c r="E2131" s="53"/>
      <c r="F2131" s="53"/>
      <c r="G2131" s="53"/>
      <c r="H2131" s="57" t="str">
        <f>IFERROR(Table1[Re-process (Kg)]/Table1[Actual Production (Kg)], "")</f>
        <v/>
      </c>
      <c r="I2131" s="53">
        <f>IFERROR(Table1[[#This Row],[Actual Production (Kg)]]-Table1[[#This Row],[Re-process (Kg)]], "")</f>
        <v>0</v>
      </c>
      <c r="J2131" s="53"/>
      <c r="K2131" s="52"/>
      <c r="L2131" s="53" t="str">
        <f>IF(Table1[[#This Row],[Target Time (Hours)]]="","",Table1[[#This Row],[Target Time (Hours)]]-Table1[[#This Row],[Downtime (Hours)]])</f>
        <v/>
      </c>
      <c r="M2131" s="53" t="str">
        <f>IFERROR(Table1[[#This Row],[Capacity (Kg)]]/Table1[[#This Row],[Target Time (Hours)]] * Table1[[#This Row],[Downtime (Hours)]], "")</f>
        <v/>
      </c>
      <c r="N2131" s="57" t="str">
        <f>IFERROR(Table1[[#This Row],[Running Time (hr)]]/Table1[Target Time (Hours)], "")</f>
        <v/>
      </c>
      <c r="O2131" s="57" t="str">
        <f>IFERROR(Table1[[#This Row],[Actual Production (Kg)]]/Table1[Capacity (Kg)], "")</f>
        <v/>
      </c>
      <c r="P2131" s="57" t="str">
        <f>IFERROR(Table1[[#This Row],[Quality Pass Production]]/Table1[[#This Row],[Actual Production (Kg)]], "")</f>
        <v/>
      </c>
      <c r="Q2131" s="57" t="str">
        <f>IFERROR(Table1[[#This Row],[Utilization %]]*Table1[[#This Row],[Efficiency %]]*Table1[[#This Row],[Quality %]], "")</f>
        <v/>
      </c>
      <c r="R2131" s="52"/>
    </row>
    <row r="2132" spans="1:18" ht="30" customHeight="1" x14ac:dyDescent="0.25">
      <c r="A2132" s="47">
        <v>46310</v>
      </c>
      <c r="B2132" s="48" t="s">
        <v>18</v>
      </c>
      <c r="C2132" s="48" t="s">
        <v>30</v>
      </c>
      <c r="D2132" s="48" t="s">
        <v>31</v>
      </c>
      <c r="E2132" s="49">
        <v>9000</v>
      </c>
      <c r="F2132" s="76">
        <v>8300</v>
      </c>
      <c r="G2132" s="49">
        <v>0</v>
      </c>
      <c r="H2132" s="50">
        <f>IFERROR(Table1[Re-process (Kg)]/Table1[Actual Production (Kg)], "")</f>
        <v>0</v>
      </c>
      <c r="I2132" s="49">
        <f>IFERROR(Table1[[#This Row],[Actual Production (Kg)]]-Table1[[#This Row],[Re-process (Kg)]], "")</f>
        <v>8300</v>
      </c>
      <c r="J2132" s="49">
        <v>22</v>
      </c>
      <c r="K2132" s="72"/>
      <c r="L2132" s="49">
        <f>IF(Table1[[#This Row],[Target Time (Hours)]]="","",Table1[[#This Row],[Target Time (Hours)]]-Table1[[#This Row],[Downtime (Hours)]])</f>
        <v>22</v>
      </c>
      <c r="M2132" s="49">
        <f>IFERROR(Table1[[#This Row],[Capacity (Kg)]]/Table1[[#This Row],[Target Time (Hours)]] * Table1[[#This Row],[Downtime (Hours)]], "")</f>
        <v>0</v>
      </c>
      <c r="N2132" s="50">
        <f>IFERROR(Table1[[#This Row],[Running Time (hr)]]/Table1[Target Time (Hours)], "")</f>
        <v>1</v>
      </c>
      <c r="O2132" s="50">
        <f>IFERROR(Table1[[#This Row],[Actual Production (Kg)]]/Table1[Capacity (Kg)], "")</f>
        <v>0.92222222222222228</v>
      </c>
      <c r="P2132" s="50">
        <f>IFERROR(Table1[[#This Row],[Quality Pass Production]]/Table1[[#This Row],[Actual Production (Kg)]], "")</f>
        <v>1</v>
      </c>
      <c r="Q2132" s="50">
        <f>IFERROR(Table1[[#This Row],[Utilization %]]*Table1[[#This Row],[Efficiency %]]*Table1[[#This Row],[Quality %]], "")</f>
        <v>0.92222222222222228</v>
      </c>
    </row>
    <row r="2133" spans="1:18" ht="30" customHeight="1" x14ac:dyDescent="0.25">
      <c r="A2133" s="51">
        <v>46310</v>
      </c>
      <c r="B2133" s="52" t="s">
        <v>18</v>
      </c>
      <c r="C2133" s="52" t="s">
        <v>32</v>
      </c>
      <c r="D2133" s="52" t="s">
        <v>31</v>
      </c>
      <c r="E2133" s="53">
        <v>2500</v>
      </c>
      <c r="F2133" s="53">
        <v>1220</v>
      </c>
      <c r="G2133" s="53">
        <v>0</v>
      </c>
      <c r="H2133" s="57">
        <f>IFERROR(Table1[Re-process (Kg)]/Table1[Actual Production (Kg)], "")</f>
        <v>0</v>
      </c>
      <c r="I2133" s="53">
        <f>IFERROR(Table1[[#This Row],[Actual Production (Kg)]]-Table1[[#This Row],[Re-process (Kg)]], "")</f>
        <v>1220</v>
      </c>
      <c r="J2133" s="53"/>
      <c r="K2133" s="52"/>
      <c r="L2133" s="53" t="str">
        <f>IF(Table1[[#This Row],[Target Time (Hours)]]="","",Table1[[#This Row],[Target Time (Hours)]]-Table1[[#This Row],[Downtime (Hours)]])</f>
        <v/>
      </c>
      <c r="M2133" s="53" t="str">
        <f>IFERROR(Table1[[#This Row],[Capacity (Kg)]]/Table1[[#This Row],[Target Time (Hours)]] * Table1[[#This Row],[Downtime (Hours)]], "")</f>
        <v/>
      </c>
      <c r="N2133" s="57" t="str">
        <f>IFERROR(Table1[[#This Row],[Running Time (hr)]]/Table1[Target Time (Hours)], "")</f>
        <v/>
      </c>
      <c r="O2133" s="57">
        <f>IFERROR(Table1[[#This Row],[Actual Production (Kg)]]/Table1[Capacity (Kg)], "")</f>
        <v>0.48799999999999999</v>
      </c>
      <c r="P2133" s="57">
        <f>IFERROR(Table1[[#This Row],[Quality Pass Production]]/Table1[[#This Row],[Actual Production (Kg)]], "")</f>
        <v>1</v>
      </c>
      <c r="Q2133" s="57" t="str">
        <f>IFERROR(Table1[[#This Row],[Utilization %]]*Table1[[#This Row],[Efficiency %]]*Table1[[#This Row],[Quality %]], "")</f>
        <v/>
      </c>
      <c r="R2133" s="52"/>
    </row>
    <row r="2134" spans="1:18" ht="30" customHeight="1" x14ac:dyDescent="0.25">
      <c r="A2134" s="47">
        <v>46310</v>
      </c>
      <c r="B2134" s="48" t="s">
        <v>33</v>
      </c>
      <c r="C2134" s="48" t="s">
        <v>34</v>
      </c>
      <c r="D2134" s="48" t="s">
        <v>35</v>
      </c>
      <c r="E2134" s="49">
        <v>9000</v>
      </c>
      <c r="F2134" s="76">
        <v>7639</v>
      </c>
      <c r="G2134" s="49">
        <v>0</v>
      </c>
      <c r="H2134" s="50">
        <f>IFERROR(Table1[Re-process (Kg)]/Table1[Actual Production (Kg)], "")</f>
        <v>0</v>
      </c>
      <c r="I2134" s="49">
        <f>IFERROR(Table1[[#This Row],[Actual Production (Kg)]]-Table1[[#This Row],[Re-process (Kg)]], "")</f>
        <v>7639</v>
      </c>
      <c r="J2134" s="49">
        <v>22</v>
      </c>
      <c r="K2134" s="72"/>
      <c r="L2134" s="49">
        <f>IF(Table1[[#This Row],[Target Time (Hours)]]="","",Table1[[#This Row],[Target Time (Hours)]]-Table1[[#This Row],[Downtime (Hours)]])</f>
        <v>22</v>
      </c>
      <c r="M2134" s="49">
        <f>IFERROR(Table1[[#This Row],[Capacity (Kg)]]/Table1[[#This Row],[Target Time (Hours)]] * Table1[[#This Row],[Downtime (Hours)]], "")</f>
        <v>0</v>
      </c>
      <c r="N2134" s="50">
        <f>IFERROR(Table1[[#This Row],[Running Time (hr)]]/Table1[Target Time (Hours)], "")</f>
        <v>1</v>
      </c>
      <c r="O2134" s="50">
        <f>IFERROR(Table1[[#This Row],[Actual Production (Kg)]]/Table1[Capacity (Kg)], "")</f>
        <v>0.84877777777777774</v>
      </c>
      <c r="P2134" s="50">
        <f>IFERROR(Table1[[#This Row],[Quality Pass Production]]/Table1[[#This Row],[Actual Production (Kg)]], "")</f>
        <v>1</v>
      </c>
      <c r="Q2134" s="50">
        <f>IFERROR(Table1[[#This Row],[Utilization %]]*Table1[[#This Row],[Efficiency %]]*Table1[[#This Row],[Quality %]], "")</f>
        <v>0.84877777777777774</v>
      </c>
    </row>
    <row r="2135" spans="1:18" ht="45" customHeight="1" x14ac:dyDescent="0.25">
      <c r="A2135" s="47">
        <v>46310</v>
      </c>
      <c r="B2135" s="48" t="s">
        <v>33</v>
      </c>
      <c r="C2135" s="48" t="s">
        <v>36</v>
      </c>
      <c r="D2135" s="48" t="s">
        <v>37</v>
      </c>
      <c r="E2135" s="49">
        <v>8000</v>
      </c>
      <c r="F2135" s="76">
        <v>7638</v>
      </c>
      <c r="G2135" s="49">
        <v>0</v>
      </c>
      <c r="H2135" s="50">
        <f>IFERROR(Table1[Re-process (Kg)]/Table1[Actual Production (Kg)], "")</f>
        <v>0</v>
      </c>
      <c r="I2135" s="49">
        <f>IFERROR(Table1[[#This Row],[Actual Production (Kg)]]-Table1[[#This Row],[Re-process (Kg)]], "")</f>
        <v>7638</v>
      </c>
      <c r="J2135" s="49">
        <v>22</v>
      </c>
      <c r="K2135" s="72">
        <v>3.25</v>
      </c>
      <c r="L2135" s="49">
        <f>IF(Table1[[#This Row],[Target Time (Hours)]]="","",Table1[[#This Row],[Target Time (Hours)]]-Table1[[#This Row],[Downtime (Hours)]])</f>
        <v>18.75</v>
      </c>
      <c r="M2135" s="49">
        <f>IFERROR(Table1[[#This Row],[Capacity (Kg)]]/Table1[[#This Row],[Target Time (Hours)]] * Table1[[#This Row],[Downtime (Hours)]], "")</f>
        <v>1181.8181818181818</v>
      </c>
      <c r="N2135" s="50">
        <f>IFERROR(Table1[[#This Row],[Running Time (hr)]]/Table1[Target Time (Hours)], "")</f>
        <v>0.85227272727272729</v>
      </c>
      <c r="O2135" s="50">
        <f>IFERROR(Table1[[#This Row],[Actual Production (Kg)]]/Table1[Capacity (Kg)], "")</f>
        <v>0.95474999999999999</v>
      </c>
      <c r="P2135" s="50">
        <f>IFERROR(Table1[[#This Row],[Quality Pass Production]]/Table1[[#This Row],[Actual Production (Kg)]], "")</f>
        <v>1</v>
      </c>
      <c r="Q2135" s="50">
        <f>IFERROR(Table1[[#This Row],[Utilization %]]*Table1[[#This Row],[Efficiency %]]*Table1[[#This Row],[Quality %]], "")</f>
        <v>0.81370738636363638</v>
      </c>
      <c r="R2135" s="48" t="s">
        <v>567</v>
      </c>
    </row>
    <row r="2136" spans="1:18" ht="30" customHeight="1" x14ac:dyDescent="0.25">
      <c r="A2136" s="47">
        <v>46310</v>
      </c>
      <c r="B2136" s="48" t="s">
        <v>33</v>
      </c>
      <c r="C2136" s="48" t="s">
        <v>39</v>
      </c>
      <c r="D2136" s="48" t="s">
        <v>31</v>
      </c>
      <c r="E2136" s="49">
        <v>6000</v>
      </c>
      <c r="F2136" s="76">
        <v>3047</v>
      </c>
      <c r="G2136" s="49">
        <v>0</v>
      </c>
      <c r="H2136" s="50">
        <f>IFERROR(Table1[Re-process (Kg)]/Table1[Actual Production (Kg)], "")</f>
        <v>0</v>
      </c>
      <c r="I2136" s="49">
        <f>IFERROR(Table1[[#This Row],[Actual Production (Kg)]]-Table1[[#This Row],[Re-process (Kg)]], "")</f>
        <v>3047</v>
      </c>
      <c r="J2136" s="49">
        <v>22</v>
      </c>
      <c r="K2136" s="72"/>
      <c r="L2136" s="49">
        <f>IF(Table1[[#This Row],[Target Time (Hours)]]="","",Table1[[#This Row],[Target Time (Hours)]]-Table1[[#This Row],[Downtime (Hours)]])</f>
        <v>22</v>
      </c>
      <c r="M2136" s="49">
        <f>IFERROR(Table1[[#This Row],[Capacity (Kg)]]/Table1[[#This Row],[Target Time (Hours)]] * Table1[[#This Row],[Downtime (Hours)]], "")</f>
        <v>0</v>
      </c>
      <c r="N2136" s="50">
        <f>IFERROR(Table1[[#This Row],[Running Time (hr)]]/Table1[Target Time (Hours)], "")</f>
        <v>1</v>
      </c>
      <c r="O2136" s="50">
        <f>IFERROR(Table1[[#This Row],[Actual Production (Kg)]]/Table1[Capacity (Kg)], "")</f>
        <v>0.50783333333333336</v>
      </c>
      <c r="P2136" s="50">
        <f>IFERROR(Table1[[#This Row],[Quality Pass Production]]/Table1[[#This Row],[Actual Production (Kg)]], "")</f>
        <v>1</v>
      </c>
      <c r="Q2136" s="50">
        <f>IFERROR(Table1[[#This Row],[Utilization %]]*Table1[[#This Row],[Efficiency %]]*Table1[[#This Row],[Quality %]], "")</f>
        <v>0.50783333333333336</v>
      </c>
      <c r="R2136" s="48" t="s">
        <v>518</v>
      </c>
    </row>
    <row r="2137" spans="1:18" ht="45" customHeight="1" x14ac:dyDescent="0.25">
      <c r="A2137" s="54">
        <v>46310</v>
      </c>
      <c r="B2137" s="55" t="s">
        <v>33</v>
      </c>
      <c r="C2137" s="55" t="s">
        <v>40</v>
      </c>
      <c r="D2137" s="55" t="s">
        <v>31</v>
      </c>
      <c r="E2137" s="56">
        <v>5000</v>
      </c>
      <c r="F2137" s="56">
        <v>3148</v>
      </c>
      <c r="G2137" s="56">
        <v>0</v>
      </c>
      <c r="H2137" s="58">
        <f>IFERROR(Table1[Re-process (Kg)]/Table1[Actual Production (Kg)], "")</f>
        <v>0</v>
      </c>
      <c r="I2137" s="56">
        <f>IFERROR(Table1[[#This Row],[Actual Production (Kg)]]-Table1[[#This Row],[Re-process (Kg)]], "")</f>
        <v>3148</v>
      </c>
      <c r="J2137" s="56">
        <v>22</v>
      </c>
      <c r="K2137" s="55"/>
      <c r="L2137" s="56">
        <f>IF(Table1[[#This Row],[Target Time (Hours)]]="","",Table1[[#This Row],[Target Time (Hours)]]-Table1[[#This Row],[Downtime (Hours)]])</f>
        <v>22</v>
      </c>
      <c r="M2137" s="56">
        <f>IFERROR(Table1[[#This Row],[Capacity (Kg)]]/Table1[[#This Row],[Target Time (Hours)]] * Table1[[#This Row],[Downtime (Hours)]], "")</f>
        <v>0</v>
      </c>
      <c r="N2137" s="58">
        <f>IFERROR(Table1[[#This Row],[Running Time (hr)]]/Table1[Target Time (Hours)], "")</f>
        <v>1</v>
      </c>
      <c r="O2137" s="58">
        <f>IFERROR(Table1[[#This Row],[Actual Production (Kg)]]/Table1[Capacity (Kg)], "")</f>
        <v>0.62960000000000005</v>
      </c>
      <c r="P2137" s="58">
        <f>IFERROR(Table1[[#This Row],[Quality Pass Production]]/Table1[[#This Row],[Actual Production (Kg)]], "")</f>
        <v>1</v>
      </c>
      <c r="Q2137" s="58">
        <f>IFERROR(Table1[[#This Row],[Utilization %]]*Table1[[#This Row],[Efficiency %]]*Table1[[#This Row],[Quality %]], "")</f>
        <v>0.62960000000000005</v>
      </c>
      <c r="R2137" s="55" t="s">
        <v>518</v>
      </c>
    </row>
    <row r="2138" spans="1:18" ht="30" x14ac:dyDescent="0.25">
      <c r="A2138" s="47">
        <v>46312</v>
      </c>
      <c r="B2138" s="48" t="s">
        <v>18</v>
      </c>
      <c r="C2138" s="48" t="s">
        <v>19</v>
      </c>
      <c r="D2138" s="48" t="s">
        <v>20</v>
      </c>
      <c r="E2138" s="49">
        <v>10000</v>
      </c>
      <c r="F2138" s="76">
        <v>5835</v>
      </c>
      <c r="G2138" s="49">
        <v>0</v>
      </c>
      <c r="H2138" s="50">
        <f>IFERROR(Table1[Re-process (Kg)]/Table1[Actual Production (Kg)], "")</f>
        <v>0</v>
      </c>
      <c r="I2138" s="49">
        <f>IFERROR(Table1[[#This Row],[Actual Production (Kg)]]-Table1[[#This Row],[Re-process (Kg)]], "")</f>
        <v>5835</v>
      </c>
      <c r="J2138" s="49">
        <v>22</v>
      </c>
      <c r="K2138" s="72">
        <v>2</v>
      </c>
      <c r="L2138" s="49">
        <f>IF(Table1[[#This Row],[Target Time (Hours)]]="","",Table1[[#This Row],[Target Time (Hours)]]-Table1[[#This Row],[Downtime (Hours)]])</f>
        <v>20</v>
      </c>
      <c r="M2138" s="49">
        <f>IFERROR(Table1[[#This Row],[Capacity (Kg)]]/Table1[[#This Row],[Target Time (Hours)]] * Table1[[#This Row],[Downtime (Hours)]], "")</f>
        <v>909.09090909090912</v>
      </c>
      <c r="N2138" s="50">
        <f>IFERROR(Table1[[#This Row],[Running Time (hr)]]/Table1[Target Time (Hours)], "")</f>
        <v>0.90909090909090906</v>
      </c>
      <c r="O2138" s="50">
        <f>IFERROR(Table1[[#This Row],[Actual Production (Kg)]]/Table1[Capacity (Kg)], "")</f>
        <v>0.58350000000000002</v>
      </c>
      <c r="P2138" s="50">
        <f>IFERROR(Table1[[#This Row],[Quality Pass Production]]/Table1[[#This Row],[Actual Production (Kg)]], "")</f>
        <v>1</v>
      </c>
      <c r="Q2138" s="50">
        <f>IFERROR(Table1[[#This Row],[Utilization %]]*Table1[[#This Row],[Efficiency %]]*Table1[[#This Row],[Quality %]], "")</f>
        <v>0.5304545454545454</v>
      </c>
      <c r="R2138" s="48" t="s">
        <v>557</v>
      </c>
    </row>
    <row r="2139" spans="1:18" x14ac:dyDescent="0.25">
      <c r="A2139" s="51">
        <v>46312</v>
      </c>
      <c r="B2139" s="52" t="s">
        <v>18</v>
      </c>
      <c r="C2139" s="52" t="s">
        <v>238</v>
      </c>
      <c r="D2139" s="52" t="s">
        <v>20</v>
      </c>
      <c r="E2139" s="53">
        <v>9542</v>
      </c>
      <c r="F2139" s="53">
        <v>9542</v>
      </c>
      <c r="G2139" s="53">
        <v>0</v>
      </c>
      <c r="H2139" s="57">
        <f>IFERROR(Table1[Re-process (Kg)]/Table1[Actual Production (Kg)], "")</f>
        <v>0</v>
      </c>
      <c r="I2139" s="53">
        <f>IFERROR(Table1[[#This Row],[Actual Production (Kg)]]-Table1[[#This Row],[Re-process (Kg)]], "")</f>
        <v>9542</v>
      </c>
      <c r="J2139" s="53"/>
      <c r="K2139" s="52"/>
      <c r="L2139" s="53" t="str">
        <f>IF(Table1[[#This Row],[Target Time (Hours)]]="","",Table1[[#This Row],[Target Time (Hours)]]-Table1[[#This Row],[Downtime (Hours)]])</f>
        <v/>
      </c>
      <c r="M2139" s="53" t="str">
        <f>IFERROR(Table1[[#This Row],[Capacity (Kg)]]/Table1[[#This Row],[Target Time (Hours)]] * Table1[[#This Row],[Downtime (Hours)]], "")</f>
        <v/>
      </c>
      <c r="N2139" s="57" t="str">
        <f>IFERROR(Table1[[#This Row],[Running Time (hr)]]/Table1[Target Time (Hours)], "")</f>
        <v/>
      </c>
      <c r="O2139" s="57">
        <f>IFERROR(Table1[[#This Row],[Actual Production (Kg)]]/Table1[Capacity (Kg)], "")</f>
        <v>1</v>
      </c>
      <c r="P2139" s="57">
        <f>IFERROR(Table1[[#This Row],[Quality Pass Production]]/Table1[[#This Row],[Actual Production (Kg)]], "")</f>
        <v>1</v>
      </c>
      <c r="Q2139" s="57" t="str">
        <f>IFERROR(Table1[[#This Row],[Utilization %]]*Table1[[#This Row],[Efficiency %]]*Table1[[#This Row],[Quality %]], "")</f>
        <v/>
      </c>
      <c r="R2139" s="52"/>
    </row>
    <row r="2140" spans="1:18" ht="30" x14ac:dyDescent="0.25">
      <c r="A2140" s="47">
        <v>46312</v>
      </c>
      <c r="B2140" s="48" t="s">
        <v>18</v>
      </c>
      <c r="C2140" s="48" t="s">
        <v>22</v>
      </c>
      <c r="D2140" s="48" t="s">
        <v>23</v>
      </c>
      <c r="E2140" s="49">
        <v>5000</v>
      </c>
      <c r="F2140" s="76">
        <v>7432</v>
      </c>
      <c r="G2140" s="49">
        <v>0</v>
      </c>
      <c r="H2140" s="50">
        <f>IFERROR(Table1[Re-process (Kg)]/Table1[Actual Production (Kg)], "")</f>
        <v>0</v>
      </c>
      <c r="I2140" s="49">
        <f>IFERROR(Table1[[#This Row],[Actual Production (Kg)]]-Table1[[#This Row],[Re-process (Kg)]], "")</f>
        <v>7432</v>
      </c>
      <c r="J2140" s="49">
        <v>22</v>
      </c>
      <c r="K2140" s="72">
        <v>2.5</v>
      </c>
      <c r="L2140" s="49">
        <f>IF(Table1[[#This Row],[Target Time (Hours)]]="","",Table1[[#This Row],[Target Time (Hours)]]-Table1[[#This Row],[Downtime (Hours)]])</f>
        <v>19.5</v>
      </c>
      <c r="M2140" s="49">
        <f>IFERROR(Table1[[#This Row],[Capacity (Kg)]]/Table1[[#This Row],[Target Time (Hours)]] * Table1[[#This Row],[Downtime (Hours)]], "")</f>
        <v>568.18181818181824</v>
      </c>
      <c r="N2140" s="50">
        <f>IFERROR(Table1[[#This Row],[Running Time (hr)]]/Table1[Target Time (Hours)], "")</f>
        <v>0.88636363636363635</v>
      </c>
      <c r="O2140" s="50">
        <f>IFERROR(Table1[[#This Row],[Actual Production (Kg)]]/Table1[Capacity (Kg)], "")</f>
        <v>1.4863999999999999</v>
      </c>
      <c r="P2140" s="50">
        <f>IFERROR(Table1[[#This Row],[Quality Pass Production]]/Table1[[#This Row],[Actual Production (Kg)]], "")</f>
        <v>1</v>
      </c>
      <c r="Q2140" s="50">
        <f>IFERROR(Table1[[#This Row],[Utilization %]]*Table1[[#This Row],[Efficiency %]]*Table1[[#This Row],[Quality %]], "")</f>
        <v>1.317490909090909</v>
      </c>
      <c r="R2140" s="48" t="s">
        <v>444</v>
      </c>
    </row>
    <row r="2141" spans="1:18" x14ac:dyDescent="0.25">
      <c r="A2141" s="47">
        <v>46312</v>
      </c>
      <c r="B2141" s="48" t="s">
        <v>18</v>
      </c>
      <c r="C2141" s="48" t="s">
        <v>22</v>
      </c>
      <c r="D2141" s="48" t="s">
        <v>25</v>
      </c>
      <c r="E2141" s="49">
        <v>4000</v>
      </c>
      <c r="F2141" s="76">
        <v>301</v>
      </c>
      <c r="G2141" s="49">
        <v>0</v>
      </c>
      <c r="H2141" s="50">
        <f>IFERROR(Table1[Re-process (Kg)]/Table1[Actual Production (Kg)], "")</f>
        <v>0</v>
      </c>
      <c r="I2141" s="49">
        <f>IFERROR(Table1[[#This Row],[Actual Production (Kg)]]-Table1[[#This Row],[Re-process (Kg)]], "")</f>
        <v>301</v>
      </c>
      <c r="J2141" s="49"/>
      <c r="K2141" s="72"/>
      <c r="L2141" s="49" t="str">
        <f>IF(Table1[[#This Row],[Target Time (Hours)]]="","",Table1[[#This Row],[Target Time (Hours)]]-Table1[[#This Row],[Downtime (Hours)]])</f>
        <v/>
      </c>
      <c r="M2141" s="49" t="str">
        <f>IFERROR(Table1[[#This Row],[Capacity (Kg)]]/Table1[[#This Row],[Target Time (Hours)]] * Table1[[#This Row],[Downtime (Hours)]], "")</f>
        <v/>
      </c>
      <c r="N2141" s="50" t="str">
        <f>IFERROR(Table1[[#This Row],[Running Time (hr)]]/Table1[Target Time (Hours)], "")</f>
        <v/>
      </c>
      <c r="O2141" s="50">
        <f>IFERROR(Table1[[#This Row],[Actual Production (Kg)]]/Table1[Capacity (Kg)], "")</f>
        <v>7.5249999999999997E-2</v>
      </c>
      <c r="P2141" s="50">
        <f>IFERROR(Table1[[#This Row],[Quality Pass Production]]/Table1[[#This Row],[Actual Production (Kg)]], "")</f>
        <v>1</v>
      </c>
      <c r="Q2141" s="50" t="str">
        <f>IFERROR(Table1[[#This Row],[Utilization %]]*Table1[[#This Row],[Efficiency %]]*Table1[[#This Row],[Quality %]], "")</f>
        <v/>
      </c>
    </row>
    <row r="2142" spans="1:18" ht="30" x14ac:dyDescent="0.25">
      <c r="A2142" s="47">
        <v>46312</v>
      </c>
      <c r="B2142" s="48" t="s">
        <v>18</v>
      </c>
      <c r="C2142" s="48" t="s">
        <v>26</v>
      </c>
      <c r="D2142" s="48" t="s">
        <v>25</v>
      </c>
      <c r="E2142" s="49">
        <v>7000</v>
      </c>
      <c r="F2142" s="76">
        <v>4969</v>
      </c>
      <c r="G2142" s="49">
        <v>0</v>
      </c>
      <c r="H2142" s="50">
        <f>IFERROR(Table1[Re-process (Kg)]/Table1[Actual Production (Kg)], "")</f>
        <v>0</v>
      </c>
      <c r="I2142" s="49">
        <f>IFERROR(Table1[[#This Row],[Actual Production (Kg)]]-Table1[[#This Row],[Re-process (Kg)]], "")</f>
        <v>4969</v>
      </c>
      <c r="J2142" s="49">
        <v>22</v>
      </c>
      <c r="K2142" s="72">
        <v>4.33</v>
      </c>
      <c r="L2142" s="49">
        <f>IF(Table1[[#This Row],[Target Time (Hours)]]="","",Table1[[#This Row],[Target Time (Hours)]]-Table1[[#This Row],[Downtime (Hours)]])</f>
        <v>17.670000000000002</v>
      </c>
      <c r="M2142" s="49">
        <f>IFERROR(Table1[[#This Row],[Capacity (Kg)]]/Table1[[#This Row],[Target Time (Hours)]] * Table1[[#This Row],[Downtime (Hours)]], "")</f>
        <v>1377.7272727272727</v>
      </c>
      <c r="N2142" s="50">
        <f>IFERROR(Table1[[#This Row],[Running Time (hr)]]/Table1[Target Time (Hours)], "")</f>
        <v>0.80318181818181822</v>
      </c>
      <c r="O2142" s="50">
        <f>IFERROR(Table1[[#This Row],[Actual Production (Kg)]]/Table1[Capacity (Kg)], "")</f>
        <v>0.70985714285714285</v>
      </c>
      <c r="P2142" s="50">
        <f>IFERROR(Table1[[#This Row],[Quality Pass Production]]/Table1[[#This Row],[Actual Production (Kg)]], "")</f>
        <v>1</v>
      </c>
      <c r="Q2142" s="50">
        <f>IFERROR(Table1[[#This Row],[Utilization %]]*Table1[[#This Row],[Efficiency %]]*Table1[[#This Row],[Quality %]], "")</f>
        <v>0.57014435064935065</v>
      </c>
      <c r="R2142" s="48" t="s">
        <v>568</v>
      </c>
    </row>
    <row r="2143" spans="1:18" ht="30" x14ac:dyDescent="0.25">
      <c r="A2143" s="47">
        <v>46312</v>
      </c>
      <c r="B2143" s="48" t="s">
        <v>18</v>
      </c>
      <c r="C2143" s="48" t="s">
        <v>28</v>
      </c>
      <c r="D2143" s="48" t="s">
        <v>29</v>
      </c>
      <c r="E2143" s="49">
        <v>7800</v>
      </c>
      <c r="F2143" s="76">
        <v>7636</v>
      </c>
      <c r="G2143" s="49">
        <v>0</v>
      </c>
      <c r="H2143" s="50">
        <f>IFERROR(Table1[Re-process (Kg)]/Table1[Actual Production (Kg)], "")</f>
        <v>0</v>
      </c>
      <c r="I2143" s="49">
        <f>IFERROR(Table1[[#This Row],[Actual Production (Kg)]]-Table1[[#This Row],[Re-process (Kg)]], "")</f>
        <v>7636</v>
      </c>
      <c r="J2143" s="49">
        <v>22</v>
      </c>
      <c r="K2143" s="72"/>
      <c r="L2143" s="49">
        <f>IF(Table1[[#This Row],[Target Time (Hours)]]="","",Table1[[#This Row],[Target Time (Hours)]]-Table1[[#This Row],[Downtime (Hours)]])</f>
        <v>22</v>
      </c>
      <c r="M2143" s="49">
        <f>IFERROR(Table1[[#This Row],[Capacity (Kg)]]/Table1[[#This Row],[Target Time (Hours)]] * Table1[[#This Row],[Downtime (Hours)]], "")</f>
        <v>0</v>
      </c>
      <c r="N2143" s="50">
        <f>IFERROR(Table1[[#This Row],[Running Time (hr)]]/Table1[Target Time (Hours)], "")</f>
        <v>1</v>
      </c>
      <c r="O2143" s="50">
        <f>IFERROR(Table1[[#This Row],[Actual Production (Kg)]]/Table1[Capacity (Kg)], "")</f>
        <v>0.97897435897435903</v>
      </c>
      <c r="P2143" s="50">
        <f>IFERROR(Table1[[#This Row],[Quality Pass Production]]/Table1[[#This Row],[Actual Production (Kg)]], "")</f>
        <v>1</v>
      </c>
      <c r="Q2143" s="50">
        <f>IFERROR(Table1[[#This Row],[Utilization %]]*Table1[[#This Row],[Efficiency %]]*Table1[[#This Row],[Quality %]], "")</f>
        <v>0.97897435897435903</v>
      </c>
    </row>
    <row r="2144" spans="1:18" ht="30" x14ac:dyDescent="0.25">
      <c r="A2144" s="51">
        <v>46312</v>
      </c>
      <c r="B2144" s="52" t="s">
        <v>18</v>
      </c>
      <c r="C2144" s="52" t="s">
        <v>135</v>
      </c>
      <c r="D2144" s="52" t="s">
        <v>29</v>
      </c>
      <c r="E2144" s="53"/>
      <c r="F2144" s="53"/>
      <c r="G2144" s="53"/>
      <c r="H2144" s="57" t="str">
        <f>IFERROR(Table1[Re-process (Kg)]/Table1[Actual Production (Kg)], "")</f>
        <v/>
      </c>
      <c r="I2144" s="53">
        <f>IFERROR(Table1[[#This Row],[Actual Production (Kg)]]-Table1[[#This Row],[Re-process (Kg)]], "")</f>
        <v>0</v>
      </c>
      <c r="J2144" s="53"/>
      <c r="K2144" s="52"/>
      <c r="L2144" s="53" t="str">
        <f>IF(Table1[[#This Row],[Target Time (Hours)]]="","",Table1[[#This Row],[Target Time (Hours)]]-Table1[[#This Row],[Downtime (Hours)]])</f>
        <v/>
      </c>
      <c r="M2144" s="53" t="str">
        <f>IFERROR(Table1[[#This Row],[Capacity (Kg)]]/Table1[[#This Row],[Target Time (Hours)]] * Table1[[#This Row],[Downtime (Hours)]], "")</f>
        <v/>
      </c>
      <c r="N2144" s="57" t="str">
        <f>IFERROR(Table1[[#This Row],[Running Time (hr)]]/Table1[Target Time (Hours)], "")</f>
        <v/>
      </c>
      <c r="O2144" s="57" t="str">
        <f>IFERROR(Table1[[#This Row],[Actual Production (Kg)]]/Table1[Capacity (Kg)], "")</f>
        <v/>
      </c>
      <c r="P2144" s="57" t="str">
        <f>IFERROR(Table1[[#This Row],[Quality Pass Production]]/Table1[[#This Row],[Actual Production (Kg)]], "")</f>
        <v/>
      </c>
      <c r="Q2144" s="57" t="str">
        <f>IFERROR(Table1[[#This Row],[Utilization %]]*Table1[[#This Row],[Efficiency %]]*Table1[[#This Row],[Quality %]], "")</f>
        <v/>
      </c>
      <c r="R2144" s="52"/>
    </row>
    <row r="2145" spans="1:18" ht="30" x14ac:dyDescent="0.25">
      <c r="A2145" s="47">
        <v>46312</v>
      </c>
      <c r="B2145" s="48" t="s">
        <v>18</v>
      </c>
      <c r="C2145" s="48" t="s">
        <v>30</v>
      </c>
      <c r="D2145" s="48" t="s">
        <v>31</v>
      </c>
      <c r="E2145" s="49">
        <v>9000</v>
      </c>
      <c r="F2145" s="76">
        <v>4132</v>
      </c>
      <c r="G2145" s="49">
        <v>0</v>
      </c>
      <c r="H2145" s="50">
        <f>IFERROR(Table1[Re-process (Kg)]/Table1[Actual Production (Kg)], "")</f>
        <v>0</v>
      </c>
      <c r="I2145" s="49">
        <f>IFERROR(Table1[[#This Row],[Actual Production (Kg)]]-Table1[[#This Row],[Re-process (Kg)]], "")</f>
        <v>4132</v>
      </c>
      <c r="J2145" s="49">
        <v>22</v>
      </c>
      <c r="K2145" s="72"/>
      <c r="L2145" s="49">
        <f>IF(Table1[[#This Row],[Target Time (Hours)]]="","",Table1[[#This Row],[Target Time (Hours)]]-Table1[[#This Row],[Downtime (Hours)]])</f>
        <v>22</v>
      </c>
      <c r="M2145" s="49">
        <f>IFERROR(Table1[[#This Row],[Capacity (Kg)]]/Table1[[#This Row],[Target Time (Hours)]] * Table1[[#This Row],[Downtime (Hours)]], "")</f>
        <v>0</v>
      </c>
      <c r="N2145" s="50">
        <f>IFERROR(Table1[[#This Row],[Running Time (hr)]]/Table1[Target Time (Hours)], "")</f>
        <v>1</v>
      </c>
      <c r="O2145" s="50">
        <f>IFERROR(Table1[[#This Row],[Actual Production (Kg)]]/Table1[Capacity (Kg)], "")</f>
        <v>0.45911111111111114</v>
      </c>
      <c r="P2145" s="50">
        <f>IFERROR(Table1[[#This Row],[Quality Pass Production]]/Table1[[#This Row],[Actual Production (Kg)]], "")</f>
        <v>1</v>
      </c>
      <c r="Q2145" s="50">
        <f>IFERROR(Table1[[#This Row],[Utilization %]]*Table1[[#This Row],[Efficiency %]]*Table1[[#This Row],[Quality %]], "")</f>
        <v>0.45911111111111114</v>
      </c>
    </row>
    <row r="2146" spans="1:18" ht="30" x14ac:dyDescent="0.25">
      <c r="A2146" s="51">
        <v>46312</v>
      </c>
      <c r="B2146" s="52" t="s">
        <v>18</v>
      </c>
      <c r="C2146" s="52" t="s">
        <v>32</v>
      </c>
      <c r="D2146" s="52" t="s">
        <v>31</v>
      </c>
      <c r="E2146" s="53"/>
      <c r="F2146" s="53"/>
      <c r="G2146" s="53"/>
      <c r="H2146" s="57" t="str">
        <f>IFERROR(Table1[Re-process (Kg)]/Table1[Actual Production (Kg)], "")</f>
        <v/>
      </c>
      <c r="I2146" s="53">
        <f>IFERROR(Table1[[#This Row],[Actual Production (Kg)]]-Table1[[#This Row],[Re-process (Kg)]], "")</f>
        <v>0</v>
      </c>
      <c r="J2146" s="53"/>
      <c r="K2146" s="52"/>
      <c r="L2146" s="53" t="str">
        <f>IF(Table1[[#This Row],[Target Time (Hours)]]="","",Table1[[#This Row],[Target Time (Hours)]]-Table1[[#This Row],[Downtime (Hours)]])</f>
        <v/>
      </c>
      <c r="M2146" s="53" t="str">
        <f>IFERROR(Table1[[#This Row],[Capacity (Kg)]]/Table1[[#This Row],[Target Time (Hours)]] * Table1[[#This Row],[Downtime (Hours)]], "")</f>
        <v/>
      </c>
      <c r="N2146" s="57" t="str">
        <f>IFERROR(Table1[[#This Row],[Running Time (hr)]]/Table1[Target Time (Hours)], "")</f>
        <v/>
      </c>
      <c r="O2146" s="57" t="str">
        <f>IFERROR(Table1[[#This Row],[Actual Production (Kg)]]/Table1[Capacity (Kg)], "")</f>
        <v/>
      </c>
      <c r="P2146" s="57" t="str">
        <f>IFERROR(Table1[[#This Row],[Quality Pass Production]]/Table1[[#This Row],[Actual Production (Kg)]], "")</f>
        <v/>
      </c>
      <c r="Q2146" s="57" t="str">
        <f>IFERROR(Table1[[#This Row],[Utilization %]]*Table1[[#This Row],[Efficiency %]]*Table1[[#This Row],[Quality %]], "")</f>
        <v/>
      </c>
      <c r="R2146" s="52"/>
    </row>
    <row r="2147" spans="1:18" ht="45" x14ac:dyDescent="0.25">
      <c r="A2147" s="47">
        <v>46312</v>
      </c>
      <c r="B2147" s="48" t="s">
        <v>33</v>
      </c>
      <c r="C2147" s="48" t="s">
        <v>34</v>
      </c>
      <c r="D2147" s="48" t="s">
        <v>35</v>
      </c>
      <c r="E2147" s="49">
        <v>9000</v>
      </c>
      <c r="F2147" s="76">
        <v>5796</v>
      </c>
      <c r="G2147" s="49">
        <v>0</v>
      </c>
      <c r="H2147" s="50">
        <f>IFERROR(Table1[Re-process (Kg)]/Table1[Actual Production (Kg)], "")</f>
        <v>0</v>
      </c>
      <c r="I2147" s="49">
        <f>IFERROR(Table1[[#This Row],[Actual Production (Kg)]]-Table1[[#This Row],[Re-process (Kg)]], "")</f>
        <v>5796</v>
      </c>
      <c r="J2147" s="49">
        <v>22</v>
      </c>
      <c r="K2147" s="72">
        <v>2</v>
      </c>
      <c r="L2147" s="49">
        <f>IF(Table1[[#This Row],[Target Time (Hours)]]="","",Table1[[#This Row],[Target Time (Hours)]]-Table1[[#This Row],[Downtime (Hours)]])</f>
        <v>20</v>
      </c>
      <c r="M2147" s="49">
        <f>IFERROR(Table1[[#This Row],[Capacity (Kg)]]/Table1[[#This Row],[Target Time (Hours)]] * Table1[[#This Row],[Downtime (Hours)]], "")</f>
        <v>818.18181818181813</v>
      </c>
      <c r="N2147" s="50">
        <f>IFERROR(Table1[[#This Row],[Running Time (hr)]]/Table1[Target Time (Hours)], "")</f>
        <v>0.90909090909090906</v>
      </c>
      <c r="O2147" s="50">
        <f>IFERROR(Table1[[#This Row],[Actual Production (Kg)]]/Table1[Capacity (Kg)], "")</f>
        <v>0.64400000000000002</v>
      </c>
      <c r="P2147" s="50">
        <f>IFERROR(Table1[[#This Row],[Quality Pass Production]]/Table1[[#This Row],[Actual Production (Kg)]], "")</f>
        <v>1</v>
      </c>
      <c r="Q2147" s="50">
        <f>IFERROR(Table1[[#This Row],[Utilization %]]*Table1[[#This Row],[Efficiency %]]*Table1[[#This Row],[Quality %]], "")</f>
        <v>0.58545454545454545</v>
      </c>
      <c r="R2147" s="48" t="s">
        <v>551</v>
      </c>
    </row>
    <row r="2148" spans="1:18" ht="45" x14ac:dyDescent="0.25">
      <c r="A2148" s="47">
        <v>46312</v>
      </c>
      <c r="B2148" s="48" t="s">
        <v>33</v>
      </c>
      <c r="C2148" s="48" t="s">
        <v>36</v>
      </c>
      <c r="D2148" s="48" t="s">
        <v>37</v>
      </c>
      <c r="E2148" s="49">
        <v>8000</v>
      </c>
      <c r="F2148" s="76">
        <v>5796</v>
      </c>
      <c r="G2148" s="49">
        <v>0</v>
      </c>
      <c r="H2148" s="50">
        <f>IFERROR(Table1[Re-process (Kg)]/Table1[Actual Production (Kg)], "")</f>
        <v>0</v>
      </c>
      <c r="I2148" s="49">
        <f>IFERROR(Table1[[#This Row],[Actual Production (Kg)]]-Table1[[#This Row],[Re-process (Kg)]], "")</f>
        <v>5796</v>
      </c>
      <c r="J2148" s="49">
        <v>22</v>
      </c>
      <c r="K2148" s="72">
        <v>5</v>
      </c>
      <c r="L2148" s="49">
        <f>IF(Table1[[#This Row],[Target Time (Hours)]]="","",Table1[[#This Row],[Target Time (Hours)]]-Table1[[#This Row],[Downtime (Hours)]])</f>
        <v>17</v>
      </c>
      <c r="M2148" s="49">
        <f>IFERROR(Table1[[#This Row],[Capacity (Kg)]]/Table1[[#This Row],[Target Time (Hours)]] * Table1[[#This Row],[Downtime (Hours)]], "")</f>
        <v>1818.181818181818</v>
      </c>
      <c r="N2148" s="50">
        <f>IFERROR(Table1[[#This Row],[Running Time (hr)]]/Table1[Target Time (Hours)], "")</f>
        <v>0.77272727272727271</v>
      </c>
      <c r="O2148" s="50">
        <f>IFERROR(Table1[[#This Row],[Actual Production (Kg)]]/Table1[Capacity (Kg)], "")</f>
        <v>0.72450000000000003</v>
      </c>
      <c r="P2148" s="50">
        <f>IFERROR(Table1[[#This Row],[Quality Pass Production]]/Table1[[#This Row],[Actual Production (Kg)]], "")</f>
        <v>1</v>
      </c>
      <c r="Q2148" s="50">
        <f>IFERROR(Table1[[#This Row],[Utilization %]]*Table1[[#This Row],[Efficiency %]]*Table1[[#This Row],[Quality %]], "")</f>
        <v>0.55984090909090911</v>
      </c>
      <c r="R2148" s="48" t="s">
        <v>569</v>
      </c>
    </row>
    <row r="2149" spans="1:18" ht="45" x14ac:dyDescent="0.25">
      <c r="A2149" s="47">
        <v>46312</v>
      </c>
      <c r="B2149" s="48" t="s">
        <v>33</v>
      </c>
      <c r="C2149" s="48" t="s">
        <v>39</v>
      </c>
      <c r="D2149" s="48" t="s">
        <v>31</v>
      </c>
      <c r="E2149" s="49">
        <v>6000</v>
      </c>
      <c r="F2149" s="76">
        <v>1632</v>
      </c>
      <c r="G2149" s="49">
        <v>0</v>
      </c>
      <c r="H2149" s="50">
        <f>IFERROR(Table1[Re-process (Kg)]/Table1[Actual Production (Kg)], "")</f>
        <v>0</v>
      </c>
      <c r="I2149" s="49">
        <f>IFERROR(Table1[[#This Row],[Actual Production (Kg)]]-Table1[[#This Row],[Re-process (Kg)]], "")</f>
        <v>1632</v>
      </c>
      <c r="J2149" s="49">
        <v>22</v>
      </c>
      <c r="K2149" s="72">
        <v>12</v>
      </c>
      <c r="L2149" s="49">
        <f>IF(Table1[[#This Row],[Target Time (Hours)]]="","",Table1[[#This Row],[Target Time (Hours)]]-Table1[[#This Row],[Downtime (Hours)]])</f>
        <v>10</v>
      </c>
      <c r="M2149" s="49">
        <f>IFERROR(Table1[[#This Row],[Capacity (Kg)]]/Table1[[#This Row],[Target Time (Hours)]] * Table1[[#This Row],[Downtime (Hours)]], "")</f>
        <v>3272.727272727273</v>
      </c>
      <c r="N2149" s="50">
        <f>IFERROR(Table1[[#This Row],[Running Time (hr)]]/Table1[Target Time (Hours)], "")</f>
        <v>0.45454545454545453</v>
      </c>
      <c r="O2149" s="50">
        <f>IFERROR(Table1[[#This Row],[Actual Production (Kg)]]/Table1[Capacity (Kg)], "")</f>
        <v>0.27200000000000002</v>
      </c>
      <c r="P2149" s="50">
        <f>IFERROR(Table1[[#This Row],[Quality Pass Production]]/Table1[[#This Row],[Actual Production (Kg)]], "")</f>
        <v>1</v>
      </c>
      <c r="Q2149" s="50">
        <f>IFERROR(Table1[[#This Row],[Utilization %]]*Table1[[#This Row],[Efficiency %]]*Table1[[#This Row],[Quality %]], "")</f>
        <v>0.12363636363636364</v>
      </c>
      <c r="R2149" s="48" t="s">
        <v>556</v>
      </c>
    </row>
    <row r="2150" spans="1:18" ht="45" x14ac:dyDescent="0.25">
      <c r="A2150" s="54">
        <v>46312</v>
      </c>
      <c r="B2150" s="55" t="s">
        <v>33</v>
      </c>
      <c r="C2150" s="55" t="s">
        <v>40</v>
      </c>
      <c r="D2150" s="55" t="s">
        <v>31</v>
      </c>
      <c r="E2150" s="56">
        <v>5000</v>
      </c>
      <c r="F2150" s="56">
        <v>3623</v>
      </c>
      <c r="G2150" s="56">
        <v>0</v>
      </c>
      <c r="H2150" s="58">
        <f>IFERROR(Table1[Re-process (Kg)]/Table1[Actual Production (Kg)], "")</f>
        <v>0</v>
      </c>
      <c r="I2150" s="56">
        <f>IFERROR(Table1[[#This Row],[Actual Production (Kg)]]-Table1[[#This Row],[Re-process (Kg)]], "")</f>
        <v>3623</v>
      </c>
      <c r="J2150" s="56">
        <v>22</v>
      </c>
      <c r="K2150" s="55"/>
      <c r="L2150" s="56">
        <f>IF(Table1[[#This Row],[Target Time (Hours)]]="","",Table1[[#This Row],[Target Time (Hours)]]-Table1[[#This Row],[Downtime (Hours)]])</f>
        <v>22</v>
      </c>
      <c r="M2150" s="56">
        <f>IFERROR(Table1[[#This Row],[Capacity (Kg)]]/Table1[[#This Row],[Target Time (Hours)]] * Table1[[#This Row],[Downtime (Hours)]], "")</f>
        <v>0</v>
      </c>
      <c r="N2150" s="58">
        <f>IFERROR(Table1[[#This Row],[Running Time (hr)]]/Table1[Target Time (Hours)], "")</f>
        <v>1</v>
      </c>
      <c r="O2150" s="58">
        <f>IFERROR(Table1[[#This Row],[Actual Production (Kg)]]/Table1[Capacity (Kg)], "")</f>
        <v>0.72460000000000002</v>
      </c>
      <c r="P2150" s="58">
        <f>IFERROR(Table1[[#This Row],[Quality Pass Production]]/Table1[[#This Row],[Actual Production (Kg)]], "")</f>
        <v>1</v>
      </c>
      <c r="Q2150" s="58">
        <f>IFERROR(Table1[[#This Row],[Utilization %]]*Table1[[#This Row],[Efficiency %]]*Table1[[#This Row],[Quality %]], "")</f>
        <v>0.72460000000000002</v>
      </c>
      <c r="R2150" s="55" t="s">
        <v>518</v>
      </c>
    </row>
  </sheetData>
  <conditionalFormatting sqref="N2:N455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455">
    <cfRule type="cellIs" dxfId="165" priority="35" operator="lessThan">
      <formula>0.5</formula>
    </cfRule>
  </conditionalFormatting>
  <conditionalFormatting sqref="N45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56">
    <cfRule type="cellIs" dxfId="164" priority="33" operator="lessThan">
      <formula>0.5</formula>
    </cfRule>
  </conditionalFormatting>
  <conditionalFormatting sqref="Q1:Q1228 Q1230:Q1233 Q1235 Q1237:Q1239 Q1241:Q1798 Q1826:Q1838 Q2151:Q1048576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16:Q92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40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3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36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2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799:Q1825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39:Q185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52:Q1864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65:Q187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78:Q189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91:Q190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04:Q191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17:Q192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30:Q194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43:Q195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56:Q196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69:Q198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82:Q19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95:Q200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08:Q202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21:Q203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34:Q204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47:Q205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60:Q20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73:Q208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86:Q20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99:Q211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12:Q212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25:Q213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38:Q21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.2" right="0.2" top="0.75" bottom="0.75" header="0.3" footer="0.3"/>
  <pageSetup scale="64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17"/>
  <sheetViews>
    <sheetView tabSelected="1" zoomScale="91" zoomScaleNormal="91" workbookViewId="0">
      <selection activeCell="E21" sqref="E21"/>
    </sheetView>
  </sheetViews>
  <sheetFormatPr defaultRowHeight="15" x14ac:dyDescent="0.25"/>
  <cols>
    <col min="1" max="1" width="29.7109375" style="89" customWidth="1"/>
    <col min="2" max="2" width="10.5703125" style="89" customWidth="1"/>
    <col min="3" max="3" width="14.85546875" style="89" customWidth="1"/>
    <col min="4" max="4" width="10.42578125" style="89" customWidth="1"/>
    <col min="5" max="5" width="10.5703125" style="89" customWidth="1"/>
    <col min="6" max="6" width="11.28515625" style="89" customWidth="1"/>
    <col min="7" max="7" width="12.28515625" style="89" customWidth="1"/>
    <col min="8" max="8" width="12" style="89" customWidth="1"/>
    <col min="9" max="9" width="12.28515625" style="89" customWidth="1"/>
    <col min="10" max="10" width="15.42578125" style="89" customWidth="1"/>
    <col min="11" max="11" width="12.42578125" style="89" customWidth="1"/>
    <col min="12" max="12" width="11.28515625" style="89" customWidth="1"/>
  </cols>
  <sheetData>
    <row r="1" spans="1:14" ht="39.75" customHeight="1" x14ac:dyDescent="0.25">
      <c r="A1" s="91" t="s">
        <v>570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x14ac:dyDescent="0.25">
      <c r="A2" s="20" t="s">
        <v>0</v>
      </c>
      <c r="B2" s="87" t="s">
        <v>571</v>
      </c>
    </row>
    <row r="3" spans="1:14" x14ac:dyDescent="0.25">
      <c r="A3" s="20" t="s">
        <v>1</v>
      </c>
      <c r="B3" s="87" t="s">
        <v>571</v>
      </c>
    </row>
    <row r="4" spans="1:14" x14ac:dyDescent="0.25">
      <c r="A4" s="20" t="s">
        <v>3</v>
      </c>
      <c r="B4" s="87" t="s">
        <v>571</v>
      </c>
    </row>
    <row r="5" spans="1:14" ht="14.25" customHeight="1" x14ac:dyDescent="0.25"/>
    <row r="6" spans="1:14" x14ac:dyDescent="0.25">
      <c r="A6" s="87"/>
      <c r="B6" s="20" t="s">
        <v>572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</row>
    <row r="7" spans="1:14" ht="45" x14ac:dyDescent="0.25">
      <c r="A7" s="7" t="s">
        <v>2</v>
      </c>
      <c r="B7" s="8" t="s">
        <v>573</v>
      </c>
      <c r="C7" s="8" t="s">
        <v>574</v>
      </c>
      <c r="D7" s="8" t="s">
        <v>575</v>
      </c>
      <c r="E7" s="8" t="s">
        <v>576</v>
      </c>
      <c r="F7" s="8" t="s">
        <v>577</v>
      </c>
      <c r="G7" s="8" t="s">
        <v>578</v>
      </c>
      <c r="H7" s="8" t="s">
        <v>579</v>
      </c>
      <c r="I7" s="8" t="s">
        <v>580</v>
      </c>
      <c r="J7" s="9" t="s">
        <v>581</v>
      </c>
      <c r="K7" s="8" t="s">
        <v>582</v>
      </c>
      <c r="L7" s="8" t="s">
        <v>583</v>
      </c>
      <c r="M7" s="8" t="s">
        <v>584</v>
      </c>
      <c r="N7" s="8" t="s">
        <v>585</v>
      </c>
    </row>
    <row r="8" spans="1:14" x14ac:dyDescent="0.25">
      <c r="A8" s="19" t="s">
        <v>19</v>
      </c>
      <c r="B8" s="94">
        <v>10000</v>
      </c>
      <c r="C8" s="94">
        <v>5835</v>
      </c>
      <c r="D8" s="94">
        <v>0</v>
      </c>
      <c r="E8" s="6">
        <v>0</v>
      </c>
      <c r="F8" s="94">
        <v>5835</v>
      </c>
      <c r="G8" s="94">
        <v>22</v>
      </c>
      <c r="H8" s="94">
        <v>20</v>
      </c>
      <c r="I8" s="94">
        <v>2</v>
      </c>
      <c r="J8" s="5">
        <v>909.09090909090912</v>
      </c>
      <c r="K8" s="6">
        <v>0.90909090909090906</v>
      </c>
      <c r="L8" s="11">
        <v>0.58350000000000002</v>
      </c>
      <c r="M8" s="11">
        <v>1</v>
      </c>
      <c r="N8" s="11">
        <v>0.5304545454545454</v>
      </c>
    </row>
    <row r="9" spans="1:14" x14ac:dyDescent="0.25">
      <c r="A9" s="19" t="s">
        <v>22</v>
      </c>
      <c r="B9" s="94">
        <v>9000</v>
      </c>
      <c r="C9" s="94">
        <v>7733</v>
      </c>
      <c r="D9" s="94">
        <v>0</v>
      </c>
      <c r="E9" s="6">
        <v>0</v>
      </c>
      <c r="F9" s="94">
        <v>7733</v>
      </c>
      <c r="G9" s="94">
        <v>22</v>
      </c>
      <c r="H9" s="94">
        <v>19.5</v>
      </c>
      <c r="I9" s="94">
        <v>2.5</v>
      </c>
      <c r="J9" s="5">
        <v>568.18181818181824</v>
      </c>
      <c r="K9" s="6">
        <v>0.88636363636363635</v>
      </c>
      <c r="L9" s="11">
        <v>0.85922222222222222</v>
      </c>
      <c r="M9" s="11">
        <v>1</v>
      </c>
      <c r="N9" s="11">
        <v>0.76158333333333328</v>
      </c>
    </row>
    <row r="10" spans="1:14" x14ac:dyDescent="0.25">
      <c r="A10" s="19" t="s">
        <v>26</v>
      </c>
      <c r="B10" s="94">
        <v>7000</v>
      </c>
      <c r="C10" s="94">
        <v>4969</v>
      </c>
      <c r="D10" s="94">
        <v>0</v>
      </c>
      <c r="E10" s="6">
        <v>0</v>
      </c>
      <c r="F10" s="94">
        <v>4969</v>
      </c>
      <c r="G10" s="94">
        <v>22</v>
      </c>
      <c r="H10" s="94">
        <v>17.670000000000002</v>
      </c>
      <c r="I10" s="94">
        <v>4.33</v>
      </c>
      <c r="J10" s="5">
        <v>1377.7272727272727</v>
      </c>
      <c r="K10" s="6">
        <v>0.80318181818181822</v>
      </c>
      <c r="L10" s="11">
        <v>0.70985714285714285</v>
      </c>
      <c r="M10" s="11">
        <v>1</v>
      </c>
      <c r="N10" s="11">
        <v>0.57014435064935065</v>
      </c>
    </row>
    <row r="11" spans="1:14" x14ac:dyDescent="0.25">
      <c r="A11" s="19" t="s">
        <v>28</v>
      </c>
      <c r="B11" s="94">
        <v>7800</v>
      </c>
      <c r="C11" s="94">
        <v>7636</v>
      </c>
      <c r="D11" s="94">
        <v>0</v>
      </c>
      <c r="E11" s="6">
        <v>0</v>
      </c>
      <c r="F11" s="94">
        <v>7636</v>
      </c>
      <c r="G11" s="94">
        <v>22</v>
      </c>
      <c r="H11" s="94">
        <v>22</v>
      </c>
      <c r="I11" s="94"/>
      <c r="J11" s="5">
        <v>0</v>
      </c>
      <c r="K11" s="6">
        <v>1</v>
      </c>
      <c r="L11" s="11">
        <v>0.97897435897435903</v>
      </c>
      <c r="M11" s="11">
        <v>1</v>
      </c>
      <c r="N11" s="11">
        <v>0.97897435897435903</v>
      </c>
    </row>
    <row r="12" spans="1:14" x14ac:dyDescent="0.25">
      <c r="A12" s="19" t="s">
        <v>30</v>
      </c>
      <c r="B12" s="94">
        <v>9000</v>
      </c>
      <c r="C12" s="94">
        <v>4132</v>
      </c>
      <c r="D12" s="94">
        <v>0</v>
      </c>
      <c r="E12" s="6">
        <v>0</v>
      </c>
      <c r="F12" s="94">
        <v>4132</v>
      </c>
      <c r="G12" s="94">
        <v>22</v>
      </c>
      <c r="H12" s="94">
        <v>22</v>
      </c>
      <c r="I12" s="94"/>
      <c r="J12" s="5">
        <v>0</v>
      </c>
      <c r="K12" s="6">
        <v>1</v>
      </c>
      <c r="L12" s="11">
        <v>0.45911111111111114</v>
      </c>
      <c r="M12" s="11">
        <v>1</v>
      </c>
      <c r="N12" s="11">
        <v>0.45911111111111114</v>
      </c>
    </row>
    <row r="13" spans="1:14" x14ac:dyDescent="0.25">
      <c r="A13" s="19" t="s">
        <v>34</v>
      </c>
      <c r="B13" s="94">
        <v>9000</v>
      </c>
      <c r="C13" s="94">
        <v>5796</v>
      </c>
      <c r="D13" s="94">
        <v>0</v>
      </c>
      <c r="E13" s="6">
        <v>0</v>
      </c>
      <c r="F13" s="94">
        <v>5796</v>
      </c>
      <c r="G13" s="94">
        <v>22</v>
      </c>
      <c r="H13" s="94">
        <v>20</v>
      </c>
      <c r="I13" s="94">
        <v>2</v>
      </c>
      <c r="J13" s="5">
        <v>818.18181818181813</v>
      </c>
      <c r="K13" s="6">
        <v>0.90909090909090906</v>
      </c>
      <c r="L13" s="11">
        <v>0.64400000000000002</v>
      </c>
      <c r="M13" s="11">
        <v>1</v>
      </c>
      <c r="N13" s="11">
        <v>0.58545454545454545</v>
      </c>
    </row>
    <row r="14" spans="1:14" x14ac:dyDescent="0.25">
      <c r="A14" s="19" t="s">
        <v>36</v>
      </c>
      <c r="B14" s="94">
        <v>8000</v>
      </c>
      <c r="C14" s="94">
        <v>5796</v>
      </c>
      <c r="D14" s="94">
        <v>0</v>
      </c>
      <c r="E14" s="6">
        <v>0</v>
      </c>
      <c r="F14" s="94">
        <v>5796</v>
      </c>
      <c r="G14" s="94">
        <v>22</v>
      </c>
      <c r="H14" s="94">
        <v>17</v>
      </c>
      <c r="I14" s="94">
        <v>5</v>
      </c>
      <c r="J14" s="5">
        <v>1818.181818181818</v>
      </c>
      <c r="K14" s="6">
        <v>0.77272727272727271</v>
      </c>
      <c r="L14" s="11">
        <v>0.72450000000000003</v>
      </c>
      <c r="M14" s="11">
        <v>1</v>
      </c>
      <c r="N14" s="11">
        <v>0.55984090909090911</v>
      </c>
    </row>
    <row r="15" spans="1:14" x14ac:dyDescent="0.25">
      <c r="A15" s="19" t="s">
        <v>39</v>
      </c>
      <c r="B15" s="94">
        <v>6000</v>
      </c>
      <c r="C15" s="94">
        <v>1632</v>
      </c>
      <c r="D15" s="94">
        <v>0</v>
      </c>
      <c r="E15" s="6">
        <v>0</v>
      </c>
      <c r="F15" s="94">
        <v>1632</v>
      </c>
      <c r="G15" s="94">
        <v>22</v>
      </c>
      <c r="H15" s="94">
        <v>10</v>
      </c>
      <c r="I15" s="94">
        <v>12</v>
      </c>
      <c r="J15" s="5">
        <v>3272.727272727273</v>
      </c>
      <c r="K15" s="6">
        <v>0.45454545454545453</v>
      </c>
      <c r="L15" s="11">
        <v>0.27200000000000002</v>
      </c>
      <c r="M15" s="11">
        <v>1</v>
      </c>
      <c r="N15" s="11">
        <v>0.12363636363636364</v>
      </c>
    </row>
    <row r="16" spans="1:14" x14ac:dyDescent="0.25">
      <c r="A16" s="19" t="s">
        <v>40</v>
      </c>
      <c r="B16" s="94">
        <v>5000</v>
      </c>
      <c r="C16" s="94">
        <v>3623</v>
      </c>
      <c r="D16" s="94">
        <v>0</v>
      </c>
      <c r="E16" s="6">
        <v>0</v>
      </c>
      <c r="F16" s="94">
        <v>3623</v>
      </c>
      <c r="G16" s="94">
        <v>22</v>
      </c>
      <c r="H16" s="94">
        <v>22</v>
      </c>
      <c r="I16" s="94"/>
      <c r="J16" s="5">
        <v>0</v>
      </c>
      <c r="K16" s="6">
        <v>1</v>
      </c>
      <c r="L16" s="11">
        <v>0.72460000000000002</v>
      </c>
      <c r="M16" s="11">
        <v>1</v>
      </c>
      <c r="N16" s="11">
        <v>0.72460000000000002</v>
      </c>
    </row>
    <row r="17" spans="1:14" ht="15.75" x14ac:dyDescent="0.25">
      <c r="A17" s="88" t="s">
        <v>586</v>
      </c>
      <c r="B17" s="95">
        <v>70800</v>
      </c>
      <c r="C17" s="95">
        <v>47152</v>
      </c>
      <c r="D17" s="95">
        <v>0</v>
      </c>
      <c r="E17" s="59">
        <v>0</v>
      </c>
      <c r="F17" s="95">
        <v>47152</v>
      </c>
      <c r="G17" s="95">
        <v>198</v>
      </c>
      <c r="H17" s="95">
        <v>170.17000000000002</v>
      </c>
      <c r="I17" s="95">
        <v>27.83</v>
      </c>
      <c r="J17" s="60">
        <v>8764.0909090909081</v>
      </c>
      <c r="K17" s="59">
        <v>0.85944444444444457</v>
      </c>
      <c r="L17" s="61">
        <v>0.66598870056497173</v>
      </c>
      <c r="M17" s="61">
        <v>1</v>
      </c>
      <c r="N17" s="61">
        <v>0.57238028876333968</v>
      </c>
    </row>
  </sheetData>
  <mergeCells count="1">
    <mergeCell ref="A1:N1"/>
  </mergeCells>
  <conditionalFormatting sqref="N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.2" right="0" top="0.75" bottom="0.75" header="0.3" footer="0.3"/>
  <pageSetup scale="72" orientation="landscape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2"/>
  <sheetViews>
    <sheetView workbookViewId="0">
      <pane ySplit="1" topLeftCell="A448" activePane="bottomLeft" state="frozen"/>
      <selection pane="bottomLeft" activeCell="E456" sqref="E456"/>
    </sheetView>
  </sheetViews>
  <sheetFormatPr defaultRowHeight="15" x14ac:dyDescent="0.25"/>
  <cols>
    <col min="2" max="2" width="30.85546875" style="21" customWidth="1"/>
    <col min="3" max="3" width="12.140625" style="89" customWidth="1"/>
    <col min="4" max="4" width="63.7109375" style="89" customWidth="1"/>
  </cols>
  <sheetData>
    <row r="1" spans="1:4" ht="25.5" customHeight="1" x14ac:dyDescent="0.25">
      <c r="A1" s="62" t="s">
        <v>0</v>
      </c>
      <c r="B1" s="63" t="s">
        <v>587</v>
      </c>
      <c r="C1" s="41" t="s">
        <v>588</v>
      </c>
      <c r="D1" s="41" t="s">
        <v>589</v>
      </c>
    </row>
    <row r="2" spans="1:4" x14ac:dyDescent="0.25">
      <c r="A2" s="68">
        <v>46167</v>
      </c>
      <c r="B2" s="22" t="s">
        <v>19</v>
      </c>
      <c r="C2" s="86"/>
      <c r="D2" s="45" t="s">
        <v>590</v>
      </c>
    </row>
    <row r="3" spans="1:4" x14ac:dyDescent="0.25">
      <c r="A3" s="68">
        <v>46167</v>
      </c>
      <c r="B3" s="22" t="s">
        <v>591</v>
      </c>
      <c r="C3" s="86"/>
      <c r="D3" s="45"/>
    </row>
    <row r="4" spans="1:4" x14ac:dyDescent="0.25">
      <c r="A4" s="68">
        <v>46167</v>
      </c>
      <c r="B4" s="22" t="s">
        <v>592</v>
      </c>
      <c r="C4" s="86"/>
      <c r="D4" s="45"/>
    </row>
    <row r="5" spans="1:4" x14ac:dyDescent="0.25">
      <c r="A5" s="68">
        <v>46167</v>
      </c>
      <c r="B5" s="22" t="s">
        <v>26</v>
      </c>
      <c r="C5" s="86"/>
      <c r="D5" s="45"/>
    </row>
    <row r="6" spans="1:4" x14ac:dyDescent="0.25">
      <c r="A6" s="68">
        <v>46167</v>
      </c>
      <c r="B6" s="22" t="s">
        <v>28</v>
      </c>
      <c r="C6" s="86"/>
      <c r="D6" s="45"/>
    </row>
    <row r="7" spans="1:4" x14ac:dyDescent="0.25">
      <c r="A7" s="13">
        <v>46167</v>
      </c>
      <c r="B7" s="23" t="s">
        <v>135</v>
      </c>
      <c r="C7" s="17"/>
      <c r="D7" s="15" t="s">
        <v>593</v>
      </c>
    </row>
    <row r="8" spans="1:4" x14ac:dyDescent="0.25">
      <c r="A8" s="68">
        <v>46167</v>
      </c>
      <c r="B8" s="22" t="s">
        <v>30</v>
      </c>
      <c r="C8" s="86"/>
      <c r="D8" s="45"/>
    </row>
    <row r="9" spans="1:4" x14ac:dyDescent="0.25">
      <c r="A9" s="13">
        <v>46167</v>
      </c>
      <c r="B9" s="23" t="s">
        <v>32</v>
      </c>
      <c r="C9" s="17"/>
      <c r="D9" s="15" t="s">
        <v>593</v>
      </c>
    </row>
    <row r="10" spans="1:4" x14ac:dyDescent="0.25">
      <c r="A10" s="68">
        <v>46167</v>
      </c>
      <c r="B10" s="22" t="s">
        <v>34</v>
      </c>
      <c r="C10" s="86"/>
      <c r="D10" s="45"/>
    </row>
    <row r="11" spans="1:4" x14ac:dyDescent="0.25">
      <c r="A11" s="68">
        <v>46167</v>
      </c>
      <c r="B11" s="22" t="s">
        <v>36</v>
      </c>
      <c r="C11" s="86">
        <v>1</v>
      </c>
      <c r="D11" s="45"/>
    </row>
    <row r="12" spans="1:4" x14ac:dyDescent="0.25">
      <c r="A12" s="68">
        <v>46167</v>
      </c>
      <c r="B12" s="22" t="s">
        <v>39</v>
      </c>
      <c r="C12" s="86"/>
      <c r="D12" s="45"/>
    </row>
    <row r="13" spans="1:4" x14ac:dyDescent="0.25">
      <c r="A13" s="14">
        <v>46167</v>
      </c>
      <c r="B13" s="24" t="s">
        <v>594</v>
      </c>
      <c r="C13" s="18"/>
      <c r="D13" s="16"/>
    </row>
    <row r="14" spans="1:4" x14ac:dyDescent="0.25">
      <c r="A14" s="68">
        <v>46175</v>
      </c>
      <c r="B14" s="22" t="s">
        <v>19</v>
      </c>
      <c r="C14" s="86">
        <v>3</v>
      </c>
      <c r="D14" s="45" t="s">
        <v>595</v>
      </c>
    </row>
    <row r="15" spans="1:4" x14ac:dyDescent="0.25">
      <c r="A15" s="68">
        <v>46175</v>
      </c>
      <c r="B15" s="22" t="s">
        <v>591</v>
      </c>
      <c r="C15" s="86">
        <v>22</v>
      </c>
      <c r="D15" s="45" t="s">
        <v>596</v>
      </c>
    </row>
    <row r="16" spans="1:4" x14ac:dyDescent="0.25">
      <c r="A16" s="68">
        <v>46175</v>
      </c>
      <c r="B16" s="22" t="s">
        <v>26</v>
      </c>
      <c r="C16" s="86">
        <v>3</v>
      </c>
      <c r="D16" s="45"/>
    </row>
    <row r="17" spans="1:4" x14ac:dyDescent="0.25">
      <c r="A17" s="68">
        <v>46175</v>
      </c>
      <c r="B17" s="22" t="s">
        <v>28</v>
      </c>
      <c r="C17" s="86">
        <v>2</v>
      </c>
      <c r="D17" s="45"/>
    </row>
    <row r="18" spans="1:4" x14ac:dyDescent="0.25">
      <c r="A18" s="68">
        <v>46175</v>
      </c>
      <c r="B18" s="22" t="s">
        <v>30</v>
      </c>
      <c r="C18" s="86">
        <v>1</v>
      </c>
      <c r="D18" s="45"/>
    </row>
    <row r="19" spans="1:4" x14ac:dyDescent="0.25">
      <c r="A19" s="68">
        <v>46175</v>
      </c>
      <c r="B19" s="22" t="s">
        <v>36</v>
      </c>
      <c r="C19" s="86">
        <v>2</v>
      </c>
      <c r="D19" s="45"/>
    </row>
    <row r="20" spans="1:4" x14ac:dyDescent="0.25">
      <c r="A20" s="68">
        <v>46176</v>
      </c>
      <c r="B20" s="22" t="s">
        <v>591</v>
      </c>
      <c r="C20" s="86">
        <v>22</v>
      </c>
      <c r="D20" s="45" t="s">
        <v>596</v>
      </c>
    </row>
    <row r="21" spans="1:4" x14ac:dyDescent="0.25">
      <c r="A21" s="68">
        <v>46176</v>
      </c>
      <c r="B21" s="22" t="s">
        <v>30</v>
      </c>
      <c r="C21" s="86">
        <v>2</v>
      </c>
      <c r="D21" s="45"/>
    </row>
    <row r="22" spans="1:4" x14ac:dyDescent="0.25">
      <c r="A22" s="68">
        <v>46176</v>
      </c>
      <c r="B22" s="22" t="s">
        <v>36</v>
      </c>
      <c r="C22" s="86">
        <v>1</v>
      </c>
      <c r="D22" s="45"/>
    </row>
    <row r="23" spans="1:4" x14ac:dyDescent="0.25">
      <c r="A23" s="68">
        <v>46177</v>
      </c>
      <c r="B23" s="22" t="s">
        <v>30</v>
      </c>
      <c r="C23" s="86">
        <v>6</v>
      </c>
      <c r="D23" s="12" t="s">
        <v>180</v>
      </c>
    </row>
    <row r="24" spans="1:4" x14ac:dyDescent="0.25">
      <c r="A24" s="68">
        <v>46177</v>
      </c>
      <c r="B24" s="22" t="s">
        <v>591</v>
      </c>
      <c r="C24" s="86">
        <v>22</v>
      </c>
      <c r="D24" s="45" t="s">
        <v>596</v>
      </c>
    </row>
    <row r="25" spans="1:4" x14ac:dyDescent="0.25">
      <c r="A25" s="68">
        <v>46177</v>
      </c>
      <c r="B25" s="22" t="s">
        <v>36</v>
      </c>
      <c r="C25" s="86">
        <v>1</v>
      </c>
      <c r="D25" s="45" t="s">
        <v>190</v>
      </c>
    </row>
    <row r="26" spans="1:4" x14ac:dyDescent="0.25">
      <c r="A26" s="68">
        <v>46177</v>
      </c>
      <c r="B26" s="24" t="s">
        <v>594</v>
      </c>
      <c r="C26" s="86">
        <v>6</v>
      </c>
      <c r="D26" s="45" t="s">
        <v>180</v>
      </c>
    </row>
    <row r="27" spans="1:4" x14ac:dyDescent="0.25">
      <c r="A27" s="68">
        <v>46179</v>
      </c>
      <c r="B27" s="22" t="s">
        <v>19</v>
      </c>
      <c r="C27" s="86">
        <v>2</v>
      </c>
      <c r="D27" s="45" t="s">
        <v>597</v>
      </c>
    </row>
    <row r="28" spans="1:4" ht="17.25" customHeight="1" x14ac:dyDescent="0.25">
      <c r="A28" s="68">
        <v>46179</v>
      </c>
      <c r="B28" s="22" t="s">
        <v>26</v>
      </c>
      <c r="C28" s="86">
        <v>2</v>
      </c>
      <c r="D28" s="45" t="s">
        <v>598</v>
      </c>
    </row>
    <row r="29" spans="1:4" x14ac:dyDescent="0.25">
      <c r="A29" s="68">
        <v>46179</v>
      </c>
      <c r="B29" s="22" t="s">
        <v>30</v>
      </c>
      <c r="C29" s="86">
        <v>2</v>
      </c>
      <c r="D29" s="45" t="s">
        <v>599</v>
      </c>
    </row>
    <row r="30" spans="1:4" x14ac:dyDescent="0.25">
      <c r="A30" s="68">
        <v>46180</v>
      </c>
      <c r="B30" s="22" t="s">
        <v>19</v>
      </c>
      <c r="C30" s="86">
        <v>2</v>
      </c>
      <c r="D30" s="45" t="s">
        <v>186</v>
      </c>
    </row>
    <row r="31" spans="1:4" x14ac:dyDescent="0.25">
      <c r="A31" s="68">
        <v>46180</v>
      </c>
      <c r="B31" s="22" t="s">
        <v>591</v>
      </c>
      <c r="C31" s="86">
        <v>1</v>
      </c>
      <c r="D31" s="45" t="s">
        <v>600</v>
      </c>
    </row>
    <row r="32" spans="1:4" x14ac:dyDescent="0.25">
      <c r="A32" s="68">
        <v>46180</v>
      </c>
      <c r="B32" s="22" t="s">
        <v>26</v>
      </c>
      <c r="C32" s="86">
        <v>2</v>
      </c>
      <c r="D32" s="45" t="s">
        <v>186</v>
      </c>
    </row>
    <row r="33" spans="1:4" x14ac:dyDescent="0.25">
      <c r="A33" s="68">
        <v>46180</v>
      </c>
      <c r="B33" s="22" t="s">
        <v>34</v>
      </c>
      <c r="C33" s="86">
        <v>3</v>
      </c>
      <c r="D33" s="45" t="s">
        <v>189</v>
      </c>
    </row>
    <row r="34" spans="1:4" x14ac:dyDescent="0.25">
      <c r="A34" s="68">
        <v>46180</v>
      </c>
      <c r="B34" s="22" t="s">
        <v>36</v>
      </c>
      <c r="C34" s="86">
        <v>1</v>
      </c>
      <c r="D34" s="45" t="s">
        <v>190</v>
      </c>
    </row>
    <row r="35" spans="1:4" x14ac:dyDescent="0.25">
      <c r="A35" s="68">
        <v>46181</v>
      </c>
      <c r="B35" s="22" t="s">
        <v>19</v>
      </c>
      <c r="C35" s="86">
        <v>2</v>
      </c>
      <c r="D35" s="45" t="s">
        <v>192</v>
      </c>
    </row>
    <row r="36" spans="1:4" x14ac:dyDescent="0.25">
      <c r="A36" s="68">
        <v>46181</v>
      </c>
      <c r="B36" s="22" t="s">
        <v>591</v>
      </c>
      <c r="C36" s="86">
        <v>1</v>
      </c>
      <c r="D36" s="45" t="s">
        <v>193</v>
      </c>
    </row>
    <row r="37" spans="1:4" x14ac:dyDescent="0.25">
      <c r="A37" s="68">
        <v>46181</v>
      </c>
      <c r="B37" s="22" t="s">
        <v>26</v>
      </c>
      <c r="C37" s="86">
        <v>2</v>
      </c>
      <c r="D37" s="45" t="s">
        <v>188</v>
      </c>
    </row>
    <row r="38" spans="1:4" x14ac:dyDescent="0.25">
      <c r="A38" s="68">
        <v>46181</v>
      </c>
      <c r="B38" s="22" t="s">
        <v>28</v>
      </c>
      <c r="C38" s="86">
        <v>4</v>
      </c>
      <c r="D38" s="45" t="s">
        <v>601</v>
      </c>
    </row>
    <row r="39" spans="1:4" x14ac:dyDescent="0.25">
      <c r="A39" s="68">
        <v>46181</v>
      </c>
      <c r="B39" s="22" t="s">
        <v>36</v>
      </c>
      <c r="C39" s="86">
        <v>1</v>
      </c>
      <c r="D39" s="45" t="s">
        <v>190</v>
      </c>
    </row>
    <row r="40" spans="1:4" ht="30" customHeight="1" x14ac:dyDescent="0.25">
      <c r="A40" s="68">
        <v>46182</v>
      </c>
      <c r="B40" s="22" t="s">
        <v>591</v>
      </c>
      <c r="C40" s="86">
        <v>1</v>
      </c>
      <c r="D40" s="45" t="s">
        <v>195</v>
      </c>
    </row>
    <row r="41" spans="1:4" x14ac:dyDescent="0.25">
      <c r="A41" s="68">
        <v>46182</v>
      </c>
      <c r="B41" s="22" t="s">
        <v>26</v>
      </c>
      <c r="C41" s="86">
        <v>1</v>
      </c>
      <c r="D41" s="45" t="s">
        <v>196</v>
      </c>
    </row>
    <row r="42" spans="1:4" x14ac:dyDescent="0.25">
      <c r="A42" s="68">
        <v>46182</v>
      </c>
      <c r="B42" s="22" t="s">
        <v>36</v>
      </c>
      <c r="C42" s="86">
        <v>1</v>
      </c>
      <c r="D42" s="45" t="s">
        <v>190</v>
      </c>
    </row>
    <row r="43" spans="1:4" x14ac:dyDescent="0.25">
      <c r="A43" s="68">
        <v>46183</v>
      </c>
      <c r="B43" s="22" t="s">
        <v>591</v>
      </c>
      <c r="C43" s="86">
        <v>1</v>
      </c>
      <c r="D43" s="45"/>
    </row>
    <row r="44" spans="1:4" x14ac:dyDescent="0.25">
      <c r="A44" s="68">
        <v>46183</v>
      </c>
      <c r="B44" s="22" t="s">
        <v>26</v>
      </c>
      <c r="C44" s="86">
        <v>1</v>
      </c>
      <c r="D44" s="45"/>
    </row>
    <row r="45" spans="1:4" x14ac:dyDescent="0.25">
      <c r="A45" s="68">
        <v>46183</v>
      </c>
      <c r="B45" s="22" t="s">
        <v>28</v>
      </c>
      <c r="C45" s="86">
        <v>4</v>
      </c>
      <c r="D45" s="45" t="s">
        <v>602</v>
      </c>
    </row>
    <row r="46" spans="1:4" x14ac:dyDescent="0.25">
      <c r="A46" s="68">
        <v>46183</v>
      </c>
      <c r="B46" s="22" t="s">
        <v>36</v>
      </c>
      <c r="C46" s="86">
        <v>1</v>
      </c>
      <c r="D46" s="45" t="s">
        <v>190</v>
      </c>
    </row>
    <row r="47" spans="1:4" x14ac:dyDescent="0.25">
      <c r="A47" s="68">
        <v>46184</v>
      </c>
      <c r="B47" s="22" t="s">
        <v>591</v>
      </c>
      <c r="C47" s="86">
        <v>1</v>
      </c>
      <c r="D47" s="45"/>
    </row>
    <row r="48" spans="1:4" x14ac:dyDescent="0.25">
      <c r="A48" s="68">
        <v>46184</v>
      </c>
      <c r="B48" s="22" t="s">
        <v>26</v>
      </c>
      <c r="C48" s="86">
        <v>1</v>
      </c>
      <c r="D48" s="45"/>
    </row>
    <row r="49" spans="1:4" x14ac:dyDescent="0.25">
      <c r="A49" s="68">
        <v>46184</v>
      </c>
      <c r="B49" s="22" t="s">
        <v>36</v>
      </c>
      <c r="C49" s="86">
        <v>1</v>
      </c>
      <c r="D49" s="45" t="s">
        <v>190</v>
      </c>
    </row>
    <row r="50" spans="1:4" x14ac:dyDescent="0.25">
      <c r="A50" s="68">
        <v>46186</v>
      </c>
      <c r="B50" s="22" t="s">
        <v>19</v>
      </c>
      <c r="C50" s="86">
        <v>3</v>
      </c>
      <c r="D50" s="45" t="s">
        <v>603</v>
      </c>
    </row>
    <row r="51" spans="1:4" ht="30" customHeight="1" x14ac:dyDescent="0.25">
      <c r="A51" s="68">
        <v>46186</v>
      </c>
      <c r="B51" s="22" t="s">
        <v>591</v>
      </c>
      <c r="C51" s="86">
        <v>1</v>
      </c>
      <c r="D51" s="45" t="s">
        <v>604</v>
      </c>
    </row>
    <row r="52" spans="1:4" x14ac:dyDescent="0.25">
      <c r="A52" s="68">
        <v>46186</v>
      </c>
      <c r="B52" s="22" t="s">
        <v>26</v>
      </c>
      <c r="C52" s="86">
        <v>2</v>
      </c>
      <c r="D52" s="45" t="s">
        <v>202</v>
      </c>
    </row>
    <row r="53" spans="1:4" x14ac:dyDescent="0.25">
      <c r="A53" s="68">
        <v>46186</v>
      </c>
      <c r="B53" s="22" t="s">
        <v>30</v>
      </c>
      <c r="C53" s="86">
        <v>2</v>
      </c>
      <c r="D53" s="45" t="s">
        <v>204</v>
      </c>
    </row>
    <row r="54" spans="1:4" x14ac:dyDescent="0.25">
      <c r="A54" s="68">
        <v>46186</v>
      </c>
      <c r="B54" s="22" t="s">
        <v>36</v>
      </c>
      <c r="C54" s="86">
        <v>1</v>
      </c>
      <c r="D54" s="45" t="s">
        <v>190</v>
      </c>
    </row>
    <row r="55" spans="1:4" ht="30" customHeight="1" x14ac:dyDescent="0.25">
      <c r="A55" s="68">
        <v>46187</v>
      </c>
      <c r="B55" s="25" t="s">
        <v>28</v>
      </c>
      <c r="C55" s="86">
        <v>5</v>
      </c>
      <c r="D55" s="45" t="s">
        <v>605</v>
      </c>
    </row>
    <row r="56" spans="1:4" x14ac:dyDescent="0.25">
      <c r="A56" s="68">
        <v>46187</v>
      </c>
      <c r="B56" s="22" t="s">
        <v>36</v>
      </c>
      <c r="C56" s="86">
        <v>1</v>
      </c>
      <c r="D56" s="45" t="s">
        <v>190</v>
      </c>
    </row>
    <row r="57" spans="1:4" x14ac:dyDescent="0.25">
      <c r="A57" s="68">
        <v>46188</v>
      </c>
      <c r="B57" s="25" t="s">
        <v>28</v>
      </c>
      <c r="C57" s="86">
        <v>4</v>
      </c>
      <c r="D57" s="45" t="s">
        <v>606</v>
      </c>
    </row>
    <row r="58" spans="1:4" ht="30" customHeight="1" x14ac:dyDescent="0.25">
      <c r="A58" s="68">
        <v>46188</v>
      </c>
      <c r="B58" s="22" t="s">
        <v>36</v>
      </c>
      <c r="C58" s="86">
        <v>2</v>
      </c>
      <c r="D58" s="45" t="s">
        <v>607</v>
      </c>
    </row>
    <row r="59" spans="1:4" ht="30" customHeight="1" x14ac:dyDescent="0.25">
      <c r="A59" s="68">
        <v>46189</v>
      </c>
      <c r="B59" s="22" t="s">
        <v>19</v>
      </c>
      <c r="C59" s="86">
        <v>2</v>
      </c>
      <c r="D59" s="45" t="s">
        <v>608</v>
      </c>
    </row>
    <row r="60" spans="1:4" x14ac:dyDescent="0.25">
      <c r="A60" s="68">
        <v>46189</v>
      </c>
      <c r="B60" s="22" t="s">
        <v>28</v>
      </c>
      <c r="C60" s="86">
        <v>4</v>
      </c>
      <c r="D60" s="45" t="s">
        <v>606</v>
      </c>
    </row>
    <row r="61" spans="1:4" ht="30" customHeight="1" x14ac:dyDescent="0.25">
      <c r="A61" s="68">
        <v>46189</v>
      </c>
      <c r="B61" s="22" t="s">
        <v>36</v>
      </c>
      <c r="C61" s="86">
        <v>4</v>
      </c>
      <c r="D61" s="45" t="s">
        <v>609</v>
      </c>
    </row>
    <row r="62" spans="1:4" x14ac:dyDescent="0.25">
      <c r="A62" s="68">
        <v>46190</v>
      </c>
      <c r="B62" s="22" t="s">
        <v>36</v>
      </c>
      <c r="C62" s="86">
        <v>1</v>
      </c>
      <c r="D62" s="45" t="s">
        <v>610</v>
      </c>
    </row>
    <row r="63" spans="1:4" ht="30" customHeight="1" x14ac:dyDescent="0.25">
      <c r="A63" s="68">
        <v>46191</v>
      </c>
      <c r="B63" s="22" t="s">
        <v>28</v>
      </c>
      <c r="C63" s="86">
        <v>6</v>
      </c>
      <c r="D63" s="45" t="s">
        <v>611</v>
      </c>
    </row>
    <row r="64" spans="1:4" x14ac:dyDescent="0.25">
      <c r="A64" s="68">
        <v>46191</v>
      </c>
      <c r="B64" s="22" t="s">
        <v>30</v>
      </c>
      <c r="C64" s="86">
        <v>21</v>
      </c>
      <c r="D64" s="45" t="s">
        <v>612</v>
      </c>
    </row>
    <row r="65" spans="1:4" ht="30" customHeight="1" x14ac:dyDescent="0.25">
      <c r="A65" s="68">
        <v>46191</v>
      </c>
      <c r="B65" s="22" t="s">
        <v>36</v>
      </c>
      <c r="C65" s="86">
        <v>9</v>
      </c>
      <c r="D65" s="45" t="s">
        <v>613</v>
      </c>
    </row>
    <row r="66" spans="1:4" ht="30" customHeight="1" x14ac:dyDescent="0.25">
      <c r="A66" s="68">
        <v>46191</v>
      </c>
      <c r="B66" s="22" t="s">
        <v>39</v>
      </c>
      <c r="C66" s="86">
        <v>10</v>
      </c>
      <c r="D66" s="45" t="s">
        <v>614</v>
      </c>
    </row>
    <row r="67" spans="1:4" ht="30" customHeight="1" x14ac:dyDescent="0.25">
      <c r="A67" s="68">
        <v>46191</v>
      </c>
      <c r="B67" s="22" t="s">
        <v>40</v>
      </c>
      <c r="C67" s="86">
        <v>11</v>
      </c>
      <c r="D67" s="45" t="s">
        <v>615</v>
      </c>
    </row>
    <row r="68" spans="1:4" ht="30" customHeight="1" x14ac:dyDescent="0.25">
      <c r="A68" s="68">
        <v>46193</v>
      </c>
      <c r="B68" s="22" t="s">
        <v>591</v>
      </c>
      <c r="C68" s="86">
        <v>3</v>
      </c>
      <c r="D68" s="45" t="s">
        <v>219</v>
      </c>
    </row>
    <row r="69" spans="1:4" ht="30" customHeight="1" x14ac:dyDescent="0.25">
      <c r="A69" s="68">
        <v>46193</v>
      </c>
      <c r="B69" s="22" t="s">
        <v>26</v>
      </c>
      <c r="C69" s="86">
        <v>3</v>
      </c>
      <c r="D69" s="45" t="s">
        <v>220</v>
      </c>
    </row>
    <row r="70" spans="1:4" x14ac:dyDescent="0.25">
      <c r="A70" s="68">
        <v>46193</v>
      </c>
      <c r="B70" s="22" t="s">
        <v>28</v>
      </c>
      <c r="C70" s="86">
        <v>11</v>
      </c>
      <c r="D70" s="45" t="s">
        <v>221</v>
      </c>
    </row>
    <row r="71" spans="1:4" x14ac:dyDescent="0.25">
      <c r="A71" s="68">
        <v>46193</v>
      </c>
      <c r="B71" s="22" t="s">
        <v>30</v>
      </c>
      <c r="C71" s="86">
        <v>22</v>
      </c>
      <c r="D71" s="45" t="s">
        <v>616</v>
      </c>
    </row>
    <row r="72" spans="1:4" ht="30" customHeight="1" x14ac:dyDescent="0.25">
      <c r="A72" s="68">
        <v>46193</v>
      </c>
      <c r="B72" s="22" t="s">
        <v>36</v>
      </c>
      <c r="C72" s="86">
        <v>3</v>
      </c>
      <c r="D72" s="45" t="s">
        <v>225</v>
      </c>
    </row>
    <row r="73" spans="1:4" ht="30" customHeight="1" x14ac:dyDescent="0.25">
      <c r="A73" s="68">
        <v>46193</v>
      </c>
      <c r="B73" s="22" t="s">
        <v>39</v>
      </c>
      <c r="C73" s="86">
        <v>4</v>
      </c>
      <c r="D73" s="45" t="s">
        <v>226</v>
      </c>
    </row>
    <row r="74" spans="1:4" ht="30" customHeight="1" x14ac:dyDescent="0.25">
      <c r="A74" s="68">
        <v>46193</v>
      </c>
      <c r="B74" s="22" t="s">
        <v>40</v>
      </c>
      <c r="C74" s="86">
        <v>4</v>
      </c>
      <c r="D74" s="45" t="s">
        <v>226</v>
      </c>
    </row>
    <row r="75" spans="1:4" x14ac:dyDescent="0.25">
      <c r="A75" s="68">
        <v>46194</v>
      </c>
      <c r="B75" s="22" t="s">
        <v>19</v>
      </c>
      <c r="C75" s="86">
        <v>2</v>
      </c>
      <c r="D75" s="45" t="s">
        <v>227</v>
      </c>
    </row>
    <row r="76" spans="1:4" ht="30" customHeight="1" x14ac:dyDescent="0.25">
      <c r="A76" s="68">
        <v>46194</v>
      </c>
      <c r="B76" s="22" t="s">
        <v>26</v>
      </c>
      <c r="C76" s="86">
        <v>0.5</v>
      </c>
      <c r="D76" s="45" t="s">
        <v>228</v>
      </c>
    </row>
    <row r="77" spans="1:4" x14ac:dyDescent="0.25">
      <c r="A77" s="68">
        <v>46194</v>
      </c>
      <c r="B77" s="22" t="s">
        <v>617</v>
      </c>
      <c r="C77" s="86">
        <v>5</v>
      </c>
      <c r="D77" s="45" t="s">
        <v>205</v>
      </c>
    </row>
    <row r="78" spans="1:4" x14ac:dyDescent="0.25">
      <c r="A78" s="68">
        <v>46194</v>
      </c>
      <c r="B78" s="22" t="s">
        <v>30</v>
      </c>
      <c r="C78" s="86">
        <v>22</v>
      </c>
      <c r="D78" s="45" t="s">
        <v>616</v>
      </c>
    </row>
    <row r="79" spans="1:4" ht="30" customHeight="1" x14ac:dyDescent="0.25">
      <c r="A79" s="68">
        <v>46194</v>
      </c>
      <c r="B79" s="22" t="s">
        <v>36</v>
      </c>
      <c r="C79" s="86">
        <v>2.5</v>
      </c>
      <c r="D79" s="45" t="s">
        <v>230</v>
      </c>
    </row>
    <row r="80" spans="1:4" x14ac:dyDescent="0.25">
      <c r="A80" s="68">
        <v>46195</v>
      </c>
      <c r="B80" s="22" t="s">
        <v>19</v>
      </c>
      <c r="C80" s="86">
        <v>1.5</v>
      </c>
      <c r="D80" s="45" t="s">
        <v>231</v>
      </c>
    </row>
    <row r="81" spans="1:4" x14ac:dyDescent="0.25">
      <c r="A81" s="68">
        <v>46195</v>
      </c>
      <c r="B81" s="22" t="s">
        <v>617</v>
      </c>
      <c r="C81" s="86">
        <v>8.5</v>
      </c>
      <c r="D81" s="45" t="s">
        <v>618</v>
      </c>
    </row>
    <row r="82" spans="1:4" ht="30" customHeight="1" x14ac:dyDescent="0.25">
      <c r="A82" s="68">
        <v>46195</v>
      </c>
      <c r="B82" s="22" t="s">
        <v>30</v>
      </c>
      <c r="C82" s="86">
        <v>4</v>
      </c>
      <c r="D82" s="45" t="s">
        <v>233</v>
      </c>
    </row>
    <row r="83" spans="1:4" ht="30" customHeight="1" x14ac:dyDescent="0.25">
      <c r="A83" s="68">
        <v>46195</v>
      </c>
      <c r="B83" s="22" t="s">
        <v>36</v>
      </c>
      <c r="C83" s="86">
        <v>4.7</v>
      </c>
      <c r="D83" s="45" t="s">
        <v>235</v>
      </c>
    </row>
    <row r="84" spans="1:4" x14ac:dyDescent="0.25">
      <c r="A84" s="68">
        <v>46196</v>
      </c>
      <c r="B84" s="22" t="s">
        <v>19</v>
      </c>
      <c r="C84" s="86">
        <v>0.5</v>
      </c>
      <c r="D84" s="45" t="s">
        <v>237</v>
      </c>
    </row>
    <row r="85" spans="1:4" ht="30" customHeight="1" x14ac:dyDescent="0.25">
      <c r="A85" s="68">
        <v>46196</v>
      </c>
      <c r="B85" s="22" t="s">
        <v>238</v>
      </c>
      <c r="C85" s="86">
        <v>3.2</v>
      </c>
      <c r="D85" s="45" t="s">
        <v>239</v>
      </c>
    </row>
    <row r="86" spans="1:4" x14ac:dyDescent="0.25">
      <c r="A86" s="68">
        <v>46196</v>
      </c>
      <c r="B86" s="22" t="s">
        <v>617</v>
      </c>
      <c r="C86" s="86">
        <v>3</v>
      </c>
      <c r="D86" s="45" t="s">
        <v>606</v>
      </c>
    </row>
    <row r="87" spans="1:4" x14ac:dyDescent="0.25">
      <c r="A87" s="68">
        <v>46196</v>
      </c>
      <c r="B87" s="22" t="s">
        <v>36</v>
      </c>
      <c r="C87" s="86">
        <v>3.5</v>
      </c>
      <c r="D87" s="45" t="s">
        <v>243</v>
      </c>
    </row>
    <row r="88" spans="1:4" x14ac:dyDescent="0.25">
      <c r="A88" s="68">
        <v>46197</v>
      </c>
      <c r="B88" s="22" t="s">
        <v>19</v>
      </c>
      <c r="C88" s="86">
        <v>2.2000000000000002</v>
      </c>
      <c r="D88" s="45" t="s">
        <v>244</v>
      </c>
    </row>
    <row r="89" spans="1:4" x14ac:dyDescent="0.25">
      <c r="A89" s="68">
        <v>46197</v>
      </c>
      <c r="B89" s="22" t="s">
        <v>617</v>
      </c>
      <c r="C89" s="86">
        <v>6</v>
      </c>
      <c r="D89" s="45" t="s">
        <v>606</v>
      </c>
    </row>
    <row r="90" spans="1:4" ht="30" customHeight="1" x14ac:dyDescent="0.25">
      <c r="A90" s="68">
        <v>46197</v>
      </c>
      <c r="B90" s="22" t="s">
        <v>30</v>
      </c>
      <c r="C90" s="86">
        <v>7.2</v>
      </c>
      <c r="D90" s="45" t="s">
        <v>619</v>
      </c>
    </row>
    <row r="91" spans="1:4" x14ac:dyDescent="0.25">
      <c r="A91" s="68">
        <v>46197</v>
      </c>
      <c r="B91" s="22" t="s">
        <v>36</v>
      </c>
      <c r="C91" s="86">
        <v>1.5</v>
      </c>
      <c r="D91" s="45" t="s">
        <v>247</v>
      </c>
    </row>
    <row r="92" spans="1:4" ht="30" customHeight="1" x14ac:dyDescent="0.25">
      <c r="A92" s="68">
        <v>46198</v>
      </c>
      <c r="B92" s="22" t="s">
        <v>19</v>
      </c>
      <c r="C92" s="86">
        <v>1.4</v>
      </c>
      <c r="D92" s="45" t="s">
        <v>248</v>
      </c>
    </row>
    <row r="93" spans="1:4" ht="30" customHeight="1" x14ac:dyDescent="0.25">
      <c r="A93" s="68">
        <v>46198</v>
      </c>
      <c r="B93" s="22" t="s">
        <v>22</v>
      </c>
      <c r="C93" s="86">
        <v>1.1000000000000001</v>
      </c>
      <c r="D93" s="45" t="s">
        <v>249</v>
      </c>
    </row>
    <row r="94" spans="1:4" x14ac:dyDescent="0.25">
      <c r="A94" s="68">
        <v>46198</v>
      </c>
      <c r="B94" s="22" t="s">
        <v>617</v>
      </c>
      <c r="C94" s="86">
        <v>6</v>
      </c>
      <c r="D94" s="45" t="s">
        <v>620</v>
      </c>
    </row>
    <row r="95" spans="1:4" x14ac:dyDescent="0.25">
      <c r="A95" s="68">
        <v>46198</v>
      </c>
      <c r="B95" s="22" t="s">
        <v>36</v>
      </c>
      <c r="C95" s="86">
        <v>2.5</v>
      </c>
      <c r="D95" s="45" t="s">
        <v>251</v>
      </c>
    </row>
    <row r="96" spans="1:4" ht="30" customHeight="1" x14ac:dyDescent="0.25">
      <c r="A96" s="68">
        <v>46200</v>
      </c>
      <c r="B96" s="22" t="s">
        <v>22</v>
      </c>
      <c r="C96" s="86">
        <v>0.4</v>
      </c>
      <c r="D96" s="45" t="s">
        <v>252</v>
      </c>
    </row>
    <row r="97" spans="1:4" ht="30" customHeight="1" x14ac:dyDescent="0.25">
      <c r="A97" s="68">
        <v>46200</v>
      </c>
      <c r="B97" s="22" t="s">
        <v>26</v>
      </c>
      <c r="C97" s="86">
        <v>0.4</v>
      </c>
      <c r="D97" s="45" t="s">
        <v>252</v>
      </c>
    </row>
    <row r="98" spans="1:4" x14ac:dyDescent="0.25">
      <c r="A98" s="68">
        <v>46200</v>
      </c>
      <c r="B98" s="22" t="s">
        <v>617</v>
      </c>
      <c r="C98" s="86">
        <v>8</v>
      </c>
      <c r="D98" s="45" t="s">
        <v>621</v>
      </c>
    </row>
    <row r="99" spans="1:4" x14ac:dyDescent="0.25">
      <c r="A99" s="68">
        <v>46200</v>
      </c>
      <c r="B99" s="22" t="s">
        <v>30</v>
      </c>
      <c r="C99" s="86">
        <v>8</v>
      </c>
      <c r="D99" s="45" t="s">
        <v>254</v>
      </c>
    </row>
    <row r="100" spans="1:4" ht="30" customHeight="1" x14ac:dyDescent="0.25">
      <c r="A100" s="68">
        <v>46200</v>
      </c>
      <c r="B100" s="22" t="s">
        <v>36</v>
      </c>
      <c r="C100" s="86">
        <v>2.4</v>
      </c>
      <c r="D100" s="45" t="s">
        <v>256</v>
      </c>
    </row>
    <row r="101" spans="1:4" x14ac:dyDescent="0.25">
      <c r="A101" s="68">
        <v>46201</v>
      </c>
      <c r="B101" s="22" t="s">
        <v>617</v>
      </c>
      <c r="C101" s="86">
        <v>5</v>
      </c>
      <c r="D101" s="45" t="s">
        <v>606</v>
      </c>
    </row>
    <row r="102" spans="1:4" x14ac:dyDescent="0.25">
      <c r="A102" s="68">
        <v>46201</v>
      </c>
      <c r="B102" s="22" t="s">
        <v>36</v>
      </c>
      <c r="C102" s="86">
        <v>2.2999999999999998</v>
      </c>
      <c r="D102" s="45" t="s">
        <v>259</v>
      </c>
    </row>
    <row r="103" spans="1:4" x14ac:dyDescent="0.25">
      <c r="A103" s="68">
        <v>46202</v>
      </c>
      <c r="B103" s="22" t="s">
        <v>617</v>
      </c>
      <c r="C103" s="86">
        <v>3</v>
      </c>
      <c r="D103" s="45" t="s">
        <v>606</v>
      </c>
    </row>
    <row r="104" spans="1:4" ht="30" customHeight="1" x14ac:dyDescent="0.25">
      <c r="A104" s="68">
        <v>46202</v>
      </c>
      <c r="B104" s="22" t="s">
        <v>36</v>
      </c>
      <c r="C104" s="86">
        <v>10.5</v>
      </c>
      <c r="D104" s="45" t="s">
        <v>262</v>
      </c>
    </row>
    <row r="105" spans="1:4" x14ac:dyDescent="0.25">
      <c r="A105" s="68">
        <v>46203</v>
      </c>
      <c r="B105" s="22" t="s">
        <v>19</v>
      </c>
      <c r="C105" s="86">
        <v>1.5</v>
      </c>
      <c r="D105" s="45" t="s">
        <v>263</v>
      </c>
    </row>
    <row r="106" spans="1:4" x14ac:dyDescent="0.25">
      <c r="A106" s="68">
        <v>46203</v>
      </c>
      <c r="B106" s="22" t="s">
        <v>617</v>
      </c>
      <c r="C106" s="86">
        <v>4.5</v>
      </c>
      <c r="D106" s="45" t="s">
        <v>622</v>
      </c>
    </row>
    <row r="107" spans="1:4" x14ac:dyDescent="0.25">
      <c r="A107" s="68">
        <v>46203</v>
      </c>
      <c r="B107" s="22" t="s">
        <v>36</v>
      </c>
      <c r="C107" s="86">
        <v>1.5</v>
      </c>
      <c r="D107" s="45" t="s">
        <v>273</v>
      </c>
    </row>
    <row r="108" spans="1:4" ht="30" customHeight="1" x14ac:dyDescent="0.25">
      <c r="A108" s="68">
        <v>46204</v>
      </c>
      <c r="B108" s="22" t="s">
        <v>19</v>
      </c>
      <c r="C108" s="86">
        <v>1.6</v>
      </c>
      <c r="D108" s="45" t="s">
        <v>267</v>
      </c>
    </row>
    <row r="109" spans="1:4" x14ac:dyDescent="0.25">
      <c r="A109" s="68">
        <v>46204</v>
      </c>
      <c r="B109" s="22" t="s">
        <v>617</v>
      </c>
      <c r="C109" s="86">
        <v>4</v>
      </c>
      <c r="D109" s="45" t="s">
        <v>623</v>
      </c>
    </row>
    <row r="110" spans="1:4" ht="45" customHeight="1" x14ac:dyDescent="0.25">
      <c r="A110" s="68">
        <v>46204</v>
      </c>
      <c r="B110" s="22" t="s">
        <v>36</v>
      </c>
      <c r="C110" s="86">
        <v>1.5</v>
      </c>
      <c r="D110" s="45" t="s">
        <v>270</v>
      </c>
    </row>
    <row r="111" spans="1:4" x14ac:dyDescent="0.25">
      <c r="A111" s="68">
        <v>46205</v>
      </c>
      <c r="B111" s="22" t="s">
        <v>617</v>
      </c>
      <c r="C111" s="86">
        <v>7</v>
      </c>
      <c r="D111" s="45" t="s">
        <v>624</v>
      </c>
    </row>
    <row r="112" spans="1:4" x14ac:dyDescent="0.25">
      <c r="A112" s="68">
        <v>46205</v>
      </c>
      <c r="B112" s="22" t="s">
        <v>36</v>
      </c>
      <c r="C112" s="86">
        <v>1.5</v>
      </c>
      <c r="D112" s="45" t="s">
        <v>625</v>
      </c>
    </row>
    <row r="113" spans="1:4" x14ac:dyDescent="0.25">
      <c r="A113" s="68">
        <v>46207</v>
      </c>
      <c r="B113" s="22" t="s">
        <v>617</v>
      </c>
      <c r="C113" s="86">
        <v>5</v>
      </c>
      <c r="D113" s="45" t="s">
        <v>258</v>
      </c>
    </row>
    <row r="114" spans="1:4" x14ac:dyDescent="0.25">
      <c r="A114" s="68">
        <v>46207</v>
      </c>
      <c r="B114" s="22" t="s">
        <v>36</v>
      </c>
      <c r="C114" s="86">
        <v>13.1</v>
      </c>
      <c r="D114" s="45" t="s">
        <v>275</v>
      </c>
    </row>
    <row r="115" spans="1:4" ht="30" customHeight="1" x14ac:dyDescent="0.25">
      <c r="A115" s="68">
        <v>46207</v>
      </c>
      <c r="B115" s="22" t="s">
        <v>39</v>
      </c>
      <c r="C115" s="86">
        <v>22</v>
      </c>
      <c r="D115" s="45" t="s">
        <v>626</v>
      </c>
    </row>
    <row r="116" spans="1:4" x14ac:dyDescent="0.25">
      <c r="A116" s="68">
        <v>46208</v>
      </c>
      <c r="B116" s="22" t="s">
        <v>36</v>
      </c>
      <c r="C116" s="86">
        <v>3.1</v>
      </c>
      <c r="D116" s="45" t="s">
        <v>275</v>
      </c>
    </row>
    <row r="117" spans="1:4" ht="30" customHeight="1" x14ac:dyDescent="0.25">
      <c r="A117" s="68">
        <v>46208</v>
      </c>
      <c r="B117" s="22" t="s">
        <v>39</v>
      </c>
      <c r="C117" s="86">
        <v>22</v>
      </c>
      <c r="D117" s="45" t="s">
        <v>626</v>
      </c>
    </row>
    <row r="118" spans="1:4" x14ac:dyDescent="0.25">
      <c r="A118" s="68">
        <v>46209</v>
      </c>
      <c r="B118" s="22" t="s">
        <v>617</v>
      </c>
      <c r="C118" s="86">
        <v>13</v>
      </c>
      <c r="D118" s="45" t="s">
        <v>627</v>
      </c>
    </row>
    <row r="119" spans="1:4" ht="30" customHeight="1" x14ac:dyDescent="0.25">
      <c r="A119" s="68">
        <v>46209</v>
      </c>
      <c r="B119" s="22" t="s">
        <v>32</v>
      </c>
      <c r="C119" s="86">
        <v>2</v>
      </c>
      <c r="D119" s="45" t="s">
        <v>628</v>
      </c>
    </row>
    <row r="120" spans="1:4" ht="30" customHeight="1" x14ac:dyDescent="0.25">
      <c r="A120" s="68">
        <v>46209</v>
      </c>
      <c r="B120" s="22" t="s">
        <v>39</v>
      </c>
      <c r="C120" s="86">
        <v>8.5</v>
      </c>
      <c r="D120" s="45" t="s">
        <v>281</v>
      </c>
    </row>
    <row r="121" spans="1:4" ht="45" customHeight="1" x14ac:dyDescent="0.25">
      <c r="A121" s="68">
        <v>46209</v>
      </c>
      <c r="B121" s="22" t="s">
        <v>36</v>
      </c>
      <c r="C121" s="86">
        <v>4</v>
      </c>
      <c r="D121" s="45" t="s">
        <v>282</v>
      </c>
    </row>
    <row r="122" spans="1:4" x14ac:dyDescent="0.25">
      <c r="A122" s="68">
        <v>46210</v>
      </c>
      <c r="B122" s="22" t="s">
        <v>26</v>
      </c>
      <c r="C122" s="86">
        <v>0.4</v>
      </c>
      <c r="D122" s="45" t="s">
        <v>283</v>
      </c>
    </row>
    <row r="123" spans="1:4" x14ac:dyDescent="0.25">
      <c r="A123" s="68">
        <v>46210</v>
      </c>
      <c r="B123" s="22" t="s">
        <v>617</v>
      </c>
      <c r="C123" s="86">
        <v>4.3</v>
      </c>
      <c r="D123" s="45" t="s">
        <v>284</v>
      </c>
    </row>
    <row r="124" spans="1:4" x14ac:dyDescent="0.25">
      <c r="A124" s="68">
        <v>46210</v>
      </c>
      <c r="B124" s="22" t="s">
        <v>36</v>
      </c>
      <c r="C124" s="86">
        <v>1.5</v>
      </c>
      <c r="D124" s="45" t="s">
        <v>273</v>
      </c>
    </row>
    <row r="125" spans="1:4" x14ac:dyDescent="0.25">
      <c r="A125" s="68">
        <v>46211</v>
      </c>
      <c r="B125" s="22" t="s">
        <v>617</v>
      </c>
      <c r="C125" s="86">
        <v>2.2999999999999998</v>
      </c>
      <c r="D125" s="45" t="s">
        <v>629</v>
      </c>
    </row>
    <row r="126" spans="1:4" x14ac:dyDescent="0.25">
      <c r="A126" s="68">
        <v>46211</v>
      </c>
      <c r="B126" s="22" t="s">
        <v>36</v>
      </c>
      <c r="C126" s="86">
        <v>1.5</v>
      </c>
      <c r="D126" s="45" t="s">
        <v>273</v>
      </c>
    </row>
    <row r="127" spans="1:4" x14ac:dyDescent="0.25">
      <c r="A127" s="68">
        <v>46212</v>
      </c>
      <c r="B127" s="22" t="s">
        <v>617</v>
      </c>
      <c r="C127" s="86">
        <v>4.3</v>
      </c>
      <c r="D127" s="45" t="s">
        <v>284</v>
      </c>
    </row>
    <row r="128" spans="1:4" x14ac:dyDescent="0.25">
      <c r="A128" s="68">
        <v>46212</v>
      </c>
      <c r="B128" s="22" t="s">
        <v>36</v>
      </c>
      <c r="C128" s="86">
        <v>1.5</v>
      </c>
      <c r="D128" s="45" t="s">
        <v>273</v>
      </c>
    </row>
    <row r="129" spans="1:4" ht="30" customHeight="1" x14ac:dyDescent="0.25">
      <c r="A129" s="68">
        <v>46214</v>
      </c>
      <c r="B129" s="22" t="s">
        <v>19</v>
      </c>
      <c r="C129" s="86">
        <v>4.4000000000000004</v>
      </c>
      <c r="D129" s="45" t="s">
        <v>291</v>
      </c>
    </row>
    <row r="130" spans="1:4" x14ac:dyDescent="0.25">
      <c r="A130" s="68">
        <v>46214</v>
      </c>
      <c r="B130" s="22" t="s">
        <v>22</v>
      </c>
      <c r="C130" s="86">
        <v>2.5</v>
      </c>
      <c r="D130" s="45" t="s">
        <v>292</v>
      </c>
    </row>
    <row r="131" spans="1:4" ht="30" customHeight="1" x14ac:dyDescent="0.25">
      <c r="A131" s="68">
        <v>46214</v>
      </c>
      <c r="B131" s="22" t="s">
        <v>26</v>
      </c>
      <c r="C131" s="86">
        <v>4.5</v>
      </c>
      <c r="D131" s="45" t="s">
        <v>293</v>
      </c>
    </row>
    <row r="132" spans="1:4" x14ac:dyDescent="0.25">
      <c r="A132" s="68">
        <v>46214</v>
      </c>
      <c r="B132" s="22" t="s">
        <v>617</v>
      </c>
      <c r="C132" s="86">
        <v>7</v>
      </c>
      <c r="D132" s="45" t="s">
        <v>271</v>
      </c>
    </row>
    <row r="133" spans="1:4" ht="30" customHeight="1" x14ac:dyDescent="0.25">
      <c r="A133" s="68">
        <v>46214</v>
      </c>
      <c r="B133" s="22" t="s">
        <v>36</v>
      </c>
      <c r="C133" s="86">
        <v>4.55</v>
      </c>
      <c r="D133" s="45" t="s">
        <v>297</v>
      </c>
    </row>
    <row r="134" spans="1:4" ht="30" customHeight="1" x14ac:dyDescent="0.25">
      <c r="A134" s="68">
        <v>46215</v>
      </c>
      <c r="B134" s="22" t="s">
        <v>19</v>
      </c>
      <c r="C134" s="86">
        <v>2</v>
      </c>
      <c r="D134" s="45" t="s">
        <v>298</v>
      </c>
    </row>
    <row r="135" spans="1:4" x14ac:dyDescent="0.25">
      <c r="A135" s="68">
        <v>46215</v>
      </c>
      <c r="B135" s="22" t="s">
        <v>617</v>
      </c>
      <c r="C135" s="86">
        <v>7</v>
      </c>
      <c r="D135" s="45" t="s">
        <v>271</v>
      </c>
    </row>
    <row r="136" spans="1:4" ht="45" customHeight="1" x14ac:dyDescent="0.25">
      <c r="A136" s="68">
        <v>46215</v>
      </c>
      <c r="B136" s="22" t="s">
        <v>36</v>
      </c>
      <c r="C136" s="86">
        <v>6.5</v>
      </c>
      <c r="D136" s="45" t="s">
        <v>299</v>
      </c>
    </row>
    <row r="137" spans="1:4" ht="30" customHeight="1" x14ac:dyDescent="0.25">
      <c r="A137" s="68">
        <v>46216</v>
      </c>
      <c r="B137" s="22"/>
      <c r="C137" s="86">
        <v>5.5</v>
      </c>
      <c r="D137" s="45" t="s">
        <v>300</v>
      </c>
    </row>
    <row r="138" spans="1:4" ht="45" customHeight="1" x14ac:dyDescent="0.25">
      <c r="A138" s="68">
        <v>46216</v>
      </c>
      <c r="B138" s="22" t="s">
        <v>36</v>
      </c>
      <c r="C138" s="86">
        <v>10.45</v>
      </c>
      <c r="D138" s="45" t="s">
        <v>301</v>
      </c>
    </row>
    <row r="139" spans="1:4" ht="30" customHeight="1" x14ac:dyDescent="0.25">
      <c r="A139" s="68">
        <v>46216</v>
      </c>
      <c r="B139" s="22" t="s">
        <v>40</v>
      </c>
      <c r="C139" s="86">
        <v>3</v>
      </c>
      <c r="D139" s="45" t="s">
        <v>302</v>
      </c>
    </row>
    <row r="140" spans="1:4" x14ac:dyDescent="0.25">
      <c r="A140" s="68">
        <v>46217</v>
      </c>
      <c r="B140" s="22" t="s">
        <v>36</v>
      </c>
      <c r="C140" s="86">
        <v>1.5</v>
      </c>
      <c r="D140" s="45" t="s">
        <v>304</v>
      </c>
    </row>
    <row r="141" spans="1:4" x14ac:dyDescent="0.25">
      <c r="A141" s="68">
        <v>46217</v>
      </c>
      <c r="B141" s="22" t="s">
        <v>617</v>
      </c>
      <c r="C141" s="86">
        <v>4.5</v>
      </c>
      <c r="D141" s="45" t="s">
        <v>303</v>
      </c>
    </row>
    <row r="142" spans="1:4" x14ac:dyDescent="0.25">
      <c r="A142" s="68">
        <v>46218</v>
      </c>
      <c r="B142" s="22" t="s">
        <v>617</v>
      </c>
      <c r="C142" s="86">
        <v>6</v>
      </c>
      <c r="D142" s="45" t="s">
        <v>306</v>
      </c>
    </row>
    <row r="143" spans="1:4" x14ac:dyDescent="0.25">
      <c r="A143" s="68">
        <v>46218</v>
      </c>
      <c r="B143" s="22" t="s">
        <v>30</v>
      </c>
      <c r="C143" s="86">
        <v>2</v>
      </c>
      <c r="D143" s="45" t="s">
        <v>307</v>
      </c>
    </row>
    <row r="144" spans="1:4" x14ac:dyDescent="0.25">
      <c r="A144" s="68">
        <v>46218</v>
      </c>
      <c r="B144" s="22" t="s">
        <v>36</v>
      </c>
      <c r="C144" s="86">
        <v>3.17</v>
      </c>
      <c r="D144" s="45" t="s">
        <v>309</v>
      </c>
    </row>
    <row r="145" spans="1:4" x14ac:dyDescent="0.25">
      <c r="A145" s="68">
        <v>46219</v>
      </c>
      <c r="B145" s="22" t="s">
        <v>617</v>
      </c>
      <c r="C145" s="86">
        <v>6</v>
      </c>
      <c r="D145" s="45" t="s">
        <v>306</v>
      </c>
    </row>
    <row r="146" spans="1:4" x14ac:dyDescent="0.25">
      <c r="A146" s="68">
        <v>46219</v>
      </c>
      <c r="B146" s="22" t="s">
        <v>36</v>
      </c>
      <c r="C146" s="86">
        <v>1.1000000000000001</v>
      </c>
      <c r="D146" s="45" t="s">
        <v>311</v>
      </c>
    </row>
    <row r="147" spans="1:4" x14ac:dyDescent="0.25">
      <c r="A147" s="68">
        <v>46221</v>
      </c>
      <c r="B147" s="22" t="s">
        <v>22</v>
      </c>
      <c r="C147" s="86">
        <v>3</v>
      </c>
      <c r="D147" s="45" t="s">
        <v>313</v>
      </c>
    </row>
    <row r="148" spans="1:4" ht="30" customHeight="1" x14ac:dyDescent="0.25">
      <c r="A148" s="68">
        <v>46221</v>
      </c>
      <c r="B148" s="22" t="s">
        <v>26</v>
      </c>
      <c r="C148" s="86">
        <v>3.5</v>
      </c>
      <c r="D148" s="45" t="s">
        <v>314</v>
      </c>
    </row>
    <row r="149" spans="1:4" x14ac:dyDescent="0.25">
      <c r="A149" s="68">
        <v>46221</v>
      </c>
      <c r="B149" s="22" t="s">
        <v>617</v>
      </c>
      <c r="C149" s="86">
        <v>5</v>
      </c>
      <c r="D149" s="45" t="s">
        <v>315</v>
      </c>
    </row>
    <row r="150" spans="1:4" x14ac:dyDescent="0.25">
      <c r="A150" s="68">
        <v>46221</v>
      </c>
      <c r="B150" s="22" t="s">
        <v>36</v>
      </c>
      <c r="C150" s="86">
        <v>2.5</v>
      </c>
      <c r="D150" s="45" t="s">
        <v>317</v>
      </c>
    </row>
    <row r="151" spans="1:4" ht="30" customHeight="1" x14ac:dyDescent="0.25">
      <c r="A151" s="68">
        <v>46222</v>
      </c>
      <c r="B151" s="22" t="s">
        <v>617</v>
      </c>
      <c r="C151" s="86">
        <v>4</v>
      </c>
      <c r="D151" s="45" t="s">
        <v>318</v>
      </c>
    </row>
    <row r="152" spans="1:4" x14ac:dyDescent="0.25">
      <c r="A152" s="68">
        <v>46222</v>
      </c>
      <c r="B152" s="22" t="s">
        <v>36</v>
      </c>
      <c r="C152" s="86">
        <v>1.5</v>
      </c>
      <c r="D152" s="45" t="s">
        <v>319</v>
      </c>
    </row>
    <row r="153" spans="1:4" ht="30" customHeight="1" x14ac:dyDescent="0.25">
      <c r="A153" s="68">
        <v>46223</v>
      </c>
      <c r="B153" s="22" t="s">
        <v>26</v>
      </c>
      <c r="C153" s="86">
        <v>0.4</v>
      </c>
      <c r="D153" s="45" t="s">
        <v>320</v>
      </c>
    </row>
    <row r="154" spans="1:4" x14ac:dyDescent="0.25">
      <c r="A154" s="68">
        <v>46223</v>
      </c>
      <c r="B154" s="22" t="s">
        <v>36</v>
      </c>
      <c r="C154" s="86">
        <v>1.5</v>
      </c>
      <c r="D154" s="45" t="s">
        <v>319</v>
      </c>
    </row>
    <row r="155" spans="1:4" ht="30" customHeight="1" x14ac:dyDescent="0.25">
      <c r="A155" s="68">
        <v>46224</v>
      </c>
      <c r="B155" s="22" t="s">
        <v>19</v>
      </c>
      <c r="C155" s="86">
        <v>0.4</v>
      </c>
      <c r="D155" s="45" t="s">
        <v>321</v>
      </c>
    </row>
    <row r="156" spans="1:4" x14ac:dyDescent="0.25">
      <c r="A156" s="68">
        <v>46224</v>
      </c>
      <c r="B156" s="22" t="s">
        <v>22</v>
      </c>
      <c r="C156" s="86">
        <v>0.4</v>
      </c>
      <c r="D156" s="45"/>
    </row>
    <row r="157" spans="1:4" ht="30" customHeight="1" x14ac:dyDescent="0.25">
      <c r="A157" s="68">
        <v>46224</v>
      </c>
      <c r="B157" s="22" t="s">
        <v>26</v>
      </c>
      <c r="C157" s="86">
        <v>0.4</v>
      </c>
      <c r="D157" s="45" t="s">
        <v>320</v>
      </c>
    </row>
    <row r="158" spans="1:4" x14ac:dyDescent="0.25">
      <c r="A158" s="68">
        <v>46224</v>
      </c>
      <c r="B158" s="22" t="s">
        <v>617</v>
      </c>
      <c r="C158" s="86">
        <v>5.5</v>
      </c>
      <c r="D158" s="45" t="s">
        <v>322</v>
      </c>
    </row>
    <row r="159" spans="1:4" x14ac:dyDescent="0.25">
      <c r="A159" s="68">
        <v>46224</v>
      </c>
      <c r="B159" s="22" t="s">
        <v>36</v>
      </c>
      <c r="C159" s="86">
        <v>1.7</v>
      </c>
      <c r="D159" s="45" t="s">
        <v>323</v>
      </c>
    </row>
    <row r="160" spans="1:4" x14ac:dyDescent="0.25">
      <c r="A160" s="68">
        <v>46225</v>
      </c>
      <c r="B160" s="22" t="s">
        <v>26</v>
      </c>
      <c r="C160" s="86">
        <v>0.4</v>
      </c>
      <c r="D160" s="45" t="s">
        <v>323</v>
      </c>
    </row>
    <row r="161" spans="1:4" x14ac:dyDescent="0.25">
      <c r="A161" s="68">
        <v>46225</v>
      </c>
      <c r="B161" s="22" t="s">
        <v>617</v>
      </c>
      <c r="C161" s="86">
        <v>4</v>
      </c>
      <c r="D161" s="25" t="s">
        <v>325</v>
      </c>
    </row>
    <row r="162" spans="1:4" x14ac:dyDescent="0.25">
      <c r="A162" s="68">
        <v>46225</v>
      </c>
      <c r="B162" s="22" t="s">
        <v>36</v>
      </c>
      <c r="C162" s="86">
        <v>1.5</v>
      </c>
      <c r="D162" s="45" t="s">
        <v>319</v>
      </c>
    </row>
    <row r="163" spans="1:4" x14ac:dyDescent="0.25">
      <c r="A163" s="68">
        <v>46226</v>
      </c>
      <c r="B163" s="22" t="s">
        <v>617</v>
      </c>
      <c r="C163" s="86">
        <v>4</v>
      </c>
      <c r="D163" s="45" t="s">
        <v>325</v>
      </c>
    </row>
    <row r="164" spans="1:4" x14ac:dyDescent="0.25">
      <c r="A164" s="68">
        <v>46226</v>
      </c>
      <c r="B164" s="22" t="s">
        <v>36</v>
      </c>
      <c r="C164" s="86">
        <v>1.5</v>
      </c>
      <c r="D164" s="45" t="s">
        <v>319</v>
      </c>
    </row>
    <row r="165" spans="1:4" x14ac:dyDescent="0.25">
      <c r="A165" s="68">
        <v>46228</v>
      </c>
      <c r="B165" s="22" t="s">
        <v>19</v>
      </c>
      <c r="C165" s="86">
        <v>2.5</v>
      </c>
      <c r="D165" s="45" t="s">
        <v>326</v>
      </c>
    </row>
    <row r="166" spans="1:4" ht="30" customHeight="1" x14ac:dyDescent="0.25">
      <c r="A166" s="68">
        <v>46228</v>
      </c>
      <c r="B166" s="22" t="s">
        <v>22</v>
      </c>
      <c r="C166" s="86">
        <v>3.15</v>
      </c>
      <c r="D166" s="45" t="s">
        <v>630</v>
      </c>
    </row>
    <row r="167" spans="1:4" ht="30" customHeight="1" x14ac:dyDescent="0.25">
      <c r="A167" s="68">
        <v>46228</v>
      </c>
      <c r="B167" s="22" t="s">
        <v>26</v>
      </c>
      <c r="C167" s="86">
        <v>8.5</v>
      </c>
      <c r="D167" s="45" t="s">
        <v>327</v>
      </c>
    </row>
    <row r="168" spans="1:4" x14ac:dyDescent="0.25">
      <c r="A168" s="68">
        <v>46228</v>
      </c>
      <c r="B168" s="22" t="s">
        <v>617</v>
      </c>
      <c r="C168" s="86">
        <v>7</v>
      </c>
      <c r="D168" s="45" t="s">
        <v>631</v>
      </c>
    </row>
    <row r="169" spans="1:4" ht="45" customHeight="1" x14ac:dyDescent="0.25">
      <c r="A169" s="68">
        <v>46228</v>
      </c>
      <c r="B169" s="22" t="s">
        <v>36</v>
      </c>
      <c r="C169" s="86">
        <v>3.15</v>
      </c>
      <c r="D169" s="45" t="s">
        <v>329</v>
      </c>
    </row>
    <row r="170" spans="1:4" ht="30" customHeight="1" x14ac:dyDescent="0.25">
      <c r="A170" s="68">
        <v>46228</v>
      </c>
      <c r="B170" s="22" t="s">
        <v>39</v>
      </c>
      <c r="C170" s="86">
        <v>3</v>
      </c>
      <c r="D170" s="45" t="s">
        <v>330</v>
      </c>
    </row>
    <row r="171" spans="1:4" ht="45" customHeight="1" x14ac:dyDescent="0.25">
      <c r="A171" s="68">
        <v>46229</v>
      </c>
      <c r="B171" s="22" t="s">
        <v>19</v>
      </c>
      <c r="C171" s="86">
        <v>3</v>
      </c>
      <c r="D171" s="45" t="s">
        <v>632</v>
      </c>
    </row>
    <row r="172" spans="1:4" ht="30" customHeight="1" x14ac:dyDescent="0.25">
      <c r="A172" s="68">
        <v>46229</v>
      </c>
      <c r="B172" s="22" t="s">
        <v>26</v>
      </c>
      <c r="C172" s="86">
        <v>6</v>
      </c>
      <c r="D172" s="45" t="s">
        <v>332</v>
      </c>
    </row>
    <row r="173" spans="1:4" x14ac:dyDescent="0.25">
      <c r="A173" s="68">
        <v>46229</v>
      </c>
      <c r="B173" s="22" t="s">
        <v>617</v>
      </c>
      <c r="C173" s="86">
        <v>5</v>
      </c>
      <c r="D173" s="45" t="s">
        <v>333</v>
      </c>
    </row>
    <row r="174" spans="1:4" x14ac:dyDescent="0.25">
      <c r="A174" s="68">
        <v>46229</v>
      </c>
      <c r="B174" s="22" t="s">
        <v>36</v>
      </c>
      <c r="C174" s="86">
        <v>1.5</v>
      </c>
      <c r="D174" s="45" t="s">
        <v>334</v>
      </c>
    </row>
    <row r="175" spans="1:4" x14ac:dyDescent="0.25">
      <c r="A175" s="68">
        <v>46230</v>
      </c>
      <c r="B175" s="22" t="s">
        <v>26</v>
      </c>
      <c r="C175" s="86">
        <v>0.75</v>
      </c>
      <c r="D175" s="45" t="s">
        <v>335</v>
      </c>
    </row>
    <row r="176" spans="1:4" x14ac:dyDescent="0.25">
      <c r="A176" s="68">
        <v>46230</v>
      </c>
      <c r="B176" s="22" t="s">
        <v>617</v>
      </c>
      <c r="C176" s="86">
        <v>5</v>
      </c>
      <c r="D176" s="45" t="s">
        <v>333</v>
      </c>
    </row>
    <row r="177" spans="1:4" x14ac:dyDescent="0.25">
      <c r="A177" s="68">
        <v>46230</v>
      </c>
      <c r="B177" s="22" t="s">
        <v>36</v>
      </c>
      <c r="C177" s="86">
        <v>1.5</v>
      </c>
      <c r="D177" s="45" t="s">
        <v>334</v>
      </c>
    </row>
    <row r="178" spans="1:4" x14ac:dyDescent="0.25">
      <c r="A178" s="68">
        <v>46231</v>
      </c>
      <c r="B178" s="22" t="s">
        <v>617</v>
      </c>
      <c r="C178" s="86">
        <v>2.5</v>
      </c>
      <c r="D178" s="45" t="s">
        <v>336</v>
      </c>
    </row>
    <row r="179" spans="1:4" ht="30" customHeight="1" x14ac:dyDescent="0.25">
      <c r="A179" s="68">
        <v>46231</v>
      </c>
      <c r="B179" s="22" t="s">
        <v>36</v>
      </c>
      <c r="C179" s="86">
        <v>2.85</v>
      </c>
      <c r="D179" s="45" t="s">
        <v>337</v>
      </c>
    </row>
    <row r="180" spans="1:4" x14ac:dyDescent="0.25">
      <c r="A180" s="68">
        <v>46232</v>
      </c>
      <c r="B180" s="22" t="s">
        <v>19</v>
      </c>
      <c r="C180" s="86">
        <v>1.17</v>
      </c>
      <c r="D180" s="45" t="s">
        <v>338</v>
      </c>
    </row>
    <row r="181" spans="1:4" ht="30" customHeight="1" x14ac:dyDescent="0.25">
      <c r="A181" s="68">
        <v>46232</v>
      </c>
      <c r="B181" s="22" t="s">
        <v>36</v>
      </c>
      <c r="C181" s="86">
        <v>4.45</v>
      </c>
      <c r="D181" s="45" t="s">
        <v>339</v>
      </c>
    </row>
    <row r="182" spans="1:4" x14ac:dyDescent="0.25">
      <c r="A182" s="68">
        <v>46233</v>
      </c>
      <c r="B182" s="22" t="s">
        <v>617</v>
      </c>
      <c r="C182" s="86">
        <v>2.5</v>
      </c>
      <c r="D182" s="45" t="s">
        <v>336</v>
      </c>
    </row>
    <row r="183" spans="1:4" x14ac:dyDescent="0.25">
      <c r="A183" s="68">
        <v>46233</v>
      </c>
      <c r="B183" s="22" t="s">
        <v>36</v>
      </c>
      <c r="C183" s="86">
        <v>1.5</v>
      </c>
      <c r="D183" s="45" t="s">
        <v>341</v>
      </c>
    </row>
    <row r="184" spans="1:4" x14ac:dyDescent="0.25">
      <c r="A184" s="68">
        <v>46235</v>
      </c>
      <c r="B184" s="22" t="s">
        <v>19</v>
      </c>
      <c r="C184" s="86">
        <v>2.5</v>
      </c>
      <c r="D184" s="45" t="s">
        <v>342</v>
      </c>
    </row>
    <row r="185" spans="1:4" x14ac:dyDescent="0.25">
      <c r="A185" s="68">
        <v>46235</v>
      </c>
      <c r="B185" s="22" t="s">
        <v>22</v>
      </c>
      <c r="C185" s="86">
        <v>1.67</v>
      </c>
      <c r="D185" s="45" t="s">
        <v>343</v>
      </c>
    </row>
    <row r="186" spans="1:4" x14ac:dyDescent="0.25">
      <c r="A186" s="68">
        <v>46235</v>
      </c>
      <c r="B186" s="22" t="s">
        <v>36</v>
      </c>
      <c r="C186" s="86">
        <v>2.95</v>
      </c>
      <c r="D186" s="45" t="s">
        <v>344</v>
      </c>
    </row>
    <row r="187" spans="1:4" ht="30" customHeight="1" x14ac:dyDescent="0.25">
      <c r="A187" s="68">
        <v>46236</v>
      </c>
      <c r="B187" s="22" t="s">
        <v>19</v>
      </c>
      <c r="C187" s="86">
        <v>2</v>
      </c>
      <c r="D187" s="45" t="s">
        <v>345</v>
      </c>
    </row>
    <row r="188" spans="1:4" x14ac:dyDescent="0.25">
      <c r="A188" s="68">
        <v>46236</v>
      </c>
      <c r="B188" s="22" t="s">
        <v>22</v>
      </c>
      <c r="C188" s="86">
        <v>3</v>
      </c>
      <c r="D188" s="45" t="s">
        <v>346</v>
      </c>
    </row>
    <row r="189" spans="1:4" ht="45" customHeight="1" x14ac:dyDescent="0.25">
      <c r="A189" s="68">
        <v>46236</v>
      </c>
      <c r="B189" s="22" t="s">
        <v>26</v>
      </c>
      <c r="C189" s="86">
        <v>0.5</v>
      </c>
      <c r="D189" s="45" t="s">
        <v>347</v>
      </c>
    </row>
    <row r="190" spans="1:4" ht="30" customHeight="1" x14ac:dyDescent="0.25">
      <c r="A190" s="68">
        <v>46236</v>
      </c>
      <c r="B190" s="22" t="s">
        <v>30</v>
      </c>
      <c r="C190" s="86">
        <v>3.45</v>
      </c>
      <c r="D190" s="45" t="s">
        <v>348</v>
      </c>
    </row>
    <row r="191" spans="1:4" ht="30" customHeight="1" x14ac:dyDescent="0.25">
      <c r="A191" s="68">
        <v>46236</v>
      </c>
      <c r="B191" s="22" t="s">
        <v>36</v>
      </c>
      <c r="C191" s="86">
        <v>3.15</v>
      </c>
      <c r="D191" s="45" t="s">
        <v>350</v>
      </c>
    </row>
    <row r="192" spans="1:4" ht="30" customHeight="1" x14ac:dyDescent="0.25">
      <c r="A192" s="68">
        <v>46237</v>
      </c>
      <c r="B192" s="22" t="s">
        <v>19</v>
      </c>
      <c r="C192" s="86">
        <v>0.67</v>
      </c>
      <c r="D192" s="45" t="s">
        <v>351</v>
      </c>
    </row>
    <row r="193" spans="1:4" ht="30" customHeight="1" x14ac:dyDescent="0.25">
      <c r="A193" s="68">
        <v>46237</v>
      </c>
      <c r="B193" s="22" t="s">
        <v>22</v>
      </c>
      <c r="C193" s="86">
        <v>0.67</v>
      </c>
      <c r="D193" s="45" t="s">
        <v>351</v>
      </c>
    </row>
    <row r="194" spans="1:4" ht="30" customHeight="1" x14ac:dyDescent="0.25">
      <c r="A194" s="68">
        <v>46237</v>
      </c>
      <c r="B194" s="22" t="s">
        <v>26</v>
      </c>
      <c r="C194" s="86">
        <v>0.67</v>
      </c>
      <c r="D194" s="45" t="s">
        <v>351</v>
      </c>
    </row>
    <row r="195" spans="1:4" x14ac:dyDescent="0.25">
      <c r="A195" s="68">
        <v>46237</v>
      </c>
      <c r="B195" s="22" t="s">
        <v>28</v>
      </c>
      <c r="C195" s="86">
        <v>3.5</v>
      </c>
      <c r="D195" s="45" t="s">
        <v>352</v>
      </c>
    </row>
    <row r="196" spans="1:4" ht="45" customHeight="1" x14ac:dyDescent="0.25">
      <c r="A196" s="68">
        <v>46237</v>
      </c>
      <c r="B196" s="22" t="s">
        <v>30</v>
      </c>
      <c r="C196" s="86">
        <v>2.08</v>
      </c>
      <c r="D196" s="45" t="s">
        <v>353</v>
      </c>
    </row>
    <row r="197" spans="1:4" ht="30" customHeight="1" x14ac:dyDescent="0.25">
      <c r="A197" s="68">
        <v>46237</v>
      </c>
      <c r="B197" s="22" t="s">
        <v>34</v>
      </c>
      <c r="C197" s="86">
        <v>0.67</v>
      </c>
      <c r="D197" s="45" t="s">
        <v>351</v>
      </c>
    </row>
    <row r="198" spans="1:4" ht="30" customHeight="1" x14ac:dyDescent="0.25">
      <c r="A198" s="68">
        <v>46237</v>
      </c>
      <c r="B198" s="22" t="s">
        <v>36</v>
      </c>
      <c r="C198" s="86">
        <v>0.67</v>
      </c>
      <c r="D198" s="45" t="s">
        <v>351</v>
      </c>
    </row>
    <row r="199" spans="1:4" ht="30" customHeight="1" x14ac:dyDescent="0.25">
      <c r="A199" s="68">
        <v>46237</v>
      </c>
      <c r="B199" s="22" t="s">
        <v>39</v>
      </c>
      <c r="C199" s="86">
        <v>0.67</v>
      </c>
      <c r="D199" s="45" t="s">
        <v>351</v>
      </c>
    </row>
    <row r="200" spans="1:4" ht="30" customHeight="1" x14ac:dyDescent="0.25">
      <c r="A200" s="68">
        <v>46237</v>
      </c>
      <c r="B200" s="22" t="s">
        <v>40</v>
      </c>
      <c r="C200" s="86">
        <v>0.67</v>
      </c>
      <c r="D200" s="45" t="s">
        <v>351</v>
      </c>
    </row>
    <row r="201" spans="1:4" ht="30" customHeight="1" x14ac:dyDescent="0.25">
      <c r="A201" s="68">
        <v>46238</v>
      </c>
      <c r="B201" s="22" t="s">
        <v>36</v>
      </c>
      <c r="C201" s="86">
        <v>1.67</v>
      </c>
      <c r="D201" s="45" t="s">
        <v>633</v>
      </c>
    </row>
    <row r="202" spans="1:4" x14ac:dyDescent="0.25">
      <c r="A202" s="68">
        <v>46242</v>
      </c>
      <c r="B202" s="22" t="s">
        <v>19</v>
      </c>
      <c r="C202" s="86">
        <v>4.5</v>
      </c>
      <c r="D202" s="45"/>
    </row>
    <row r="203" spans="1:4" x14ac:dyDescent="0.25">
      <c r="A203" s="68">
        <v>46242</v>
      </c>
      <c r="B203" s="22" t="s">
        <v>22</v>
      </c>
      <c r="C203" s="86">
        <v>2.5</v>
      </c>
      <c r="D203" s="45" t="s">
        <v>342</v>
      </c>
    </row>
    <row r="204" spans="1:4" ht="30" customHeight="1" x14ac:dyDescent="0.25">
      <c r="A204" s="68">
        <v>46242</v>
      </c>
      <c r="B204" s="22" t="s">
        <v>26</v>
      </c>
      <c r="C204" s="86">
        <v>3</v>
      </c>
      <c r="D204" s="45" t="s">
        <v>358</v>
      </c>
    </row>
    <row r="205" spans="1:4" x14ac:dyDescent="0.25">
      <c r="A205" s="68">
        <v>46242</v>
      </c>
      <c r="B205" s="22" t="s">
        <v>30</v>
      </c>
      <c r="C205" s="86">
        <v>1</v>
      </c>
      <c r="D205" s="45" t="s">
        <v>359</v>
      </c>
    </row>
    <row r="206" spans="1:4" ht="30" customHeight="1" x14ac:dyDescent="0.25">
      <c r="A206" s="68">
        <v>46242</v>
      </c>
      <c r="B206" s="22" t="s">
        <v>36</v>
      </c>
      <c r="C206" s="86">
        <v>7</v>
      </c>
      <c r="D206" s="45" t="s">
        <v>634</v>
      </c>
    </row>
    <row r="207" spans="1:4" x14ac:dyDescent="0.25">
      <c r="A207" s="68">
        <v>46243</v>
      </c>
      <c r="B207" s="22" t="s">
        <v>19</v>
      </c>
      <c r="C207" s="86">
        <v>2</v>
      </c>
      <c r="D207" s="45" t="s">
        <v>360</v>
      </c>
    </row>
    <row r="208" spans="1:4" ht="30" customHeight="1" x14ac:dyDescent="0.25">
      <c r="A208" s="68">
        <v>46243</v>
      </c>
      <c r="B208" s="22" t="s">
        <v>617</v>
      </c>
      <c r="C208" s="86">
        <v>6.5</v>
      </c>
      <c r="D208" s="45" t="s">
        <v>361</v>
      </c>
    </row>
    <row r="209" spans="1:4" x14ac:dyDescent="0.25">
      <c r="A209" s="68">
        <v>46243</v>
      </c>
      <c r="B209" s="22" t="s">
        <v>36</v>
      </c>
      <c r="C209" s="86">
        <v>2.6</v>
      </c>
      <c r="D209" s="45" t="s">
        <v>635</v>
      </c>
    </row>
    <row r="210" spans="1:4" ht="30" customHeight="1" x14ac:dyDescent="0.25">
      <c r="A210" s="68">
        <v>46244</v>
      </c>
      <c r="B210" s="22" t="s">
        <v>19</v>
      </c>
      <c r="C210" s="86">
        <v>3</v>
      </c>
      <c r="D210" s="45" t="s">
        <v>363</v>
      </c>
    </row>
    <row r="211" spans="1:4" x14ac:dyDescent="0.25">
      <c r="A211" s="68">
        <v>46244</v>
      </c>
      <c r="B211" s="22" t="s">
        <v>22</v>
      </c>
      <c r="C211" s="86">
        <v>4.45</v>
      </c>
      <c r="D211" s="45" t="s">
        <v>364</v>
      </c>
    </row>
    <row r="212" spans="1:4" x14ac:dyDescent="0.25">
      <c r="A212" s="68">
        <v>46244</v>
      </c>
      <c r="B212" s="22" t="s">
        <v>26</v>
      </c>
      <c r="C212" s="86">
        <v>3</v>
      </c>
      <c r="D212" s="45" t="s">
        <v>365</v>
      </c>
    </row>
    <row r="213" spans="1:4" x14ac:dyDescent="0.25">
      <c r="A213" s="68">
        <v>46244</v>
      </c>
      <c r="B213" s="22" t="s">
        <v>28</v>
      </c>
      <c r="C213" s="86">
        <v>2</v>
      </c>
      <c r="D213" s="45" t="s">
        <v>366</v>
      </c>
    </row>
    <row r="214" spans="1:4" x14ac:dyDescent="0.25">
      <c r="A214" s="68">
        <v>46244</v>
      </c>
      <c r="B214" s="22" t="s">
        <v>30</v>
      </c>
      <c r="C214" s="86">
        <v>1.05</v>
      </c>
      <c r="D214" s="45" t="s">
        <v>367</v>
      </c>
    </row>
    <row r="215" spans="1:4" x14ac:dyDescent="0.25">
      <c r="A215" s="68">
        <v>46244</v>
      </c>
      <c r="B215" s="22" t="s">
        <v>34</v>
      </c>
      <c r="C215" s="86">
        <v>2</v>
      </c>
      <c r="D215" s="45" t="s">
        <v>368</v>
      </c>
    </row>
    <row r="216" spans="1:4" x14ac:dyDescent="0.25">
      <c r="A216" s="68">
        <v>46244</v>
      </c>
      <c r="B216" s="22" t="s">
        <v>36</v>
      </c>
      <c r="C216" s="86">
        <v>3.6</v>
      </c>
      <c r="D216" s="45" t="s">
        <v>369</v>
      </c>
    </row>
    <row r="217" spans="1:4" ht="30" customHeight="1" x14ac:dyDescent="0.25">
      <c r="A217" s="68">
        <v>46244</v>
      </c>
      <c r="B217" s="22" t="s">
        <v>39</v>
      </c>
      <c r="C217" s="86">
        <v>10</v>
      </c>
      <c r="D217" s="45" t="s">
        <v>370</v>
      </c>
    </row>
    <row r="218" spans="1:4" x14ac:dyDescent="0.25">
      <c r="A218" s="68">
        <v>46244</v>
      </c>
      <c r="B218" s="22" t="s">
        <v>40</v>
      </c>
      <c r="C218" s="86">
        <v>2</v>
      </c>
      <c r="D218" s="45" t="s">
        <v>371</v>
      </c>
    </row>
    <row r="219" spans="1:4" ht="30" customHeight="1" x14ac:dyDescent="0.25">
      <c r="A219" s="68">
        <v>46245</v>
      </c>
      <c r="B219" s="22" t="s">
        <v>19</v>
      </c>
      <c r="C219" s="86">
        <v>1.95</v>
      </c>
      <c r="D219" s="45" t="s">
        <v>372</v>
      </c>
    </row>
    <row r="220" spans="1:4" x14ac:dyDescent="0.25">
      <c r="A220" s="68">
        <v>46245</v>
      </c>
      <c r="B220" s="22" t="s">
        <v>26</v>
      </c>
      <c r="C220" s="86">
        <v>2</v>
      </c>
      <c r="D220" s="45" t="s">
        <v>373</v>
      </c>
    </row>
    <row r="221" spans="1:4" x14ac:dyDescent="0.25">
      <c r="A221" s="68">
        <v>46245</v>
      </c>
      <c r="B221" s="22" t="s">
        <v>28</v>
      </c>
      <c r="C221" s="86">
        <v>3</v>
      </c>
      <c r="D221" s="45" t="s">
        <v>374</v>
      </c>
    </row>
    <row r="222" spans="1:4" ht="30" customHeight="1" x14ac:dyDescent="0.25">
      <c r="A222" s="68">
        <v>46245</v>
      </c>
      <c r="B222" s="22" t="s">
        <v>36</v>
      </c>
      <c r="C222" s="86">
        <v>3.33</v>
      </c>
      <c r="D222" s="45" t="s">
        <v>375</v>
      </c>
    </row>
    <row r="223" spans="1:4" ht="30" customHeight="1" x14ac:dyDescent="0.25">
      <c r="A223" s="68">
        <v>46245</v>
      </c>
      <c r="B223" s="22" t="s">
        <v>39</v>
      </c>
      <c r="C223" s="86">
        <v>3</v>
      </c>
      <c r="D223" s="45" t="s">
        <v>376</v>
      </c>
    </row>
    <row r="224" spans="1:4" x14ac:dyDescent="0.25">
      <c r="A224" s="68">
        <v>46246</v>
      </c>
      <c r="B224" s="22" t="s">
        <v>617</v>
      </c>
      <c r="C224" s="86">
        <v>7</v>
      </c>
      <c r="D224" s="45" t="s">
        <v>377</v>
      </c>
    </row>
    <row r="225" spans="1:4" ht="30" customHeight="1" x14ac:dyDescent="0.25">
      <c r="A225" s="68">
        <v>46246</v>
      </c>
      <c r="B225" s="22" t="s">
        <v>36</v>
      </c>
      <c r="C225" s="86">
        <v>1.5</v>
      </c>
      <c r="D225" s="45" t="s">
        <v>378</v>
      </c>
    </row>
    <row r="226" spans="1:4" ht="30" customHeight="1" x14ac:dyDescent="0.25">
      <c r="A226" s="68">
        <v>46246</v>
      </c>
      <c r="B226" s="22" t="s">
        <v>39</v>
      </c>
      <c r="C226" s="86">
        <v>1</v>
      </c>
      <c r="D226" s="45" t="s">
        <v>379</v>
      </c>
    </row>
    <row r="227" spans="1:4" ht="30" customHeight="1" x14ac:dyDescent="0.25">
      <c r="A227" s="68">
        <v>46246</v>
      </c>
      <c r="B227" s="22" t="s">
        <v>40</v>
      </c>
      <c r="C227" s="86">
        <v>2</v>
      </c>
      <c r="D227" s="45" t="s">
        <v>380</v>
      </c>
    </row>
    <row r="228" spans="1:4" x14ac:dyDescent="0.25">
      <c r="A228" s="68">
        <v>46247</v>
      </c>
      <c r="B228" s="22" t="s">
        <v>22</v>
      </c>
      <c r="C228" s="86">
        <v>1</v>
      </c>
      <c r="D228" s="45" t="s">
        <v>381</v>
      </c>
    </row>
    <row r="229" spans="1:4" ht="30" customHeight="1" x14ac:dyDescent="0.25">
      <c r="A229" s="68">
        <v>46247</v>
      </c>
      <c r="B229" s="22" t="s">
        <v>30</v>
      </c>
      <c r="C229" s="86">
        <v>6.5</v>
      </c>
      <c r="D229" s="45" t="s">
        <v>382</v>
      </c>
    </row>
    <row r="230" spans="1:4" ht="30" customHeight="1" x14ac:dyDescent="0.25">
      <c r="A230" s="68">
        <v>46247</v>
      </c>
      <c r="B230" s="22" t="s">
        <v>36</v>
      </c>
      <c r="C230" s="86">
        <v>1.5</v>
      </c>
      <c r="D230" s="45" t="s">
        <v>378</v>
      </c>
    </row>
    <row r="231" spans="1:4" x14ac:dyDescent="0.25">
      <c r="A231" s="68">
        <v>46249</v>
      </c>
      <c r="B231" s="22" t="s">
        <v>19</v>
      </c>
      <c r="C231" s="86">
        <v>2.5</v>
      </c>
      <c r="D231" s="45" t="s">
        <v>384</v>
      </c>
    </row>
    <row r="232" spans="1:4" ht="30" customHeight="1" x14ac:dyDescent="0.25">
      <c r="A232" s="68">
        <v>46249</v>
      </c>
      <c r="B232" s="22" t="s">
        <v>22</v>
      </c>
      <c r="C232" s="86">
        <v>3.5</v>
      </c>
      <c r="D232" s="45" t="s">
        <v>385</v>
      </c>
    </row>
    <row r="233" spans="1:4" ht="30" customHeight="1" x14ac:dyDescent="0.25">
      <c r="A233" s="68">
        <v>46249</v>
      </c>
      <c r="B233" s="22" t="s">
        <v>26</v>
      </c>
      <c r="C233" s="86">
        <v>2.5</v>
      </c>
      <c r="D233" s="45" t="s">
        <v>386</v>
      </c>
    </row>
    <row r="234" spans="1:4" x14ac:dyDescent="0.25">
      <c r="A234" s="68">
        <v>46249</v>
      </c>
      <c r="B234" s="22" t="s">
        <v>28</v>
      </c>
      <c r="C234" s="86">
        <v>3</v>
      </c>
      <c r="D234" s="45" t="s">
        <v>387</v>
      </c>
    </row>
    <row r="235" spans="1:4" ht="30" customHeight="1" x14ac:dyDescent="0.25">
      <c r="A235" s="68">
        <v>46249</v>
      </c>
      <c r="B235" s="22" t="s">
        <v>30</v>
      </c>
      <c r="C235" s="86">
        <v>3.5</v>
      </c>
      <c r="D235" s="45" t="s">
        <v>388</v>
      </c>
    </row>
    <row r="236" spans="1:4" ht="30" customHeight="1" x14ac:dyDescent="0.25">
      <c r="A236" s="68">
        <v>46249</v>
      </c>
      <c r="B236" s="22" t="s">
        <v>36</v>
      </c>
      <c r="C236" s="86">
        <v>6.5</v>
      </c>
      <c r="D236" s="45" t="s">
        <v>389</v>
      </c>
    </row>
    <row r="237" spans="1:4" ht="45" customHeight="1" x14ac:dyDescent="0.25">
      <c r="A237" s="68">
        <v>46249</v>
      </c>
      <c r="B237" s="22" t="s">
        <v>39</v>
      </c>
      <c r="C237" s="86">
        <v>4</v>
      </c>
      <c r="D237" s="45" t="s">
        <v>390</v>
      </c>
    </row>
    <row r="238" spans="1:4" ht="30" customHeight="1" x14ac:dyDescent="0.25">
      <c r="A238" s="68">
        <v>46250</v>
      </c>
      <c r="B238" s="22" t="s">
        <v>36</v>
      </c>
      <c r="C238" s="86">
        <v>4.5</v>
      </c>
      <c r="D238" s="45" t="s">
        <v>391</v>
      </c>
    </row>
    <row r="239" spans="1:4" x14ac:dyDescent="0.25">
      <c r="A239" s="68">
        <v>46251</v>
      </c>
      <c r="B239" s="22" t="s">
        <v>617</v>
      </c>
      <c r="C239" s="86">
        <v>3.5</v>
      </c>
      <c r="D239" s="45" t="s">
        <v>392</v>
      </c>
    </row>
    <row r="240" spans="1:4" ht="30" customHeight="1" x14ac:dyDescent="0.25">
      <c r="A240" s="68">
        <v>46251</v>
      </c>
      <c r="B240" s="22" t="s">
        <v>36</v>
      </c>
      <c r="C240" s="86">
        <v>1.5</v>
      </c>
      <c r="D240" s="45" t="s">
        <v>393</v>
      </c>
    </row>
    <row r="241" spans="1:4" x14ac:dyDescent="0.25">
      <c r="A241" s="68">
        <v>46252</v>
      </c>
      <c r="B241" s="22" t="s">
        <v>617</v>
      </c>
      <c r="C241" s="86">
        <v>3.5</v>
      </c>
      <c r="D241" s="45" t="s">
        <v>392</v>
      </c>
    </row>
    <row r="242" spans="1:4" ht="30" customHeight="1" x14ac:dyDescent="0.25">
      <c r="A242" s="68">
        <v>46252</v>
      </c>
      <c r="B242" s="22" t="s">
        <v>36</v>
      </c>
      <c r="C242" s="86">
        <v>1.5</v>
      </c>
      <c r="D242" s="45" t="s">
        <v>393</v>
      </c>
    </row>
    <row r="243" spans="1:4" ht="30" customHeight="1" x14ac:dyDescent="0.25">
      <c r="A243" s="68">
        <v>46253</v>
      </c>
      <c r="B243" s="22" t="s">
        <v>617</v>
      </c>
      <c r="C243" s="86">
        <v>3.5</v>
      </c>
      <c r="D243" s="45" t="s">
        <v>392</v>
      </c>
    </row>
    <row r="244" spans="1:4" ht="30" customHeight="1" x14ac:dyDescent="0.25">
      <c r="A244" s="68">
        <v>46253</v>
      </c>
      <c r="B244" s="22" t="s">
        <v>36</v>
      </c>
      <c r="C244" s="86">
        <v>1.5</v>
      </c>
      <c r="D244" s="45" t="s">
        <v>393</v>
      </c>
    </row>
    <row r="245" spans="1:4" ht="30" customHeight="1" x14ac:dyDescent="0.25">
      <c r="A245" s="68">
        <v>46254</v>
      </c>
      <c r="B245" s="22" t="s">
        <v>19</v>
      </c>
      <c r="C245" s="86">
        <v>4.5</v>
      </c>
      <c r="D245" s="45" t="s">
        <v>396</v>
      </c>
    </row>
    <row r="246" spans="1:4" ht="30" customHeight="1" x14ac:dyDescent="0.25">
      <c r="A246" s="68">
        <v>46254</v>
      </c>
      <c r="B246" s="22" t="s">
        <v>26</v>
      </c>
      <c r="C246" s="86">
        <v>2</v>
      </c>
      <c r="D246" s="45" t="s">
        <v>397</v>
      </c>
    </row>
    <row r="247" spans="1:4" ht="30" customHeight="1" x14ac:dyDescent="0.25">
      <c r="A247" s="68">
        <v>46254</v>
      </c>
      <c r="B247" s="22" t="s">
        <v>28</v>
      </c>
      <c r="C247" s="86">
        <v>11.5</v>
      </c>
      <c r="D247" s="45" t="s">
        <v>398</v>
      </c>
    </row>
    <row r="248" spans="1:4" ht="30" customHeight="1" x14ac:dyDescent="0.25">
      <c r="A248" s="68">
        <v>46254</v>
      </c>
      <c r="B248" s="22" t="s">
        <v>36</v>
      </c>
      <c r="C248" s="86">
        <v>1.5</v>
      </c>
      <c r="D248" s="45" t="s">
        <v>393</v>
      </c>
    </row>
    <row r="249" spans="1:4" ht="30" customHeight="1" x14ac:dyDescent="0.25">
      <c r="A249" s="68">
        <v>46256</v>
      </c>
      <c r="B249" s="22" t="s">
        <v>19</v>
      </c>
      <c r="C249" s="86">
        <v>4.5</v>
      </c>
      <c r="D249" s="45" t="s">
        <v>399</v>
      </c>
    </row>
    <row r="250" spans="1:4" ht="30" customHeight="1" x14ac:dyDescent="0.25">
      <c r="A250" s="68">
        <v>46256</v>
      </c>
      <c r="B250" s="22" t="s">
        <v>22</v>
      </c>
      <c r="C250" s="86">
        <v>3.42</v>
      </c>
      <c r="D250" s="45" t="s">
        <v>400</v>
      </c>
    </row>
    <row r="251" spans="1:4" ht="30" customHeight="1" x14ac:dyDescent="0.25">
      <c r="A251" s="68">
        <v>46256</v>
      </c>
      <c r="B251" s="22" t="s">
        <v>26</v>
      </c>
      <c r="C251" s="86">
        <v>5.5</v>
      </c>
      <c r="D251" s="45" t="s">
        <v>401</v>
      </c>
    </row>
    <row r="252" spans="1:4" x14ac:dyDescent="0.25">
      <c r="A252" s="68">
        <v>46256</v>
      </c>
      <c r="B252" s="22" t="s">
        <v>28</v>
      </c>
      <c r="C252" s="86">
        <v>6</v>
      </c>
      <c r="D252" s="45" t="s">
        <v>402</v>
      </c>
    </row>
    <row r="253" spans="1:4" x14ac:dyDescent="0.25">
      <c r="A253" s="68">
        <v>46256</v>
      </c>
      <c r="B253" s="22" t="s">
        <v>34</v>
      </c>
      <c r="C253" s="86">
        <v>2</v>
      </c>
      <c r="D253" s="45" t="s">
        <v>403</v>
      </c>
    </row>
    <row r="254" spans="1:4" ht="45" customHeight="1" x14ac:dyDescent="0.25">
      <c r="A254" s="68">
        <v>46256</v>
      </c>
      <c r="B254" s="22" t="s">
        <v>36</v>
      </c>
      <c r="C254" s="86">
        <v>3.17</v>
      </c>
      <c r="D254" s="45" t="s">
        <v>404</v>
      </c>
    </row>
    <row r="255" spans="1:4" ht="30" customHeight="1" x14ac:dyDescent="0.25">
      <c r="A255" s="68">
        <v>46257</v>
      </c>
      <c r="B255" s="22" t="s">
        <v>19</v>
      </c>
      <c r="C255" s="86">
        <v>1.45</v>
      </c>
      <c r="D255" s="45" t="s">
        <v>405</v>
      </c>
    </row>
    <row r="256" spans="1:4" ht="30" customHeight="1" x14ac:dyDescent="0.25">
      <c r="A256" s="68">
        <v>46257</v>
      </c>
      <c r="B256" s="22" t="s">
        <v>26</v>
      </c>
      <c r="C256" s="86">
        <v>1</v>
      </c>
      <c r="D256" s="45" t="s">
        <v>406</v>
      </c>
    </row>
    <row r="257" spans="1:4" x14ac:dyDescent="0.25">
      <c r="A257" s="68">
        <v>46257</v>
      </c>
      <c r="B257" s="22" t="s">
        <v>28</v>
      </c>
      <c r="C257" s="86">
        <v>6</v>
      </c>
      <c r="D257" s="45" t="s">
        <v>407</v>
      </c>
    </row>
    <row r="258" spans="1:4" ht="30" customHeight="1" x14ac:dyDescent="0.25">
      <c r="A258" s="68">
        <v>46257</v>
      </c>
      <c r="B258" s="22" t="s">
        <v>30</v>
      </c>
      <c r="C258" s="86">
        <v>1</v>
      </c>
      <c r="D258" s="45" t="s">
        <v>408</v>
      </c>
    </row>
    <row r="259" spans="1:4" ht="30" customHeight="1" x14ac:dyDescent="0.25">
      <c r="A259" s="68">
        <v>46257</v>
      </c>
      <c r="B259" s="22" t="s">
        <v>36</v>
      </c>
      <c r="C259" s="86">
        <v>1.5</v>
      </c>
      <c r="D259" s="45" t="s">
        <v>409</v>
      </c>
    </row>
    <row r="260" spans="1:4" x14ac:dyDescent="0.25">
      <c r="A260" s="68">
        <v>46258</v>
      </c>
      <c r="B260" s="22" t="s">
        <v>617</v>
      </c>
      <c r="C260" s="86">
        <v>5</v>
      </c>
      <c r="D260" s="45" t="s">
        <v>410</v>
      </c>
    </row>
    <row r="261" spans="1:4" ht="30" customHeight="1" x14ac:dyDescent="0.25">
      <c r="A261" s="68">
        <v>46258</v>
      </c>
      <c r="B261" s="22" t="s">
        <v>36</v>
      </c>
      <c r="C261" s="86">
        <v>1.5</v>
      </c>
      <c r="D261" s="45" t="s">
        <v>409</v>
      </c>
    </row>
    <row r="262" spans="1:4" x14ac:dyDescent="0.25">
      <c r="A262" s="68">
        <v>46259</v>
      </c>
      <c r="B262" s="22" t="s">
        <v>19</v>
      </c>
      <c r="C262" s="86">
        <v>1</v>
      </c>
      <c r="D262" s="45" t="s">
        <v>411</v>
      </c>
    </row>
    <row r="263" spans="1:4" x14ac:dyDescent="0.25">
      <c r="A263" s="68">
        <v>46259</v>
      </c>
      <c r="B263" s="22" t="s">
        <v>22</v>
      </c>
      <c r="C263" s="86">
        <v>0.5</v>
      </c>
      <c r="D263" s="45" t="s">
        <v>412</v>
      </c>
    </row>
    <row r="264" spans="1:4" x14ac:dyDescent="0.25">
      <c r="A264" s="68">
        <v>46259</v>
      </c>
      <c r="B264" s="22" t="s">
        <v>28</v>
      </c>
      <c r="C264" s="86">
        <v>5</v>
      </c>
      <c r="D264" s="45" t="s">
        <v>410</v>
      </c>
    </row>
    <row r="265" spans="1:4" ht="30" customHeight="1" x14ac:dyDescent="0.25">
      <c r="A265" s="68">
        <v>46259</v>
      </c>
      <c r="B265" s="22" t="s">
        <v>36</v>
      </c>
      <c r="C265" s="86">
        <v>1.5</v>
      </c>
      <c r="D265" s="45" t="s">
        <v>413</v>
      </c>
    </row>
    <row r="266" spans="1:4" x14ac:dyDescent="0.25">
      <c r="A266" s="68">
        <v>46259</v>
      </c>
      <c r="B266" s="22" t="s">
        <v>39</v>
      </c>
      <c r="C266" s="86">
        <v>5.5</v>
      </c>
      <c r="D266" s="45" t="s">
        <v>414</v>
      </c>
    </row>
    <row r="267" spans="1:4" x14ac:dyDescent="0.25">
      <c r="A267" s="68">
        <v>46259</v>
      </c>
      <c r="B267" s="22" t="s">
        <v>40</v>
      </c>
      <c r="C267" s="86">
        <v>3</v>
      </c>
      <c r="D267" s="45" t="s">
        <v>415</v>
      </c>
    </row>
    <row r="268" spans="1:4" x14ac:dyDescent="0.25">
      <c r="A268" s="68">
        <v>46260</v>
      </c>
      <c r="B268" s="22" t="s">
        <v>22</v>
      </c>
      <c r="C268" s="86">
        <v>0.5</v>
      </c>
      <c r="D268" s="45" t="s">
        <v>416</v>
      </c>
    </row>
    <row r="269" spans="1:4" ht="45" customHeight="1" x14ac:dyDescent="0.25">
      <c r="A269" s="68">
        <v>46260</v>
      </c>
      <c r="B269" s="22" t="s">
        <v>26</v>
      </c>
      <c r="C269" s="86">
        <v>9</v>
      </c>
      <c r="D269" s="45" t="s">
        <v>417</v>
      </c>
    </row>
    <row r="270" spans="1:4" x14ac:dyDescent="0.25">
      <c r="A270" s="68">
        <v>46260</v>
      </c>
      <c r="B270" s="22" t="s">
        <v>28</v>
      </c>
      <c r="C270" s="86">
        <v>6</v>
      </c>
      <c r="D270" s="45" t="s">
        <v>407</v>
      </c>
    </row>
    <row r="271" spans="1:4" ht="45" customHeight="1" x14ac:dyDescent="0.25">
      <c r="A271" s="68">
        <v>46260</v>
      </c>
      <c r="B271" s="22" t="s">
        <v>36</v>
      </c>
      <c r="C271" s="86">
        <v>3.05</v>
      </c>
      <c r="D271" s="45" t="s">
        <v>418</v>
      </c>
    </row>
    <row r="272" spans="1:4" x14ac:dyDescent="0.25">
      <c r="A272" s="68">
        <v>46260</v>
      </c>
      <c r="B272" s="22" t="s">
        <v>39</v>
      </c>
      <c r="C272" s="86">
        <v>5.5</v>
      </c>
      <c r="D272" s="45" t="s">
        <v>414</v>
      </c>
    </row>
    <row r="273" spans="1:4" x14ac:dyDescent="0.25">
      <c r="A273" s="68">
        <v>46260</v>
      </c>
      <c r="B273" s="22" t="s">
        <v>40</v>
      </c>
      <c r="C273" s="86">
        <v>3</v>
      </c>
      <c r="D273" s="45" t="s">
        <v>415</v>
      </c>
    </row>
    <row r="274" spans="1:4" x14ac:dyDescent="0.25">
      <c r="A274" s="68">
        <v>46261</v>
      </c>
      <c r="B274" s="22" t="s">
        <v>19</v>
      </c>
      <c r="C274" s="86">
        <v>1.2</v>
      </c>
      <c r="D274" s="45" t="s">
        <v>419</v>
      </c>
    </row>
    <row r="275" spans="1:4" ht="30" customHeight="1" x14ac:dyDescent="0.25">
      <c r="A275" s="68">
        <v>46261</v>
      </c>
      <c r="B275" s="22" t="s">
        <v>26</v>
      </c>
      <c r="C275" s="86">
        <v>6.5</v>
      </c>
      <c r="D275" s="45" t="s">
        <v>420</v>
      </c>
    </row>
    <row r="276" spans="1:4" x14ac:dyDescent="0.25">
      <c r="A276" s="68">
        <v>46261</v>
      </c>
      <c r="B276" s="22" t="s">
        <v>36</v>
      </c>
      <c r="C276" s="86">
        <v>1.5</v>
      </c>
      <c r="D276" s="45" t="s">
        <v>421</v>
      </c>
    </row>
    <row r="277" spans="1:4" ht="30" customHeight="1" x14ac:dyDescent="0.25">
      <c r="A277" s="68">
        <v>46263</v>
      </c>
      <c r="B277" s="22" t="s">
        <v>19</v>
      </c>
      <c r="C277" s="86">
        <v>1</v>
      </c>
      <c r="D277" s="45" t="s">
        <v>422</v>
      </c>
    </row>
    <row r="278" spans="1:4" x14ac:dyDescent="0.25">
      <c r="A278" s="68">
        <v>46263</v>
      </c>
      <c r="B278" s="22" t="s">
        <v>22</v>
      </c>
      <c r="C278" s="86">
        <v>1</v>
      </c>
      <c r="D278" s="45" t="s">
        <v>423</v>
      </c>
    </row>
    <row r="279" spans="1:4" x14ac:dyDescent="0.25">
      <c r="A279" s="68">
        <v>46263</v>
      </c>
      <c r="B279" s="22" t="s">
        <v>36</v>
      </c>
      <c r="C279" s="86">
        <v>1.5</v>
      </c>
      <c r="D279" s="45" t="s">
        <v>421</v>
      </c>
    </row>
    <row r="280" spans="1:4" ht="30" customHeight="1" x14ac:dyDescent="0.25">
      <c r="A280" s="68">
        <v>46263</v>
      </c>
      <c r="B280" s="22" t="s">
        <v>39</v>
      </c>
      <c r="C280" s="86">
        <v>4.8499999999999996</v>
      </c>
      <c r="D280" s="45" t="s">
        <v>424</v>
      </c>
    </row>
    <row r="281" spans="1:4" ht="30" customHeight="1" x14ac:dyDescent="0.25">
      <c r="A281" s="68">
        <v>46264</v>
      </c>
      <c r="B281" s="22" t="s">
        <v>19</v>
      </c>
      <c r="C281" s="86">
        <v>2.15</v>
      </c>
      <c r="D281" s="45" t="s">
        <v>425</v>
      </c>
    </row>
    <row r="282" spans="1:4" x14ac:dyDescent="0.25">
      <c r="A282" s="68">
        <v>46264</v>
      </c>
      <c r="B282" s="22" t="s">
        <v>617</v>
      </c>
      <c r="C282" s="86">
        <v>2</v>
      </c>
      <c r="D282" s="45" t="s">
        <v>426</v>
      </c>
    </row>
    <row r="283" spans="1:4" ht="30" customHeight="1" x14ac:dyDescent="0.25">
      <c r="A283" s="68">
        <v>46264</v>
      </c>
      <c r="B283" s="22" t="s">
        <v>34</v>
      </c>
      <c r="C283" s="86">
        <v>3.65</v>
      </c>
      <c r="D283" s="45" t="s">
        <v>427</v>
      </c>
    </row>
    <row r="284" spans="1:4" x14ac:dyDescent="0.25">
      <c r="A284" s="68">
        <v>46264</v>
      </c>
      <c r="B284" s="22" t="s">
        <v>36</v>
      </c>
      <c r="C284" s="86">
        <v>1.5</v>
      </c>
      <c r="D284" s="45" t="s">
        <v>421</v>
      </c>
    </row>
    <row r="285" spans="1:4" x14ac:dyDescent="0.25">
      <c r="A285" s="68">
        <v>46265</v>
      </c>
      <c r="B285" s="22" t="s">
        <v>617</v>
      </c>
      <c r="C285" s="86">
        <v>4</v>
      </c>
      <c r="D285" s="45" t="s">
        <v>428</v>
      </c>
    </row>
    <row r="286" spans="1:4" ht="30" customHeight="1" x14ac:dyDescent="0.25">
      <c r="A286" s="68">
        <v>46265</v>
      </c>
      <c r="B286" s="22" t="s">
        <v>30</v>
      </c>
      <c r="C286" s="86">
        <v>1</v>
      </c>
      <c r="D286" s="45" t="s">
        <v>429</v>
      </c>
    </row>
    <row r="287" spans="1:4" x14ac:dyDescent="0.25">
      <c r="A287" s="68">
        <v>46265</v>
      </c>
      <c r="B287" s="22" t="s">
        <v>36</v>
      </c>
      <c r="C287" s="86">
        <v>1.5</v>
      </c>
      <c r="D287" s="45" t="s">
        <v>421</v>
      </c>
    </row>
    <row r="288" spans="1:4" x14ac:dyDescent="0.25">
      <c r="A288" s="68">
        <v>46265</v>
      </c>
      <c r="B288" s="22" t="s">
        <v>40</v>
      </c>
      <c r="C288" s="86">
        <v>3</v>
      </c>
      <c r="D288" s="45" t="s">
        <v>430</v>
      </c>
    </row>
    <row r="289" spans="1:4" ht="30" customHeight="1" x14ac:dyDescent="0.25">
      <c r="A289" s="68">
        <v>46266</v>
      </c>
      <c r="B289" s="22" t="s">
        <v>19</v>
      </c>
      <c r="C289" s="86">
        <v>2</v>
      </c>
      <c r="D289" s="45" t="s">
        <v>431</v>
      </c>
    </row>
    <row r="290" spans="1:4" x14ac:dyDescent="0.25">
      <c r="A290" s="68">
        <v>46266</v>
      </c>
      <c r="B290" s="22" t="s">
        <v>36</v>
      </c>
      <c r="C290" s="86">
        <v>1.5</v>
      </c>
      <c r="D290" s="45" t="s">
        <v>432</v>
      </c>
    </row>
    <row r="291" spans="1:4" x14ac:dyDescent="0.25">
      <c r="A291" s="68">
        <v>46266</v>
      </c>
      <c r="B291" s="22" t="s">
        <v>40</v>
      </c>
      <c r="C291" s="86">
        <v>4</v>
      </c>
      <c r="D291" s="45" t="s">
        <v>433</v>
      </c>
    </row>
    <row r="292" spans="1:4" ht="30" customHeight="1" x14ac:dyDescent="0.25">
      <c r="A292" s="68">
        <v>46267</v>
      </c>
      <c r="B292" s="22" t="s">
        <v>19</v>
      </c>
      <c r="C292" s="86">
        <v>7.6</v>
      </c>
      <c r="D292" s="45" t="s">
        <v>434</v>
      </c>
    </row>
    <row r="293" spans="1:4" ht="30" customHeight="1" x14ac:dyDescent="0.25">
      <c r="A293" s="68">
        <v>46267</v>
      </c>
      <c r="B293" s="22" t="s">
        <v>30</v>
      </c>
      <c r="C293" s="86">
        <v>6.6</v>
      </c>
      <c r="D293" s="45" t="s">
        <v>435</v>
      </c>
    </row>
    <row r="294" spans="1:4" x14ac:dyDescent="0.25">
      <c r="A294" s="68">
        <v>46267</v>
      </c>
      <c r="B294" s="22" t="s">
        <v>617</v>
      </c>
      <c r="C294" s="86">
        <v>3</v>
      </c>
      <c r="D294" s="45" t="s">
        <v>436</v>
      </c>
    </row>
    <row r="295" spans="1:4" ht="30" customHeight="1" x14ac:dyDescent="0.25">
      <c r="A295" s="68">
        <v>46267</v>
      </c>
      <c r="B295" s="22" t="s">
        <v>36</v>
      </c>
      <c r="C295" s="86">
        <v>4.6500000000000004</v>
      </c>
      <c r="D295" s="45" t="s">
        <v>437</v>
      </c>
    </row>
    <row r="296" spans="1:4" x14ac:dyDescent="0.25">
      <c r="A296" s="68">
        <v>46268</v>
      </c>
      <c r="B296" s="22" t="s">
        <v>617</v>
      </c>
      <c r="C296" s="86">
        <v>7.67</v>
      </c>
      <c r="D296" s="45" t="s">
        <v>438</v>
      </c>
    </row>
    <row r="297" spans="1:4" x14ac:dyDescent="0.25">
      <c r="A297" s="68">
        <v>46268</v>
      </c>
      <c r="B297" s="22" t="s">
        <v>30</v>
      </c>
      <c r="C297" s="86">
        <v>2.5</v>
      </c>
      <c r="D297" s="45" t="s">
        <v>439</v>
      </c>
    </row>
    <row r="298" spans="1:4" ht="30" customHeight="1" x14ac:dyDescent="0.25">
      <c r="A298" s="68">
        <v>46268</v>
      </c>
      <c r="B298" s="22" t="s">
        <v>36</v>
      </c>
      <c r="C298" s="86">
        <v>2.5</v>
      </c>
      <c r="D298" s="45" t="s">
        <v>441</v>
      </c>
    </row>
    <row r="299" spans="1:4" x14ac:dyDescent="0.25">
      <c r="A299" s="68">
        <v>46268</v>
      </c>
      <c r="B299" s="22" t="s">
        <v>39</v>
      </c>
      <c r="C299" s="86">
        <v>2</v>
      </c>
      <c r="D299" s="45" t="s">
        <v>442</v>
      </c>
    </row>
    <row r="300" spans="1:4" x14ac:dyDescent="0.25">
      <c r="A300" s="68">
        <v>46270</v>
      </c>
      <c r="B300" s="22" t="s">
        <v>19</v>
      </c>
      <c r="C300" s="86">
        <v>2.67</v>
      </c>
      <c r="D300" s="45" t="s">
        <v>443</v>
      </c>
    </row>
    <row r="301" spans="1:4" x14ac:dyDescent="0.25">
      <c r="A301" s="68">
        <v>46270</v>
      </c>
      <c r="B301" s="22" t="s">
        <v>22</v>
      </c>
      <c r="C301" s="86">
        <v>2.5</v>
      </c>
      <c r="D301" s="45" t="s">
        <v>444</v>
      </c>
    </row>
    <row r="302" spans="1:4" ht="30" customHeight="1" x14ac:dyDescent="0.25">
      <c r="A302" s="68">
        <v>46270</v>
      </c>
      <c r="B302" s="22" t="s">
        <v>26</v>
      </c>
      <c r="C302" s="86">
        <v>3.5</v>
      </c>
      <c r="D302" s="45" t="s">
        <v>445</v>
      </c>
    </row>
    <row r="303" spans="1:4" x14ac:dyDescent="0.25">
      <c r="A303" s="68">
        <v>46270</v>
      </c>
      <c r="B303" s="22" t="s">
        <v>28</v>
      </c>
      <c r="C303" s="86">
        <v>6</v>
      </c>
      <c r="D303" s="45" t="s">
        <v>446</v>
      </c>
    </row>
    <row r="304" spans="1:4" x14ac:dyDescent="0.25">
      <c r="A304" s="68">
        <v>46270</v>
      </c>
      <c r="B304" s="22" t="s">
        <v>30</v>
      </c>
      <c r="C304" s="86">
        <v>1.34</v>
      </c>
      <c r="D304" s="45" t="s">
        <v>447</v>
      </c>
    </row>
    <row r="305" spans="1:4" ht="45" customHeight="1" x14ac:dyDescent="0.25">
      <c r="A305" s="68">
        <v>46270</v>
      </c>
      <c r="B305" s="22" t="s">
        <v>36</v>
      </c>
      <c r="C305" s="86">
        <v>2.25</v>
      </c>
      <c r="D305" s="45" t="s">
        <v>448</v>
      </c>
    </row>
    <row r="306" spans="1:4" ht="30" customHeight="1" x14ac:dyDescent="0.25">
      <c r="A306" s="68">
        <v>46270</v>
      </c>
      <c r="B306" s="22" t="s">
        <v>39</v>
      </c>
      <c r="C306" s="86">
        <v>7</v>
      </c>
      <c r="D306" s="45" t="s">
        <v>449</v>
      </c>
    </row>
    <row r="307" spans="1:4" ht="30" customHeight="1" x14ac:dyDescent="0.25">
      <c r="A307" s="68">
        <v>46270</v>
      </c>
      <c r="B307" s="22" t="s">
        <v>40</v>
      </c>
      <c r="C307" s="86">
        <v>4.17</v>
      </c>
      <c r="D307" s="45" t="s">
        <v>450</v>
      </c>
    </row>
    <row r="308" spans="1:4" ht="30" customHeight="1" x14ac:dyDescent="0.25">
      <c r="A308" s="68">
        <v>46271</v>
      </c>
      <c r="B308" s="22" t="s">
        <v>26</v>
      </c>
      <c r="C308" s="86">
        <v>1</v>
      </c>
      <c r="D308" s="45" t="s">
        <v>451</v>
      </c>
    </row>
    <row r="309" spans="1:4" x14ac:dyDescent="0.25">
      <c r="A309" s="68">
        <v>46271</v>
      </c>
      <c r="B309" s="22" t="s">
        <v>28</v>
      </c>
      <c r="C309" s="86">
        <v>3</v>
      </c>
      <c r="D309" s="45" t="s">
        <v>436</v>
      </c>
    </row>
    <row r="310" spans="1:4" x14ac:dyDescent="0.25">
      <c r="A310" s="68">
        <v>46271</v>
      </c>
      <c r="B310" s="22" t="s">
        <v>34</v>
      </c>
      <c r="C310" s="86">
        <v>7</v>
      </c>
      <c r="D310" s="45" t="s">
        <v>452</v>
      </c>
    </row>
    <row r="311" spans="1:4" ht="30" customHeight="1" x14ac:dyDescent="0.25">
      <c r="A311" s="68">
        <v>46271</v>
      </c>
      <c r="B311" s="22" t="s">
        <v>36</v>
      </c>
      <c r="C311" s="86">
        <v>8.83</v>
      </c>
      <c r="D311" s="45" t="s">
        <v>453</v>
      </c>
    </row>
    <row r="312" spans="1:4" ht="45" customHeight="1" x14ac:dyDescent="0.25">
      <c r="A312" s="68">
        <v>46271</v>
      </c>
      <c r="B312" s="22" t="s">
        <v>39</v>
      </c>
      <c r="C312" s="86">
        <v>9.33</v>
      </c>
      <c r="D312" s="45" t="s">
        <v>454</v>
      </c>
    </row>
    <row r="313" spans="1:4" ht="45" customHeight="1" x14ac:dyDescent="0.25">
      <c r="A313" s="68">
        <v>46271</v>
      </c>
      <c r="B313" s="22" t="s">
        <v>40</v>
      </c>
      <c r="C313" s="86">
        <v>6.33</v>
      </c>
      <c r="D313" s="45" t="s">
        <v>455</v>
      </c>
    </row>
    <row r="314" spans="1:4" x14ac:dyDescent="0.25">
      <c r="A314" s="68">
        <v>46272</v>
      </c>
      <c r="B314" s="22" t="s">
        <v>19</v>
      </c>
      <c r="C314" s="86">
        <v>1.08</v>
      </c>
      <c r="D314" s="45" t="s">
        <v>456</v>
      </c>
    </row>
    <row r="315" spans="1:4" x14ac:dyDescent="0.25">
      <c r="A315" s="68">
        <v>46272</v>
      </c>
      <c r="B315" s="22" t="s">
        <v>28</v>
      </c>
      <c r="C315" s="86">
        <v>1.5</v>
      </c>
      <c r="D315" s="45" t="s">
        <v>457</v>
      </c>
    </row>
    <row r="316" spans="1:4" x14ac:dyDescent="0.25">
      <c r="A316" s="68">
        <v>46272</v>
      </c>
      <c r="B316" s="22" t="s">
        <v>34</v>
      </c>
      <c r="C316" s="86">
        <v>7</v>
      </c>
      <c r="D316" s="45" t="s">
        <v>452</v>
      </c>
    </row>
    <row r="317" spans="1:4" ht="30" customHeight="1" x14ac:dyDescent="0.25">
      <c r="A317" s="68">
        <v>46272</v>
      </c>
      <c r="B317" s="22" t="s">
        <v>36</v>
      </c>
      <c r="C317" s="86">
        <v>3.33</v>
      </c>
      <c r="D317" s="45" t="s">
        <v>458</v>
      </c>
    </row>
    <row r="318" spans="1:4" x14ac:dyDescent="0.25">
      <c r="A318" s="68">
        <v>46272</v>
      </c>
      <c r="B318" s="22" t="s">
        <v>39</v>
      </c>
      <c r="C318" s="86">
        <v>2</v>
      </c>
      <c r="D318" s="45" t="s">
        <v>459</v>
      </c>
    </row>
    <row r="319" spans="1:4" x14ac:dyDescent="0.25">
      <c r="A319" s="68">
        <v>46272</v>
      </c>
      <c r="B319" s="22" t="s">
        <v>40</v>
      </c>
      <c r="C319" s="86">
        <v>8</v>
      </c>
      <c r="D319" s="45" t="s">
        <v>460</v>
      </c>
    </row>
    <row r="320" spans="1:4" x14ac:dyDescent="0.25">
      <c r="A320" s="68">
        <v>46273</v>
      </c>
      <c r="B320" s="22" t="s">
        <v>19</v>
      </c>
      <c r="C320" s="86">
        <v>1</v>
      </c>
      <c r="D320" s="45" t="s">
        <v>461</v>
      </c>
    </row>
    <row r="321" spans="1:4" x14ac:dyDescent="0.25">
      <c r="A321" s="68">
        <v>46273</v>
      </c>
      <c r="B321" s="22" t="s">
        <v>28</v>
      </c>
      <c r="C321" s="86">
        <v>1.5</v>
      </c>
      <c r="D321" s="45" t="s">
        <v>457</v>
      </c>
    </row>
    <row r="322" spans="1:4" x14ac:dyDescent="0.25">
      <c r="A322" s="68">
        <v>46273</v>
      </c>
      <c r="B322" s="22" t="s">
        <v>30</v>
      </c>
      <c r="C322" s="86">
        <v>3.67</v>
      </c>
      <c r="D322" s="45" t="s">
        <v>462</v>
      </c>
    </row>
    <row r="323" spans="1:4" ht="30" customHeight="1" x14ac:dyDescent="0.25">
      <c r="A323" s="68">
        <v>46273</v>
      </c>
      <c r="B323" s="22" t="s">
        <v>36</v>
      </c>
      <c r="C323" s="86">
        <v>3.17</v>
      </c>
      <c r="D323" s="45" t="s">
        <v>463</v>
      </c>
    </row>
    <row r="324" spans="1:4" ht="30" customHeight="1" x14ac:dyDescent="0.25">
      <c r="A324" s="68">
        <v>46273</v>
      </c>
      <c r="B324" s="22" t="s">
        <v>39</v>
      </c>
      <c r="C324" s="86">
        <v>4</v>
      </c>
      <c r="D324" s="45" t="s">
        <v>464</v>
      </c>
    </row>
    <row r="325" spans="1:4" x14ac:dyDescent="0.25">
      <c r="A325" s="68">
        <v>46273</v>
      </c>
      <c r="B325" s="22" t="s">
        <v>40</v>
      </c>
      <c r="C325" s="86">
        <v>2.5</v>
      </c>
      <c r="D325" s="45" t="s">
        <v>465</v>
      </c>
    </row>
    <row r="326" spans="1:4" x14ac:dyDescent="0.25">
      <c r="A326" s="68">
        <v>46274</v>
      </c>
      <c r="B326" s="22" t="s">
        <v>19</v>
      </c>
      <c r="C326" s="86">
        <v>1.5</v>
      </c>
      <c r="D326" s="45" t="s">
        <v>466</v>
      </c>
    </row>
    <row r="327" spans="1:4" x14ac:dyDescent="0.25">
      <c r="A327" s="68">
        <v>46274</v>
      </c>
      <c r="B327" s="22" t="s">
        <v>28</v>
      </c>
      <c r="C327" s="86">
        <v>4</v>
      </c>
      <c r="D327" s="45" t="s">
        <v>428</v>
      </c>
    </row>
    <row r="328" spans="1:4" x14ac:dyDescent="0.25">
      <c r="A328" s="68">
        <v>46274</v>
      </c>
      <c r="B328" s="22" t="s">
        <v>30</v>
      </c>
      <c r="C328" s="86">
        <v>3.33</v>
      </c>
      <c r="D328" s="45" t="s">
        <v>467</v>
      </c>
    </row>
    <row r="329" spans="1:4" ht="30" customHeight="1" x14ac:dyDescent="0.25">
      <c r="A329" s="68">
        <v>46274</v>
      </c>
      <c r="B329" s="22" t="s">
        <v>36</v>
      </c>
      <c r="C329" s="86">
        <v>2.42</v>
      </c>
      <c r="D329" s="45" t="s">
        <v>468</v>
      </c>
    </row>
    <row r="330" spans="1:4" x14ac:dyDescent="0.25">
      <c r="A330" s="68">
        <v>46274</v>
      </c>
      <c r="B330" s="22" t="s">
        <v>39</v>
      </c>
      <c r="C330" s="86">
        <v>4</v>
      </c>
      <c r="D330" s="12" t="s">
        <v>428</v>
      </c>
    </row>
    <row r="331" spans="1:4" x14ac:dyDescent="0.25">
      <c r="A331" s="68">
        <v>46274</v>
      </c>
      <c r="B331" s="22" t="s">
        <v>40</v>
      </c>
      <c r="C331" s="86">
        <v>2</v>
      </c>
      <c r="D331" s="45" t="s">
        <v>636</v>
      </c>
    </row>
    <row r="332" spans="1:4" ht="45" customHeight="1" x14ac:dyDescent="0.25">
      <c r="A332" s="68">
        <v>46275</v>
      </c>
      <c r="B332" s="22" t="s">
        <v>36</v>
      </c>
      <c r="C332" s="86">
        <v>4.58</v>
      </c>
      <c r="D332" s="45" t="s">
        <v>470</v>
      </c>
    </row>
    <row r="333" spans="1:4" ht="30" customHeight="1" x14ac:dyDescent="0.25">
      <c r="A333" s="68">
        <v>46275</v>
      </c>
      <c r="B333" s="22" t="s">
        <v>39</v>
      </c>
      <c r="C333" s="86">
        <v>6.83</v>
      </c>
      <c r="D333" s="45" t="s">
        <v>471</v>
      </c>
    </row>
    <row r="334" spans="1:4" ht="30" customHeight="1" x14ac:dyDescent="0.25">
      <c r="A334" s="68">
        <v>46275</v>
      </c>
      <c r="B334" s="22" t="s">
        <v>40</v>
      </c>
      <c r="C334" s="86">
        <v>2</v>
      </c>
      <c r="D334" s="45" t="s">
        <v>472</v>
      </c>
    </row>
    <row r="335" spans="1:4" x14ac:dyDescent="0.25">
      <c r="A335" s="68">
        <v>46277</v>
      </c>
      <c r="B335" s="22" t="s">
        <v>26</v>
      </c>
      <c r="C335" s="86">
        <v>2.33</v>
      </c>
      <c r="D335" s="45" t="s">
        <v>473</v>
      </c>
    </row>
    <row r="336" spans="1:4" x14ac:dyDescent="0.25">
      <c r="A336" s="68">
        <v>46277</v>
      </c>
      <c r="B336" s="22" t="s">
        <v>28</v>
      </c>
      <c r="C336" s="86">
        <v>3.5</v>
      </c>
      <c r="D336" s="45" t="s">
        <v>474</v>
      </c>
    </row>
    <row r="337" spans="1:4" ht="30" customHeight="1" x14ac:dyDescent="0.25">
      <c r="A337" s="68">
        <v>46277</v>
      </c>
      <c r="B337" s="22" t="s">
        <v>36</v>
      </c>
      <c r="C337" s="86">
        <v>7.5</v>
      </c>
      <c r="D337" s="45" t="s">
        <v>475</v>
      </c>
    </row>
    <row r="338" spans="1:4" ht="30" customHeight="1" x14ac:dyDescent="0.25">
      <c r="A338" s="68">
        <v>46277</v>
      </c>
      <c r="B338" s="22" t="s">
        <v>39</v>
      </c>
      <c r="C338" s="86">
        <v>4</v>
      </c>
      <c r="D338" s="45" t="s">
        <v>476</v>
      </c>
    </row>
    <row r="339" spans="1:4" ht="30" customHeight="1" x14ac:dyDescent="0.25">
      <c r="A339" s="68">
        <v>46277</v>
      </c>
      <c r="B339" s="22" t="s">
        <v>40</v>
      </c>
      <c r="C339" s="86">
        <v>4</v>
      </c>
      <c r="D339" s="45" t="s">
        <v>476</v>
      </c>
    </row>
    <row r="340" spans="1:4" ht="30" customHeight="1" x14ac:dyDescent="0.25">
      <c r="A340" s="68">
        <v>46278</v>
      </c>
      <c r="B340" s="22" t="s">
        <v>22</v>
      </c>
      <c r="C340" s="86">
        <v>0.57999999999999996</v>
      </c>
      <c r="D340" s="45" t="s">
        <v>477</v>
      </c>
    </row>
    <row r="341" spans="1:4" x14ac:dyDescent="0.25">
      <c r="A341" s="68">
        <v>46278</v>
      </c>
      <c r="B341" s="22" t="s">
        <v>26</v>
      </c>
      <c r="C341" s="86">
        <v>1.83</v>
      </c>
      <c r="D341" s="45" t="s">
        <v>478</v>
      </c>
    </row>
    <row r="342" spans="1:4" x14ac:dyDescent="0.25">
      <c r="A342" s="68">
        <v>46278</v>
      </c>
      <c r="B342" s="22" t="s">
        <v>28</v>
      </c>
      <c r="C342" s="86">
        <v>3</v>
      </c>
      <c r="D342" s="45" t="s">
        <v>436</v>
      </c>
    </row>
    <row r="343" spans="1:4" ht="30" customHeight="1" x14ac:dyDescent="0.25">
      <c r="A343" s="68">
        <v>46278</v>
      </c>
      <c r="B343" s="22" t="s">
        <v>34</v>
      </c>
      <c r="C343" s="86">
        <v>2</v>
      </c>
      <c r="D343" s="45" t="s">
        <v>479</v>
      </c>
    </row>
    <row r="344" spans="1:4" ht="30" customHeight="1" x14ac:dyDescent="0.25">
      <c r="A344" s="68">
        <v>46278</v>
      </c>
      <c r="B344" s="22" t="s">
        <v>36</v>
      </c>
      <c r="C344" s="86">
        <v>5.17</v>
      </c>
      <c r="D344" s="45" t="s">
        <v>480</v>
      </c>
    </row>
    <row r="345" spans="1:4" ht="30" customHeight="1" x14ac:dyDescent="0.25">
      <c r="A345" s="68">
        <v>46278</v>
      </c>
      <c r="B345" s="22" t="s">
        <v>39</v>
      </c>
      <c r="C345" s="86">
        <v>10.5</v>
      </c>
      <c r="D345" s="45" t="s">
        <v>481</v>
      </c>
    </row>
    <row r="346" spans="1:4" ht="30" customHeight="1" x14ac:dyDescent="0.25">
      <c r="A346" s="68">
        <v>46278</v>
      </c>
      <c r="B346" s="22" t="s">
        <v>40</v>
      </c>
      <c r="C346" s="86">
        <v>2</v>
      </c>
      <c r="D346" s="45" t="s">
        <v>482</v>
      </c>
    </row>
    <row r="347" spans="1:4" x14ac:dyDescent="0.25">
      <c r="A347" s="68">
        <v>46279</v>
      </c>
      <c r="B347" s="22" t="s">
        <v>19</v>
      </c>
      <c r="C347" s="86">
        <v>1</v>
      </c>
      <c r="D347" s="45" t="s">
        <v>483</v>
      </c>
    </row>
    <row r="348" spans="1:4" x14ac:dyDescent="0.25">
      <c r="A348" s="68">
        <v>46279</v>
      </c>
      <c r="B348" s="22" t="s">
        <v>34</v>
      </c>
      <c r="C348" s="86">
        <v>2</v>
      </c>
      <c r="D348" s="45" t="s">
        <v>486</v>
      </c>
    </row>
    <row r="349" spans="1:4" ht="30" customHeight="1" x14ac:dyDescent="0.25">
      <c r="A349" s="68">
        <v>46279</v>
      </c>
      <c r="B349" s="22" t="s">
        <v>36</v>
      </c>
      <c r="C349" s="86">
        <v>1.92</v>
      </c>
      <c r="D349" s="45" t="s">
        <v>487</v>
      </c>
    </row>
    <row r="350" spans="1:4" ht="30" customHeight="1" x14ac:dyDescent="0.25">
      <c r="A350" s="68">
        <v>46279</v>
      </c>
      <c r="B350" s="22" t="s">
        <v>39</v>
      </c>
      <c r="C350" s="86">
        <v>4</v>
      </c>
      <c r="D350" s="45" t="s">
        <v>488</v>
      </c>
    </row>
    <row r="351" spans="1:4" ht="30" customHeight="1" x14ac:dyDescent="0.25">
      <c r="A351" s="68">
        <v>46279</v>
      </c>
      <c r="B351" s="22" t="s">
        <v>40</v>
      </c>
      <c r="C351" s="86">
        <v>9</v>
      </c>
      <c r="D351" s="45" t="s">
        <v>489</v>
      </c>
    </row>
    <row r="352" spans="1:4" ht="45" customHeight="1" x14ac:dyDescent="0.25">
      <c r="A352" s="68">
        <v>46280</v>
      </c>
      <c r="B352" s="22" t="s">
        <v>26</v>
      </c>
      <c r="C352" s="86">
        <v>1.75</v>
      </c>
      <c r="D352" s="45" t="s">
        <v>490</v>
      </c>
    </row>
    <row r="353" spans="1:4" x14ac:dyDescent="0.25">
      <c r="A353" s="68">
        <v>46280</v>
      </c>
      <c r="B353" s="22" t="s">
        <v>28</v>
      </c>
      <c r="C353" s="86">
        <v>4</v>
      </c>
      <c r="D353" s="45" t="s">
        <v>486</v>
      </c>
    </row>
    <row r="354" spans="1:4" ht="30" customHeight="1" x14ac:dyDescent="0.25">
      <c r="A354" s="68">
        <v>46280</v>
      </c>
      <c r="B354" s="22" t="s">
        <v>34</v>
      </c>
      <c r="C354" s="86">
        <v>4</v>
      </c>
      <c r="D354" s="45" t="s">
        <v>491</v>
      </c>
    </row>
    <row r="355" spans="1:4" ht="30" customHeight="1" x14ac:dyDescent="0.25">
      <c r="A355" s="68">
        <v>46280</v>
      </c>
      <c r="B355" s="22" t="s">
        <v>36</v>
      </c>
      <c r="C355" s="86">
        <v>15.1</v>
      </c>
      <c r="D355" s="45" t="s">
        <v>492</v>
      </c>
    </row>
    <row r="356" spans="1:4" ht="30" customHeight="1" x14ac:dyDescent="0.25">
      <c r="A356" s="68">
        <v>46280</v>
      </c>
      <c r="B356" s="22" t="s">
        <v>39</v>
      </c>
      <c r="C356" s="86">
        <v>10</v>
      </c>
      <c r="D356" s="45" t="s">
        <v>493</v>
      </c>
    </row>
    <row r="357" spans="1:4" ht="30" customHeight="1" x14ac:dyDescent="0.25">
      <c r="A357" s="68">
        <v>46280</v>
      </c>
      <c r="B357" s="22" t="s">
        <v>40</v>
      </c>
      <c r="C357" s="86">
        <v>4</v>
      </c>
      <c r="D357" s="45" t="s">
        <v>494</v>
      </c>
    </row>
    <row r="358" spans="1:4" ht="30" customHeight="1" x14ac:dyDescent="0.25">
      <c r="A358" s="68">
        <v>46281</v>
      </c>
      <c r="B358" s="22" t="s">
        <v>36</v>
      </c>
      <c r="C358" s="86">
        <v>5.83</v>
      </c>
      <c r="D358" s="45" t="s">
        <v>496</v>
      </c>
    </row>
    <row r="359" spans="1:4" x14ac:dyDescent="0.25">
      <c r="A359" s="68">
        <v>46281</v>
      </c>
      <c r="B359" s="22" t="s">
        <v>39</v>
      </c>
      <c r="C359" s="86">
        <v>4.5</v>
      </c>
      <c r="D359" s="45" t="s">
        <v>497</v>
      </c>
    </row>
    <row r="360" spans="1:4" ht="30" customHeight="1" x14ac:dyDescent="0.25">
      <c r="A360" s="68">
        <v>46281</v>
      </c>
      <c r="B360" s="22" t="s">
        <v>40</v>
      </c>
      <c r="C360" s="86">
        <v>16</v>
      </c>
      <c r="D360" s="45" t="s">
        <v>498</v>
      </c>
    </row>
    <row r="361" spans="1:4" x14ac:dyDescent="0.25">
      <c r="A361" s="68">
        <v>46282</v>
      </c>
      <c r="B361" s="22" t="s">
        <v>36</v>
      </c>
      <c r="C361" s="86">
        <v>1.5</v>
      </c>
      <c r="D361" s="45" t="s">
        <v>499</v>
      </c>
    </row>
    <row r="362" spans="1:4" x14ac:dyDescent="0.25">
      <c r="A362" s="68">
        <v>46282</v>
      </c>
      <c r="B362" s="22" t="s">
        <v>39</v>
      </c>
      <c r="C362" s="86">
        <v>5</v>
      </c>
      <c r="D362" s="45" t="s">
        <v>500</v>
      </c>
    </row>
    <row r="363" spans="1:4" x14ac:dyDescent="0.25">
      <c r="A363" s="68">
        <v>46282</v>
      </c>
      <c r="B363" s="22" t="s">
        <v>40</v>
      </c>
      <c r="C363" s="86">
        <v>12</v>
      </c>
      <c r="D363" s="45" t="s">
        <v>501</v>
      </c>
    </row>
    <row r="364" spans="1:4" x14ac:dyDescent="0.25">
      <c r="A364" s="68">
        <v>46284</v>
      </c>
      <c r="B364" s="22" t="s">
        <v>19</v>
      </c>
      <c r="C364" s="86">
        <v>2</v>
      </c>
      <c r="D364" s="45" t="s">
        <v>502</v>
      </c>
    </row>
    <row r="365" spans="1:4" x14ac:dyDescent="0.25">
      <c r="A365" s="68">
        <v>46284</v>
      </c>
      <c r="B365" s="22" t="s">
        <v>30</v>
      </c>
      <c r="C365" s="86">
        <v>1</v>
      </c>
      <c r="D365" s="45" t="s">
        <v>503</v>
      </c>
    </row>
    <row r="366" spans="1:4" ht="30" customHeight="1" x14ac:dyDescent="0.25">
      <c r="A366" s="68">
        <v>46284</v>
      </c>
      <c r="B366" s="22" t="s">
        <v>34</v>
      </c>
      <c r="C366" s="86">
        <v>4</v>
      </c>
      <c r="D366" s="45" t="s">
        <v>504</v>
      </c>
    </row>
    <row r="367" spans="1:4" ht="45" customHeight="1" x14ac:dyDescent="0.25">
      <c r="A367" s="68">
        <v>46284</v>
      </c>
      <c r="B367" s="22" t="s">
        <v>36</v>
      </c>
      <c r="C367" s="86">
        <v>5.5</v>
      </c>
      <c r="D367" s="45" t="s">
        <v>505</v>
      </c>
    </row>
    <row r="368" spans="1:4" ht="30" customHeight="1" x14ac:dyDescent="0.25">
      <c r="A368" s="68">
        <v>46284</v>
      </c>
      <c r="B368" s="22" t="s">
        <v>39</v>
      </c>
      <c r="C368" s="86">
        <v>8</v>
      </c>
      <c r="D368" s="45" t="s">
        <v>506</v>
      </c>
    </row>
    <row r="369" spans="1:4" x14ac:dyDescent="0.25">
      <c r="A369" s="68">
        <v>46284</v>
      </c>
      <c r="B369" s="22" t="s">
        <v>40</v>
      </c>
      <c r="C369" s="86">
        <v>14</v>
      </c>
      <c r="D369" s="45" t="s">
        <v>507</v>
      </c>
    </row>
    <row r="370" spans="1:4" x14ac:dyDescent="0.25">
      <c r="A370" s="68">
        <v>46285</v>
      </c>
      <c r="B370" s="22" t="s">
        <v>30</v>
      </c>
      <c r="C370" s="86">
        <v>2.4</v>
      </c>
      <c r="D370" s="45" t="s">
        <v>508</v>
      </c>
    </row>
    <row r="371" spans="1:4" ht="30" customHeight="1" x14ac:dyDescent="0.25">
      <c r="A371" s="68">
        <v>46285</v>
      </c>
      <c r="B371" s="22" t="s">
        <v>34</v>
      </c>
      <c r="C371" s="86">
        <v>4</v>
      </c>
      <c r="D371" s="45" t="s">
        <v>504</v>
      </c>
    </row>
    <row r="372" spans="1:4" ht="30" customHeight="1" x14ac:dyDescent="0.25">
      <c r="A372" s="68">
        <v>46285</v>
      </c>
      <c r="B372" s="22" t="s">
        <v>36</v>
      </c>
      <c r="C372" s="86">
        <v>5.5</v>
      </c>
      <c r="D372" s="45" t="s">
        <v>509</v>
      </c>
    </row>
    <row r="373" spans="1:4" x14ac:dyDescent="0.25">
      <c r="A373" s="68">
        <v>46285</v>
      </c>
      <c r="B373" s="22" t="s">
        <v>39</v>
      </c>
      <c r="C373" s="86">
        <v>5</v>
      </c>
      <c r="D373" s="45" t="s">
        <v>500</v>
      </c>
    </row>
    <row r="374" spans="1:4" x14ac:dyDescent="0.25">
      <c r="A374" s="68">
        <v>46285</v>
      </c>
      <c r="B374" s="22" t="s">
        <v>40</v>
      </c>
      <c r="C374" s="86">
        <v>11</v>
      </c>
      <c r="D374" s="45" t="s">
        <v>510</v>
      </c>
    </row>
    <row r="375" spans="1:4" x14ac:dyDescent="0.25">
      <c r="A375" s="68">
        <v>46286</v>
      </c>
      <c r="B375" s="22" t="s">
        <v>19</v>
      </c>
      <c r="C375" s="86">
        <v>2</v>
      </c>
      <c r="D375" s="45" t="s">
        <v>502</v>
      </c>
    </row>
    <row r="376" spans="1:4" x14ac:dyDescent="0.25">
      <c r="A376" s="68">
        <v>46286</v>
      </c>
      <c r="B376" s="22" t="s">
        <v>28</v>
      </c>
      <c r="C376" s="86">
        <v>6.5</v>
      </c>
      <c r="D376" s="45" t="s">
        <v>511</v>
      </c>
    </row>
    <row r="377" spans="1:4" ht="30" customHeight="1" x14ac:dyDescent="0.25">
      <c r="A377" s="68">
        <v>46286</v>
      </c>
      <c r="B377" s="22" t="s">
        <v>34</v>
      </c>
      <c r="C377" s="86">
        <v>3</v>
      </c>
      <c r="D377" s="45" t="s">
        <v>512</v>
      </c>
    </row>
    <row r="378" spans="1:4" ht="30" customHeight="1" x14ac:dyDescent="0.25">
      <c r="A378" s="68">
        <v>46286</v>
      </c>
      <c r="B378" s="22" t="s">
        <v>36</v>
      </c>
      <c r="C378" s="86">
        <v>2.5</v>
      </c>
      <c r="D378" s="45" t="s">
        <v>513</v>
      </c>
    </row>
    <row r="379" spans="1:4" ht="30" customHeight="1" x14ac:dyDescent="0.25">
      <c r="A379" s="68">
        <v>46286</v>
      </c>
      <c r="B379" s="22" t="s">
        <v>39</v>
      </c>
      <c r="C379" s="86">
        <v>7</v>
      </c>
      <c r="D379" s="45" t="s">
        <v>514</v>
      </c>
    </row>
    <row r="380" spans="1:4" ht="30" customHeight="1" x14ac:dyDescent="0.25">
      <c r="A380" s="68">
        <v>46286</v>
      </c>
      <c r="B380" s="22" t="s">
        <v>40</v>
      </c>
      <c r="C380" s="86">
        <v>3</v>
      </c>
      <c r="D380" s="45" t="s">
        <v>515</v>
      </c>
    </row>
    <row r="381" spans="1:4" x14ac:dyDescent="0.25">
      <c r="A381" s="68">
        <v>46287</v>
      </c>
      <c r="B381" s="22" t="s">
        <v>28</v>
      </c>
      <c r="C381" s="86">
        <v>6</v>
      </c>
      <c r="D381" s="45" t="s">
        <v>446</v>
      </c>
    </row>
    <row r="382" spans="1:4" ht="30" customHeight="1" x14ac:dyDescent="0.25">
      <c r="A382" s="68">
        <v>46287</v>
      </c>
      <c r="B382" s="22" t="s">
        <v>36</v>
      </c>
      <c r="C382" s="86">
        <v>1.5</v>
      </c>
      <c r="D382" s="45" t="s">
        <v>517</v>
      </c>
    </row>
    <row r="383" spans="1:4" x14ac:dyDescent="0.25">
      <c r="A383" s="68">
        <v>46288</v>
      </c>
      <c r="B383" s="22" t="s">
        <v>28</v>
      </c>
      <c r="C383" s="86">
        <v>5</v>
      </c>
      <c r="D383" s="45" t="s">
        <v>519</v>
      </c>
    </row>
    <row r="384" spans="1:4" ht="30" customHeight="1" x14ac:dyDescent="0.25">
      <c r="A384" s="68">
        <v>46288</v>
      </c>
      <c r="B384" s="22" t="s">
        <v>36</v>
      </c>
      <c r="C384" s="86">
        <v>1.5</v>
      </c>
      <c r="D384" s="45" t="s">
        <v>517</v>
      </c>
    </row>
    <row r="385" spans="1:4" x14ac:dyDescent="0.25">
      <c r="A385" s="68">
        <v>46289</v>
      </c>
      <c r="B385" s="22" t="s">
        <v>28</v>
      </c>
      <c r="C385" s="86">
        <v>7.17</v>
      </c>
      <c r="D385" s="45" t="s">
        <v>520</v>
      </c>
    </row>
    <row r="386" spans="1:4" ht="30" customHeight="1" x14ac:dyDescent="0.25">
      <c r="A386" s="68">
        <v>46289</v>
      </c>
      <c r="B386" s="22" t="s">
        <v>34</v>
      </c>
      <c r="C386" s="86">
        <v>2</v>
      </c>
      <c r="D386" s="45" t="s">
        <v>521</v>
      </c>
    </row>
    <row r="387" spans="1:4" ht="45" customHeight="1" x14ac:dyDescent="0.25">
      <c r="A387" s="68">
        <v>46289</v>
      </c>
      <c r="B387" s="22" t="s">
        <v>36</v>
      </c>
      <c r="C387" s="86">
        <v>8.42</v>
      </c>
      <c r="D387" s="45" t="s">
        <v>522</v>
      </c>
    </row>
    <row r="388" spans="1:4" x14ac:dyDescent="0.25">
      <c r="A388" s="68">
        <v>46289</v>
      </c>
      <c r="B388" s="22" t="s">
        <v>39</v>
      </c>
      <c r="C388" s="86">
        <v>12</v>
      </c>
      <c r="D388" s="45" t="s">
        <v>501</v>
      </c>
    </row>
    <row r="389" spans="1:4" ht="30" customHeight="1" x14ac:dyDescent="0.25">
      <c r="A389" s="68">
        <v>46289</v>
      </c>
      <c r="B389" s="22" t="s">
        <v>40</v>
      </c>
      <c r="C389" s="86">
        <v>4</v>
      </c>
      <c r="D389" s="45" t="s">
        <v>504</v>
      </c>
    </row>
    <row r="390" spans="1:4" x14ac:dyDescent="0.25">
      <c r="A390" s="68">
        <v>46291</v>
      </c>
      <c r="B390" s="22" t="s">
        <v>19</v>
      </c>
      <c r="C390" s="86">
        <v>1.5</v>
      </c>
      <c r="D390" s="45" t="s">
        <v>523</v>
      </c>
    </row>
    <row r="391" spans="1:4" x14ac:dyDescent="0.25">
      <c r="A391" s="68">
        <v>46291</v>
      </c>
      <c r="B391" s="22" t="s">
        <v>26</v>
      </c>
      <c r="C391" s="86">
        <v>2.5</v>
      </c>
      <c r="D391" s="45" t="s">
        <v>444</v>
      </c>
    </row>
    <row r="392" spans="1:4" x14ac:dyDescent="0.25">
      <c r="A392" s="68">
        <v>46291</v>
      </c>
      <c r="B392" s="22" t="s">
        <v>34</v>
      </c>
      <c r="C392" s="86">
        <v>12</v>
      </c>
      <c r="D392" s="45" t="s">
        <v>524</v>
      </c>
    </row>
    <row r="393" spans="1:4" ht="30" customHeight="1" x14ac:dyDescent="0.25">
      <c r="A393" s="68">
        <v>46291</v>
      </c>
      <c r="B393" s="22" t="s">
        <v>36</v>
      </c>
      <c r="C393" s="86">
        <v>12.5</v>
      </c>
      <c r="D393" s="45" t="s">
        <v>525</v>
      </c>
    </row>
    <row r="394" spans="1:4" x14ac:dyDescent="0.25">
      <c r="A394" s="68">
        <v>46292</v>
      </c>
      <c r="B394" s="22" t="s">
        <v>28</v>
      </c>
      <c r="C394" s="86">
        <v>2</v>
      </c>
      <c r="D394" s="45" t="s">
        <v>528</v>
      </c>
    </row>
    <row r="395" spans="1:4" ht="30" customHeight="1" x14ac:dyDescent="0.25">
      <c r="A395" s="68">
        <v>46292</v>
      </c>
      <c r="B395" s="22" t="s">
        <v>30</v>
      </c>
      <c r="C395" s="86">
        <v>2</v>
      </c>
      <c r="D395" s="45" t="s">
        <v>529</v>
      </c>
    </row>
    <row r="396" spans="1:4" x14ac:dyDescent="0.25">
      <c r="A396" s="68">
        <v>46292</v>
      </c>
      <c r="B396" s="22" t="s">
        <v>36</v>
      </c>
      <c r="C396" s="86">
        <v>5.33</v>
      </c>
      <c r="D396" s="45" t="s">
        <v>530</v>
      </c>
    </row>
    <row r="397" spans="1:4" ht="30" customHeight="1" x14ac:dyDescent="0.25">
      <c r="A397" s="68">
        <v>46292</v>
      </c>
      <c r="B397" s="22" t="s">
        <v>39</v>
      </c>
      <c r="C397" s="86">
        <v>6</v>
      </c>
      <c r="D397" s="45" t="s">
        <v>531</v>
      </c>
    </row>
    <row r="398" spans="1:4" ht="30" customHeight="1" x14ac:dyDescent="0.25">
      <c r="A398" s="68">
        <v>46292</v>
      </c>
      <c r="B398" s="22" t="s">
        <v>40</v>
      </c>
      <c r="C398" s="86">
        <v>2</v>
      </c>
      <c r="D398" s="45" t="s">
        <v>532</v>
      </c>
    </row>
    <row r="399" spans="1:4" x14ac:dyDescent="0.25">
      <c r="A399" s="68">
        <v>46293</v>
      </c>
      <c r="B399" s="22" t="s">
        <v>28</v>
      </c>
      <c r="C399" s="86">
        <v>10</v>
      </c>
      <c r="D399" s="45" t="s">
        <v>533</v>
      </c>
    </row>
    <row r="400" spans="1:4" x14ac:dyDescent="0.25">
      <c r="A400" s="68">
        <v>46293</v>
      </c>
      <c r="B400" s="22" t="s">
        <v>36</v>
      </c>
      <c r="C400" s="86">
        <v>2</v>
      </c>
      <c r="D400" s="45" t="s">
        <v>535</v>
      </c>
    </row>
    <row r="401" spans="1:4" x14ac:dyDescent="0.25">
      <c r="A401" s="68">
        <v>46293</v>
      </c>
      <c r="B401" s="22" t="s">
        <v>39</v>
      </c>
      <c r="C401" s="86">
        <v>13.5</v>
      </c>
      <c r="D401" s="45" t="s">
        <v>536</v>
      </c>
    </row>
    <row r="402" spans="1:4" ht="30" customHeight="1" x14ac:dyDescent="0.25">
      <c r="A402" s="68">
        <v>46293</v>
      </c>
      <c r="B402" s="22" t="s">
        <v>40</v>
      </c>
      <c r="C402" s="86">
        <v>9</v>
      </c>
      <c r="D402" s="45" t="s">
        <v>537</v>
      </c>
    </row>
    <row r="403" spans="1:4" ht="30" customHeight="1" x14ac:dyDescent="0.25">
      <c r="A403" s="68">
        <v>46294</v>
      </c>
      <c r="B403" s="22" t="s">
        <v>34</v>
      </c>
      <c r="C403" s="86">
        <v>4</v>
      </c>
      <c r="D403" s="45" t="s">
        <v>538</v>
      </c>
    </row>
    <row r="404" spans="1:4" x14ac:dyDescent="0.25">
      <c r="A404" s="68">
        <v>46294</v>
      </c>
      <c r="B404" s="22" t="s">
        <v>36</v>
      </c>
      <c r="C404" s="86">
        <v>5.33</v>
      </c>
      <c r="D404" s="45" t="s">
        <v>530</v>
      </c>
    </row>
    <row r="405" spans="1:4" x14ac:dyDescent="0.25">
      <c r="A405" s="68">
        <v>46294</v>
      </c>
      <c r="B405" s="22" t="s">
        <v>39</v>
      </c>
      <c r="C405" s="86">
        <v>14</v>
      </c>
      <c r="D405" s="45" t="s">
        <v>539</v>
      </c>
    </row>
    <row r="406" spans="1:4" ht="30" customHeight="1" x14ac:dyDescent="0.25">
      <c r="A406" s="68">
        <v>46294</v>
      </c>
      <c r="B406" s="22" t="s">
        <v>40</v>
      </c>
      <c r="C406" s="86">
        <v>4</v>
      </c>
      <c r="D406" s="45" t="s">
        <v>538</v>
      </c>
    </row>
    <row r="407" spans="1:4" x14ac:dyDescent="0.25">
      <c r="A407" s="68">
        <v>46295</v>
      </c>
      <c r="B407" s="22" t="s">
        <v>28</v>
      </c>
      <c r="C407" s="86">
        <v>5.17</v>
      </c>
      <c r="D407" s="45" t="s">
        <v>540</v>
      </c>
    </row>
    <row r="408" spans="1:4" x14ac:dyDescent="0.25">
      <c r="A408" s="68">
        <v>46295</v>
      </c>
      <c r="B408" s="22" t="s">
        <v>36</v>
      </c>
      <c r="C408" s="86">
        <v>1.33</v>
      </c>
      <c r="D408" s="45" t="s">
        <v>541</v>
      </c>
    </row>
    <row r="409" spans="1:4" x14ac:dyDescent="0.25">
      <c r="A409" s="68">
        <v>46295</v>
      </c>
      <c r="B409" s="22" t="s">
        <v>39</v>
      </c>
      <c r="C409" s="86">
        <v>13</v>
      </c>
      <c r="D409" s="45" t="s">
        <v>542</v>
      </c>
    </row>
    <row r="410" spans="1:4" x14ac:dyDescent="0.25">
      <c r="A410" s="68">
        <v>46296</v>
      </c>
      <c r="B410" s="22" t="s">
        <v>28</v>
      </c>
      <c r="C410" s="86">
        <v>5.17</v>
      </c>
      <c r="D410" s="45" t="s">
        <v>540</v>
      </c>
    </row>
    <row r="411" spans="1:4" x14ac:dyDescent="0.25">
      <c r="A411" s="68">
        <v>46296</v>
      </c>
      <c r="B411" s="22" t="s">
        <v>36</v>
      </c>
      <c r="C411" s="86">
        <v>1.33</v>
      </c>
      <c r="D411" s="45" t="s">
        <v>541</v>
      </c>
    </row>
    <row r="412" spans="1:4" x14ac:dyDescent="0.25">
      <c r="A412" s="68">
        <v>46298</v>
      </c>
      <c r="B412" s="22" t="s">
        <v>39</v>
      </c>
      <c r="C412" s="86">
        <v>2</v>
      </c>
      <c r="D412" s="45" t="s">
        <v>542</v>
      </c>
    </row>
    <row r="413" spans="1:4" x14ac:dyDescent="0.25">
      <c r="A413" s="68">
        <v>46298</v>
      </c>
      <c r="B413" s="22" t="s">
        <v>36</v>
      </c>
      <c r="C413" s="86">
        <v>1.33</v>
      </c>
      <c r="D413" s="45" t="s">
        <v>541</v>
      </c>
    </row>
    <row r="414" spans="1:4" x14ac:dyDescent="0.25">
      <c r="A414" s="68">
        <v>46299</v>
      </c>
      <c r="B414" s="22" t="s">
        <v>26</v>
      </c>
      <c r="C414" s="86">
        <v>3</v>
      </c>
      <c r="D414" s="45" t="s">
        <v>547</v>
      </c>
    </row>
    <row r="415" spans="1:4" x14ac:dyDescent="0.25">
      <c r="A415" s="68">
        <v>46299</v>
      </c>
      <c r="B415" s="22" t="s">
        <v>36</v>
      </c>
      <c r="C415" s="86">
        <v>1.5</v>
      </c>
      <c r="D415" s="45" t="s">
        <v>548</v>
      </c>
    </row>
    <row r="416" spans="1:4" x14ac:dyDescent="0.25">
      <c r="A416" s="68">
        <v>46299</v>
      </c>
      <c r="B416" s="22" t="s">
        <v>39</v>
      </c>
      <c r="C416" s="86">
        <v>8.67</v>
      </c>
      <c r="D416" s="45" t="s">
        <v>549</v>
      </c>
    </row>
    <row r="417" spans="1:4" x14ac:dyDescent="0.25">
      <c r="A417" s="68">
        <v>46300</v>
      </c>
      <c r="B417" s="22" t="s">
        <v>28</v>
      </c>
      <c r="C417" s="86">
        <v>4</v>
      </c>
      <c r="D417" s="45" t="s">
        <v>550</v>
      </c>
    </row>
    <row r="418" spans="1:4" ht="30" customHeight="1" x14ac:dyDescent="0.25">
      <c r="A418" s="68">
        <v>46300</v>
      </c>
      <c r="B418" s="22" t="s">
        <v>34</v>
      </c>
      <c r="C418" s="86">
        <v>2</v>
      </c>
      <c r="D418" s="45" t="s">
        <v>551</v>
      </c>
    </row>
    <row r="419" spans="1:4" ht="30" customHeight="1" x14ac:dyDescent="0.25">
      <c r="A419" s="68">
        <v>46300</v>
      </c>
      <c r="B419" s="22" t="s">
        <v>36</v>
      </c>
      <c r="C419" s="86">
        <v>4.42</v>
      </c>
      <c r="D419" s="45" t="s">
        <v>552</v>
      </c>
    </row>
    <row r="420" spans="1:4" ht="30" customHeight="1" x14ac:dyDescent="0.25">
      <c r="A420" s="68">
        <v>46300</v>
      </c>
      <c r="B420" s="22" t="s">
        <v>39</v>
      </c>
      <c r="C420" s="86">
        <v>5.5</v>
      </c>
      <c r="D420" s="45" t="s">
        <v>553</v>
      </c>
    </row>
    <row r="421" spans="1:4" ht="30" customHeight="1" x14ac:dyDescent="0.25">
      <c r="A421" s="68">
        <v>46300</v>
      </c>
      <c r="B421" s="22" t="s">
        <v>40</v>
      </c>
      <c r="C421" s="86">
        <v>2</v>
      </c>
      <c r="D421" s="45" t="s">
        <v>551</v>
      </c>
    </row>
    <row r="422" spans="1:4" x14ac:dyDescent="0.25">
      <c r="A422" s="68">
        <v>46301</v>
      </c>
      <c r="B422" s="22" t="s">
        <v>28</v>
      </c>
      <c r="C422" s="86">
        <v>5</v>
      </c>
      <c r="D422" s="45" t="s">
        <v>519</v>
      </c>
    </row>
    <row r="423" spans="1:4" ht="30" customHeight="1" x14ac:dyDescent="0.25">
      <c r="A423" s="68">
        <v>46301</v>
      </c>
      <c r="B423" s="22" t="s">
        <v>34</v>
      </c>
      <c r="C423" s="86">
        <v>2</v>
      </c>
      <c r="D423" s="45" t="s">
        <v>551</v>
      </c>
    </row>
    <row r="424" spans="1:4" ht="30" customHeight="1" x14ac:dyDescent="0.25">
      <c r="A424" s="68">
        <v>46301</v>
      </c>
      <c r="B424" s="22" t="s">
        <v>36</v>
      </c>
      <c r="C424" s="86">
        <v>3</v>
      </c>
      <c r="D424" s="45" t="s">
        <v>554</v>
      </c>
    </row>
    <row r="425" spans="1:4" ht="30" customHeight="1" x14ac:dyDescent="0.25">
      <c r="A425" s="68">
        <v>46301</v>
      </c>
      <c r="B425" s="22" t="s">
        <v>39</v>
      </c>
      <c r="C425" s="86">
        <v>3.5</v>
      </c>
      <c r="D425" s="45" t="s">
        <v>555</v>
      </c>
    </row>
    <row r="426" spans="1:4" ht="30" customHeight="1" x14ac:dyDescent="0.25">
      <c r="A426" s="68">
        <v>46301</v>
      </c>
      <c r="B426" s="22" t="s">
        <v>40</v>
      </c>
      <c r="C426" s="86">
        <v>12</v>
      </c>
      <c r="D426" s="45" t="s">
        <v>556</v>
      </c>
    </row>
    <row r="427" spans="1:4" x14ac:dyDescent="0.25">
      <c r="A427" s="68">
        <v>46302</v>
      </c>
      <c r="B427" s="22" t="s">
        <v>28</v>
      </c>
      <c r="C427" s="86">
        <v>5</v>
      </c>
      <c r="D427" s="45" t="s">
        <v>519</v>
      </c>
    </row>
    <row r="428" spans="1:4" ht="30" customHeight="1" x14ac:dyDescent="0.25">
      <c r="A428" s="68">
        <v>46302</v>
      </c>
      <c r="B428" s="22" t="s">
        <v>34</v>
      </c>
      <c r="C428" s="86">
        <v>2</v>
      </c>
      <c r="D428" s="45" t="s">
        <v>551</v>
      </c>
    </row>
    <row r="429" spans="1:4" ht="30" customHeight="1" x14ac:dyDescent="0.25">
      <c r="A429" s="68">
        <v>46302</v>
      </c>
      <c r="B429" s="22" t="s">
        <v>36</v>
      </c>
      <c r="C429" s="86">
        <v>3</v>
      </c>
      <c r="D429" s="45" t="s">
        <v>554</v>
      </c>
    </row>
    <row r="430" spans="1:4" ht="30" customHeight="1" x14ac:dyDescent="0.25">
      <c r="A430" s="68">
        <v>46302</v>
      </c>
      <c r="B430" s="22" t="s">
        <v>39</v>
      </c>
      <c r="C430" s="86">
        <v>3.5</v>
      </c>
      <c r="D430" s="45" t="s">
        <v>555</v>
      </c>
    </row>
    <row r="431" spans="1:4" ht="30" customHeight="1" x14ac:dyDescent="0.25">
      <c r="A431" s="68">
        <v>46302</v>
      </c>
      <c r="B431" s="22" t="s">
        <v>40</v>
      </c>
      <c r="C431" s="86">
        <v>12</v>
      </c>
      <c r="D431" s="45" t="s">
        <v>556</v>
      </c>
    </row>
    <row r="432" spans="1:4" x14ac:dyDescent="0.25">
      <c r="A432" s="68">
        <v>46303</v>
      </c>
      <c r="B432" s="22" t="s">
        <v>28</v>
      </c>
      <c r="C432" s="86">
        <v>5</v>
      </c>
      <c r="D432" s="45" t="s">
        <v>519</v>
      </c>
    </row>
    <row r="433" spans="1:4" ht="30" customHeight="1" x14ac:dyDescent="0.25">
      <c r="A433" s="68">
        <v>46303</v>
      </c>
      <c r="B433" s="22" t="s">
        <v>34</v>
      </c>
      <c r="C433" s="86">
        <v>2</v>
      </c>
      <c r="D433" s="45" t="s">
        <v>551</v>
      </c>
    </row>
    <row r="434" spans="1:4" ht="30" customHeight="1" x14ac:dyDescent="0.25">
      <c r="A434" s="68">
        <v>46303</v>
      </c>
      <c r="B434" s="22" t="s">
        <v>36</v>
      </c>
      <c r="C434" s="86">
        <v>3</v>
      </c>
      <c r="D434" s="45" t="s">
        <v>554</v>
      </c>
    </row>
    <row r="435" spans="1:4" ht="30" customHeight="1" x14ac:dyDescent="0.25">
      <c r="A435" s="68">
        <v>46303</v>
      </c>
      <c r="B435" s="22" t="s">
        <v>39</v>
      </c>
      <c r="C435" s="86">
        <v>3.5</v>
      </c>
      <c r="D435" s="45" t="s">
        <v>555</v>
      </c>
    </row>
    <row r="436" spans="1:4" ht="30" customHeight="1" x14ac:dyDescent="0.25">
      <c r="A436" s="68">
        <v>46303</v>
      </c>
      <c r="B436" s="22" t="s">
        <v>40</v>
      </c>
      <c r="C436" s="86">
        <v>12</v>
      </c>
      <c r="D436" s="45" t="s">
        <v>556</v>
      </c>
    </row>
    <row r="437" spans="1:4" x14ac:dyDescent="0.25">
      <c r="A437" s="68">
        <v>46305</v>
      </c>
      <c r="B437" s="22" t="s">
        <v>19</v>
      </c>
      <c r="C437" s="86">
        <v>2</v>
      </c>
      <c r="D437" s="45" t="s">
        <v>557</v>
      </c>
    </row>
    <row r="438" spans="1:4" x14ac:dyDescent="0.25">
      <c r="A438" s="68">
        <v>46305</v>
      </c>
      <c r="B438" s="22" t="s">
        <v>22</v>
      </c>
      <c r="C438" s="86">
        <v>2.5</v>
      </c>
      <c r="D438" s="45" t="s">
        <v>444</v>
      </c>
    </row>
    <row r="439" spans="1:4" x14ac:dyDescent="0.25">
      <c r="A439" s="68">
        <v>46305</v>
      </c>
      <c r="B439" s="22" t="s">
        <v>26</v>
      </c>
      <c r="C439" s="86">
        <v>3</v>
      </c>
      <c r="D439" s="45" t="s">
        <v>558</v>
      </c>
    </row>
    <row r="440" spans="1:4" ht="30" customHeight="1" x14ac:dyDescent="0.25">
      <c r="A440" s="68">
        <v>46305</v>
      </c>
      <c r="B440" s="22" t="s">
        <v>36</v>
      </c>
      <c r="C440" s="86">
        <v>3</v>
      </c>
      <c r="D440" s="45" t="s">
        <v>554</v>
      </c>
    </row>
    <row r="441" spans="1:4" ht="30" customHeight="1" x14ac:dyDescent="0.25">
      <c r="A441" s="68">
        <v>46305</v>
      </c>
      <c r="B441" s="22" t="s">
        <v>39</v>
      </c>
      <c r="C441" s="86">
        <v>7</v>
      </c>
      <c r="D441" s="45" t="s">
        <v>514</v>
      </c>
    </row>
    <row r="442" spans="1:4" x14ac:dyDescent="0.25">
      <c r="A442" s="68">
        <v>46306</v>
      </c>
      <c r="B442" s="22" t="s">
        <v>30</v>
      </c>
      <c r="C442" s="86">
        <v>2.17</v>
      </c>
      <c r="D442" s="45" t="s">
        <v>559</v>
      </c>
    </row>
    <row r="443" spans="1:4" ht="30" customHeight="1" x14ac:dyDescent="0.25">
      <c r="A443" s="68">
        <v>46306</v>
      </c>
      <c r="B443" s="22" t="s">
        <v>36</v>
      </c>
      <c r="C443" s="86">
        <v>1.33</v>
      </c>
      <c r="D443" s="45" t="s">
        <v>560</v>
      </c>
    </row>
    <row r="444" spans="1:4" ht="30" customHeight="1" x14ac:dyDescent="0.25">
      <c r="A444" s="68">
        <v>46306</v>
      </c>
      <c r="B444" s="22" t="s">
        <v>39</v>
      </c>
      <c r="C444" s="86">
        <v>6</v>
      </c>
      <c r="D444" s="45" t="s">
        <v>561</v>
      </c>
    </row>
    <row r="445" spans="1:4" ht="30" customHeight="1" x14ac:dyDescent="0.25">
      <c r="A445" s="68">
        <v>46307</v>
      </c>
      <c r="B445" s="22" t="s">
        <v>36</v>
      </c>
      <c r="C445" s="86">
        <v>3.33</v>
      </c>
      <c r="D445" s="45" t="s">
        <v>562</v>
      </c>
    </row>
    <row r="446" spans="1:4" ht="30" customHeight="1" x14ac:dyDescent="0.25">
      <c r="A446" s="68">
        <v>46307</v>
      </c>
      <c r="B446" s="22" t="s">
        <v>39</v>
      </c>
      <c r="C446" s="86">
        <v>2</v>
      </c>
      <c r="D446" s="45" t="s">
        <v>551</v>
      </c>
    </row>
    <row r="447" spans="1:4" x14ac:dyDescent="0.25">
      <c r="A447" s="68">
        <v>46308</v>
      </c>
      <c r="B447" s="22" t="s">
        <v>28</v>
      </c>
      <c r="C447" s="86">
        <v>6</v>
      </c>
      <c r="D447" s="45" t="s">
        <v>446</v>
      </c>
    </row>
    <row r="448" spans="1:4" ht="30" customHeight="1" x14ac:dyDescent="0.25">
      <c r="A448" s="68">
        <v>46308</v>
      </c>
      <c r="B448" s="22" t="s">
        <v>36</v>
      </c>
      <c r="C448" s="86">
        <v>3.33</v>
      </c>
      <c r="D448" s="45" t="s">
        <v>562</v>
      </c>
    </row>
    <row r="449" spans="1:4" ht="30" customHeight="1" x14ac:dyDescent="0.25">
      <c r="A449" s="68">
        <v>46308</v>
      </c>
      <c r="B449" s="22" t="s">
        <v>39</v>
      </c>
      <c r="C449" s="86">
        <v>8</v>
      </c>
      <c r="D449" s="45" t="s">
        <v>563</v>
      </c>
    </row>
    <row r="450" spans="1:4" ht="30" customHeight="1" x14ac:dyDescent="0.25">
      <c r="A450" s="68">
        <v>46308</v>
      </c>
      <c r="B450" s="22" t="s">
        <v>40</v>
      </c>
      <c r="C450" s="86">
        <v>2</v>
      </c>
      <c r="D450" s="45" t="s">
        <v>551</v>
      </c>
    </row>
    <row r="451" spans="1:4" x14ac:dyDescent="0.25">
      <c r="A451" s="68">
        <v>46309</v>
      </c>
      <c r="B451" s="22" t="s">
        <v>28</v>
      </c>
      <c r="C451" s="86">
        <v>5</v>
      </c>
      <c r="D451" s="45" t="s">
        <v>519</v>
      </c>
    </row>
    <row r="452" spans="1:4" ht="30" customHeight="1" x14ac:dyDescent="0.25">
      <c r="A452" s="68">
        <v>46309</v>
      </c>
      <c r="B452" s="22" t="s">
        <v>36</v>
      </c>
      <c r="C452" s="86">
        <v>1.33</v>
      </c>
      <c r="D452" s="45" t="s">
        <v>564</v>
      </c>
    </row>
    <row r="453" spans="1:4" ht="30" customHeight="1" x14ac:dyDescent="0.25">
      <c r="A453" s="68">
        <v>46309</v>
      </c>
      <c r="B453" s="22" t="s">
        <v>39</v>
      </c>
      <c r="C453" s="86">
        <v>3</v>
      </c>
      <c r="D453" s="45" t="s">
        <v>565</v>
      </c>
    </row>
    <row r="454" spans="1:4" ht="30" customHeight="1" x14ac:dyDescent="0.25">
      <c r="A454" s="68">
        <v>46309</v>
      </c>
      <c r="B454" s="22" t="s">
        <v>40</v>
      </c>
      <c r="C454" s="86">
        <v>2</v>
      </c>
      <c r="D454" s="45" t="s">
        <v>551</v>
      </c>
    </row>
    <row r="455" spans="1:4" x14ac:dyDescent="0.25">
      <c r="A455" s="68">
        <v>46310</v>
      </c>
      <c r="B455" s="22" t="s">
        <v>28</v>
      </c>
      <c r="C455" s="86">
        <v>7.5</v>
      </c>
      <c r="D455" s="45" t="s">
        <v>566</v>
      </c>
    </row>
    <row r="456" spans="1:4" ht="30" customHeight="1" x14ac:dyDescent="0.25">
      <c r="A456" s="68">
        <v>46310</v>
      </c>
      <c r="B456" s="22" t="s">
        <v>36</v>
      </c>
      <c r="C456" s="86">
        <v>3.25</v>
      </c>
      <c r="D456" s="45" t="s">
        <v>567</v>
      </c>
    </row>
    <row r="457" spans="1:4" x14ac:dyDescent="0.25">
      <c r="A457" s="68">
        <v>46312</v>
      </c>
      <c r="B457" s="22" t="s">
        <v>19</v>
      </c>
      <c r="C457" s="86">
        <v>2</v>
      </c>
      <c r="D457" s="45" t="s">
        <v>557</v>
      </c>
    </row>
    <row r="458" spans="1:4" x14ac:dyDescent="0.25">
      <c r="A458" s="68">
        <v>46312</v>
      </c>
      <c r="B458" s="22" t="s">
        <v>22</v>
      </c>
      <c r="C458" s="86">
        <v>2.5</v>
      </c>
      <c r="D458" s="45" t="s">
        <v>444</v>
      </c>
    </row>
    <row r="459" spans="1:4" ht="30" x14ac:dyDescent="0.25">
      <c r="A459" s="68">
        <v>46312</v>
      </c>
      <c r="B459" s="22" t="s">
        <v>26</v>
      </c>
      <c r="C459" s="86">
        <v>4.33</v>
      </c>
      <c r="D459" s="45" t="s">
        <v>568</v>
      </c>
    </row>
    <row r="460" spans="1:4" ht="30" x14ac:dyDescent="0.25">
      <c r="A460" s="68">
        <v>46312</v>
      </c>
      <c r="B460" s="22" t="s">
        <v>34</v>
      </c>
      <c r="C460" s="86">
        <v>2</v>
      </c>
      <c r="D460" s="45" t="s">
        <v>551</v>
      </c>
    </row>
    <row r="461" spans="1:4" ht="30" x14ac:dyDescent="0.25">
      <c r="A461" s="68">
        <v>46312</v>
      </c>
      <c r="B461" s="22" t="s">
        <v>36</v>
      </c>
      <c r="C461" s="86">
        <v>5</v>
      </c>
      <c r="D461" s="45" t="s">
        <v>569</v>
      </c>
    </row>
    <row r="462" spans="1:4" ht="30" x14ac:dyDescent="0.25">
      <c r="A462" s="68">
        <v>46312</v>
      </c>
      <c r="B462" s="22" t="s">
        <v>39</v>
      </c>
      <c r="C462" s="86">
        <v>12</v>
      </c>
      <c r="D462" s="45" t="s">
        <v>556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workbookViewId="0">
      <pane ySplit="1" topLeftCell="A183" activePane="bottomLeft" state="frozen"/>
      <selection pane="bottomLeft" activeCell="C198" sqref="C198"/>
    </sheetView>
  </sheetViews>
  <sheetFormatPr defaultRowHeight="15" x14ac:dyDescent="0.25"/>
  <cols>
    <col min="1" max="1" width="12.28515625" style="89" customWidth="1"/>
    <col min="2" max="2" width="10.140625" style="1" customWidth="1"/>
    <col min="3" max="3" width="24.28515625" style="89" customWidth="1"/>
    <col min="4" max="4" width="21.140625" style="89" hidden="1" customWidth="1"/>
    <col min="5" max="5" width="51.28515625" style="21" customWidth="1"/>
    <col min="8" max="8" width="11.42578125" style="22" customWidth="1"/>
    <col min="9" max="9" width="23.42578125" style="86" customWidth="1"/>
  </cols>
  <sheetData>
    <row r="1" spans="1:5" ht="50.25" customHeight="1" x14ac:dyDescent="0.25">
      <c r="A1" s="81" t="s">
        <v>637</v>
      </c>
      <c r="B1" s="82" t="s">
        <v>0</v>
      </c>
      <c r="C1" s="81" t="s">
        <v>638</v>
      </c>
      <c r="D1" s="81" t="s">
        <v>639</v>
      </c>
      <c r="E1" s="83" t="s">
        <v>589</v>
      </c>
    </row>
    <row r="2" spans="1:5" x14ac:dyDescent="0.25">
      <c r="A2" s="90" t="str">
        <f>CHOOSE(VALUE(MID(TEXT(Table6[[#This Row],[Date]],"dd.mm.yyyy"),4,2)),"January","February","March","April","May","June","July","August","September","October","November","December")</f>
        <v>March</v>
      </c>
      <c r="B2" s="80" t="s">
        <v>640</v>
      </c>
      <c r="C2" s="48">
        <v>12803</v>
      </c>
      <c r="D2" s="48">
        <v>15914.7</v>
      </c>
      <c r="E2" s="25"/>
    </row>
    <row r="3" spans="1:5" x14ac:dyDescent="0.25">
      <c r="A3" s="90" t="str">
        <f>CHOOSE(VALUE(MID(TEXT(Table6[[#This Row],[Date]],"dd.mm.yyyy"),4,2)),"January","February","March","April","May","June","July","August","September","October","November","December")</f>
        <v>March</v>
      </c>
      <c r="B3" s="80" t="s">
        <v>641</v>
      </c>
      <c r="C3" s="48">
        <v>12375</v>
      </c>
      <c r="D3" s="48">
        <v>16882.29</v>
      </c>
      <c r="E3" s="25"/>
    </row>
    <row r="4" spans="1:5" x14ac:dyDescent="0.25">
      <c r="A4" s="90" t="str">
        <f>CHOOSE(VALUE(MID(TEXT(Table6[[#This Row],[Date]],"dd.mm.yyyy"),4,2)),"January","February","March","April","May","June","July","August","September","October","November","December")</f>
        <v>March</v>
      </c>
      <c r="B4" s="80" t="s">
        <v>642</v>
      </c>
      <c r="C4" s="48">
        <v>15135</v>
      </c>
      <c r="D4" s="48">
        <v>16100.96</v>
      </c>
      <c r="E4" s="25"/>
    </row>
    <row r="5" spans="1:5" x14ac:dyDescent="0.25">
      <c r="A5" s="90" t="str">
        <f>CHOOSE(VALUE(MID(TEXT(Table6[[#This Row],[Date]],"dd.mm.yyyy"),4,2)),"January","February","March","April","May","June","July","August","September","October","November","December")</f>
        <v>March</v>
      </c>
      <c r="B5" s="80" t="s">
        <v>643</v>
      </c>
      <c r="C5" s="48">
        <v>14808</v>
      </c>
      <c r="D5" s="48">
        <v>14439.84</v>
      </c>
      <c r="E5" s="25"/>
    </row>
    <row r="6" spans="1:5" x14ac:dyDescent="0.25">
      <c r="A6" s="90" t="str">
        <f>CHOOSE(VALUE(MID(TEXT(Table6[[#This Row],[Date]],"dd.mm.yyyy"),4,2)),"January","February","March","April","May","June","July","August","September","October","November","December")</f>
        <v>March</v>
      </c>
      <c r="B6" s="80" t="s">
        <v>644</v>
      </c>
      <c r="C6" s="48">
        <v>17408</v>
      </c>
      <c r="D6" s="48">
        <v>15403.99</v>
      </c>
      <c r="E6" s="25"/>
    </row>
    <row r="7" spans="1:5" x14ac:dyDescent="0.25">
      <c r="A7" s="90" t="str">
        <f>CHOOSE(VALUE(MID(TEXT(Table6[[#This Row],[Date]],"dd.mm.yyyy"),4,2)),"January","February","March","April","May","June","July","August","September","October","November","December")</f>
        <v>March</v>
      </c>
      <c r="B7" s="80" t="s">
        <v>645</v>
      </c>
      <c r="C7" s="48">
        <v>19042</v>
      </c>
      <c r="D7" s="48">
        <v>17579.79</v>
      </c>
      <c r="E7" s="25"/>
    </row>
    <row r="8" spans="1:5" x14ac:dyDescent="0.25">
      <c r="A8" s="90" t="str">
        <f>CHOOSE(VALUE(MID(TEXT(Table6[[#This Row],[Date]],"dd.mm.yyyy"),4,2)),"January","February","March","April","May","June","July","August","September","October","November","December")</f>
        <v>March</v>
      </c>
      <c r="B8" s="80" t="s">
        <v>646</v>
      </c>
      <c r="C8" s="48">
        <v>12644</v>
      </c>
      <c r="D8" s="48">
        <v>17963.900000000001</v>
      </c>
      <c r="E8" s="25"/>
    </row>
    <row r="9" spans="1:5" x14ac:dyDescent="0.25">
      <c r="A9" s="90" t="str">
        <f>CHOOSE(VALUE(MID(TEXT(Table6[[#This Row],[Date]],"dd.mm.yyyy"),4,2)),"January","February","March","April","May","June","July","August","September","October","November","December")</f>
        <v>March</v>
      </c>
      <c r="B9" s="80" t="s">
        <v>647</v>
      </c>
      <c r="C9" s="48">
        <v>15503</v>
      </c>
      <c r="D9" s="48">
        <v>17196.25</v>
      </c>
      <c r="E9" s="25"/>
    </row>
    <row r="10" spans="1:5" x14ac:dyDescent="0.25">
      <c r="A10" s="90" t="str">
        <f>CHOOSE(VALUE(MID(TEXT(Table6[[#This Row],[Date]],"dd.mm.yyyy"),4,2)),"January","February","March","April","May","June","July","August","September","October","November","December")</f>
        <v>March</v>
      </c>
      <c r="B10" s="80" t="s">
        <v>648</v>
      </c>
      <c r="C10" s="48">
        <v>13561</v>
      </c>
      <c r="D10" s="48">
        <v>17136.580000000009</v>
      </c>
      <c r="E10" s="25"/>
    </row>
    <row r="11" spans="1:5" x14ac:dyDescent="0.25">
      <c r="A11" s="90" t="str">
        <f>CHOOSE(VALUE(MID(TEXT(Table6[[#This Row],[Date]],"dd.mm.yyyy"),4,2)),"January","February","March","April","May","June","July","August","September","October","November","December")</f>
        <v>March</v>
      </c>
      <c r="B11" s="80" t="s">
        <v>649</v>
      </c>
      <c r="C11" s="48">
        <v>16476</v>
      </c>
      <c r="D11" s="48">
        <v>17126.189999999999</v>
      </c>
      <c r="E11" s="25"/>
    </row>
    <row r="12" spans="1:5" x14ac:dyDescent="0.25">
      <c r="A12" s="90" t="str">
        <f>CHOOSE(VALUE(MID(TEXT(Table6[[#This Row],[Date]],"dd.mm.yyyy"),4,2)),"January","February","March","April","May","June","July","August","September","October","November","December")</f>
        <v>March</v>
      </c>
      <c r="B12" s="80" t="s">
        <v>650</v>
      </c>
      <c r="C12" s="48">
        <v>19348</v>
      </c>
      <c r="D12" s="48">
        <v>14635.78</v>
      </c>
      <c r="E12" s="25"/>
    </row>
    <row r="13" spans="1:5" x14ac:dyDescent="0.25">
      <c r="A13" s="90" t="str">
        <f>CHOOSE(VALUE(MID(TEXT(Table6[[#This Row],[Date]],"dd.mm.yyyy"),4,2)),"January","February","March","April","May","June","July","August","September","October","November","December")</f>
        <v>March</v>
      </c>
      <c r="B13" s="80" t="s">
        <v>651</v>
      </c>
      <c r="C13" s="48">
        <v>14281</v>
      </c>
      <c r="D13" s="48">
        <v>16893.04</v>
      </c>
      <c r="E13" s="25"/>
    </row>
    <row r="14" spans="1:5" x14ac:dyDescent="0.25">
      <c r="A14" s="90" t="str">
        <f>CHOOSE(VALUE(MID(TEXT(Table6[[#This Row],[Date]],"dd.mm.yyyy"),4,2)),"January","February","March","April","May","June","July","August","September","October","November","December")</f>
        <v>March</v>
      </c>
      <c r="B14" s="80" t="s">
        <v>652</v>
      </c>
      <c r="C14" s="48">
        <v>15522</v>
      </c>
      <c r="D14" s="48">
        <v>18427.03</v>
      </c>
      <c r="E14" s="25"/>
    </row>
    <row r="15" spans="1:5" x14ac:dyDescent="0.25">
      <c r="A15" s="90" t="str">
        <f>CHOOSE(VALUE(MID(TEXT(Table6[[#This Row],[Date]],"dd.mm.yyyy"),4,2)),"January","February","March","April","May","June","July","August","September","October","November","December")</f>
        <v>March</v>
      </c>
      <c r="B15" s="80" t="s">
        <v>653</v>
      </c>
      <c r="C15" s="48">
        <v>16675</v>
      </c>
      <c r="D15" s="48">
        <v>17487.12</v>
      </c>
      <c r="E15" s="25"/>
    </row>
    <row r="16" spans="1:5" x14ac:dyDescent="0.25">
      <c r="A16" s="90" t="str">
        <f>CHOOSE(VALUE(MID(TEXT(Table6[[#This Row],[Date]],"dd.mm.yyyy"),4,2)),"January","February","March","April","May","June","July","August","September","October","November","December")</f>
        <v>March</v>
      </c>
      <c r="B16" s="80" t="s">
        <v>654</v>
      </c>
      <c r="C16" s="48">
        <v>20543</v>
      </c>
      <c r="D16" s="48">
        <v>17467.89</v>
      </c>
      <c r="E16" s="25"/>
    </row>
    <row r="17" spans="1:5" x14ac:dyDescent="0.25">
      <c r="A17" s="90" t="str">
        <f>CHOOSE(VALUE(MID(TEXT(Table6[[#This Row],[Date]],"dd.mm.yyyy"),4,2)),"January","February","March","April","May","June","July","August","September","October","November","December")</f>
        <v>March</v>
      </c>
      <c r="B17" s="80" t="s">
        <v>655</v>
      </c>
      <c r="C17" s="48">
        <v>14714</v>
      </c>
      <c r="D17" s="48">
        <v>5454.0999999999995</v>
      </c>
      <c r="E17" s="25"/>
    </row>
    <row r="18" spans="1:5" x14ac:dyDescent="0.25">
      <c r="A18" s="90" t="str">
        <f>CHOOSE(VALUE(MID(TEXT(Table6[[#This Row],[Date]],"dd.mm.yyyy"),4,2)),"January","February","March","April","May","June","July","August","September","October","November","December")</f>
        <v>March</v>
      </c>
      <c r="B18" s="80" t="s">
        <v>656</v>
      </c>
      <c r="C18" s="48"/>
      <c r="D18" s="48"/>
      <c r="E18" s="25"/>
    </row>
    <row r="19" spans="1:5" x14ac:dyDescent="0.25">
      <c r="A19" s="90" t="str">
        <f>CHOOSE(VALUE(MID(TEXT(Table6[[#This Row],[Date]],"dd.mm.yyyy"),4,2)),"January","February","March","April","May","June","July","August","September","October","November","December")</f>
        <v>March</v>
      </c>
      <c r="B19" s="80" t="s">
        <v>657</v>
      </c>
      <c r="C19" s="48"/>
      <c r="D19" s="48"/>
      <c r="E19" s="25"/>
    </row>
    <row r="20" spans="1:5" x14ac:dyDescent="0.25">
      <c r="A20" s="90" t="str">
        <f>CHOOSE(VALUE(MID(TEXT(Table6[[#This Row],[Date]],"dd.mm.yyyy"),4,2)),"January","February","March","April","May","June","July","August","September","October","November","December")</f>
        <v>March</v>
      </c>
      <c r="B20" s="80" t="s">
        <v>658</v>
      </c>
      <c r="C20" s="48"/>
      <c r="D20" s="48"/>
      <c r="E20" s="25"/>
    </row>
    <row r="21" spans="1:5" x14ac:dyDescent="0.25">
      <c r="A21" s="90" t="str">
        <f>CHOOSE(VALUE(MID(TEXT(Table6[[#This Row],[Date]],"dd.mm.yyyy"),4,2)),"January","February","March","April","May","June","July","August","September","October","November","December")</f>
        <v>March</v>
      </c>
      <c r="B21" s="80" t="s">
        <v>659</v>
      </c>
      <c r="C21" s="48"/>
      <c r="D21" s="48"/>
      <c r="E21" s="25"/>
    </row>
    <row r="22" spans="1:5" x14ac:dyDescent="0.25">
      <c r="A22" s="90" t="str">
        <f>CHOOSE(VALUE(MID(TEXT(Table6[[#This Row],[Date]],"dd.mm.yyyy"),4,2)),"January","February","March","April","May","June","July","August","September","October","November","December")</f>
        <v>March</v>
      </c>
      <c r="B22" s="80" t="s">
        <v>660</v>
      </c>
      <c r="C22" s="48"/>
      <c r="D22" s="48"/>
      <c r="E22" s="25"/>
    </row>
    <row r="23" spans="1:5" x14ac:dyDescent="0.25">
      <c r="A23" s="90" t="str">
        <f>CHOOSE(VALUE(MID(TEXT(Table6[[#This Row],[Date]],"dd.mm.yyyy"),4,2)),"January","February","March","April","May","June","July","August","September","October","November","December")</f>
        <v>March</v>
      </c>
      <c r="B23" s="80" t="s">
        <v>661</v>
      </c>
      <c r="C23" s="48"/>
      <c r="D23" s="48"/>
      <c r="E23" s="25"/>
    </row>
    <row r="24" spans="1:5" x14ac:dyDescent="0.25">
      <c r="A24" s="90" t="str">
        <f>CHOOSE(VALUE(MID(TEXT(Table6[[#This Row],[Date]],"dd.mm.yyyy"),4,2)),"January","February","March","April","May","June","July","August","September","October","November","December")</f>
        <v>March</v>
      </c>
      <c r="B24" s="80" t="s">
        <v>662</v>
      </c>
      <c r="C24" s="48"/>
      <c r="D24" s="48"/>
      <c r="E24" s="25"/>
    </row>
    <row r="25" spans="1:5" x14ac:dyDescent="0.25">
      <c r="A25" s="90" t="str">
        <f>CHOOSE(VALUE(MID(TEXT(Table6[[#This Row],[Date]],"dd.mm.yyyy"),4,2)),"January","February","March","April","May","June","July","August","September","October","November","December")</f>
        <v>March</v>
      </c>
      <c r="B25" s="80" t="s">
        <v>663</v>
      </c>
      <c r="C25" s="48"/>
      <c r="D25" s="48"/>
      <c r="E25" s="25"/>
    </row>
    <row r="26" spans="1:5" x14ac:dyDescent="0.25">
      <c r="A26" s="90" t="str">
        <f>CHOOSE(VALUE(MID(TEXT(Table6[[#This Row],[Date]],"dd.mm.yyyy"),4,2)),"January","February","March","April","May","June","July","August","September","October","November","December")</f>
        <v>March</v>
      </c>
      <c r="B26" s="80" t="s">
        <v>664</v>
      </c>
      <c r="C26" s="48"/>
      <c r="D26" s="48"/>
      <c r="E26" s="25"/>
    </row>
    <row r="27" spans="1:5" x14ac:dyDescent="0.25">
      <c r="A27" s="90" t="str">
        <f>CHOOSE(VALUE(MID(TEXT(Table6[[#This Row],[Date]],"dd.mm.yyyy"),4,2)),"January","February","March","April","May","June","July","August","September","October","November","December")</f>
        <v>March</v>
      </c>
      <c r="B27" s="80" t="s">
        <v>665</v>
      </c>
      <c r="C27" s="48">
        <v>7863</v>
      </c>
      <c r="D27" s="48">
        <v>15541.31</v>
      </c>
      <c r="E27" s="25"/>
    </row>
    <row r="28" spans="1:5" x14ac:dyDescent="0.25">
      <c r="A28" s="90" t="str">
        <f>CHOOSE(VALUE(MID(TEXT(Table6[[#This Row],[Date]],"dd.mm.yyyy"),4,2)),"January","February","March","April","May","June","July","August","September","October","November","December")</f>
        <v>March</v>
      </c>
      <c r="B28" s="80" t="s">
        <v>666</v>
      </c>
      <c r="C28" s="48">
        <v>13451</v>
      </c>
      <c r="D28" s="48">
        <v>17338.64</v>
      </c>
      <c r="E28" s="25"/>
    </row>
    <row r="29" spans="1:5" x14ac:dyDescent="0.25">
      <c r="A29" s="90" t="str">
        <f>CHOOSE(VALUE(MID(TEXT(Table6[[#This Row],[Date]],"dd.mm.yyyy"),4,2)),"January","February","March","April","May","June","July","August","September","October","November","December")</f>
        <v>March</v>
      </c>
      <c r="B29" s="80" t="s">
        <v>667</v>
      </c>
      <c r="C29" s="48">
        <v>14107</v>
      </c>
      <c r="D29" s="48">
        <v>17977.349999999999</v>
      </c>
      <c r="E29" s="25"/>
    </row>
    <row r="30" spans="1:5" x14ac:dyDescent="0.25">
      <c r="A30" s="90" t="str">
        <f>CHOOSE(VALUE(MID(TEXT(Table6[[#This Row],[Date]],"dd.mm.yyyy"),4,2)),"January","February","March","April","May","June","July","August","September","October","November","December")</f>
        <v>March</v>
      </c>
      <c r="B30" s="80" t="s">
        <v>668</v>
      </c>
      <c r="C30" s="48">
        <v>18371</v>
      </c>
      <c r="D30" s="48">
        <v>19145.71</v>
      </c>
      <c r="E30" s="25"/>
    </row>
    <row r="31" spans="1:5" x14ac:dyDescent="0.25">
      <c r="A31" s="90" t="str">
        <f>CHOOSE(VALUE(MID(TEXT(Table6[[#This Row],[Date]],"dd.mm.yyyy"),4,2)),"January","February","March","April","May","June","July","August","September","October","November","December")</f>
        <v>April</v>
      </c>
      <c r="B31" s="80" t="s">
        <v>669</v>
      </c>
      <c r="C31" s="48">
        <v>15410</v>
      </c>
      <c r="D31" s="48">
        <v>17557.7</v>
      </c>
      <c r="E31" s="25"/>
    </row>
    <row r="32" spans="1:5" x14ac:dyDescent="0.25">
      <c r="A32" s="90" t="str">
        <f>CHOOSE(VALUE(MID(TEXT(Table6[[#This Row],[Date]],"dd.mm.yyyy"),4,2)),"January","February","March","April","May","June","July","August","September","October","November","December")</f>
        <v>April</v>
      </c>
      <c r="B32" s="80" t="s">
        <v>670</v>
      </c>
      <c r="C32" s="48">
        <v>17873</v>
      </c>
      <c r="D32" s="48">
        <v>16136.44</v>
      </c>
      <c r="E32" s="25"/>
    </row>
    <row r="33" spans="1:5" x14ac:dyDescent="0.25">
      <c r="A33" s="90" t="str">
        <f>CHOOSE(VALUE(MID(TEXT(Table6[[#This Row],[Date]],"dd.mm.yyyy"),4,2)),"January","February","March","April","May","June","July","August","September","October","November","December")</f>
        <v>April</v>
      </c>
      <c r="B33" s="80" t="s">
        <v>671</v>
      </c>
      <c r="C33" s="48">
        <v>12473</v>
      </c>
      <c r="D33" s="48">
        <v>16580.28</v>
      </c>
      <c r="E33" s="25"/>
    </row>
    <row r="34" spans="1:5" x14ac:dyDescent="0.25">
      <c r="A34" s="90" t="str">
        <f>CHOOSE(VALUE(MID(TEXT(Table6[[#This Row],[Date]],"dd.mm.yyyy"),4,2)),"January","February","March","April","May","June","July","August","September","October","November","December")</f>
        <v>April</v>
      </c>
      <c r="B34" s="80" t="s">
        <v>672</v>
      </c>
      <c r="C34" s="48">
        <v>15669</v>
      </c>
      <c r="D34" s="48">
        <v>16765.16</v>
      </c>
      <c r="E34" s="25"/>
    </row>
    <row r="35" spans="1:5" x14ac:dyDescent="0.25">
      <c r="A35" s="90" t="str">
        <f>CHOOSE(VALUE(MID(TEXT(Table6[[#This Row],[Date]],"dd.mm.yyyy"),4,2)),"January","February","March","April","May","June","July","August","September","October","November","December")</f>
        <v>April</v>
      </c>
      <c r="B35" s="80" t="s">
        <v>673</v>
      </c>
      <c r="C35" s="48">
        <v>16741</v>
      </c>
      <c r="D35" s="48">
        <v>17501.07</v>
      </c>
      <c r="E35" s="25"/>
    </row>
    <row r="36" spans="1:5" x14ac:dyDescent="0.25">
      <c r="A36" s="90" t="str">
        <f>CHOOSE(VALUE(MID(TEXT(Table6[[#This Row],[Date]],"dd.mm.yyyy"),4,2)),"January","February","March","April","May","June","July","August","September","October","November","December")</f>
        <v>April</v>
      </c>
      <c r="B36" s="80" t="s">
        <v>674</v>
      </c>
      <c r="C36" s="48">
        <v>14991</v>
      </c>
      <c r="D36" s="48">
        <v>18317.260000000009</v>
      </c>
      <c r="E36" s="25"/>
    </row>
    <row r="37" spans="1:5" x14ac:dyDescent="0.25">
      <c r="A37" s="90" t="str">
        <f>CHOOSE(VALUE(MID(TEXT(Table6[[#This Row],[Date]],"dd.mm.yyyy"),4,2)),"January","February","March","April","May","June","July","August","September","October","November","December")</f>
        <v>April</v>
      </c>
      <c r="B37" s="80" t="s">
        <v>675</v>
      </c>
      <c r="C37" s="48">
        <v>14769</v>
      </c>
      <c r="D37" s="48">
        <v>17248.07</v>
      </c>
      <c r="E37" s="25"/>
    </row>
    <row r="38" spans="1:5" x14ac:dyDescent="0.25">
      <c r="A38" s="90" t="str">
        <f>CHOOSE(VALUE(MID(TEXT(Table6[[#This Row],[Date]],"dd.mm.yyyy"),4,2)),"January","February","March","April","May","June","July","August","September","October","November","December")</f>
        <v>April</v>
      </c>
      <c r="B38" s="80" t="s">
        <v>676</v>
      </c>
      <c r="C38" s="48">
        <v>14407</v>
      </c>
      <c r="D38" s="48">
        <v>15435</v>
      </c>
      <c r="E38" s="25"/>
    </row>
    <row r="39" spans="1:5" x14ac:dyDescent="0.25">
      <c r="A39" s="90" t="str">
        <f>CHOOSE(VALUE(MID(TEXT(Table6[[#This Row],[Date]],"dd.mm.yyyy"),4,2)),"January","February","March","April","May","June","July","August","September","October","November","December")</f>
        <v>April</v>
      </c>
      <c r="B39" s="80" t="s">
        <v>677</v>
      </c>
      <c r="C39" s="48">
        <v>11999</v>
      </c>
      <c r="D39" s="48">
        <v>7682.1900000000014</v>
      </c>
      <c r="E39" s="25"/>
    </row>
    <row r="40" spans="1:5" x14ac:dyDescent="0.25">
      <c r="A40" s="90" t="str">
        <f>CHOOSE(VALUE(MID(TEXT(Table6[[#This Row],[Date]],"dd.mm.yyyy"),4,2)),"January","February","March","April","May","June","July","August","September","October","November","December")</f>
        <v>April</v>
      </c>
      <c r="B40" s="80" t="s">
        <v>678</v>
      </c>
      <c r="C40" s="48">
        <v>13350</v>
      </c>
      <c r="D40" s="48">
        <v>16579.189999999999</v>
      </c>
      <c r="E40" s="25"/>
    </row>
    <row r="41" spans="1:5" x14ac:dyDescent="0.25">
      <c r="A41" s="90" t="str">
        <f>CHOOSE(VALUE(MID(TEXT(Table6[[#This Row],[Date]],"dd.mm.yyyy"),4,2)),"January","February","March","April","May","June","July","August","September","October","November","December")</f>
        <v>April</v>
      </c>
      <c r="B41" s="80" t="s">
        <v>679</v>
      </c>
      <c r="C41" s="48">
        <v>16142</v>
      </c>
      <c r="D41" s="48">
        <v>16017.33</v>
      </c>
      <c r="E41" s="25"/>
    </row>
    <row r="42" spans="1:5" x14ac:dyDescent="0.25">
      <c r="A42" s="90" t="str">
        <f>CHOOSE(VALUE(MID(TEXT(Table6[[#This Row],[Date]],"dd.mm.yyyy"),4,2)),"January","February","March","April","May","June","July","August","September","October","November","December")</f>
        <v>April</v>
      </c>
      <c r="B42" s="80" t="s">
        <v>680</v>
      </c>
      <c r="C42" s="48">
        <v>15193</v>
      </c>
      <c r="D42" s="48">
        <v>15236.59</v>
      </c>
      <c r="E42" s="25"/>
    </row>
    <row r="43" spans="1:5" x14ac:dyDescent="0.25">
      <c r="A43" s="90" t="str">
        <f>CHOOSE(VALUE(MID(TEXT(Table6[[#This Row],[Date]],"dd.mm.yyyy"),4,2)),"January","February","March","April","May","June","July","August","September","October","November","December")</f>
        <v>April</v>
      </c>
      <c r="B43" s="80" t="s">
        <v>681</v>
      </c>
      <c r="C43" s="48"/>
      <c r="D43" s="48"/>
      <c r="E43" s="25"/>
    </row>
    <row r="44" spans="1:5" x14ac:dyDescent="0.25">
      <c r="A44" s="90" t="str">
        <f>CHOOSE(VALUE(MID(TEXT(Table6[[#This Row],[Date]],"dd.mm.yyyy"),4,2)),"January","February","March","April","May","June","July","August","September","October","November","December")</f>
        <v>April</v>
      </c>
      <c r="B44" s="80" t="s">
        <v>682</v>
      </c>
      <c r="C44" s="48">
        <v>16361</v>
      </c>
      <c r="D44" s="48">
        <v>17152.18</v>
      </c>
      <c r="E44" s="25"/>
    </row>
    <row r="45" spans="1:5" x14ac:dyDescent="0.25">
      <c r="A45" s="90" t="str">
        <f>CHOOSE(VALUE(MID(TEXT(Table6[[#This Row],[Date]],"dd.mm.yyyy"),4,2)),"January","February","March","April","May","June","July","August","September","October","November","December")</f>
        <v>April</v>
      </c>
      <c r="B45" s="80" t="s">
        <v>683</v>
      </c>
      <c r="C45" s="48">
        <v>18624</v>
      </c>
      <c r="D45" s="48">
        <v>16674.37</v>
      </c>
      <c r="E45" s="25"/>
    </row>
    <row r="46" spans="1:5" x14ac:dyDescent="0.25">
      <c r="A46" s="90" t="str">
        <f>CHOOSE(VALUE(MID(TEXT(Table6[[#This Row],[Date]],"dd.mm.yyyy"),4,2)),"January","February","March","April","May","June","July","August","September","October","November","December")</f>
        <v>April</v>
      </c>
      <c r="B46" s="80" t="s">
        <v>684</v>
      </c>
      <c r="C46" s="48"/>
      <c r="D46" s="48">
        <v>7000.25</v>
      </c>
      <c r="E46" s="25"/>
    </row>
    <row r="47" spans="1:5" x14ac:dyDescent="0.25">
      <c r="A47" s="90" t="str">
        <f>CHOOSE(VALUE(MID(TEXT(Table6[[#This Row],[Date]],"dd.mm.yyyy"),4,2)),"January","February","March","April","May","June","July","August","September","October","November","December")</f>
        <v>April</v>
      </c>
      <c r="B47" s="80" t="s">
        <v>685</v>
      </c>
      <c r="C47" s="48">
        <v>14952</v>
      </c>
      <c r="D47" s="48">
        <v>15431.22</v>
      </c>
      <c r="E47" s="25"/>
    </row>
    <row r="48" spans="1:5" x14ac:dyDescent="0.25">
      <c r="A48" s="90" t="str">
        <f>CHOOSE(VALUE(MID(TEXT(Table6[[#This Row],[Date]],"dd.mm.yyyy"),4,2)),"January","February","March","April","May","June","July","August","September","October","November","December")</f>
        <v>April</v>
      </c>
      <c r="B48" s="80" t="s">
        <v>686</v>
      </c>
      <c r="C48" s="48">
        <v>17259</v>
      </c>
      <c r="D48" s="48">
        <v>17000.22</v>
      </c>
      <c r="E48" s="25"/>
    </row>
    <row r="49" spans="1:5" x14ac:dyDescent="0.25">
      <c r="A49" s="90" t="str">
        <f>CHOOSE(VALUE(MID(TEXT(Table6[[#This Row],[Date]],"dd.mm.yyyy"),4,2)),"January","February","March","April","May","June","July","August","September","October","November","December")</f>
        <v>April</v>
      </c>
      <c r="B49" s="80" t="s">
        <v>687</v>
      </c>
      <c r="C49" s="48">
        <v>14375</v>
      </c>
      <c r="D49" s="48">
        <v>17155.03</v>
      </c>
      <c r="E49" s="25"/>
    </row>
    <row r="50" spans="1:5" x14ac:dyDescent="0.25">
      <c r="A50" s="90" t="str">
        <f>CHOOSE(VALUE(MID(TEXT(Table6[[#This Row],[Date]],"dd.mm.yyyy"),4,2)),"January","February","March","April","May","June","July","August","September","October","November","December")</f>
        <v>April</v>
      </c>
      <c r="B50" s="80" t="s">
        <v>688</v>
      </c>
      <c r="C50" s="48">
        <v>14597</v>
      </c>
      <c r="D50" s="48">
        <v>17234.5</v>
      </c>
      <c r="E50" s="25"/>
    </row>
    <row r="51" spans="1:5" x14ac:dyDescent="0.25">
      <c r="A51" s="90" t="str">
        <f>CHOOSE(VALUE(MID(TEXT(Table6[[#This Row],[Date]],"dd.mm.yyyy"),4,2)),"January","February","March","April","May","June","July","August","September","October","November","December")</f>
        <v>April</v>
      </c>
      <c r="B51" s="80" t="s">
        <v>689</v>
      </c>
      <c r="C51" s="48">
        <v>14303</v>
      </c>
      <c r="D51" s="48">
        <v>16903.560000000001</v>
      </c>
      <c r="E51" s="25"/>
    </row>
    <row r="52" spans="1:5" x14ac:dyDescent="0.25">
      <c r="A52" s="90" t="str">
        <f>CHOOSE(VALUE(MID(TEXT(Table6[[#This Row],[Date]],"dd.mm.yyyy"),4,2)),"January","February","March","April","May","June","July","August","September","October","November","December")</f>
        <v>April</v>
      </c>
      <c r="B52" s="80" t="s">
        <v>690</v>
      </c>
      <c r="C52" s="48">
        <v>15407</v>
      </c>
      <c r="D52" s="48">
        <v>16655.14</v>
      </c>
      <c r="E52" s="25"/>
    </row>
    <row r="53" spans="1:5" x14ac:dyDescent="0.25">
      <c r="A53" s="90" t="str">
        <f>CHOOSE(VALUE(MID(TEXT(Table6[[#This Row],[Date]],"dd.mm.yyyy"),4,2)),"January","February","March","April","May","June","July","August","September","October","November","December")</f>
        <v>April</v>
      </c>
      <c r="B53" s="80" t="s">
        <v>691</v>
      </c>
      <c r="C53" s="48">
        <v>9693</v>
      </c>
      <c r="D53" s="48">
        <v>10179.09</v>
      </c>
      <c r="E53" s="25"/>
    </row>
    <row r="54" spans="1:5" x14ac:dyDescent="0.25">
      <c r="A54" s="90" t="str">
        <f>CHOOSE(VALUE(MID(TEXT(Table6[[#This Row],[Date]],"dd.mm.yyyy"),4,2)),"January","February","March","April","May","June","July","August","September","October","November","December")</f>
        <v>April</v>
      </c>
      <c r="B54" s="80" t="s">
        <v>692</v>
      </c>
      <c r="C54" s="48">
        <v>15235</v>
      </c>
      <c r="D54" s="48">
        <v>16147.63</v>
      </c>
      <c r="E54" s="25"/>
    </row>
    <row r="55" spans="1:5" x14ac:dyDescent="0.25">
      <c r="A55" s="90" t="str">
        <f>CHOOSE(VALUE(MID(TEXT(Table6[[#This Row],[Date]],"dd.mm.yyyy"),4,2)),"January","February","March","April","May","June","July","August","September","October","November","December")</f>
        <v>April</v>
      </c>
      <c r="B55" s="80" t="s">
        <v>693</v>
      </c>
      <c r="C55" s="48">
        <v>17358</v>
      </c>
      <c r="D55" s="48">
        <v>17430.599999999999</v>
      </c>
      <c r="E55" s="25"/>
    </row>
    <row r="56" spans="1:5" x14ac:dyDescent="0.25">
      <c r="A56" s="90" t="str">
        <f>CHOOSE(VALUE(MID(TEXT(Table6[[#This Row],[Date]],"dd.mm.yyyy"),4,2)),"January","February","March","April","May","June","July","August","September","October","November","December")</f>
        <v>April</v>
      </c>
      <c r="B56" s="80" t="s">
        <v>694</v>
      </c>
      <c r="C56" s="48">
        <v>14720</v>
      </c>
      <c r="D56" s="48">
        <v>17642.099999999999</v>
      </c>
      <c r="E56" s="25"/>
    </row>
    <row r="57" spans="1:5" x14ac:dyDescent="0.25">
      <c r="A57" s="90" t="str">
        <f>CHOOSE(VALUE(MID(TEXT(Table6[[#This Row],[Date]],"dd.mm.yyyy"),4,2)),"January","February","March","April","May","June","July","August","September","October","November","December")</f>
        <v>April</v>
      </c>
      <c r="B57" s="80" t="s">
        <v>695</v>
      </c>
      <c r="C57" s="48">
        <v>17232</v>
      </c>
      <c r="D57" s="48">
        <v>18090.66</v>
      </c>
      <c r="E57" s="25"/>
    </row>
    <row r="58" spans="1:5" x14ac:dyDescent="0.25">
      <c r="A58" s="90" t="str">
        <f>CHOOSE(VALUE(MID(TEXT(Table6[[#This Row],[Date]],"dd.mm.yyyy"),4,2)),"January","February","March","April","May","June","July","August","September","October","November","December")</f>
        <v>April</v>
      </c>
      <c r="B58" s="80" t="s">
        <v>696</v>
      </c>
      <c r="C58" s="48">
        <v>14759</v>
      </c>
      <c r="D58" s="48">
        <v>17041.149999999991</v>
      </c>
      <c r="E58" s="25"/>
    </row>
    <row r="59" spans="1:5" x14ac:dyDescent="0.25">
      <c r="A59" s="90" t="str">
        <f>CHOOSE(VALUE(MID(TEXT(Table6[[#This Row],[Date]],"dd.mm.yyyy"),4,2)),"January","February","March","April","May","June","July","August","September","October","November","December")</f>
        <v>April</v>
      </c>
      <c r="B59" s="80" t="s">
        <v>697</v>
      </c>
      <c r="C59" s="48">
        <v>19292</v>
      </c>
      <c r="D59" s="48">
        <v>17261.669999999998</v>
      </c>
      <c r="E59" s="25"/>
    </row>
    <row r="60" spans="1:5" x14ac:dyDescent="0.25">
      <c r="A60" s="90" t="str">
        <f>CHOOSE(VALUE(MID(TEXT(Table6[[#This Row],[Date]],"dd.mm.yyyy"),4,2)),"January","February","March","April","May","June","July","August","September","October","November","December")</f>
        <v>May</v>
      </c>
      <c r="B60" s="80" t="s">
        <v>698</v>
      </c>
      <c r="C60" s="48">
        <v>14333</v>
      </c>
      <c r="D60" s="48">
        <v>17562.97</v>
      </c>
      <c r="E60" s="25"/>
    </row>
    <row r="61" spans="1:5" x14ac:dyDescent="0.25">
      <c r="A61" s="90" t="str">
        <f>CHOOSE(VALUE(MID(TEXT(Table6[[#This Row],[Date]],"dd.mm.yyyy"),4,2)),"January","February","March","April","May","June","July","August","September","October","November","December")</f>
        <v>May</v>
      </c>
      <c r="B61" s="80" t="s">
        <v>699</v>
      </c>
      <c r="C61" s="48">
        <v>16578</v>
      </c>
      <c r="D61" s="48">
        <v>17208.310000000001</v>
      </c>
      <c r="E61" s="25"/>
    </row>
    <row r="62" spans="1:5" x14ac:dyDescent="0.25">
      <c r="A62" s="90" t="str">
        <f>CHOOSE(VALUE(MID(TEXT(Table6[[#This Row],[Date]],"dd.mm.yyyy"),4,2)),"January","February","March","April","May","June","July","August","September","October","November","December")</f>
        <v>May</v>
      </c>
      <c r="B62" s="80" t="s">
        <v>700</v>
      </c>
      <c r="C62" s="48">
        <v>13645</v>
      </c>
      <c r="D62" s="48">
        <v>16351.84</v>
      </c>
      <c r="E62" s="25"/>
    </row>
    <row r="63" spans="1:5" x14ac:dyDescent="0.25">
      <c r="A63" s="90" t="str">
        <f>CHOOSE(VALUE(MID(TEXT(Table6[[#This Row],[Date]],"dd.mm.yyyy"),4,2)),"January","February","March","April","May","June","July","August","September","October","November","December")</f>
        <v>May</v>
      </c>
      <c r="B63" s="80" t="s">
        <v>701</v>
      </c>
      <c r="C63" s="48">
        <v>15993</v>
      </c>
      <c r="D63" s="48">
        <v>17043.28</v>
      </c>
      <c r="E63" s="25"/>
    </row>
    <row r="64" spans="1:5" x14ac:dyDescent="0.25">
      <c r="A64" s="90" t="str">
        <f>CHOOSE(VALUE(MID(TEXT(Table6[[#This Row],[Date]],"dd.mm.yyyy"),4,2)),"January","February","March","April","May","June","July","August","September","October","November","December")</f>
        <v>May</v>
      </c>
      <c r="B64" s="80" t="s">
        <v>702</v>
      </c>
      <c r="C64" s="48">
        <v>15762</v>
      </c>
      <c r="D64" s="48">
        <v>17010.660000000011</v>
      </c>
      <c r="E64" s="25"/>
    </row>
    <row r="65" spans="1:5" x14ac:dyDescent="0.25">
      <c r="A65" s="90" t="str">
        <f>CHOOSE(VALUE(MID(TEXT(Table6[[#This Row],[Date]],"dd.mm.yyyy"),4,2)),"January","February","March","April","May","June","July","August","September","October","November","December")</f>
        <v>May</v>
      </c>
      <c r="B65" s="80" t="s">
        <v>703</v>
      </c>
      <c r="C65" s="48">
        <v>21386</v>
      </c>
      <c r="D65" s="48">
        <v>18012.060000000001</v>
      </c>
      <c r="E65" s="25"/>
    </row>
    <row r="66" spans="1:5" x14ac:dyDescent="0.25">
      <c r="A66" s="90" t="str">
        <f>CHOOSE(VALUE(MID(TEXT(Table6[[#This Row],[Date]],"dd.mm.yyyy"),4,2)),"January","February","March","April","May","June","July","August","September","October","November","December")</f>
        <v>May</v>
      </c>
      <c r="B66" s="80" t="s">
        <v>704</v>
      </c>
      <c r="C66" s="48"/>
      <c r="D66" s="48">
        <v>9091.0299999999988</v>
      </c>
      <c r="E66" s="25"/>
    </row>
    <row r="67" spans="1:5" x14ac:dyDescent="0.25">
      <c r="A67" s="90" t="str">
        <f>CHOOSE(VALUE(MID(TEXT(Table6[[#This Row],[Date]],"dd.mm.yyyy"),4,2)),"January","February","March","April","May","June","July","August","September","October","November","December")</f>
        <v>May</v>
      </c>
      <c r="B67" s="80" t="s">
        <v>705</v>
      </c>
      <c r="C67" s="48">
        <v>17043</v>
      </c>
      <c r="D67" s="48">
        <v>14773.89</v>
      </c>
      <c r="E67" s="25"/>
    </row>
    <row r="68" spans="1:5" x14ac:dyDescent="0.25">
      <c r="A68" s="90" t="str">
        <f>CHOOSE(VALUE(MID(TEXT(Table6[[#This Row],[Date]],"dd.mm.yyyy"),4,2)),"January","February","March","April","May","June","July","August","September","October","November","December")</f>
        <v>May</v>
      </c>
      <c r="B68" s="80" t="s">
        <v>706</v>
      </c>
      <c r="C68" s="48">
        <v>16171</v>
      </c>
      <c r="D68" s="48">
        <v>17031.75</v>
      </c>
      <c r="E68" s="25"/>
    </row>
    <row r="69" spans="1:5" x14ac:dyDescent="0.25">
      <c r="A69" s="90" t="str">
        <f>CHOOSE(VALUE(MID(TEXT(Table6[[#This Row],[Date]],"dd.mm.yyyy"),4,2)),"January","February","March","April","May","June","July","August","September","October","November","December")</f>
        <v>May</v>
      </c>
      <c r="B69" s="80" t="s">
        <v>707</v>
      </c>
      <c r="C69" s="48">
        <v>17656</v>
      </c>
      <c r="D69" s="48">
        <v>18814.099999999999</v>
      </c>
      <c r="E69" s="25"/>
    </row>
    <row r="70" spans="1:5" x14ac:dyDescent="0.25">
      <c r="A70" s="90" t="str">
        <f>CHOOSE(VALUE(MID(TEXT(Table6[[#This Row],[Date]],"dd.mm.yyyy"),4,2)),"January","February","March","April","May","June","July","August","September","October","November","December")</f>
        <v>May</v>
      </c>
      <c r="B70" s="80" t="s">
        <v>708</v>
      </c>
      <c r="C70" s="48">
        <v>16246</v>
      </c>
      <c r="D70" s="48">
        <v>16915.330000000002</v>
      </c>
      <c r="E70" s="25"/>
    </row>
    <row r="71" spans="1:5" x14ac:dyDescent="0.25">
      <c r="A71" s="90" t="str">
        <f>CHOOSE(VALUE(MID(TEXT(Table6[[#This Row],[Date]],"dd.mm.yyyy"),4,2)),"January","February","March","April","May","June","July","August","September","October","November","December")</f>
        <v>May</v>
      </c>
      <c r="B71" s="80" t="s">
        <v>709</v>
      </c>
      <c r="C71" s="48">
        <v>16781</v>
      </c>
      <c r="D71" s="48">
        <v>17594.189999999999</v>
      </c>
      <c r="E71" s="25"/>
    </row>
    <row r="72" spans="1:5" x14ac:dyDescent="0.25">
      <c r="A72" s="90" t="str">
        <f>CHOOSE(VALUE(MID(TEXT(Table6[[#This Row],[Date]],"dd.mm.yyyy"),4,2)),"January","February","March","April","May","June","July","August","September","October","November","December")</f>
        <v>May</v>
      </c>
      <c r="B72" s="80" t="s">
        <v>710</v>
      </c>
      <c r="C72" s="48">
        <v>17208</v>
      </c>
      <c r="D72" s="48">
        <v>16112.74</v>
      </c>
      <c r="E72" s="25"/>
    </row>
    <row r="73" spans="1:5" x14ac:dyDescent="0.25">
      <c r="A73" s="90" t="str">
        <f>CHOOSE(VALUE(MID(TEXT(Table6[[#This Row],[Date]],"dd.mm.yyyy"),4,2)),"January","February","March","April","May","June","July","August","September","October","November","December")</f>
        <v>May</v>
      </c>
      <c r="B73" s="80" t="s">
        <v>711</v>
      </c>
      <c r="C73" s="48">
        <v>9014</v>
      </c>
      <c r="D73" s="48">
        <v>10167.91</v>
      </c>
      <c r="E73" s="25"/>
    </row>
    <row r="74" spans="1:5" x14ac:dyDescent="0.25">
      <c r="A74" s="90" t="str">
        <f>CHOOSE(VALUE(MID(TEXT(Table6[[#This Row],[Date]],"dd.mm.yyyy"),4,2)),"January","February","March","April","May","June","July","August","September","October","November","December")</f>
        <v>May</v>
      </c>
      <c r="B74" s="80" t="s">
        <v>712</v>
      </c>
      <c r="C74" s="48">
        <v>14403</v>
      </c>
      <c r="D74" s="48">
        <v>17227.27</v>
      </c>
      <c r="E74" s="25"/>
    </row>
    <row r="75" spans="1:5" x14ac:dyDescent="0.25">
      <c r="A75" s="90" t="str">
        <f>CHOOSE(VALUE(MID(TEXT(Table6[[#This Row],[Date]],"dd.mm.yyyy"),4,2)),"January","February","March","April","May","June","July","August","September","October","November","December")</f>
        <v>May</v>
      </c>
      <c r="B75" s="80" t="s">
        <v>713</v>
      </c>
      <c r="C75" s="48">
        <v>16000</v>
      </c>
      <c r="D75" s="48">
        <v>17333.721000000001</v>
      </c>
      <c r="E75" s="25"/>
    </row>
    <row r="76" spans="1:5" x14ac:dyDescent="0.25">
      <c r="A76" s="90" t="str">
        <f>CHOOSE(VALUE(MID(TEXT(Table6[[#This Row],[Date]],"dd.mm.yyyy"),4,2)),"January","February","March","April","May","June","July","August","September","October","November","December")</f>
        <v>May</v>
      </c>
      <c r="B76" s="80" t="s">
        <v>714</v>
      </c>
      <c r="C76" s="48">
        <v>15095</v>
      </c>
      <c r="D76" s="48">
        <v>17293.27</v>
      </c>
      <c r="E76" s="25"/>
    </row>
    <row r="77" spans="1:5" x14ac:dyDescent="0.25">
      <c r="A77" s="90" t="str">
        <f>CHOOSE(VALUE(MID(TEXT(Table6[[#This Row],[Date]],"dd.mm.yyyy"),4,2)),"January","February","March","April","May","June","July","August","September","October","November","December")</f>
        <v>May</v>
      </c>
      <c r="B77" s="80" t="s">
        <v>715</v>
      </c>
      <c r="C77" s="48">
        <v>17004</v>
      </c>
      <c r="D77" s="48">
        <v>16760.11</v>
      </c>
      <c r="E77" s="25"/>
    </row>
    <row r="78" spans="1:5" x14ac:dyDescent="0.25">
      <c r="A78" s="90" t="str">
        <f>CHOOSE(VALUE(MID(TEXT(Table6[[#This Row],[Date]],"dd.mm.yyyy"),4,2)),"January","February","March","April","May","June","July","August","September","October","November","December")</f>
        <v>May</v>
      </c>
      <c r="B78" s="80" t="s">
        <v>716</v>
      </c>
      <c r="C78" s="48">
        <v>15347</v>
      </c>
      <c r="D78" s="48">
        <v>17095.87</v>
      </c>
      <c r="E78" s="25"/>
    </row>
    <row r="79" spans="1:5" x14ac:dyDescent="0.25">
      <c r="A79" s="90" t="str">
        <f>CHOOSE(VALUE(MID(TEXT(Table6[[#This Row],[Date]],"dd.mm.yyyy"),4,2)),"January","February","March","April","May","June","July","August","September","October","November","December")</f>
        <v>May</v>
      </c>
      <c r="B79" s="80" t="s">
        <v>717</v>
      </c>
      <c r="C79" s="48">
        <v>14617</v>
      </c>
      <c r="D79" s="48">
        <v>18474.500000000011</v>
      </c>
      <c r="E79" s="25"/>
    </row>
    <row r="80" spans="1:5" x14ac:dyDescent="0.25">
      <c r="A80" s="90" t="str">
        <f>CHOOSE(VALUE(MID(TEXT(Table6[[#This Row],[Date]],"dd.mm.yyyy"),4,2)),"January","February","March","April","May","June","July","August","September","October","November","December")</f>
        <v>May</v>
      </c>
      <c r="B80" s="80" t="s">
        <v>718</v>
      </c>
      <c r="C80" s="48">
        <v>17822</v>
      </c>
      <c r="D80" s="48">
        <v>16953.439999999999</v>
      </c>
      <c r="E80" s="25"/>
    </row>
    <row r="81" spans="1:5" x14ac:dyDescent="0.25">
      <c r="A81" s="90" t="str">
        <f>CHOOSE(VALUE(MID(TEXT(Table6[[#This Row],[Date]],"dd.mm.yyyy"),4,2)),"January","February","March","April","May","June","July","August","September","October","November","December")</f>
        <v>May</v>
      </c>
      <c r="B81" s="80" t="s">
        <v>719</v>
      </c>
      <c r="C81" s="48">
        <v>14527</v>
      </c>
      <c r="D81" s="48">
        <v>14033.83</v>
      </c>
      <c r="E81" s="25"/>
    </row>
    <row r="82" spans="1:5" x14ac:dyDescent="0.25">
      <c r="A82" s="90" t="str">
        <f>CHOOSE(VALUE(MID(TEXT(Table6[[#This Row],[Date]],"dd.mm.yyyy"),4,2)),"January","February","March","April","May","June","July","August","September","October","November","December")</f>
        <v>May</v>
      </c>
      <c r="B82" s="80" t="s">
        <v>720</v>
      </c>
      <c r="C82" s="48">
        <v>10010</v>
      </c>
      <c r="D82" s="48">
        <v>5348.8099999999986</v>
      </c>
      <c r="E82" s="25"/>
    </row>
    <row r="83" spans="1:5" x14ac:dyDescent="0.25">
      <c r="A83" s="90" t="str">
        <f>CHOOSE(VALUE(MID(TEXT(Table6[[#This Row],[Date]],"dd.mm.yyyy"),4,2)),"January","February","March","April","May","June","July","August","September","October","November","December")</f>
        <v>June</v>
      </c>
      <c r="B83" s="80" t="s">
        <v>721</v>
      </c>
      <c r="C83" s="48">
        <v>6441</v>
      </c>
      <c r="D83" s="48">
        <v>15287.6</v>
      </c>
      <c r="E83" s="25"/>
    </row>
    <row r="84" spans="1:5" x14ac:dyDescent="0.25">
      <c r="A84" s="90" t="str">
        <f>CHOOSE(VALUE(MID(TEXT(Table6[[#This Row],[Date]],"dd.mm.yyyy"),4,2)),"January","February","March","April","May","June","July","August","September","October","November","December")</f>
        <v>June</v>
      </c>
      <c r="B84" s="80" t="s">
        <v>722</v>
      </c>
      <c r="C84" s="48">
        <v>14479</v>
      </c>
      <c r="D84" s="48">
        <v>15314.06</v>
      </c>
      <c r="E84" s="25"/>
    </row>
    <row r="85" spans="1:5" x14ac:dyDescent="0.25">
      <c r="A85" s="90" t="str">
        <f>CHOOSE(VALUE(MID(TEXT(Table6[[#This Row],[Date]],"dd.mm.yyyy"),4,2)),"January","February","March","April","May","June","July","August","September","October","November","December")</f>
        <v>June</v>
      </c>
      <c r="B85" s="80" t="s">
        <v>723</v>
      </c>
      <c r="C85" s="48">
        <v>13459</v>
      </c>
      <c r="D85" s="48">
        <v>14879.89</v>
      </c>
      <c r="E85" s="25"/>
    </row>
    <row r="86" spans="1:5" x14ac:dyDescent="0.25">
      <c r="A86" s="90" t="str">
        <f>CHOOSE(VALUE(MID(TEXT(Table6[[#This Row],[Date]],"dd.mm.yyyy"),4,2)),"January","February","March","April","May","June","July","August","September","October","November","December")</f>
        <v>June</v>
      </c>
      <c r="B86" s="80" t="s">
        <v>724</v>
      </c>
      <c r="C86" s="48">
        <v>16067</v>
      </c>
      <c r="D86" s="48">
        <v>16501.5</v>
      </c>
      <c r="E86" s="25"/>
    </row>
    <row r="87" spans="1:5" x14ac:dyDescent="0.25">
      <c r="A87" s="90" t="str">
        <f>CHOOSE(VALUE(MID(TEXT(Table6[[#This Row],[Date]],"dd.mm.yyyy"),4,2)),"January","February","March","April","May","June","July","August","September","October","November","December")</f>
        <v>June</v>
      </c>
      <c r="B87" s="80" t="s">
        <v>725</v>
      </c>
      <c r="C87" s="48">
        <v>13794</v>
      </c>
      <c r="D87" s="48">
        <v>14589.98</v>
      </c>
      <c r="E87" s="25"/>
    </row>
    <row r="88" spans="1:5" x14ac:dyDescent="0.25">
      <c r="A88" s="90" t="str">
        <f>CHOOSE(VALUE(MID(TEXT(Table6[[#This Row],[Date]],"dd.mm.yyyy"),4,2)),"January","February","March","April","May","June","July","August","September","October","November","December")</f>
        <v>June</v>
      </c>
      <c r="B88" s="80" t="s">
        <v>726</v>
      </c>
      <c r="C88" s="48">
        <v>14067</v>
      </c>
      <c r="D88" s="48">
        <v>16400.400000000001</v>
      </c>
      <c r="E88" s="25"/>
    </row>
    <row r="89" spans="1:5" x14ac:dyDescent="0.25">
      <c r="A89" s="90" t="str">
        <f>CHOOSE(VALUE(MID(TEXT(Table6[[#This Row],[Date]],"dd.mm.yyyy"),4,2)),"January","February","March","April","May","June","July","August","September","October","November","December")</f>
        <v>June</v>
      </c>
      <c r="B89" s="80" t="s">
        <v>727</v>
      </c>
      <c r="C89" s="48">
        <v>15072</v>
      </c>
      <c r="D89" s="48">
        <v>18043.72</v>
      </c>
      <c r="E89" s="25"/>
    </row>
    <row r="90" spans="1:5" x14ac:dyDescent="0.25">
      <c r="A90" s="90" t="str">
        <f>CHOOSE(VALUE(MID(TEXT(Table6[[#This Row],[Date]],"dd.mm.yyyy"),4,2)),"January","February","March","April","May","June","July","August","September","October","November","December")</f>
        <v>June</v>
      </c>
      <c r="B90" s="80" t="s">
        <v>728</v>
      </c>
      <c r="C90" s="48">
        <v>16802</v>
      </c>
      <c r="D90" s="48">
        <v>16920.439999999999</v>
      </c>
      <c r="E90" s="25"/>
    </row>
    <row r="91" spans="1:5" x14ac:dyDescent="0.25">
      <c r="A91" s="90" t="str">
        <f>CHOOSE(VALUE(MID(TEXT(Table6[[#This Row],[Date]],"dd.mm.yyyy"),4,2)),"January","February","March","April","May","June","July","August","September","October","November","December")</f>
        <v>June</v>
      </c>
      <c r="B91" s="80" t="s">
        <v>729</v>
      </c>
      <c r="C91" s="48">
        <v>16319</v>
      </c>
      <c r="D91" s="48">
        <v>16473.650000000001</v>
      </c>
      <c r="E91" s="25"/>
    </row>
    <row r="92" spans="1:5" x14ac:dyDescent="0.25">
      <c r="A92" s="90" t="str">
        <f>CHOOSE(VALUE(MID(TEXT(Table6[[#This Row],[Date]],"dd.mm.yyyy"),4,2)),"January","February","March","April","May","June","July","August","September","October","November","December")</f>
        <v>June</v>
      </c>
      <c r="B92" s="80" t="s">
        <v>730</v>
      </c>
      <c r="C92" s="48">
        <v>15375</v>
      </c>
      <c r="D92" s="48">
        <v>16970.68</v>
      </c>
      <c r="E92" s="25"/>
    </row>
    <row r="93" spans="1:5" x14ac:dyDescent="0.25">
      <c r="A93" s="90" t="str">
        <f>CHOOSE(VALUE(MID(TEXT(Table6[[#This Row],[Date]],"dd.mm.yyyy"),4,2)),"January","February","March","April","May","June","July","August","September","October","November","December")</f>
        <v>June</v>
      </c>
      <c r="B93" s="80" t="s">
        <v>731</v>
      </c>
      <c r="C93" s="48">
        <v>15125</v>
      </c>
      <c r="D93" s="48">
        <v>17006.78</v>
      </c>
      <c r="E93" s="25"/>
    </row>
    <row r="94" spans="1:5" x14ac:dyDescent="0.25">
      <c r="A94" s="90" t="str">
        <f>CHOOSE(VALUE(MID(TEXT(Table6[[#This Row],[Date]],"dd.mm.yyyy"),4,2)),"January","February","March","April","May","June","July","August","September","October","November","December")</f>
        <v>June</v>
      </c>
      <c r="B94" s="80" t="s">
        <v>732</v>
      </c>
      <c r="C94" s="48">
        <v>16940</v>
      </c>
      <c r="D94" s="48">
        <v>16133.09</v>
      </c>
      <c r="E94" s="25"/>
    </row>
    <row r="95" spans="1:5" x14ac:dyDescent="0.25">
      <c r="A95" s="90" t="str">
        <f>CHOOSE(VALUE(MID(TEXT(Table6[[#This Row],[Date]],"dd.mm.yyyy"),4,2)),"January","February","March","April","May","June","July","August","September","October","November","December")</f>
        <v>June</v>
      </c>
      <c r="B95" s="80" t="s">
        <v>733</v>
      </c>
      <c r="C95" s="48">
        <v>15858</v>
      </c>
      <c r="D95" s="48">
        <v>17374.61</v>
      </c>
      <c r="E95" s="25"/>
    </row>
    <row r="96" spans="1:5" x14ac:dyDescent="0.25">
      <c r="A96" s="90" t="str">
        <f>CHOOSE(VALUE(MID(TEXT(Table6[[#This Row],[Date]],"dd.mm.yyyy"),4,2)),"January","February","March","April","May","June","July","August","September","October","November","December")</f>
        <v>June</v>
      </c>
      <c r="B96" s="80" t="s">
        <v>734</v>
      </c>
      <c r="C96" s="48">
        <v>17872</v>
      </c>
      <c r="D96" s="48">
        <v>18600.86</v>
      </c>
      <c r="E96" s="25"/>
    </row>
    <row r="97" spans="1:5" ht="45" customHeight="1" x14ac:dyDescent="0.25">
      <c r="A97" s="90" t="str">
        <f>CHOOSE(VALUE(MID(TEXT(Table6[[#This Row],[Date]],"dd.mm.yyyy"),4,2)),"January","February","March","April","May","June","July","August","September","October","November","December")</f>
        <v>June</v>
      </c>
      <c r="B97" s="80" t="s">
        <v>735</v>
      </c>
      <c r="C97" s="48">
        <v>12766</v>
      </c>
      <c r="D97" s="48">
        <v>17104.95</v>
      </c>
      <c r="E97" s="25" t="s">
        <v>736</v>
      </c>
    </row>
    <row r="98" spans="1:5" ht="45" customHeight="1" x14ac:dyDescent="0.25">
      <c r="A98" s="90" t="str">
        <f>CHOOSE(VALUE(MID(TEXT(Table6[[#This Row],[Date]],"dd.mm.yyyy"),4,2)),"January","February","March","April","May","June","July","August","September","October","November","December")</f>
        <v>June</v>
      </c>
      <c r="B98" s="80" t="s">
        <v>737</v>
      </c>
      <c r="C98" s="48">
        <v>13241</v>
      </c>
      <c r="D98" s="48">
        <v>14386.5</v>
      </c>
      <c r="E98" s="25" t="s">
        <v>738</v>
      </c>
    </row>
    <row r="99" spans="1:5" ht="30" customHeight="1" x14ac:dyDescent="0.25">
      <c r="A99" s="90" t="str">
        <f>CHOOSE(VALUE(MID(TEXT(Table6[[#This Row],[Date]],"dd.mm.yyyy"),4,2)),"January","February","March","April","May","June","July","August","September","October","November","December")</f>
        <v>June</v>
      </c>
      <c r="B99" s="80" t="s">
        <v>739</v>
      </c>
      <c r="C99" s="48">
        <v>14511</v>
      </c>
      <c r="D99" s="48">
        <v>15870.82</v>
      </c>
      <c r="E99" s="25" t="s">
        <v>740</v>
      </c>
    </row>
    <row r="100" spans="1:5" x14ac:dyDescent="0.25">
      <c r="A100" s="90" t="str">
        <f>CHOOSE(VALUE(MID(TEXT(Table6[[#This Row],[Date]],"dd.mm.yyyy"),4,2)),"January","February","March","April","May","June","July","August","September","October","November","December")</f>
        <v>June</v>
      </c>
      <c r="B100" s="80" t="s">
        <v>741</v>
      </c>
      <c r="C100" s="48">
        <v>17784</v>
      </c>
      <c r="D100" s="48">
        <v>17162.97</v>
      </c>
      <c r="E100" s="25"/>
    </row>
    <row r="101" spans="1:5" x14ac:dyDescent="0.25">
      <c r="A101" s="90" t="str">
        <f>CHOOSE(VALUE(MID(TEXT(Table6[[#This Row],[Date]],"dd.mm.yyyy"),4,2)),"January","February","March","April","May","June","July","August","September","October","November","December")</f>
        <v>June</v>
      </c>
      <c r="B101" s="80" t="s">
        <v>742</v>
      </c>
      <c r="C101" s="48">
        <v>17166</v>
      </c>
      <c r="D101" s="48">
        <v>18118.39</v>
      </c>
      <c r="E101" s="25"/>
    </row>
    <row r="102" spans="1:5" x14ac:dyDescent="0.25">
      <c r="A102" s="90" t="str">
        <f>CHOOSE(VALUE(MID(TEXT(Table6[[#This Row],[Date]],"dd.mm.yyyy"),4,2)),"January","February","March","April","May","June","July","August","September","October","November","December")</f>
        <v>June</v>
      </c>
      <c r="B102" s="80" t="s">
        <v>743</v>
      </c>
      <c r="C102" s="48">
        <v>15921</v>
      </c>
      <c r="D102" s="48">
        <v>19321.86</v>
      </c>
      <c r="E102" s="25"/>
    </row>
    <row r="103" spans="1:5" x14ac:dyDescent="0.25">
      <c r="A103" s="90" t="str">
        <f>CHOOSE(VALUE(MID(TEXT(Table6[[#This Row],[Date]],"dd.mm.yyyy"),4,2)),"January","February","March","April","May","June","July","August","September","October","November","December")</f>
        <v>June</v>
      </c>
      <c r="B103" s="80" t="s">
        <v>744</v>
      </c>
      <c r="C103" s="48">
        <v>19146</v>
      </c>
      <c r="D103" s="48">
        <v>18317.3</v>
      </c>
      <c r="E103" s="25"/>
    </row>
    <row r="104" spans="1:5" x14ac:dyDescent="0.25">
      <c r="A104" s="90" t="str">
        <f>CHOOSE(VALUE(MID(TEXT(Table6[[#This Row],[Date]],"dd.mm.yyyy"),4,2)),"January","February","March","April","May","June","July","August","September","October","November","December")</f>
        <v>June</v>
      </c>
      <c r="B104" s="80" t="s">
        <v>745</v>
      </c>
      <c r="C104" s="48">
        <v>20173</v>
      </c>
      <c r="D104" s="48">
        <v>27698.67</v>
      </c>
      <c r="E104" s="25"/>
    </row>
    <row r="105" spans="1:5" x14ac:dyDescent="0.25">
      <c r="A105" s="90" t="str">
        <f>CHOOSE(VALUE(MID(TEXT(Table6[[#This Row],[Date]],"dd.mm.yyyy"),4,2)),"January","February","March","April","May","June","July","August","September","October","November","December")</f>
        <v>June</v>
      </c>
      <c r="B105" s="80" t="s">
        <v>746</v>
      </c>
      <c r="C105" s="48">
        <v>18308</v>
      </c>
      <c r="D105" s="48">
        <v>17102.46</v>
      </c>
      <c r="E105" s="25"/>
    </row>
    <row r="106" spans="1:5" x14ac:dyDescent="0.25">
      <c r="A106" s="90" t="str">
        <f>CHOOSE(VALUE(MID(TEXT(Table6[[#This Row],[Date]],"dd.mm.yyyy"),4,2)),"January","February","March","April","May","June","July","August","September","October","November","December")</f>
        <v>June</v>
      </c>
      <c r="B106" s="80" t="s">
        <v>747</v>
      </c>
      <c r="C106" s="48">
        <v>15192</v>
      </c>
      <c r="D106" s="48">
        <v>19457.900000000001</v>
      </c>
      <c r="E106" s="25"/>
    </row>
    <row r="107" spans="1:5" x14ac:dyDescent="0.25">
      <c r="A107" s="90" t="str">
        <f>CHOOSE(VALUE(MID(TEXT(Table6[[#This Row],[Date]],"dd.mm.yyyy"),4,2)),"January","February","March","April","May","June","July","August","September","October","November","December")</f>
        <v>June</v>
      </c>
      <c r="B107" s="80" t="s">
        <v>748</v>
      </c>
      <c r="C107" s="48">
        <v>17868</v>
      </c>
      <c r="D107" s="48">
        <v>18785.97</v>
      </c>
      <c r="E107" s="25"/>
    </row>
    <row r="108" spans="1:5" x14ac:dyDescent="0.25">
      <c r="A108" s="90" t="str">
        <f>CHOOSE(VALUE(MID(TEXT(Table6[[#This Row],[Date]],"dd.mm.yyyy"),4,2)),"January","February","March","April","May","June","July","August","September","October","November","December")</f>
        <v>July</v>
      </c>
      <c r="B108" s="80" t="s">
        <v>749</v>
      </c>
      <c r="C108" s="48">
        <v>18667</v>
      </c>
      <c r="D108" s="48">
        <v>20014.84</v>
      </c>
      <c r="E108" s="25"/>
    </row>
    <row r="109" spans="1:5" x14ac:dyDescent="0.25">
      <c r="A109" s="90" t="str">
        <f>CHOOSE(VALUE(MID(TEXT(Table6[[#This Row],[Date]],"dd.mm.yyyy"),4,2)),"January","February","March","April","May","June","July","August","September","October","November","December")</f>
        <v>July</v>
      </c>
      <c r="B109" s="80" t="s">
        <v>750</v>
      </c>
      <c r="C109" s="48">
        <v>19707</v>
      </c>
      <c r="D109" s="48">
        <v>26125</v>
      </c>
      <c r="E109" s="25"/>
    </row>
    <row r="110" spans="1:5" x14ac:dyDescent="0.25">
      <c r="A110" s="90" t="str">
        <f>CHOOSE(VALUE(MID(TEXT(Table6[[#This Row],[Date]],"dd.mm.yyyy"),4,2)),"January","February","March","April","May","June","July","August","September","October","November","December")</f>
        <v>July</v>
      </c>
      <c r="B110" s="80" t="s">
        <v>751</v>
      </c>
      <c r="C110" s="48">
        <v>18795</v>
      </c>
      <c r="D110" s="48">
        <v>18123</v>
      </c>
      <c r="E110" s="25"/>
    </row>
    <row r="111" spans="1:5" x14ac:dyDescent="0.25">
      <c r="A111" s="90" t="str">
        <f>CHOOSE(VALUE(MID(TEXT(Table6[[#This Row],[Date]],"dd.mm.yyyy"),4,2)),"January","February","March","April","May","June","July","August","September","October","November","December")</f>
        <v>July</v>
      </c>
      <c r="B111" s="80" t="s">
        <v>752</v>
      </c>
      <c r="C111" s="48">
        <v>16176</v>
      </c>
      <c r="D111" s="48">
        <v>16097.53</v>
      </c>
      <c r="E111" s="25"/>
    </row>
    <row r="112" spans="1:5" x14ac:dyDescent="0.25">
      <c r="A112" s="90" t="str">
        <f>CHOOSE(VALUE(MID(TEXT(Table6[[#This Row],[Date]],"dd.mm.yyyy"),4,2)),"January","February","March","April","May","June","July","August","September","October","November","December")</f>
        <v>July</v>
      </c>
      <c r="B112" s="80" t="s">
        <v>753</v>
      </c>
      <c r="C112" s="48">
        <v>16177</v>
      </c>
      <c r="D112" s="48"/>
      <c r="E112" s="25"/>
    </row>
    <row r="113" spans="1:5" x14ac:dyDescent="0.25">
      <c r="A113" s="90" t="str">
        <f>CHOOSE(VALUE(MID(TEXT(Table6[[#This Row],[Date]],"dd.mm.yyyy"),4,2)),"January","February","March","April","May","June","July","August","September","October","November","December")</f>
        <v>July</v>
      </c>
      <c r="B113" s="80" t="s">
        <v>754</v>
      </c>
      <c r="C113" s="48">
        <v>16108</v>
      </c>
      <c r="D113" s="48"/>
      <c r="E113" s="25"/>
    </row>
    <row r="114" spans="1:5" x14ac:dyDescent="0.25">
      <c r="A114" s="90" t="str">
        <f>CHOOSE(VALUE(MID(TEXT(Table6[[#This Row],[Date]],"dd.mm.yyyy"),4,2)),"January","February","March","April","May","June","July","August","September","October","November","December")</f>
        <v>July</v>
      </c>
      <c r="B114" s="80" t="s">
        <v>755</v>
      </c>
      <c r="C114" s="48">
        <v>15985</v>
      </c>
      <c r="D114" s="48"/>
      <c r="E114" s="25"/>
    </row>
    <row r="115" spans="1:5" x14ac:dyDescent="0.25">
      <c r="A115" s="90" t="str">
        <f>CHOOSE(VALUE(MID(TEXT(Table6[[#This Row],[Date]],"dd.mm.yyyy"),4,2)),"January","February","March","April","May","June","July","August","September","October","November","December")</f>
        <v>July</v>
      </c>
      <c r="B115" s="80" t="s">
        <v>756</v>
      </c>
      <c r="C115" s="48">
        <v>16666</v>
      </c>
      <c r="D115" s="48"/>
      <c r="E115" s="25"/>
    </row>
    <row r="116" spans="1:5" x14ac:dyDescent="0.25">
      <c r="A116" s="90" t="str">
        <f>CHOOSE(VALUE(MID(TEXT(Table6[[#This Row],[Date]],"dd.mm.yyyy"),4,2)),"January","February","March","April","May","June","July","August","September","October","November","December")</f>
        <v>July</v>
      </c>
      <c r="B116" s="80" t="s">
        <v>757</v>
      </c>
      <c r="C116" s="48">
        <v>16133</v>
      </c>
      <c r="D116" s="48"/>
      <c r="E116" s="25"/>
    </row>
    <row r="117" spans="1:5" x14ac:dyDescent="0.25">
      <c r="A117" s="90" t="str">
        <f>CHOOSE(VALUE(MID(TEXT(Table6[[#This Row],[Date]],"dd.mm.yyyy"),4,2)),"January","February","March","April","May","June","July","August","September","October","November","December")</f>
        <v>July</v>
      </c>
      <c r="B117" s="80" t="s">
        <v>758</v>
      </c>
      <c r="C117" s="48">
        <v>15656</v>
      </c>
      <c r="D117" s="48"/>
      <c r="E117" s="25"/>
    </row>
    <row r="118" spans="1:5" x14ac:dyDescent="0.25">
      <c r="A118" s="90" t="str">
        <f>CHOOSE(VALUE(MID(TEXT(Table6[[#This Row],[Date]],"dd.mm.yyyy"),4,2)),"January","February","March","April","May","June","July","August","September","October","November","December")</f>
        <v>July</v>
      </c>
      <c r="B118" s="80" t="s">
        <v>759</v>
      </c>
      <c r="C118" s="48">
        <v>16559</v>
      </c>
      <c r="D118" s="48"/>
      <c r="E118" s="25"/>
    </row>
    <row r="119" spans="1:5" ht="30" customHeight="1" x14ac:dyDescent="0.25">
      <c r="A119" s="90" t="str">
        <f>CHOOSE(VALUE(MID(TEXT(Table6[[#This Row],[Date]],"dd.mm.yyyy"),4,2)),"January","February","March","April","May","June","July","August","September","October","November","December")</f>
        <v>July</v>
      </c>
      <c r="B119" s="80" t="s">
        <v>760</v>
      </c>
      <c r="C119" s="48">
        <v>14727</v>
      </c>
      <c r="D119" s="48"/>
      <c r="E119" s="25" t="s">
        <v>761</v>
      </c>
    </row>
    <row r="120" spans="1:5" ht="30" customHeight="1" x14ac:dyDescent="0.25">
      <c r="A120" s="90" t="str">
        <f>CHOOSE(VALUE(MID(TEXT(Table6[[#This Row],[Date]],"dd.mm.yyyy"),4,2)),"January","February","March","April","May","June","July","August","September","October","November","December")</f>
        <v>July</v>
      </c>
      <c r="B120" s="80" t="s">
        <v>762</v>
      </c>
      <c r="C120" s="48">
        <v>14795</v>
      </c>
      <c r="D120" s="48"/>
      <c r="E120" s="25" t="s">
        <v>761</v>
      </c>
    </row>
    <row r="121" spans="1:5" x14ac:dyDescent="0.25">
      <c r="A121" s="90" t="str">
        <f>CHOOSE(VALUE(MID(TEXT(Table6[[#This Row],[Date]],"dd.mm.yyyy"),4,2)),"January","February","March","April","May","June","July","August","September","October","November","December")</f>
        <v>July</v>
      </c>
      <c r="B121" s="80" t="s">
        <v>763</v>
      </c>
      <c r="C121" s="48">
        <v>16486</v>
      </c>
      <c r="D121" s="48"/>
      <c r="E121" s="25"/>
    </row>
    <row r="122" spans="1:5" x14ac:dyDescent="0.25">
      <c r="A122" s="90" t="str">
        <f>CHOOSE(VALUE(MID(TEXT(Table6[[#This Row],[Date]],"dd.mm.yyyy"),4,2)),"January","February","March","April","May","June","July","August","September","October","November","December")</f>
        <v>July</v>
      </c>
      <c r="B122" s="80" t="s">
        <v>764</v>
      </c>
      <c r="C122" s="48">
        <v>15674</v>
      </c>
      <c r="D122" s="48"/>
      <c r="E122" s="25"/>
    </row>
    <row r="123" spans="1:5" x14ac:dyDescent="0.25">
      <c r="A123" s="90" t="str">
        <f>CHOOSE(VALUE(MID(TEXT(Table6[[#This Row],[Date]],"dd.mm.yyyy"),4,2)),"January","February","March","April","May","June","July","August","September","October","November","December")</f>
        <v>July</v>
      </c>
      <c r="B123" s="80" t="s">
        <v>765</v>
      </c>
      <c r="C123" s="48">
        <v>16663</v>
      </c>
      <c r="D123" s="48"/>
      <c r="E123" s="25"/>
    </row>
    <row r="124" spans="1:5" x14ac:dyDescent="0.25">
      <c r="A124" s="90" t="str">
        <f>CHOOSE(VALUE(MID(TEXT(Table6[[#This Row],[Date]],"dd.mm.yyyy"),4,2)),"January","February","March","April","May","June","July","August","September","October","November","December")</f>
        <v>July</v>
      </c>
      <c r="B124" s="80" t="s">
        <v>766</v>
      </c>
      <c r="C124" s="48">
        <v>17001</v>
      </c>
      <c r="D124" s="48"/>
      <c r="E124" s="25"/>
    </row>
    <row r="125" spans="1:5" x14ac:dyDescent="0.25">
      <c r="A125" s="90" t="str">
        <f>CHOOSE(VALUE(MID(TEXT(Table6[[#This Row],[Date]],"dd.mm.yyyy"),4,2)),"January","February","March","April","May","June","July","August","September","October","November","December")</f>
        <v>July</v>
      </c>
      <c r="B125" s="80" t="s">
        <v>767</v>
      </c>
      <c r="C125" s="48">
        <v>17585</v>
      </c>
      <c r="D125" s="48"/>
      <c r="E125" s="25"/>
    </row>
    <row r="126" spans="1:5" x14ac:dyDescent="0.25">
      <c r="A126" s="90" t="str">
        <f>CHOOSE(VALUE(MID(TEXT(Table6[[#This Row],[Date]],"dd.mm.yyyy"),4,2)),"January","February","March","April","May","June","July","August","September","October","November","December")</f>
        <v>July</v>
      </c>
      <c r="B126" s="80" t="s">
        <v>768</v>
      </c>
      <c r="C126" s="48">
        <v>16984</v>
      </c>
      <c r="D126" s="48"/>
      <c r="E126" s="25"/>
    </row>
    <row r="127" spans="1:5" x14ac:dyDescent="0.25">
      <c r="A127" s="90" t="str">
        <f>CHOOSE(VALUE(MID(TEXT(Table6[[#This Row],[Date]],"dd.mm.yyyy"),4,2)),"January","February","March","April","May","June","July","August","September","October","November","December")</f>
        <v>July</v>
      </c>
      <c r="B127" s="80" t="s">
        <v>769</v>
      </c>
      <c r="C127" s="48">
        <v>16627</v>
      </c>
      <c r="D127" s="48"/>
      <c r="E127" s="25"/>
    </row>
    <row r="128" spans="1:5" x14ac:dyDescent="0.25">
      <c r="A128" s="90" t="str">
        <f>CHOOSE(VALUE(MID(TEXT(Table6[[#This Row],[Date]],"dd.mm.yyyy"),4,2)),"January","February","March","April","May","June","July","August","September","October","November","December")</f>
        <v>July</v>
      </c>
      <c r="B128" s="80" t="s">
        <v>770</v>
      </c>
      <c r="C128" s="48">
        <v>16166</v>
      </c>
      <c r="D128" s="48"/>
      <c r="E128" s="25"/>
    </row>
    <row r="129" spans="1:5" x14ac:dyDescent="0.25">
      <c r="A129" s="90" t="str">
        <f>CHOOSE(VALUE(MID(TEXT(Table6[[#This Row],[Date]],"dd.mm.yyyy"),4,2)),"January","February","March","April","May","June","July","August","September","October","November","December")</f>
        <v>July</v>
      </c>
      <c r="B129" s="80" t="s">
        <v>771</v>
      </c>
      <c r="C129" s="48">
        <v>16731</v>
      </c>
      <c r="D129" s="48"/>
      <c r="E129" s="25"/>
    </row>
    <row r="130" spans="1:5" x14ac:dyDescent="0.25">
      <c r="A130" s="90" t="str">
        <f>CHOOSE(VALUE(MID(TEXT(Table6[[#This Row],[Date]],"dd.mm.yyyy"),4,2)),"January","February","March","April","May","June","July","August","September","October","November","December")</f>
        <v>July</v>
      </c>
      <c r="B130" s="80" t="s">
        <v>772</v>
      </c>
      <c r="C130" s="48">
        <v>16633</v>
      </c>
      <c r="D130" s="48"/>
      <c r="E130" s="25"/>
    </row>
    <row r="131" spans="1:5" x14ac:dyDescent="0.25">
      <c r="A131" s="90" t="str">
        <f>CHOOSE(VALUE(MID(TEXT(Table6[[#This Row],[Date]],"dd.mm.yyyy"),4,2)),"January","February","March","April","May","June","July","August","September","October","November","December")</f>
        <v>July</v>
      </c>
      <c r="B131" s="80" t="s">
        <v>773</v>
      </c>
      <c r="C131" s="48">
        <v>16516</v>
      </c>
      <c r="D131" s="48"/>
      <c r="E131" s="25"/>
    </row>
    <row r="132" spans="1:5" x14ac:dyDescent="0.25">
      <c r="A132" s="90" t="str">
        <f>CHOOSE(VALUE(MID(TEXT(Table6[[#This Row],[Date]],"dd.mm.yyyy"),4,2)),"January","February","March","April","May","June","July","August","September","October","November","December")</f>
        <v>July</v>
      </c>
      <c r="B132" s="80" t="s">
        <v>774</v>
      </c>
      <c r="C132" s="48">
        <v>17005</v>
      </c>
      <c r="D132" s="48"/>
      <c r="E132" s="25"/>
    </row>
    <row r="133" spans="1:5" x14ac:dyDescent="0.25">
      <c r="A133" s="90" t="str">
        <f>CHOOSE(VALUE(MID(TEXT(Table6[[#This Row],[Date]],"dd.mm.yyyy"),4,2)),"January","February","March","April","May","June","July","August","September","October","November","December")</f>
        <v>July</v>
      </c>
      <c r="B133" s="80" t="s">
        <v>775</v>
      </c>
      <c r="C133" s="48">
        <v>16853</v>
      </c>
      <c r="D133" s="48"/>
      <c r="E133" s="25"/>
    </row>
    <row r="134" spans="1:5" x14ac:dyDescent="0.25">
      <c r="A134" s="90" t="str">
        <f>CHOOSE(VALUE(MID(TEXT(Table6[[#This Row],[Date]],"dd.mm.yyyy"),4,2)),"January","February","March","April","May","June","July","August","September","October","November","December")</f>
        <v>August</v>
      </c>
      <c r="B134" s="80" t="s">
        <v>776</v>
      </c>
      <c r="C134" s="48">
        <v>18273</v>
      </c>
      <c r="D134" s="48"/>
      <c r="E134" s="25"/>
    </row>
    <row r="135" spans="1:5" ht="45" customHeight="1" x14ac:dyDescent="0.25">
      <c r="A135" s="90" t="str">
        <f>CHOOSE(VALUE(MID(TEXT(Table6[[#This Row],[Date]],"dd.mm.yyyy"),4,2)),"January","February","March","April","May","June","July","August","September","October","November","December")</f>
        <v>August</v>
      </c>
      <c r="B135" s="80" t="s">
        <v>777</v>
      </c>
      <c r="C135" s="48">
        <v>12918</v>
      </c>
      <c r="D135" s="48"/>
      <c r="E135" s="25" t="s">
        <v>778</v>
      </c>
    </row>
    <row r="136" spans="1:5" x14ac:dyDescent="0.25">
      <c r="A136" s="90" t="str">
        <f>CHOOSE(VALUE(MID(TEXT(Table6[[#This Row],[Date]],"dd.mm.yyyy"),4,2)),"January","February","March","April","May","June","July","August","September","October","November","December")</f>
        <v>August</v>
      </c>
      <c r="B136" s="80" t="s">
        <v>779</v>
      </c>
      <c r="C136" s="48">
        <v>14449</v>
      </c>
      <c r="D136" s="48"/>
      <c r="E136" s="25"/>
    </row>
    <row r="137" spans="1:5" x14ac:dyDescent="0.25">
      <c r="A137" s="90" t="str">
        <f>CHOOSE(VALUE(MID(TEXT(Table6[[#This Row],[Date]],"dd.mm.yyyy"),4,2)),"January","February","March","April","May","June","July","August","September","October","November","December")</f>
        <v>August</v>
      </c>
      <c r="B137" s="80" t="s">
        <v>780</v>
      </c>
      <c r="C137" s="48">
        <v>14700</v>
      </c>
      <c r="D137" s="48"/>
      <c r="E137" s="25"/>
    </row>
    <row r="138" spans="1:5" ht="30" customHeight="1" x14ac:dyDescent="0.25">
      <c r="A138" s="90" t="str">
        <f>CHOOSE(VALUE(MID(TEXT(Table6[[#This Row],[Date]],"dd.mm.yyyy"),4,2)),"January","February","March","April","May","June","July","August","September","October","November","December")</f>
        <v>August</v>
      </c>
      <c r="B138" s="80" t="s">
        <v>781</v>
      </c>
      <c r="C138" s="48">
        <v>12752</v>
      </c>
      <c r="D138" s="48"/>
      <c r="E138" s="25" t="s">
        <v>782</v>
      </c>
    </row>
    <row r="139" spans="1:5" ht="30" customHeight="1" x14ac:dyDescent="0.25">
      <c r="A139" s="90" t="str">
        <f>CHOOSE(VALUE(MID(TEXT(Table6[[#This Row],[Date]],"dd.mm.yyyy"),4,2)),"January","February","March","April","May","June","July","August","September","October","November","December")</f>
        <v>August</v>
      </c>
      <c r="B139" s="80" t="s">
        <v>783</v>
      </c>
      <c r="C139" s="48">
        <v>12495</v>
      </c>
      <c r="D139" s="48"/>
      <c r="E139" s="25" t="s">
        <v>784</v>
      </c>
    </row>
    <row r="140" spans="1:5" ht="30" customHeight="1" x14ac:dyDescent="0.25">
      <c r="A140" s="90" t="str">
        <f>CHOOSE(VALUE(MID(TEXT(Table6[[#This Row],[Date]],"dd.mm.yyyy"),4,2)),"January","February","March","April","May","June","July","August","September","October","November","December")</f>
        <v>August</v>
      </c>
      <c r="B140" s="80" t="s">
        <v>785</v>
      </c>
      <c r="C140" s="48">
        <v>12035</v>
      </c>
      <c r="D140" s="48"/>
      <c r="E140" s="25" t="s">
        <v>786</v>
      </c>
    </row>
    <row r="141" spans="1:5" x14ac:dyDescent="0.25">
      <c r="A141" s="90" t="str">
        <f>CHOOSE(VALUE(MID(TEXT(Table6[[#This Row],[Date]],"dd.mm.yyyy"),4,2)),"January","February","March","April","May","June","July","August","September","October","November","December")</f>
        <v>August</v>
      </c>
      <c r="B141" s="80" t="s">
        <v>787</v>
      </c>
      <c r="C141" s="48">
        <v>15809</v>
      </c>
      <c r="D141" s="48"/>
      <c r="E141" s="25"/>
    </row>
    <row r="142" spans="1:5" ht="45" customHeight="1" x14ac:dyDescent="0.25">
      <c r="A142" s="90" t="str">
        <f>CHOOSE(VALUE(MID(TEXT(Table6[[#This Row],[Date]],"dd.mm.yyyy"),4,2)),"January","February","March","April","May","June","July","August","September","October","November","December")</f>
        <v>August</v>
      </c>
      <c r="B142" s="80" t="s">
        <v>788</v>
      </c>
      <c r="C142" s="48">
        <v>13341</v>
      </c>
      <c r="D142" s="48"/>
      <c r="E142" s="25" t="s">
        <v>789</v>
      </c>
    </row>
    <row r="143" spans="1:5" ht="45" customHeight="1" x14ac:dyDescent="0.25">
      <c r="A143" s="90" t="str">
        <f>CHOOSE(VALUE(MID(TEXT(Table6[[#This Row],[Date]],"dd.mm.yyyy"),4,2)),"January","February","March","April","May","June","July","August","September","October","November","December")</f>
        <v>August</v>
      </c>
      <c r="B143" s="80" t="s">
        <v>790</v>
      </c>
      <c r="C143" s="48">
        <v>13171</v>
      </c>
      <c r="D143" s="48"/>
      <c r="E143" s="25" t="s">
        <v>789</v>
      </c>
    </row>
    <row r="144" spans="1:5" ht="60" customHeight="1" x14ac:dyDescent="0.25">
      <c r="A144" s="90" t="str">
        <f>CHOOSE(VALUE(MID(TEXT(Table6[[#This Row],[Date]],"dd.mm.yyyy"),4,2)),"January","February","March","April","May","June","July","August","September","October","November","December")</f>
        <v>August</v>
      </c>
      <c r="B144" s="80" t="s">
        <v>791</v>
      </c>
      <c r="C144" s="48">
        <v>10910</v>
      </c>
      <c r="D144" s="48"/>
      <c r="E144" s="25" t="s">
        <v>792</v>
      </c>
    </row>
    <row r="145" spans="1:5" x14ac:dyDescent="0.25">
      <c r="A145" s="90" t="str">
        <f>CHOOSE(VALUE(MID(TEXT(Table6[[#This Row],[Date]],"dd.mm.yyyy"),4,2)),"January","February","March","April","May","June","July","August","September","October","November","December")</f>
        <v>August</v>
      </c>
      <c r="B145" s="80" t="s">
        <v>793</v>
      </c>
      <c r="C145" s="48">
        <v>14370</v>
      </c>
      <c r="D145" s="48"/>
      <c r="E145" s="25"/>
    </row>
    <row r="146" spans="1:5" ht="30" customHeight="1" x14ac:dyDescent="0.25">
      <c r="A146" s="90" t="str">
        <f>CHOOSE(VALUE(MID(TEXT(Table6[[#This Row],[Date]],"dd.mm.yyyy"),4,2)),"January","February","March","April","May","June","July","August","September","October","November","December")</f>
        <v>August</v>
      </c>
      <c r="B146" s="80" t="s">
        <v>794</v>
      </c>
      <c r="C146" s="48">
        <v>12844</v>
      </c>
      <c r="D146" s="48"/>
      <c r="E146" s="25" t="s">
        <v>795</v>
      </c>
    </row>
    <row r="147" spans="1:5" x14ac:dyDescent="0.25">
      <c r="A147" s="90" t="str">
        <f>CHOOSE(VALUE(MID(TEXT(Table6[[#This Row],[Date]],"dd.mm.yyyy"),4,2)),"January","February","March","April","May","June","July","August","September","October","November","December")</f>
        <v>August</v>
      </c>
      <c r="B147" s="80" t="s">
        <v>796</v>
      </c>
      <c r="C147" s="48">
        <v>15482</v>
      </c>
      <c r="D147" s="48"/>
      <c r="E147" s="25"/>
    </row>
    <row r="148" spans="1:5" ht="45" customHeight="1" x14ac:dyDescent="0.25">
      <c r="A148" s="90" t="str">
        <f>CHOOSE(VALUE(MID(TEXT(Table6[[#This Row],[Date]],"dd.mm.yyyy"),4,2)),"January","February","March","April","May","June","July","August","September","October","November","December")</f>
        <v>August</v>
      </c>
      <c r="B148" s="80" t="s">
        <v>797</v>
      </c>
      <c r="C148" s="48">
        <v>11065</v>
      </c>
      <c r="D148" s="48"/>
      <c r="E148" s="25" t="s">
        <v>798</v>
      </c>
    </row>
    <row r="149" spans="1:5" x14ac:dyDescent="0.25">
      <c r="A149" s="90" t="str">
        <f>CHOOSE(VALUE(MID(TEXT(Table6[[#This Row],[Date]],"dd.mm.yyyy"),4,2)),"January","February","March","April","May","June","July","August","September","October","November","December")</f>
        <v>August</v>
      </c>
      <c r="B149" s="80" t="s">
        <v>799</v>
      </c>
      <c r="C149" s="48">
        <v>15134</v>
      </c>
      <c r="D149" s="48"/>
      <c r="E149" s="25"/>
    </row>
    <row r="150" spans="1:5" ht="45" customHeight="1" x14ac:dyDescent="0.25">
      <c r="A150" s="90" t="str">
        <f>CHOOSE(VALUE(MID(TEXT(Table6[[#This Row],[Date]],"dd.mm.yyyy"),4,2)),"January","February","March","April","May","June","July","August","September","October","November","December")</f>
        <v>August</v>
      </c>
      <c r="B150" s="80" t="s">
        <v>800</v>
      </c>
      <c r="C150" s="48">
        <v>13295</v>
      </c>
      <c r="D150" s="48"/>
      <c r="E150" s="25" t="s">
        <v>801</v>
      </c>
    </row>
    <row r="151" spans="1:5" ht="45" customHeight="1" x14ac:dyDescent="0.25">
      <c r="A151" s="90" t="str">
        <f>CHOOSE(VALUE(MID(TEXT(Table6[[#This Row],[Date]],"dd.mm.yyyy"),4,2)),"January","February","March","April","May","June","July","August","September","October","November","December")</f>
        <v>August</v>
      </c>
      <c r="B151" s="80" t="s">
        <v>802</v>
      </c>
      <c r="C151" s="48">
        <v>14298</v>
      </c>
      <c r="D151" s="48"/>
      <c r="E151" s="25" t="s">
        <v>801</v>
      </c>
    </row>
    <row r="152" spans="1:5" ht="45" customHeight="1" x14ac:dyDescent="0.25">
      <c r="A152" s="90" t="str">
        <f>CHOOSE(VALUE(MID(TEXT(Table6[[#This Row],[Date]],"dd.mm.yyyy"),4,2)),"January","February","March","April","May","June","July","August","September","October","November","December")</f>
        <v>August</v>
      </c>
      <c r="B152" s="80" t="s">
        <v>803</v>
      </c>
      <c r="C152" s="48">
        <v>15856</v>
      </c>
      <c r="D152" s="48"/>
      <c r="E152" s="25" t="s">
        <v>804</v>
      </c>
    </row>
    <row r="153" spans="1:5" ht="60" customHeight="1" x14ac:dyDescent="0.25">
      <c r="A153" s="90" t="str">
        <f>CHOOSE(VALUE(MID(TEXT(Table6[[#This Row],[Date]],"dd.mm.yyyy"),4,2)),"January","February","March","April","May","June","July","August","September","October","November","December")</f>
        <v>August</v>
      </c>
      <c r="B153" s="80" t="s">
        <v>805</v>
      </c>
      <c r="C153" s="48">
        <v>12285</v>
      </c>
      <c r="D153" s="48"/>
      <c r="E153" s="25" t="s">
        <v>806</v>
      </c>
    </row>
    <row r="154" spans="1:5" ht="45" customHeight="1" x14ac:dyDescent="0.25">
      <c r="A154" s="90" t="str">
        <f>CHOOSE(VALUE(MID(TEXT(Table6[[#This Row],[Date]],"dd.mm.yyyy"),4,2)),"January","February","March","April","May","June","July","August","September","October","November","December")</f>
        <v>August</v>
      </c>
      <c r="B154" s="80" t="s">
        <v>807</v>
      </c>
      <c r="C154" s="48">
        <v>14658</v>
      </c>
      <c r="D154" s="48"/>
      <c r="E154" s="25" t="s">
        <v>808</v>
      </c>
    </row>
    <row r="155" spans="1:5" x14ac:dyDescent="0.25">
      <c r="A155" s="90" t="str">
        <f>CHOOSE(VALUE(MID(TEXT(Table6[[#This Row],[Date]],"dd.mm.yyyy"),4,2)),"January","February","March","April","May","June","July","August","September","October","November","December")</f>
        <v>August</v>
      </c>
      <c r="B155" s="80" t="s">
        <v>809</v>
      </c>
      <c r="C155" s="48">
        <v>16111</v>
      </c>
      <c r="D155" s="48"/>
      <c r="E155" s="25"/>
    </row>
    <row r="156" spans="1:5" x14ac:dyDescent="0.25">
      <c r="A156" s="90" t="str">
        <f>CHOOSE(VALUE(MID(TEXT(Table6[[#This Row],[Date]],"dd.mm.yyyy"),4,2)),"January","February","March","April","May","June","July","August","September","October","November","December")</f>
        <v>August</v>
      </c>
      <c r="B156" s="80" t="s">
        <v>810</v>
      </c>
      <c r="C156" s="48">
        <v>18048</v>
      </c>
      <c r="D156" s="48"/>
      <c r="E156" s="25"/>
    </row>
    <row r="157" spans="1:5" x14ac:dyDescent="0.25">
      <c r="A157" s="90" t="str">
        <f>CHOOSE(VALUE(MID(TEXT(Table6[[#This Row],[Date]],"dd.mm.yyyy"),4,2)),"January","February","March","April","May","June","July","August","September","October","November","December")</f>
        <v>August</v>
      </c>
      <c r="B157" s="80" t="s">
        <v>811</v>
      </c>
      <c r="C157" s="48">
        <v>15918</v>
      </c>
      <c r="D157" s="48"/>
      <c r="E157" s="25"/>
    </row>
    <row r="158" spans="1:5" ht="30" customHeight="1" x14ac:dyDescent="0.25">
      <c r="A158" s="90" t="str">
        <f>CHOOSE(VALUE(MID(TEXT(Table6[[#This Row],[Date]],"dd.mm.yyyy"),4,2)),"January","February","March","April","May","June","July","August","September","October","November","December")</f>
        <v>August</v>
      </c>
      <c r="B158" s="80" t="s">
        <v>812</v>
      </c>
      <c r="C158" s="48">
        <v>14965</v>
      </c>
      <c r="D158" s="48"/>
      <c r="E158" s="25" t="s">
        <v>813</v>
      </c>
    </row>
    <row r="159" spans="1:5" ht="30" customHeight="1" x14ac:dyDescent="0.25">
      <c r="A159" s="90" t="str">
        <f>CHOOSE(VALUE(MID(TEXT(Table6[[#This Row],[Date]],"dd.mm.yyyy"),4,2)),"January","February","March","April","May","June","July","August","September","October","November","December")</f>
        <v>September</v>
      </c>
      <c r="B159" s="80" t="s">
        <v>814</v>
      </c>
      <c r="C159" s="48">
        <v>14584</v>
      </c>
      <c r="D159" s="48"/>
      <c r="E159" s="25" t="s">
        <v>815</v>
      </c>
    </row>
    <row r="160" spans="1:5" ht="30" customHeight="1" x14ac:dyDescent="0.25">
      <c r="A160" s="90" t="str">
        <f>CHOOSE(VALUE(MID(TEXT(Table6[[#This Row],[Date]],"dd.mm.yyyy"),4,2)),"January","February","March","April","May","June","July","August","September","October","November","December")</f>
        <v>September</v>
      </c>
      <c r="B160" s="80" t="s">
        <v>816</v>
      </c>
      <c r="C160" s="48">
        <v>13253</v>
      </c>
      <c r="D160" s="48"/>
      <c r="E160" s="25" t="s">
        <v>817</v>
      </c>
    </row>
    <row r="161" spans="1:5" ht="45" customHeight="1" x14ac:dyDescent="0.25">
      <c r="A161" s="90" t="str">
        <f>CHOOSE(VALUE(MID(TEXT(Table6[[#This Row],[Date]],"dd.mm.yyyy"),4,2)),"January","February","March","April","May","June","July","August","September","October","November","December")</f>
        <v>September</v>
      </c>
      <c r="B161" s="80" t="s">
        <v>818</v>
      </c>
      <c r="C161" s="48">
        <v>16647</v>
      </c>
      <c r="D161" s="48"/>
      <c r="E161" s="25" t="s">
        <v>819</v>
      </c>
    </row>
    <row r="162" spans="1:5" ht="30" customHeight="1" x14ac:dyDescent="0.25">
      <c r="A162" s="90" t="str">
        <f>CHOOSE(VALUE(MID(TEXT(Table6[[#This Row],[Date]],"dd.mm.yyyy"),4,2)),"January","February","March","April","May","June","July","August","September","October","November","December")</f>
        <v>September</v>
      </c>
      <c r="B162" s="80" t="s">
        <v>820</v>
      </c>
      <c r="C162" s="48">
        <v>13144</v>
      </c>
      <c r="D162" s="48"/>
      <c r="E162" s="25" t="s">
        <v>821</v>
      </c>
    </row>
    <row r="163" spans="1:5" ht="30" customHeight="1" x14ac:dyDescent="0.25">
      <c r="A163" s="90" t="str">
        <f>CHOOSE(VALUE(MID(TEXT(Table6[[#This Row],[Date]],"dd.mm.yyyy"),4,2)),"January","February","March","April","May","June","July","August","September","October","November","December")</f>
        <v>September</v>
      </c>
      <c r="B163" s="80" t="s">
        <v>822</v>
      </c>
      <c r="C163" s="48">
        <v>13191</v>
      </c>
      <c r="D163" s="48"/>
      <c r="E163" s="25" t="s">
        <v>823</v>
      </c>
    </row>
    <row r="164" spans="1:5" ht="45" customHeight="1" x14ac:dyDescent="0.25">
      <c r="A164" s="90" t="str">
        <f>CHOOSE(VALUE(MID(TEXT(Table6[[#This Row],[Date]],"dd.mm.yyyy"),4,2)),"January","February","March","April","May","June","July","August","September","October","November","December")</f>
        <v>September</v>
      </c>
      <c r="B164" s="80" t="s">
        <v>824</v>
      </c>
      <c r="C164" s="48">
        <v>14286</v>
      </c>
      <c r="D164" s="48"/>
      <c r="E164" s="25" t="s">
        <v>825</v>
      </c>
    </row>
    <row r="165" spans="1:5" ht="30" customHeight="1" x14ac:dyDescent="0.25">
      <c r="A165" s="90" t="str">
        <f>CHOOSE(VALUE(MID(TEXT(Table6[[#This Row],[Date]],"dd.mm.yyyy"),4,2)),"January","February","March","April","May","June","July","August","September","October","November","December")</f>
        <v>September</v>
      </c>
      <c r="B165" s="80" t="s">
        <v>826</v>
      </c>
      <c r="C165" s="48">
        <v>16382</v>
      </c>
      <c r="D165" s="48"/>
      <c r="E165" s="25"/>
    </row>
    <row r="166" spans="1:5" ht="30" customHeight="1" x14ac:dyDescent="0.25">
      <c r="A166" s="90" t="str">
        <f>CHOOSE(VALUE(MID(TEXT(Table6[[#This Row],[Date]],"dd.mm.yyyy"),4,2)),"January","February","March","April","May","June","July","August","September","October","November","December")</f>
        <v>September</v>
      </c>
      <c r="B166" s="80" t="s">
        <v>827</v>
      </c>
      <c r="C166" s="48">
        <v>16733</v>
      </c>
      <c r="D166" s="48"/>
      <c r="E166" s="25"/>
    </row>
    <row r="167" spans="1:5" ht="30" customHeight="1" x14ac:dyDescent="0.25">
      <c r="A167" s="90" t="str">
        <f>CHOOSE(VALUE(MID(TEXT(Table6[[#This Row],[Date]],"dd.mm.yyyy"),4,2)),"January","February","March","April","May","June","July","August","September","October","November","December")</f>
        <v>September</v>
      </c>
      <c r="B167" s="80" t="s">
        <v>828</v>
      </c>
      <c r="C167" s="48">
        <v>12972</v>
      </c>
      <c r="D167" s="48"/>
      <c r="E167" s="25"/>
    </row>
    <row r="168" spans="1:5" ht="30" customHeight="1" x14ac:dyDescent="0.25">
      <c r="A168" s="90" t="str">
        <f>CHOOSE(VALUE(MID(TEXT(Table6[[#This Row],[Date]],"dd.mm.yyyy"),4,2)),"January","February","March","April","May","June","July","August","September","October","November","December")</f>
        <v>September</v>
      </c>
      <c r="B168" s="80" t="s">
        <v>829</v>
      </c>
      <c r="C168" s="48">
        <v>13895</v>
      </c>
      <c r="D168" s="48"/>
      <c r="E168" s="25" t="s">
        <v>830</v>
      </c>
    </row>
    <row r="169" spans="1:5" ht="30" customHeight="1" x14ac:dyDescent="0.25">
      <c r="A169" s="90" t="str">
        <f>CHOOSE(VALUE(MID(TEXT(Table6[[#This Row],[Date]],"dd.mm.yyyy"),4,2)),"January","February","March","April","May","June","July","August","September","October","November","December")</f>
        <v>September</v>
      </c>
      <c r="B169" s="80" t="s">
        <v>831</v>
      </c>
      <c r="C169" s="48">
        <v>16792</v>
      </c>
      <c r="D169" s="48"/>
      <c r="E169" s="25"/>
    </row>
    <row r="170" spans="1:5" ht="30" customHeight="1" x14ac:dyDescent="0.25">
      <c r="A170" s="90" t="str">
        <f>CHOOSE(VALUE(MID(TEXT(Table6[[#This Row],[Date]],"dd.mm.yyyy"),4,2)),"January","February","March","April","May","June","July","August","September","October","November","December")</f>
        <v>September</v>
      </c>
      <c r="B170" s="80" t="s">
        <v>832</v>
      </c>
      <c r="C170" s="48">
        <v>14046</v>
      </c>
      <c r="D170" s="48"/>
      <c r="E170" s="25"/>
    </row>
    <row r="171" spans="1:5" ht="30" customHeight="1" x14ac:dyDescent="0.25">
      <c r="A171" s="90" t="str">
        <f>CHOOSE(VALUE(MID(TEXT(Table6[[#This Row],[Date]],"dd.mm.yyyy"),4,2)),"January","February","March","April","May","June","July","August","September","October","November","December")</f>
        <v>September</v>
      </c>
      <c r="B171" s="80" t="s">
        <v>833</v>
      </c>
      <c r="C171" s="48">
        <v>13481</v>
      </c>
      <c r="D171" s="48"/>
      <c r="E171" s="25"/>
    </row>
    <row r="172" spans="1:5" ht="30" customHeight="1" x14ac:dyDescent="0.25">
      <c r="A172" s="90" t="str">
        <f>CHOOSE(VALUE(MID(TEXT(Table6[[#This Row],[Date]],"dd.mm.yyyy"),4,2)),"January","February","March","April","May","June","July","August","September","October","November","December")</f>
        <v>September</v>
      </c>
      <c r="B172" s="80" t="s">
        <v>834</v>
      </c>
      <c r="C172" s="48">
        <v>16551</v>
      </c>
      <c r="D172" s="48"/>
      <c r="E172" s="25"/>
    </row>
    <row r="173" spans="1:5" ht="30" customHeight="1" x14ac:dyDescent="0.25">
      <c r="A173" s="90" t="str">
        <f>CHOOSE(VALUE(MID(TEXT(Table6[[#This Row],[Date]],"dd.mm.yyyy"),4,2)),"January","February","March","April","May","June","July","August","September","October","November","December")</f>
        <v>September</v>
      </c>
      <c r="B173" s="80" t="s">
        <v>835</v>
      </c>
      <c r="C173" s="48">
        <v>13625</v>
      </c>
      <c r="D173" s="48"/>
      <c r="E173" s="25" t="s">
        <v>836</v>
      </c>
    </row>
    <row r="174" spans="1:5" ht="30" customHeight="1" x14ac:dyDescent="0.25">
      <c r="A174" s="90" t="str">
        <f>CHOOSE(VALUE(MID(TEXT(Table6[[#This Row],[Date]],"dd.mm.yyyy"),4,2)),"January","February","March","April","May","June","July","August","September","October","November","December")</f>
        <v>September</v>
      </c>
      <c r="B174" s="80" t="s">
        <v>837</v>
      </c>
      <c r="C174" s="48">
        <v>12381</v>
      </c>
      <c r="D174" s="48"/>
      <c r="E174" s="25" t="s">
        <v>836</v>
      </c>
    </row>
    <row r="175" spans="1:5" ht="30" customHeight="1" x14ac:dyDescent="0.25">
      <c r="A175" s="90" t="str">
        <f>CHOOSE(VALUE(MID(TEXT(Table6[[#This Row],[Date]],"dd.mm.yyyy"),4,2)),"January","February","March","April","May","June","July","August","September","October","November","December")</f>
        <v>September</v>
      </c>
      <c r="B175" s="80" t="s">
        <v>838</v>
      </c>
      <c r="C175" s="48">
        <v>13997</v>
      </c>
      <c r="D175" s="48"/>
      <c r="E175" s="25" t="s">
        <v>836</v>
      </c>
    </row>
    <row r="176" spans="1:5" ht="30" customHeight="1" x14ac:dyDescent="0.25">
      <c r="A176" s="90" t="str">
        <f>CHOOSE(VALUE(MID(TEXT(Table6[[#This Row],[Date]],"dd.mm.yyyy"),4,2)),"January","February","March","April","May","June","July","August","September","October","November","December")</f>
        <v>September</v>
      </c>
      <c r="B176" s="80" t="s">
        <v>839</v>
      </c>
      <c r="C176" s="48">
        <v>15727</v>
      </c>
      <c r="D176" s="48"/>
      <c r="E176" s="25"/>
    </row>
    <row r="177" spans="1:9" ht="30" customHeight="1" x14ac:dyDescent="0.25">
      <c r="A177" s="90" t="str">
        <f>CHOOSE(VALUE(MID(TEXT(Table6[[#This Row],[Date]],"dd.mm.yyyy"),4,2)),"January","February","March","April","May","June","July","August","September","October","November","December")</f>
        <v>September</v>
      </c>
      <c r="B177" s="80" t="s">
        <v>840</v>
      </c>
      <c r="C177" s="48">
        <v>16804</v>
      </c>
      <c r="D177" s="48"/>
      <c r="E177" s="25"/>
    </row>
    <row r="178" spans="1:9" ht="30" customHeight="1" x14ac:dyDescent="0.25">
      <c r="A178" s="90" t="str">
        <f>CHOOSE(VALUE(MID(TEXT(Table6[[#This Row],[Date]],"dd.mm.yyyy"),4,2)),"January","February","March","April","May","June","July","August","September","October","November","December")</f>
        <v>September</v>
      </c>
      <c r="B178" s="80" t="s">
        <v>841</v>
      </c>
      <c r="C178" s="48">
        <v>17366</v>
      </c>
      <c r="D178" s="48"/>
      <c r="E178" s="25"/>
    </row>
    <row r="179" spans="1:9" ht="30" customHeight="1" x14ac:dyDescent="0.25">
      <c r="A179" s="90" t="str">
        <f>CHOOSE(VALUE(MID(TEXT(Table6[[#This Row],[Date]],"dd.mm.yyyy"),4,2)),"January","February","March","April","May","June","July","August","September","October","November","December")</f>
        <v>September</v>
      </c>
      <c r="B179" s="80" t="s">
        <v>842</v>
      </c>
      <c r="C179" s="48">
        <v>15733</v>
      </c>
      <c r="D179" s="48"/>
      <c r="E179" s="25"/>
    </row>
    <row r="180" spans="1:9" ht="30" customHeight="1" x14ac:dyDescent="0.25">
      <c r="A180" s="90" t="str">
        <f>CHOOSE(VALUE(MID(TEXT(Table6[[#This Row],[Date]],"dd.mm.yyyy"),4,2)),"January","February","March","April","May","June","July","August","September","October","November","December")</f>
        <v>September</v>
      </c>
      <c r="B180" s="80" t="s">
        <v>843</v>
      </c>
      <c r="C180" s="48">
        <v>13130</v>
      </c>
      <c r="D180" s="48"/>
      <c r="E180" s="25" t="s">
        <v>836</v>
      </c>
    </row>
    <row r="181" spans="1:9" ht="30" customHeight="1" x14ac:dyDescent="0.25">
      <c r="A181" s="90" t="str">
        <f>CHOOSE(VALUE(MID(TEXT(Table6[[#This Row],[Date]],"dd.mm.yyyy"),4,2)),"January","February","March","April","May","June","July","August","September","October","November","December")</f>
        <v>September</v>
      </c>
      <c r="B181" s="80" t="s">
        <v>844</v>
      </c>
      <c r="C181" s="48">
        <v>16768</v>
      </c>
      <c r="D181" s="48"/>
      <c r="E181" s="25"/>
    </row>
    <row r="182" spans="1:9" ht="30" customHeight="1" x14ac:dyDescent="0.25">
      <c r="A182" s="90" t="str">
        <f>CHOOSE(VALUE(MID(TEXT(Table6[[#This Row],[Date]],"dd.mm.yyyy"),4,2)),"January","February","March","April","May","June","July","August","September","October","November","December")</f>
        <v>September</v>
      </c>
      <c r="B182" s="80" t="s">
        <v>845</v>
      </c>
      <c r="C182" s="48">
        <v>18076</v>
      </c>
      <c r="D182" s="48"/>
      <c r="E182" s="25"/>
    </row>
    <row r="183" spans="1:9" ht="30" customHeight="1" x14ac:dyDescent="0.25">
      <c r="A183" s="90" t="str">
        <f>CHOOSE(VALUE(MID(TEXT(Table6[[#This Row],[Date]],"dd.mm.yyyy"),4,2)),"January","February","March","April","May","June","July","August","September","October","November","December")</f>
        <v>September</v>
      </c>
      <c r="B183" s="80" t="s">
        <v>846</v>
      </c>
      <c r="C183" s="48">
        <v>15100</v>
      </c>
      <c r="D183" s="48"/>
      <c r="E183" s="25"/>
    </row>
    <row r="184" spans="1:9" ht="23.25" customHeight="1" x14ac:dyDescent="0.25">
      <c r="A184" s="90" t="str">
        <f>CHOOSE(VALUE(MID(TEXT(Table6[[#This Row],[Date]],"dd.mm.yyyy"),4,2)),"January","February","March","April","May","June","July","August","September","October","November","December")</f>
        <v>September</v>
      </c>
      <c r="B184" s="80" t="s">
        <v>847</v>
      </c>
      <c r="C184" s="48">
        <v>14997</v>
      </c>
      <c r="D184" s="48"/>
      <c r="E184" s="25"/>
    </row>
    <row r="185" spans="1:9" x14ac:dyDescent="0.25">
      <c r="A185" s="90" t="str">
        <f>CHOOSE(VALUE(MID(TEXT(Table6[[#This Row],[Date]],"dd.mm.yyyy"),4,2)),"January","February","March","April","May","June","July","August","September","October","November","December")</f>
        <v>October</v>
      </c>
      <c r="B185" s="80" t="s">
        <v>848</v>
      </c>
      <c r="C185" s="48">
        <v>15690</v>
      </c>
      <c r="D185" s="48"/>
      <c r="E185" s="25"/>
    </row>
    <row r="186" spans="1:9" x14ac:dyDescent="0.25">
      <c r="A186" s="90" t="str">
        <f>CHOOSE(VALUE(MID(TEXT(Table6[[#This Row],[Date]],"dd.mm.yyyy"),4,2)),"January","February","March","April","May","June","July","August","September","October","November","December")</f>
        <v>October</v>
      </c>
      <c r="B186" s="80" t="s">
        <v>849</v>
      </c>
      <c r="C186" s="48">
        <v>15046</v>
      </c>
      <c r="D186" s="48"/>
      <c r="E186" s="25"/>
    </row>
    <row r="187" spans="1:9" x14ac:dyDescent="0.25">
      <c r="A187" s="90" t="str">
        <f>CHOOSE(VALUE(MID(TEXT(Table6[[#This Row],[Date]],"dd.mm.yyyy"),4,2)),"January","February","March","April","May","June","July","August","September","October","November","December")</f>
        <v>October</v>
      </c>
      <c r="B187" s="80" t="s">
        <v>850</v>
      </c>
      <c r="C187" s="48">
        <v>16010</v>
      </c>
      <c r="D187" s="48"/>
      <c r="E187" s="25"/>
    </row>
    <row r="188" spans="1:9" x14ac:dyDescent="0.25">
      <c r="A188" s="90" t="str">
        <f>CHOOSE(VALUE(MID(TEXT(Table6[[#This Row],[Date]],"dd.mm.yyyy"),4,2)),"January","February","March","April","May","June","July","August","September","October","November","December")</f>
        <v>October</v>
      </c>
      <c r="B188" s="80" t="s">
        <v>851</v>
      </c>
      <c r="C188" s="48">
        <v>15255</v>
      </c>
      <c r="D188" s="48"/>
      <c r="E188" s="25"/>
      <c r="H188" s="84" t="s">
        <v>637</v>
      </c>
      <c r="I188" s="86" t="s">
        <v>852</v>
      </c>
    </row>
    <row r="189" spans="1:9" ht="30" customHeight="1" x14ac:dyDescent="0.25">
      <c r="A189" s="90" t="str">
        <f>CHOOSE(VALUE(MID(TEXT(Table6[[#This Row],[Date]],"dd.mm.yyyy"),4,2)),"January","February","March","April","May","June","July","August","September","October","November","December")</f>
        <v>October</v>
      </c>
      <c r="B189" s="85" t="s">
        <v>853</v>
      </c>
      <c r="C189" s="48">
        <v>14809</v>
      </c>
      <c r="D189" s="48"/>
      <c r="E189" s="25" t="s">
        <v>836</v>
      </c>
      <c r="H189" s="22" t="s">
        <v>854</v>
      </c>
      <c r="I189" s="93">
        <v>304630</v>
      </c>
    </row>
    <row r="190" spans="1:9" x14ac:dyDescent="0.25">
      <c r="A190" s="90" t="str">
        <f>CHOOSE(VALUE(MID(TEXT(Table6[[#This Row],[Date]],"dd.mm.yyyy"),4,2)),"January","February","March","April","May","June","July","August","September","October","November","December")</f>
        <v>October</v>
      </c>
      <c r="B190" s="85" t="s">
        <v>855</v>
      </c>
      <c r="C190" s="48">
        <v>16238</v>
      </c>
      <c r="D190" s="48"/>
      <c r="E190" s="25"/>
      <c r="H190" s="22" t="s">
        <v>856</v>
      </c>
      <c r="I190" s="93">
        <v>413184</v>
      </c>
    </row>
    <row r="191" spans="1:9" x14ac:dyDescent="0.25">
      <c r="A191" s="90" t="str">
        <f>CHOOSE(VALUE(MID(TEXT(Table6[[#This Row],[Date]],"dd.mm.yyyy"),4,2)),"January","February","March","April","May","June","July","August","September","October","November","December")</f>
        <v>October</v>
      </c>
      <c r="B191" s="85" t="s">
        <v>857</v>
      </c>
      <c r="C191" s="48">
        <v>17168</v>
      </c>
      <c r="D191" s="48"/>
      <c r="E191" s="25"/>
      <c r="H191" s="22" t="s">
        <v>858</v>
      </c>
      <c r="I191" s="93">
        <v>342641</v>
      </c>
    </row>
    <row r="192" spans="1:9" x14ac:dyDescent="0.25">
      <c r="A192" s="90" t="str">
        <f>CHOOSE(VALUE(MID(TEXT(Table6[[#This Row],[Date]],"dd.mm.yyyy"),4,2)),"January","February","March","April","May","June","July","August","September","October","November","December")</f>
        <v>October</v>
      </c>
      <c r="B192" s="85" t="s">
        <v>859</v>
      </c>
      <c r="C192" s="48">
        <v>14183</v>
      </c>
      <c r="D192" s="48"/>
      <c r="E192" s="25"/>
      <c r="H192" s="22" t="s">
        <v>860</v>
      </c>
      <c r="I192" s="93">
        <v>389746</v>
      </c>
    </row>
    <row r="193" spans="1:9" x14ac:dyDescent="0.25">
      <c r="A193" s="90" t="str">
        <f>CHOOSE(VALUE(MID(TEXT(Table6[[#This Row],[Date]],"dd.mm.yyyy"),4,2)),"January","February","March","April","May","June","July","August","September","October","November","December")</f>
        <v>October</v>
      </c>
      <c r="B193" s="85" t="s">
        <v>861</v>
      </c>
      <c r="C193" s="48">
        <v>14556</v>
      </c>
      <c r="D193" s="48"/>
      <c r="E193" s="25"/>
      <c r="H193" s="22" t="s">
        <v>862</v>
      </c>
      <c r="I193" s="93">
        <v>433075</v>
      </c>
    </row>
    <row r="194" spans="1:9" x14ac:dyDescent="0.25">
      <c r="A194" s="90" t="str">
        <f>CHOOSE(VALUE(MID(TEXT(Table6[[#This Row],[Date]],"dd.mm.yyyy"),4,2)),"January","February","March","April","May","June","July","August","September","October","November","December")</f>
        <v>October</v>
      </c>
      <c r="B194" s="85" t="s">
        <v>863</v>
      </c>
      <c r="C194" s="48">
        <v>14806</v>
      </c>
      <c r="D194" s="48"/>
      <c r="E194" s="25"/>
      <c r="H194" s="22" t="s">
        <v>864</v>
      </c>
      <c r="I194" s="93">
        <v>355182</v>
      </c>
    </row>
    <row r="195" spans="1:9" x14ac:dyDescent="0.25">
      <c r="A195" s="90" t="str">
        <f>CHOOSE(VALUE(MID(TEXT(Table6[[#This Row],[Date]],"dd.mm.yyyy"),4,2)),"January","February","March","April","May","June","July","August","September","October","November","December")</f>
        <v>October</v>
      </c>
      <c r="B195" s="85" t="s">
        <v>865</v>
      </c>
      <c r="C195" s="48">
        <v>14683</v>
      </c>
      <c r="D195" s="48"/>
      <c r="E195" s="25"/>
      <c r="H195" s="22" t="s">
        <v>866</v>
      </c>
      <c r="I195" s="93">
        <v>389661</v>
      </c>
    </row>
    <row r="196" spans="1:9" x14ac:dyDescent="0.25">
      <c r="A196" s="90" t="str">
        <f>CHOOSE(VALUE(MID(TEXT(Table6[[#This Row],[Date]],"dd.mm.yyyy"),4,2)),"January","February","March","April","May","June","July","August","September","October","November","December")</f>
        <v>October</v>
      </c>
      <c r="B196" s="85" t="s">
        <v>867</v>
      </c>
      <c r="C196" s="48">
        <v>14409</v>
      </c>
      <c r="D196" s="48"/>
      <c r="E196" s="25"/>
      <c r="H196" s="22" t="s">
        <v>868</v>
      </c>
      <c r="I196" s="93">
        <v>203173</v>
      </c>
    </row>
    <row r="197" spans="1:9" x14ac:dyDescent="0.25">
      <c r="A197" s="90" t="str">
        <f>CHOOSE(VALUE(MID(TEXT(Table6[[#This Row],[Date]],"dd.mm.yyyy"),4,2)),"January","February","March","April","May","June","July","August","September","October","November","December")</f>
        <v>October</v>
      </c>
      <c r="B197" s="85" t="s">
        <v>869</v>
      </c>
      <c r="C197" s="48">
        <v>20320</v>
      </c>
      <c r="D197" s="48"/>
      <c r="E197" s="25"/>
      <c r="H197" s="22" t="s">
        <v>870</v>
      </c>
      <c r="I197" s="93">
        <v>2831292</v>
      </c>
    </row>
  </sheetData>
  <pageMargins left="0.7" right="0.7" top="0.75" bottom="0.75" header="0.3" footer="0.3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Pivot Table</vt:lpstr>
      <vt:lpstr>Remarks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DYEING_IE</dc:creator>
  <cp:lastModifiedBy>DYEING_IE</cp:lastModifiedBy>
  <cp:lastPrinted>2026-06-21T04:15:30Z</cp:lastPrinted>
  <dcterms:created xsi:type="dcterms:W3CDTF">2026-05-05T03:42:23Z</dcterms:created>
  <dcterms:modified xsi:type="dcterms:W3CDTF">2026-10-18T06:39:16Z</dcterms:modified>
</cp:coreProperties>
</file>